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ai_c\OneDrive\桌面\"/>
    </mc:Choice>
  </mc:AlternateContent>
  <xr:revisionPtr revIDLastSave="0" documentId="13_ncr:1_{CB258EF8-5870-42DC-B105-9FA1A75B409C}" xr6:coauthVersionLast="47" xr6:coauthVersionMax="47" xr10:uidLastSave="{00000000-0000-0000-0000-000000000000}"/>
  <bookViews>
    <workbookView xWindow="-108" yWindow="-108" windowWidth="30936" windowHeight="16776" activeTab="10" xr2:uid="{00000000-000D-0000-FFFF-FFFF00000000}"/>
  </bookViews>
  <sheets>
    <sheet name="XN" sheetId="15" r:id="rId1"/>
    <sheet name="PL-CF-BS" sheetId="13" r:id="rId2"/>
    <sheet name="DCF Summary" sheetId="2" r:id="rId3"/>
    <sheet name="SumFS" sheetId="14" r:id="rId4"/>
    <sheet name="Key Info &amp; Assumptions" sheetId="1" r:id="rId5"/>
    <sheet name="Statements&gt;&gt;" sheetId="3" r:id="rId6"/>
    <sheet name="IS" sheetId="4" r:id="rId7"/>
    <sheet name="BS" sheetId="5" r:id="rId8"/>
    <sheet name="CFS" sheetId="6" r:id="rId9"/>
    <sheet name="Breakdown&gt;&gt;" sheetId="7" r:id="rId10"/>
    <sheet name="Revenue" sheetId="8" r:id="rId11"/>
    <sheet name="Cash" sheetId="9" r:id="rId12"/>
    <sheet name="D&amp;A" sheetId="10" r:id="rId13"/>
    <sheet name="Tax" sheetId="11" r:id="rId14"/>
  </sheets>
  <definedNames>
    <definedName name="Beta">'Key Info &amp; Assumptions'!$B$22</definedName>
    <definedName name="CostOfDebtAfterTax">'Key Info &amp; Assumptions'!$B$20</definedName>
    <definedName name="CostOfDebtBeforeTax">'Key Info &amp; Assumptions'!$B$18</definedName>
    <definedName name="CostOfEquity">'Key Info &amp; Assumptions'!$B$25</definedName>
    <definedName name="CurrentTotalDebt">'Key Info &amp; Assumptions'!$B$26</definedName>
    <definedName name="EstimatedPeriods">'Key Info &amp; Assumptions'!$B$10</definedName>
    <definedName name="HistoricPeriods">'Key Info &amp; Assumptions'!$B$9</definedName>
    <definedName name="MarginalTaxRate">'Key Info &amp; Assumptions'!$B$19</definedName>
    <definedName name="MarketRiskPremium">'Key Info &amp; Assumptions'!$B$23</definedName>
    <definedName name="MarketValueOfEquity">'Key Info &amp; Assumptions'!$B$27</definedName>
    <definedName name="OtherRiskPremium">'Key Info &amp; Assumptions'!$B$24</definedName>
    <definedName name="_xlnm.Print_Titles" localSheetId="7">BS!$1:$1,BS!$A:$A</definedName>
    <definedName name="_xlnm.Print_Titles" localSheetId="11">Cash!$1:$1,Cash!$A:$A</definedName>
    <definedName name="_xlnm.Print_Titles" localSheetId="8">CFS!$1:$1,CFS!$A:$A</definedName>
    <definedName name="_xlnm.Print_Titles" localSheetId="12">'D&amp;A'!$1:$1,'D&amp;A'!$A:$A</definedName>
    <definedName name="_xlnm.Print_Titles" localSheetId="2">'DCF Summary'!$1:$1,'DCF Summary'!$A:$A</definedName>
    <definedName name="_xlnm.Print_Titles" localSheetId="6">IS!$1:$1,IS!$A:$A</definedName>
    <definedName name="_xlnm.Print_Titles" localSheetId="4">'Key Info &amp; Assumptions'!$1:$1,'Key Info &amp; Assumptions'!$A:$A</definedName>
    <definedName name="_xlnm.Print_Titles" localSheetId="10">Revenue!$1:$1,Revenue!$A:$A</definedName>
    <definedName name="_xlnm.Print_Titles" localSheetId="13">Tax!$1:$1,Tax!$A:$A</definedName>
    <definedName name="ReportUnit">'Key Info &amp; Assumptions'!$B$13</definedName>
    <definedName name="RiskFreeRate">'Key Info &amp; Assumptions'!$B$16</definedName>
    <definedName name="SpreadOverRiskFreeRate">'Key Info &amp; Assumptions'!$B$17</definedName>
    <definedName name="TerminalEbitdaMultiples">'Key Info &amp; Assumptions'!$B$12</definedName>
    <definedName name="TerminalGrowthRate">'Key Info &amp; Assumptions'!$B$11</definedName>
    <definedName name="TotalCapital">'Key Info &amp; Assumptions'!$B$28</definedName>
    <definedName name="WACC">'Key Info &amp; Assumptions'!$B$31</definedName>
    <definedName name="WeightOfDebt">'Key Info &amp; Assumptions'!$B$29</definedName>
    <definedName name="WeightOfEquity">'Key Info &amp; Assumptions'!$B$30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8" i="5" l="1"/>
  <c r="C104" i="13"/>
  <c r="D104" i="13"/>
  <c r="E104" i="13"/>
  <c r="F104" i="13"/>
  <c r="C103" i="13"/>
  <c r="D103" i="13"/>
  <c r="E103" i="13"/>
  <c r="F103" i="13"/>
  <c r="B104" i="13"/>
  <c r="B103" i="13"/>
  <c r="C101" i="13"/>
  <c r="D101" i="13"/>
  <c r="E101" i="13"/>
  <c r="F101" i="13"/>
  <c r="G101" i="13"/>
  <c r="C102" i="13"/>
  <c r="D102" i="13"/>
  <c r="E102" i="13"/>
  <c r="F102" i="13"/>
  <c r="B102" i="13"/>
  <c r="B101" i="13"/>
  <c r="C95" i="13"/>
  <c r="D95" i="13"/>
  <c r="E95" i="13"/>
  <c r="F95" i="13"/>
  <c r="G95" i="13"/>
  <c r="H95" i="13"/>
  <c r="I95" i="13"/>
  <c r="J95" i="13"/>
  <c r="K95" i="13"/>
  <c r="C96" i="13"/>
  <c r="D96" i="13"/>
  <c r="E96" i="13"/>
  <c r="F96" i="13"/>
  <c r="G96" i="13"/>
  <c r="H96" i="13"/>
  <c r="I96" i="13"/>
  <c r="J96" i="13"/>
  <c r="K96" i="13"/>
  <c r="C97" i="13"/>
  <c r="D97" i="13"/>
  <c r="E97" i="13"/>
  <c r="F97" i="13"/>
  <c r="G97" i="13"/>
  <c r="H97" i="13"/>
  <c r="I97" i="13"/>
  <c r="J97" i="13"/>
  <c r="K97" i="13"/>
  <c r="C98" i="13"/>
  <c r="D98" i="13"/>
  <c r="E98" i="13"/>
  <c r="F98" i="13"/>
  <c r="G98" i="13"/>
  <c r="C99" i="13"/>
  <c r="D99" i="13"/>
  <c r="E99" i="13"/>
  <c r="F99" i="13"/>
  <c r="G99" i="13"/>
  <c r="H99" i="13"/>
  <c r="I99" i="13"/>
  <c r="J99" i="13"/>
  <c r="K99" i="13"/>
  <c r="C100" i="13"/>
  <c r="D100" i="13"/>
  <c r="E100" i="13"/>
  <c r="F100" i="13"/>
  <c r="G100" i="13"/>
  <c r="H100" i="13"/>
  <c r="I100" i="13"/>
  <c r="J100" i="13"/>
  <c r="K100" i="13"/>
  <c r="B96" i="13"/>
  <c r="B97" i="13"/>
  <c r="B98" i="13"/>
  <c r="B99" i="13"/>
  <c r="B100" i="13"/>
  <c r="B95" i="13"/>
  <c r="C93" i="13"/>
  <c r="D93" i="13"/>
  <c r="E93" i="13"/>
  <c r="F93" i="13"/>
  <c r="G93" i="13"/>
  <c r="H93" i="13"/>
  <c r="I93" i="13"/>
  <c r="J93" i="13"/>
  <c r="C92" i="13"/>
  <c r="D92" i="13"/>
  <c r="E92" i="13"/>
  <c r="F92" i="13"/>
  <c r="G92" i="13"/>
  <c r="H92" i="13"/>
  <c r="I92" i="13"/>
  <c r="J92" i="13"/>
  <c r="K92" i="13"/>
  <c r="B93" i="13"/>
  <c r="B92" i="13"/>
  <c r="C87" i="13"/>
  <c r="D87" i="13"/>
  <c r="E87" i="13"/>
  <c r="F87" i="13"/>
  <c r="G87" i="13"/>
  <c r="H87" i="13"/>
  <c r="I87" i="13"/>
  <c r="J87" i="13"/>
  <c r="K87" i="13"/>
  <c r="C88" i="13"/>
  <c r="D88" i="13"/>
  <c r="E88" i="13"/>
  <c r="F88" i="13"/>
  <c r="G88" i="13"/>
  <c r="H88" i="13"/>
  <c r="I88" i="13"/>
  <c r="J88" i="13"/>
  <c r="K88" i="13"/>
  <c r="C89" i="13"/>
  <c r="D89" i="13"/>
  <c r="E89" i="13"/>
  <c r="F89" i="13"/>
  <c r="G89" i="13"/>
  <c r="H89" i="13"/>
  <c r="I89" i="13"/>
  <c r="J89" i="13"/>
  <c r="K89" i="13"/>
  <c r="C90" i="13"/>
  <c r="D90" i="13"/>
  <c r="E90" i="13"/>
  <c r="F90" i="13"/>
  <c r="G90" i="13"/>
  <c r="H90" i="13"/>
  <c r="I90" i="13"/>
  <c r="J90" i="13"/>
  <c r="K90" i="13"/>
  <c r="C91" i="13"/>
  <c r="D91" i="13"/>
  <c r="E91" i="13"/>
  <c r="F91" i="13"/>
  <c r="G91" i="13"/>
  <c r="H91" i="13"/>
  <c r="I91" i="13"/>
  <c r="J91" i="13"/>
  <c r="K91" i="13"/>
  <c r="B88" i="13"/>
  <c r="B89" i="13"/>
  <c r="B90" i="13"/>
  <c r="B91" i="13"/>
  <c r="B87" i="13"/>
  <c r="C85" i="13"/>
  <c r="D85" i="13"/>
  <c r="E85" i="13"/>
  <c r="F85" i="13"/>
  <c r="G85" i="13"/>
  <c r="H85" i="13"/>
  <c r="I85" i="13"/>
  <c r="J85" i="13"/>
  <c r="B85" i="13"/>
  <c r="C80" i="13"/>
  <c r="D80" i="13"/>
  <c r="E80" i="13"/>
  <c r="F80" i="13"/>
  <c r="G80" i="13"/>
  <c r="H80" i="13"/>
  <c r="I80" i="13"/>
  <c r="J80" i="13"/>
  <c r="C81" i="13"/>
  <c r="D81" i="13"/>
  <c r="E81" i="13"/>
  <c r="F81" i="13"/>
  <c r="G81" i="13"/>
  <c r="H81" i="13"/>
  <c r="I81" i="13"/>
  <c r="J81" i="13"/>
  <c r="K81" i="13"/>
  <c r="C82" i="13"/>
  <c r="D82" i="13"/>
  <c r="E82" i="13"/>
  <c r="F82" i="13"/>
  <c r="G82" i="13"/>
  <c r="H82" i="13"/>
  <c r="I82" i="13"/>
  <c r="J82" i="13"/>
  <c r="K82" i="13"/>
  <c r="C83" i="13"/>
  <c r="D83" i="13"/>
  <c r="E83" i="13"/>
  <c r="F83" i="13"/>
  <c r="G83" i="13"/>
  <c r="H83" i="13"/>
  <c r="I83" i="13"/>
  <c r="J83" i="13"/>
  <c r="K83" i="13"/>
  <c r="C84" i="13"/>
  <c r="D84" i="13"/>
  <c r="E84" i="13"/>
  <c r="F84" i="13"/>
  <c r="G84" i="13"/>
  <c r="H84" i="13"/>
  <c r="I84" i="13"/>
  <c r="J84" i="13"/>
  <c r="K84" i="13"/>
  <c r="B81" i="13"/>
  <c r="B82" i="13"/>
  <c r="B83" i="13"/>
  <c r="B84" i="13"/>
  <c r="B80" i="13"/>
  <c r="C78" i="13"/>
  <c r="D78" i="13"/>
  <c r="E78" i="13"/>
  <c r="F78" i="13"/>
  <c r="C77" i="13"/>
  <c r="D77" i="13"/>
  <c r="E77" i="13"/>
  <c r="F77" i="13"/>
  <c r="G77" i="13"/>
  <c r="B78" i="13"/>
  <c r="B77" i="13"/>
  <c r="C71" i="13"/>
  <c r="D71" i="13"/>
  <c r="E71" i="13"/>
  <c r="F71" i="13"/>
  <c r="G71" i="13"/>
  <c r="H71" i="13"/>
  <c r="I71" i="13"/>
  <c r="J71" i="13"/>
  <c r="K71" i="13"/>
  <c r="C72" i="13"/>
  <c r="D72" i="13"/>
  <c r="E72" i="13"/>
  <c r="F72" i="13"/>
  <c r="G72" i="13"/>
  <c r="H72" i="13"/>
  <c r="I72" i="13"/>
  <c r="J72" i="13"/>
  <c r="K72" i="13"/>
  <c r="C73" i="13"/>
  <c r="D73" i="13"/>
  <c r="E73" i="13"/>
  <c r="F73" i="13"/>
  <c r="G73" i="13"/>
  <c r="H73" i="13"/>
  <c r="I73" i="13"/>
  <c r="J73" i="13"/>
  <c r="K73" i="13"/>
  <c r="C74" i="13"/>
  <c r="D74" i="13"/>
  <c r="E74" i="13"/>
  <c r="F74" i="13"/>
  <c r="G74" i="13"/>
  <c r="H74" i="13"/>
  <c r="I74" i="13"/>
  <c r="J74" i="13"/>
  <c r="K74" i="13"/>
  <c r="C75" i="13"/>
  <c r="D75" i="13"/>
  <c r="E75" i="13"/>
  <c r="F75" i="13"/>
  <c r="G75" i="13"/>
  <c r="C76" i="13"/>
  <c r="D76" i="13"/>
  <c r="E76" i="13"/>
  <c r="F76" i="13"/>
  <c r="G76" i="13"/>
  <c r="H76" i="13"/>
  <c r="I76" i="13"/>
  <c r="J76" i="13"/>
  <c r="K76" i="13"/>
  <c r="B72" i="13"/>
  <c r="B73" i="13"/>
  <c r="B74" i="13"/>
  <c r="B75" i="13"/>
  <c r="B76" i="13"/>
  <c r="B71" i="13"/>
  <c r="C69" i="13"/>
  <c r="D69" i="13"/>
  <c r="E69" i="13"/>
  <c r="F69" i="13"/>
  <c r="B69" i="13"/>
  <c r="C64" i="13"/>
  <c r="D64" i="13"/>
  <c r="E64" i="13"/>
  <c r="F64" i="13"/>
  <c r="C65" i="13"/>
  <c r="D65" i="13"/>
  <c r="E65" i="13"/>
  <c r="F65" i="13"/>
  <c r="G65" i="13"/>
  <c r="H65" i="13"/>
  <c r="I65" i="13"/>
  <c r="J65" i="13"/>
  <c r="K65" i="13"/>
  <c r="C66" i="13"/>
  <c r="D66" i="13"/>
  <c r="E66" i="13"/>
  <c r="F66" i="13"/>
  <c r="G66" i="13"/>
  <c r="H66" i="13"/>
  <c r="I66" i="13"/>
  <c r="J66" i="13"/>
  <c r="K66" i="13"/>
  <c r="C67" i="13"/>
  <c r="D67" i="13"/>
  <c r="E67" i="13"/>
  <c r="F67" i="13"/>
  <c r="G67" i="13"/>
  <c r="H67" i="13"/>
  <c r="I67" i="13"/>
  <c r="J67" i="13"/>
  <c r="K67" i="13"/>
  <c r="C68" i="13"/>
  <c r="D68" i="13"/>
  <c r="E68" i="13"/>
  <c r="F68" i="13"/>
  <c r="G68" i="13"/>
  <c r="H68" i="13"/>
  <c r="I68" i="13"/>
  <c r="J68" i="13"/>
  <c r="K68" i="13"/>
  <c r="B65" i="13"/>
  <c r="B66" i="13"/>
  <c r="B67" i="13"/>
  <c r="B68" i="13"/>
  <c r="B64" i="13"/>
  <c r="C57" i="13"/>
  <c r="D57" i="13"/>
  <c r="E57" i="13"/>
  <c r="F57" i="13"/>
  <c r="G57" i="13"/>
  <c r="H57" i="13"/>
  <c r="I57" i="13"/>
  <c r="J57" i="13"/>
  <c r="K57" i="13"/>
  <c r="C58" i="13"/>
  <c r="D58" i="13"/>
  <c r="E58" i="13"/>
  <c r="F58" i="13"/>
  <c r="C59" i="13"/>
  <c r="D59" i="13"/>
  <c r="E59" i="13"/>
  <c r="F59" i="13"/>
  <c r="C60" i="13"/>
  <c r="D60" i="13"/>
  <c r="E60" i="13"/>
  <c r="F60" i="13"/>
  <c r="G60" i="13"/>
  <c r="B58" i="13"/>
  <c r="B59" i="13"/>
  <c r="B60" i="13"/>
  <c r="B57" i="13"/>
  <c r="C55" i="13"/>
  <c r="D55" i="13"/>
  <c r="E55" i="13"/>
  <c r="F55" i="13"/>
  <c r="B55" i="13"/>
  <c r="C49" i="13"/>
  <c r="D49" i="13"/>
  <c r="E49" i="13"/>
  <c r="F49" i="13"/>
  <c r="G49" i="13"/>
  <c r="H49" i="13"/>
  <c r="I49" i="13"/>
  <c r="J49" i="13"/>
  <c r="K49" i="13"/>
  <c r="C50" i="13"/>
  <c r="D50" i="13"/>
  <c r="E50" i="13"/>
  <c r="F50" i="13"/>
  <c r="G50" i="13"/>
  <c r="H50" i="13"/>
  <c r="I50" i="13"/>
  <c r="J50" i="13"/>
  <c r="K50" i="13"/>
  <c r="C51" i="13"/>
  <c r="D51" i="13"/>
  <c r="E51" i="13"/>
  <c r="F51" i="13"/>
  <c r="G51" i="13"/>
  <c r="H51" i="13"/>
  <c r="I51" i="13"/>
  <c r="J51" i="13"/>
  <c r="K51" i="13"/>
  <c r="C52" i="13"/>
  <c r="D52" i="13"/>
  <c r="E52" i="13"/>
  <c r="F52" i="13"/>
  <c r="G52" i="13"/>
  <c r="H52" i="13"/>
  <c r="I52" i="13"/>
  <c r="J52" i="13"/>
  <c r="K52" i="13"/>
  <c r="C53" i="13"/>
  <c r="D53" i="13"/>
  <c r="E53" i="13"/>
  <c r="F53" i="13"/>
  <c r="G53" i="13"/>
  <c r="C54" i="13"/>
  <c r="D54" i="13"/>
  <c r="E54" i="13"/>
  <c r="F54" i="13"/>
  <c r="B50" i="13"/>
  <c r="B51" i="13"/>
  <c r="B52" i="13"/>
  <c r="B53" i="13"/>
  <c r="B54" i="13"/>
  <c r="B49" i="13"/>
  <c r="C47" i="13"/>
  <c r="D47" i="13"/>
  <c r="E47" i="13"/>
  <c r="F47" i="13"/>
  <c r="G47" i="13"/>
  <c r="H47" i="13"/>
  <c r="I47" i="13"/>
  <c r="J47" i="13"/>
  <c r="K47" i="13"/>
  <c r="B47" i="13"/>
  <c r="C39" i="13"/>
  <c r="D39" i="13"/>
  <c r="E39" i="13"/>
  <c r="F39" i="13"/>
  <c r="G39" i="13"/>
  <c r="H39" i="13"/>
  <c r="I39" i="13"/>
  <c r="J39" i="13"/>
  <c r="K39" i="13"/>
  <c r="C40" i="13"/>
  <c r="D40" i="13"/>
  <c r="E40" i="13"/>
  <c r="F40" i="13"/>
  <c r="G40" i="13"/>
  <c r="H40" i="13"/>
  <c r="I40" i="13"/>
  <c r="J40" i="13"/>
  <c r="K40" i="13"/>
  <c r="C41" i="13"/>
  <c r="D41" i="13"/>
  <c r="E41" i="13"/>
  <c r="F41" i="13"/>
  <c r="G41" i="13"/>
  <c r="H41" i="13"/>
  <c r="I41" i="13"/>
  <c r="J41" i="13"/>
  <c r="K41" i="13"/>
  <c r="C42" i="13"/>
  <c r="D42" i="13"/>
  <c r="E42" i="13"/>
  <c r="F42" i="13"/>
  <c r="G42" i="13"/>
  <c r="H42" i="13"/>
  <c r="I42" i="13"/>
  <c r="J42" i="13"/>
  <c r="K42" i="13"/>
  <c r="C43" i="13"/>
  <c r="D43" i="13"/>
  <c r="E43" i="13"/>
  <c r="F43" i="13"/>
  <c r="G43" i="13"/>
  <c r="H43" i="13"/>
  <c r="I43" i="13"/>
  <c r="J43" i="13"/>
  <c r="K43" i="13"/>
  <c r="C44" i="13"/>
  <c r="D44" i="13"/>
  <c r="E44" i="13"/>
  <c r="F44" i="13"/>
  <c r="G44" i="13"/>
  <c r="H44" i="13"/>
  <c r="I44" i="13"/>
  <c r="J44" i="13"/>
  <c r="K44" i="13"/>
  <c r="C45" i="13"/>
  <c r="D45" i="13"/>
  <c r="E45" i="13"/>
  <c r="F45" i="13"/>
  <c r="G45" i="13"/>
  <c r="H45" i="13"/>
  <c r="I45" i="13"/>
  <c r="J45" i="13"/>
  <c r="K45" i="13"/>
  <c r="C46" i="13"/>
  <c r="D46" i="13"/>
  <c r="E46" i="13"/>
  <c r="F46" i="13"/>
  <c r="G46" i="13"/>
  <c r="H46" i="13"/>
  <c r="I46" i="13"/>
  <c r="J46" i="13"/>
  <c r="K46" i="13"/>
  <c r="B40" i="13"/>
  <c r="B41" i="13"/>
  <c r="B42" i="13"/>
  <c r="B43" i="13"/>
  <c r="B44" i="13"/>
  <c r="B45" i="13"/>
  <c r="B46" i="13"/>
  <c r="B39" i="13"/>
  <c r="C37" i="13"/>
  <c r="D37" i="13"/>
  <c r="E37" i="13"/>
  <c r="F37" i="13"/>
  <c r="G37" i="13"/>
  <c r="B37" i="13"/>
  <c r="C28" i="13"/>
  <c r="D28" i="13"/>
  <c r="E28" i="13"/>
  <c r="F28" i="13"/>
  <c r="G28" i="13"/>
  <c r="C29" i="13"/>
  <c r="D29" i="13"/>
  <c r="E29" i="13"/>
  <c r="F29" i="13"/>
  <c r="G29" i="13"/>
  <c r="H29" i="13"/>
  <c r="I29" i="13"/>
  <c r="J29" i="13"/>
  <c r="K29" i="13"/>
  <c r="C30" i="13"/>
  <c r="D30" i="13"/>
  <c r="E30" i="13"/>
  <c r="F30" i="13"/>
  <c r="G30" i="13"/>
  <c r="C31" i="13"/>
  <c r="D31" i="13"/>
  <c r="E31" i="13"/>
  <c r="F31" i="13"/>
  <c r="G31" i="13"/>
  <c r="H31" i="13"/>
  <c r="I31" i="13"/>
  <c r="J31" i="13"/>
  <c r="K31" i="13"/>
  <c r="C32" i="13"/>
  <c r="D32" i="13"/>
  <c r="E32" i="13"/>
  <c r="F32" i="13"/>
  <c r="G32" i="13"/>
  <c r="H32" i="13"/>
  <c r="I32" i="13"/>
  <c r="J32" i="13"/>
  <c r="K32" i="13"/>
  <c r="C33" i="13"/>
  <c r="D33" i="13"/>
  <c r="E33" i="13"/>
  <c r="F33" i="13"/>
  <c r="G33" i="13"/>
  <c r="H33" i="13"/>
  <c r="I33" i="13"/>
  <c r="J33" i="13"/>
  <c r="C34" i="13"/>
  <c r="D34" i="13"/>
  <c r="E34" i="13"/>
  <c r="F34" i="13"/>
  <c r="G34" i="13"/>
  <c r="H34" i="13"/>
  <c r="I34" i="13"/>
  <c r="J34" i="13"/>
  <c r="K34" i="13"/>
  <c r="C35" i="13"/>
  <c r="D35" i="13"/>
  <c r="E35" i="13"/>
  <c r="F35" i="13"/>
  <c r="G35" i="13"/>
  <c r="C36" i="13"/>
  <c r="D36" i="13"/>
  <c r="E36" i="13"/>
  <c r="F36" i="13"/>
  <c r="G36" i="13"/>
  <c r="B29" i="13"/>
  <c r="B30" i="13"/>
  <c r="B31" i="13"/>
  <c r="B32" i="13"/>
  <c r="B33" i="13"/>
  <c r="B34" i="13"/>
  <c r="B35" i="13"/>
  <c r="B36" i="13"/>
  <c r="B28" i="13"/>
  <c r="C17" i="13"/>
  <c r="D17" i="13"/>
  <c r="E17" i="13"/>
  <c r="F17" i="13"/>
  <c r="G17" i="13"/>
  <c r="C18" i="13"/>
  <c r="D18" i="13"/>
  <c r="E18" i="13"/>
  <c r="F18" i="13"/>
  <c r="G18" i="13"/>
  <c r="C19" i="13"/>
  <c r="D19" i="13"/>
  <c r="E19" i="13"/>
  <c r="F19" i="13"/>
  <c r="G19" i="13"/>
  <c r="H19" i="13"/>
  <c r="I19" i="13"/>
  <c r="J19" i="13"/>
  <c r="K19" i="13"/>
  <c r="C20" i="13"/>
  <c r="D20" i="13"/>
  <c r="E20" i="13"/>
  <c r="F20" i="13"/>
  <c r="G20" i="13"/>
  <c r="C21" i="13"/>
  <c r="D21" i="13"/>
  <c r="E21" i="13"/>
  <c r="F21" i="13"/>
  <c r="B12" i="15" s="1"/>
  <c r="B40" i="15" s="1"/>
  <c r="B45" i="15" s="1"/>
  <c r="G21" i="13"/>
  <c r="C12" i="15" s="1"/>
  <c r="C40" i="15" s="1"/>
  <c r="B46" i="15" s="1"/>
  <c r="C22" i="13"/>
  <c r="D22" i="13"/>
  <c r="E22" i="13"/>
  <c r="F22" i="13"/>
  <c r="G22" i="13"/>
  <c r="H22" i="13"/>
  <c r="I22" i="13"/>
  <c r="J22" i="13"/>
  <c r="K22" i="13"/>
  <c r="C23" i="13"/>
  <c r="D23" i="13"/>
  <c r="E23" i="13"/>
  <c r="F23" i="13"/>
  <c r="G23" i="13"/>
  <c r="H23" i="13"/>
  <c r="I23" i="13"/>
  <c r="J23" i="13"/>
  <c r="K23" i="13"/>
  <c r="B19" i="13"/>
  <c r="B20" i="13"/>
  <c r="B21" i="13"/>
  <c r="B22" i="13"/>
  <c r="B23" i="13"/>
  <c r="B18" i="13"/>
  <c r="B17" i="13"/>
  <c r="C3" i="13"/>
  <c r="D3" i="13"/>
  <c r="E3" i="13"/>
  <c r="F3" i="13"/>
  <c r="G3" i="13"/>
  <c r="H3" i="13"/>
  <c r="I3" i="13"/>
  <c r="J3" i="13"/>
  <c r="K3" i="13"/>
  <c r="C4" i="13"/>
  <c r="D4" i="13"/>
  <c r="E4" i="13"/>
  <c r="F4" i="13"/>
  <c r="G4" i="13"/>
  <c r="H4" i="13"/>
  <c r="I4" i="13"/>
  <c r="J4" i="13"/>
  <c r="K4" i="13"/>
  <c r="C5" i="13"/>
  <c r="D5" i="13"/>
  <c r="E5" i="13"/>
  <c r="F5" i="13"/>
  <c r="G5" i="13"/>
  <c r="H5" i="13"/>
  <c r="I5" i="13"/>
  <c r="J5" i="13"/>
  <c r="K5" i="13"/>
  <c r="C6" i="13"/>
  <c r="D6" i="13"/>
  <c r="E6" i="13"/>
  <c r="F6" i="13"/>
  <c r="G6" i="13"/>
  <c r="H6" i="13"/>
  <c r="I6" i="13"/>
  <c r="J6" i="13"/>
  <c r="K6" i="13"/>
  <c r="C7" i="13"/>
  <c r="D7" i="13"/>
  <c r="E7" i="13"/>
  <c r="F7" i="13"/>
  <c r="G7" i="13"/>
  <c r="H7" i="13"/>
  <c r="I7" i="13"/>
  <c r="J7" i="13"/>
  <c r="K7" i="13"/>
  <c r="C8" i="13"/>
  <c r="D8" i="13"/>
  <c r="E8" i="13"/>
  <c r="F8" i="13"/>
  <c r="G8" i="13"/>
  <c r="H8" i="13"/>
  <c r="I8" i="13"/>
  <c r="J8" i="13"/>
  <c r="K8" i="13"/>
  <c r="C9" i="13"/>
  <c r="D9" i="13"/>
  <c r="E9" i="13"/>
  <c r="F9" i="13"/>
  <c r="G9" i="13"/>
  <c r="H9" i="13"/>
  <c r="I9" i="13"/>
  <c r="J9" i="13"/>
  <c r="K9" i="13"/>
  <c r="C10" i="13"/>
  <c r="D10" i="13"/>
  <c r="E10" i="13"/>
  <c r="F10" i="13"/>
  <c r="G10" i="13"/>
  <c r="H10" i="13"/>
  <c r="I10" i="13"/>
  <c r="J10" i="13"/>
  <c r="K10" i="13"/>
  <c r="C11" i="13"/>
  <c r="D11" i="13"/>
  <c r="E11" i="13"/>
  <c r="F11" i="13"/>
  <c r="G11" i="13"/>
  <c r="C12" i="13"/>
  <c r="D12" i="13"/>
  <c r="E12" i="13"/>
  <c r="F12" i="13"/>
  <c r="G12" i="13"/>
  <c r="H12" i="13"/>
  <c r="I12" i="13"/>
  <c r="J12" i="13"/>
  <c r="K12" i="13"/>
  <c r="C13" i="13"/>
  <c r="D13" i="13"/>
  <c r="E13" i="13"/>
  <c r="F13" i="13"/>
  <c r="G13" i="13"/>
  <c r="H13" i="13"/>
  <c r="I13" i="13"/>
  <c r="J13" i="13"/>
  <c r="K13" i="13"/>
  <c r="C14" i="13"/>
  <c r="D14" i="13"/>
  <c r="E14" i="13"/>
  <c r="F14" i="13"/>
  <c r="G14" i="13"/>
  <c r="C15" i="13"/>
  <c r="D15" i="13"/>
  <c r="E15" i="13"/>
  <c r="F15" i="13"/>
  <c r="G15" i="13"/>
  <c r="B4" i="13"/>
  <c r="B5" i="13"/>
  <c r="B6" i="13"/>
  <c r="B7" i="13"/>
  <c r="B8" i="13"/>
  <c r="B9" i="13"/>
  <c r="B10" i="13"/>
  <c r="B11" i="13"/>
  <c r="B12" i="13"/>
  <c r="B13" i="13"/>
  <c r="B14" i="13"/>
  <c r="B15" i="13"/>
  <c r="B3" i="13"/>
  <c r="C34" i="14"/>
  <c r="B34" i="14"/>
  <c r="C37" i="14"/>
  <c r="B37" i="14"/>
  <c r="C36" i="14"/>
  <c r="D36" i="14"/>
  <c r="B36" i="14"/>
  <c r="C35" i="14"/>
  <c r="D35" i="14"/>
  <c r="E35" i="14"/>
  <c r="F35" i="14"/>
  <c r="B35" i="14"/>
  <c r="D34" i="14"/>
  <c r="E34" i="14"/>
  <c r="F34" i="14"/>
  <c r="C33" i="14"/>
  <c r="D33" i="14"/>
  <c r="E33" i="14"/>
  <c r="F33" i="14"/>
  <c r="B33" i="14"/>
  <c r="J36" i="14"/>
  <c r="I36" i="14"/>
  <c r="J35" i="14"/>
  <c r="I35" i="14"/>
  <c r="J34" i="14"/>
  <c r="I34" i="14"/>
  <c r="J33" i="14"/>
  <c r="K33" i="14"/>
  <c r="I33" i="14"/>
  <c r="J32" i="14"/>
  <c r="K32" i="14"/>
  <c r="L32" i="14"/>
  <c r="M32" i="14"/>
  <c r="I32" i="14"/>
  <c r="J31" i="14"/>
  <c r="K31" i="14"/>
  <c r="L31" i="14"/>
  <c r="M31" i="14"/>
  <c r="I31" i="14"/>
  <c r="J29" i="14"/>
  <c r="K29" i="14"/>
  <c r="L29" i="14"/>
  <c r="M29" i="14"/>
  <c r="I29" i="14"/>
  <c r="J28" i="14"/>
  <c r="K28" i="14"/>
  <c r="L28" i="14"/>
  <c r="M28" i="14"/>
  <c r="I28" i="14"/>
  <c r="J27" i="14"/>
  <c r="K27" i="14"/>
  <c r="L27" i="14"/>
  <c r="M27" i="14"/>
  <c r="I27" i="14"/>
  <c r="J26" i="14"/>
  <c r="K26" i="14"/>
  <c r="L26" i="14"/>
  <c r="M26" i="14"/>
  <c r="I26" i="14"/>
  <c r="J25" i="14"/>
  <c r="K25" i="14"/>
  <c r="L25" i="14"/>
  <c r="M25" i="14"/>
  <c r="I25" i="14"/>
  <c r="J23" i="14"/>
  <c r="K23" i="14"/>
  <c r="L23" i="14"/>
  <c r="M23" i="14"/>
  <c r="I23" i="14"/>
  <c r="J22" i="14"/>
  <c r="K22" i="14"/>
  <c r="L22" i="14"/>
  <c r="M22" i="14"/>
  <c r="I22" i="14"/>
  <c r="K19" i="14"/>
  <c r="L19" i="14"/>
  <c r="M19" i="14"/>
  <c r="K20" i="14"/>
  <c r="L20" i="14"/>
  <c r="M20" i="14"/>
  <c r="K21" i="14"/>
  <c r="L21" i="14"/>
  <c r="M21" i="14"/>
  <c r="I20" i="14"/>
  <c r="J20" i="14"/>
  <c r="I21" i="14"/>
  <c r="J21" i="14"/>
  <c r="J19" i="14"/>
  <c r="I19" i="14"/>
  <c r="J17" i="14"/>
  <c r="I17" i="14"/>
  <c r="J16" i="14"/>
  <c r="K16" i="14"/>
  <c r="I16" i="14"/>
  <c r="J10" i="14"/>
  <c r="K10" i="14"/>
  <c r="L10" i="14"/>
  <c r="M10" i="14"/>
  <c r="J11" i="14"/>
  <c r="K11" i="14"/>
  <c r="L11" i="14"/>
  <c r="M11" i="14"/>
  <c r="J12" i="14"/>
  <c r="K12" i="14"/>
  <c r="L12" i="14"/>
  <c r="M12" i="14"/>
  <c r="J13" i="14"/>
  <c r="K13" i="14"/>
  <c r="L13" i="14"/>
  <c r="M13" i="14"/>
  <c r="J14" i="14"/>
  <c r="K14" i="14"/>
  <c r="J15" i="14"/>
  <c r="K15" i="14"/>
  <c r="L15" i="14"/>
  <c r="M15" i="14"/>
  <c r="I11" i="14"/>
  <c r="I12" i="14"/>
  <c r="I13" i="14"/>
  <c r="I14" i="14"/>
  <c r="I15" i="14"/>
  <c r="I10" i="14"/>
  <c r="J3" i="14"/>
  <c r="J4" i="14"/>
  <c r="K4" i="14"/>
  <c r="L4" i="14"/>
  <c r="M4" i="14"/>
  <c r="J5" i="14"/>
  <c r="K5" i="14"/>
  <c r="L5" i="14"/>
  <c r="M5" i="14"/>
  <c r="J6" i="14"/>
  <c r="K6" i="14"/>
  <c r="L6" i="14"/>
  <c r="M6" i="14"/>
  <c r="J7" i="14"/>
  <c r="K7" i="14"/>
  <c r="L7" i="14"/>
  <c r="M7" i="14"/>
  <c r="J8" i="14"/>
  <c r="I8" i="14"/>
  <c r="I7" i="14"/>
  <c r="I6" i="14"/>
  <c r="I5" i="14"/>
  <c r="I4" i="14"/>
  <c r="I3" i="14"/>
  <c r="C29" i="14"/>
  <c r="D29" i="14"/>
  <c r="C28" i="14"/>
  <c r="C27" i="14"/>
  <c r="C25" i="14"/>
  <c r="C24" i="14"/>
  <c r="D24" i="14"/>
  <c r="E24" i="14"/>
  <c r="F24" i="14"/>
  <c r="C23" i="14"/>
  <c r="D23" i="14"/>
  <c r="C22" i="14"/>
  <c r="D22" i="14"/>
  <c r="E22" i="14"/>
  <c r="F22" i="14"/>
  <c r="B29" i="14"/>
  <c r="B28" i="14"/>
  <c r="B27" i="14"/>
  <c r="B25" i="14"/>
  <c r="B24" i="14"/>
  <c r="B23" i="14"/>
  <c r="B22" i="14"/>
  <c r="C17" i="14"/>
  <c r="C21" i="14" s="1"/>
  <c r="D17" i="14"/>
  <c r="D21" i="14" s="1"/>
  <c r="C15" i="14"/>
  <c r="D15" i="14"/>
  <c r="C14" i="14"/>
  <c r="D14" i="14"/>
  <c r="C12" i="14"/>
  <c r="D12" i="14"/>
  <c r="E12" i="14"/>
  <c r="F12" i="14"/>
  <c r="C11" i="14"/>
  <c r="D11" i="14"/>
  <c r="C10" i="14"/>
  <c r="D10" i="14"/>
  <c r="E10" i="14"/>
  <c r="F10" i="14"/>
  <c r="C8" i="14"/>
  <c r="D8" i="14"/>
  <c r="E8" i="14"/>
  <c r="F8" i="14"/>
  <c r="C7" i="14"/>
  <c r="D7" i="14"/>
  <c r="E7" i="14"/>
  <c r="F7" i="14"/>
  <c r="C6" i="14"/>
  <c r="D6" i="14"/>
  <c r="E6" i="14"/>
  <c r="F6" i="14"/>
  <c r="C5" i="14"/>
  <c r="D5" i="14"/>
  <c r="E5" i="14"/>
  <c r="F5" i="14"/>
  <c r="B17" i="14"/>
  <c r="B21" i="14" s="1"/>
  <c r="B15" i="14"/>
  <c r="B14" i="14"/>
  <c r="B12" i="14"/>
  <c r="B11" i="14"/>
  <c r="B10" i="14"/>
  <c r="B8" i="14"/>
  <c r="B7" i="14"/>
  <c r="B6" i="14"/>
  <c r="B5" i="14"/>
  <c r="C4" i="14"/>
  <c r="D4" i="14"/>
  <c r="E4" i="14"/>
  <c r="F4" i="14"/>
  <c r="B4" i="14"/>
  <c r="C3" i="14"/>
  <c r="D3" i="14"/>
  <c r="E3" i="14"/>
  <c r="F3" i="14"/>
  <c r="B3" i="14"/>
  <c r="I48" i="5"/>
  <c r="J48" i="5"/>
  <c r="H48" i="5"/>
  <c r="I47" i="5"/>
  <c r="J47" i="5" s="1"/>
  <c r="K47" i="5" s="1"/>
  <c r="H47" i="5"/>
  <c r="I46" i="5"/>
  <c r="J46" i="5" s="1"/>
  <c r="K46" i="5" s="1"/>
  <c r="H46" i="5"/>
  <c r="G46" i="5"/>
  <c r="B32" i="15"/>
  <c r="B35" i="15"/>
  <c r="B34" i="15"/>
  <c r="B33" i="15"/>
  <c r="B31" i="15"/>
  <c r="B30" i="15"/>
  <c r="B29" i="15"/>
  <c r="B27" i="15"/>
  <c r="B26" i="15"/>
  <c r="B25" i="15"/>
  <c r="B24" i="15"/>
  <c r="B22" i="15"/>
  <c r="B21" i="15"/>
  <c r="B20" i="15"/>
  <c r="B19" i="15"/>
  <c r="C17" i="15"/>
  <c r="B17" i="15"/>
  <c r="B16" i="15"/>
  <c r="C54" i="4"/>
  <c r="D54" i="4"/>
  <c r="E54" i="4"/>
  <c r="F54" i="4"/>
  <c r="B54" i="4"/>
  <c r="B15" i="15"/>
  <c r="B14" i="15"/>
  <c r="C13" i="15"/>
  <c r="D13" i="15"/>
  <c r="E13" i="15"/>
  <c r="B13" i="15"/>
  <c r="B11" i="15"/>
  <c r="D53" i="4"/>
  <c r="E53" i="4"/>
  <c r="F53" i="4"/>
  <c r="C53" i="4"/>
  <c r="C10" i="15"/>
  <c r="B10" i="15"/>
  <c r="B9" i="15"/>
  <c r="C8" i="15"/>
  <c r="B8" i="15"/>
  <c r="A44" i="15"/>
  <c r="A43" i="15"/>
  <c r="A12" i="15"/>
  <c r="E6" i="15"/>
  <c r="D6" i="15"/>
  <c r="C6" i="15"/>
  <c r="B6" i="15"/>
  <c r="A6" i="15"/>
  <c r="E5" i="8"/>
  <c r="E6" i="8" s="1"/>
  <c r="D5" i="8"/>
  <c r="C5" i="8"/>
  <c r="B5" i="8"/>
  <c r="E9" i="8"/>
  <c r="E10" i="8" s="1"/>
  <c r="D9" i="8"/>
  <c r="C9" i="8"/>
  <c r="B9" i="8"/>
  <c r="E13" i="8"/>
  <c r="D13" i="8"/>
  <c r="C13" i="8"/>
  <c r="B13" i="8"/>
  <c r="C14" i="8" s="1"/>
  <c r="F34" i="6"/>
  <c r="F33" i="6"/>
  <c r="E19" i="11"/>
  <c r="C19" i="11"/>
  <c r="B17" i="11"/>
  <c r="G9" i="11"/>
  <c r="E6" i="11"/>
  <c r="D6" i="11"/>
  <c r="C6" i="11"/>
  <c r="K4" i="11"/>
  <c r="J4" i="11"/>
  <c r="I4" i="11"/>
  <c r="H4" i="11"/>
  <c r="G4" i="11"/>
  <c r="F4" i="11"/>
  <c r="E4" i="11"/>
  <c r="D4" i="11"/>
  <c r="C4" i="11"/>
  <c r="B4" i="11"/>
  <c r="B1" i="11"/>
  <c r="K41" i="10"/>
  <c r="G41" i="10"/>
  <c r="H41" i="10" s="1"/>
  <c r="I41" i="10" s="1"/>
  <c r="J41" i="10" s="1"/>
  <c r="E37" i="10"/>
  <c r="K34" i="10"/>
  <c r="J34" i="10"/>
  <c r="I34" i="10"/>
  <c r="H34" i="10"/>
  <c r="G34" i="10"/>
  <c r="B32" i="10"/>
  <c r="K30" i="10"/>
  <c r="J30" i="10"/>
  <c r="I30" i="10"/>
  <c r="H30" i="10"/>
  <c r="G30" i="10"/>
  <c r="H19" i="10"/>
  <c r="I19" i="10" s="1"/>
  <c r="J19" i="10" s="1"/>
  <c r="K19" i="10" s="1"/>
  <c r="G19" i="10"/>
  <c r="F15" i="10"/>
  <c r="C15" i="10"/>
  <c r="K12" i="10"/>
  <c r="J12" i="10"/>
  <c r="I12" i="10"/>
  <c r="H12" i="10"/>
  <c r="G12" i="10"/>
  <c r="F10" i="10"/>
  <c r="C10" i="10"/>
  <c r="C9" i="10"/>
  <c r="K8" i="10"/>
  <c r="J8" i="10"/>
  <c r="I8" i="10"/>
  <c r="H8" i="10"/>
  <c r="G8" i="10"/>
  <c r="E29" i="9"/>
  <c r="B28" i="9"/>
  <c r="C27" i="9"/>
  <c r="F26" i="9"/>
  <c r="D26" i="9"/>
  <c r="K25" i="9"/>
  <c r="J25" i="9"/>
  <c r="I25" i="9"/>
  <c r="H25" i="9"/>
  <c r="G25" i="9"/>
  <c r="F22" i="9"/>
  <c r="F18" i="9"/>
  <c r="G18" i="9" s="1"/>
  <c r="E18" i="9"/>
  <c r="D18" i="9"/>
  <c r="B18" i="9"/>
  <c r="F12" i="9"/>
  <c r="G12" i="9" s="1"/>
  <c r="H12" i="9" s="1"/>
  <c r="E10" i="9"/>
  <c r="D10" i="9"/>
  <c r="B10" i="9"/>
  <c r="F7" i="9"/>
  <c r="D7" i="9"/>
  <c r="K6" i="9"/>
  <c r="J6" i="9"/>
  <c r="I6" i="9"/>
  <c r="H6" i="9"/>
  <c r="G6" i="9"/>
  <c r="F6" i="9"/>
  <c r="E6" i="9"/>
  <c r="D6" i="9"/>
  <c r="C6" i="9"/>
  <c r="B6" i="9"/>
  <c r="B4" i="9"/>
  <c r="B2" i="9"/>
  <c r="B1" i="9"/>
  <c r="B3" i="9" s="1"/>
  <c r="F14" i="8"/>
  <c r="G13" i="8"/>
  <c r="F13" i="8"/>
  <c r="F9" i="8"/>
  <c r="F10" i="8" s="1"/>
  <c r="F5" i="8"/>
  <c r="G5" i="8" s="1"/>
  <c r="A1" i="8"/>
  <c r="B42" i="6"/>
  <c r="C40" i="6"/>
  <c r="D35" i="6"/>
  <c r="C35" i="6"/>
  <c r="B35" i="6"/>
  <c r="G35" i="6"/>
  <c r="D34" i="6"/>
  <c r="C34" i="6"/>
  <c r="B34" i="6"/>
  <c r="D33" i="6"/>
  <c r="C33" i="6"/>
  <c r="B33" i="6"/>
  <c r="F32" i="6"/>
  <c r="E32" i="6"/>
  <c r="D32" i="6"/>
  <c r="C32" i="6"/>
  <c r="B32" i="6"/>
  <c r="D30" i="6"/>
  <c r="C30" i="6"/>
  <c r="B30" i="6"/>
  <c r="F29" i="6"/>
  <c r="E29" i="6"/>
  <c r="D29" i="6"/>
  <c r="C29" i="6"/>
  <c r="B29" i="6"/>
  <c r="F28" i="6"/>
  <c r="E28" i="6"/>
  <c r="D28" i="6"/>
  <c r="C28" i="6"/>
  <c r="C22" i="9" s="1"/>
  <c r="C23" i="9" s="1"/>
  <c r="B28" i="6"/>
  <c r="K27" i="6"/>
  <c r="J27" i="6"/>
  <c r="I27" i="6"/>
  <c r="H27" i="6"/>
  <c r="G27" i="6"/>
  <c r="F27" i="6"/>
  <c r="F27" i="9" s="1"/>
  <c r="E27" i="6"/>
  <c r="E27" i="9" s="1"/>
  <c r="D27" i="6"/>
  <c r="D27" i="9" s="1"/>
  <c r="C27" i="6"/>
  <c r="B27" i="6"/>
  <c r="B27" i="9" s="1"/>
  <c r="K26" i="6"/>
  <c r="J26" i="6"/>
  <c r="I26" i="6"/>
  <c r="H26" i="6"/>
  <c r="G26" i="6"/>
  <c r="F26" i="6"/>
  <c r="E26" i="6"/>
  <c r="E26" i="9" s="1"/>
  <c r="D26" i="6"/>
  <c r="C26" i="6"/>
  <c r="C26" i="9" s="1"/>
  <c r="B26" i="6"/>
  <c r="B26" i="9" s="1"/>
  <c r="F25" i="6"/>
  <c r="E25" i="6"/>
  <c r="D25" i="6"/>
  <c r="C25" i="6"/>
  <c r="B25" i="6"/>
  <c r="F24" i="6"/>
  <c r="E24" i="6"/>
  <c r="D24" i="6"/>
  <c r="C24" i="6"/>
  <c r="B24" i="6"/>
  <c r="D22" i="6"/>
  <c r="C22" i="6"/>
  <c r="B22" i="6"/>
  <c r="F21" i="6"/>
  <c r="E21" i="6"/>
  <c r="D21" i="6"/>
  <c r="C21" i="6"/>
  <c r="B21" i="6"/>
  <c r="F20" i="6"/>
  <c r="E20" i="6"/>
  <c r="D20" i="6"/>
  <c r="C20" i="6"/>
  <c r="B20" i="6"/>
  <c r="K19" i="6"/>
  <c r="J19" i="6"/>
  <c r="I19" i="6"/>
  <c r="H19" i="6"/>
  <c r="G19" i="6"/>
  <c r="F19" i="6"/>
  <c r="F32" i="10" s="1"/>
  <c r="E19" i="6"/>
  <c r="E32" i="10" s="1"/>
  <c r="D19" i="6"/>
  <c r="D32" i="10" s="1"/>
  <c r="C19" i="6"/>
  <c r="C32" i="10" s="1"/>
  <c r="B19" i="6"/>
  <c r="F18" i="6"/>
  <c r="F37" i="10" s="1"/>
  <c r="E18" i="6"/>
  <c r="D18" i="6"/>
  <c r="D37" i="10" s="1"/>
  <c r="C18" i="6"/>
  <c r="C37" i="10" s="1"/>
  <c r="B18" i="6"/>
  <c r="B37" i="10" s="1"/>
  <c r="K17" i="6"/>
  <c r="J17" i="6"/>
  <c r="I17" i="6"/>
  <c r="H17" i="6"/>
  <c r="G17" i="6"/>
  <c r="F17" i="6"/>
  <c r="E17" i="6"/>
  <c r="E10" i="10" s="1"/>
  <c r="D17" i="6"/>
  <c r="D10" i="10" s="1"/>
  <c r="C17" i="6"/>
  <c r="B17" i="6"/>
  <c r="B10" i="10" s="1"/>
  <c r="F16" i="6"/>
  <c r="E16" i="6"/>
  <c r="D16" i="6"/>
  <c r="D15" i="10" s="1"/>
  <c r="C16" i="6"/>
  <c r="B16" i="6"/>
  <c r="B15" i="10" s="1"/>
  <c r="F15" i="6"/>
  <c r="E15" i="6"/>
  <c r="D15" i="6"/>
  <c r="C15" i="6"/>
  <c r="B15" i="6"/>
  <c r="F14" i="6"/>
  <c r="E14" i="6"/>
  <c r="D14" i="6"/>
  <c r="C14" i="6"/>
  <c r="B14" i="6"/>
  <c r="D12" i="6"/>
  <c r="C12" i="6"/>
  <c r="B12" i="6"/>
  <c r="F11" i="6"/>
  <c r="E11" i="6"/>
  <c r="D11" i="6"/>
  <c r="C11" i="6"/>
  <c r="B11" i="6"/>
  <c r="F10" i="6"/>
  <c r="E10" i="6"/>
  <c r="D10" i="6"/>
  <c r="C10" i="6"/>
  <c r="B10" i="6"/>
  <c r="F9" i="6"/>
  <c r="E9" i="6"/>
  <c r="D9" i="6"/>
  <c r="C9" i="6"/>
  <c r="B9" i="6"/>
  <c r="F8" i="6"/>
  <c r="E8" i="6"/>
  <c r="D8" i="6"/>
  <c r="C8" i="6"/>
  <c r="B8" i="6"/>
  <c r="F7" i="6"/>
  <c r="E7" i="6"/>
  <c r="D7" i="6"/>
  <c r="C7" i="6"/>
  <c r="B7" i="6"/>
  <c r="F6" i="6"/>
  <c r="E6" i="6"/>
  <c r="D6" i="6"/>
  <c r="C6" i="6"/>
  <c r="B6" i="6"/>
  <c r="F5" i="6"/>
  <c r="E5" i="6"/>
  <c r="D5" i="6"/>
  <c r="C5" i="6"/>
  <c r="B5" i="6"/>
  <c r="C4" i="6"/>
  <c r="C37" i="6" s="1"/>
  <c r="F3" i="6"/>
  <c r="E3" i="6"/>
  <c r="D3" i="6"/>
  <c r="C3" i="6"/>
  <c r="B3" i="6"/>
  <c r="B37" i="6" s="1"/>
  <c r="A1" i="6"/>
  <c r="F64" i="5"/>
  <c r="D63" i="5"/>
  <c r="D58" i="5"/>
  <c r="C58" i="5"/>
  <c r="B58" i="5"/>
  <c r="E56" i="5"/>
  <c r="C56" i="5"/>
  <c r="B52" i="5"/>
  <c r="F47" i="5"/>
  <c r="D47" i="5"/>
  <c r="C47" i="5"/>
  <c r="C43" i="5"/>
  <c r="F41" i="5"/>
  <c r="E41" i="5"/>
  <c r="D41" i="5"/>
  <c r="C41" i="5"/>
  <c r="C42" i="5" s="1"/>
  <c r="B41" i="5"/>
  <c r="B42" i="5" s="1"/>
  <c r="F40" i="5"/>
  <c r="E40" i="5"/>
  <c r="E42" i="5" s="1"/>
  <c r="E43" i="5" s="1"/>
  <c r="D40" i="5"/>
  <c r="C40" i="5"/>
  <c r="B40" i="5"/>
  <c r="I39" i="5"/>
  <c r="J39" i="5" s="1"/>
  <c r="K39" i="5" s="1"/>
  <c r="G39" i="5"/>
  <c r="H39" i="5" s="1"/>
  <c r="F39" i="5"/>
  <c r="E39" i="5"/>
  <c r="D39" i="5"/>
  <c r="C39" i="5"/>
  <c r="B39" i="5"/>
  <c r="G38" i="5"/>
  <c r="F38" i="5"/>
  <c r="E38" i="5"/>
  <c r="D38" i="5"/>
  <c r="C38" i="5"/>
  <c r="B38" i="5"/>
  <c r="F37" i="5"/>
  <c r="E37" i="5"/>
  <c r="D37" i="5"/>
  <c r="C37" i="5"/>
  <c r="B37" i="5"/>
  <c r="G36" i="5"/>
  <c r="H36" i="5" s="1"/>
  <c r="I36" i="5" s="1"/>
  <c r="J36" i="5" s="1"/>
  <c r="K36" i="5" s="1"/>
  <c r="F36" i="5"/>
  <c r="E36" i="5"/>
  <c r="D36" i="5"/>
  <c r="C36" i="5"/>
  <c r="B36" i="5"/>
  <c r="F35" i="5"/>
  <c r="F29" i="9" s="1"/>
  <c r="G29" i="9" s="1"/>
  <c r="H29" i="9" s="1"/>
  <c r="H35" i="5" s="1"/>
  <c r="E35" i="5"/>
  <c r="D35" i="5"/>
  <c r="D29" i="9" s="1"/>
  <c r="C35" i="5"/>
  <c r="C29" i="9" s="1"/>
  <c r="B35" i="5"/>
  <c r="B29" i="9" s="1"/>
  <c r="F34" i="5"/>
  <c r="F28" i="9" s="1"/>
  <c r="G28" i="9" s="1"/>
  <c r="E34" i="5"/>
  <c r="E28" i="9" s="1"/>
  <c r="D34" i="5"/>
  <c r="D28" i="9" s="1"/>
  <c r="C34" i="5"/>
  <c r="C28" i="9" s="1"/>
  <c r="B34" i="5"/>
  <c r="F32" i="5"/>
  <c r="E32" i="5"/>
  <c r="D32" i="5"/>
  <c r="C32" i="5"/>
  <c r="B32" i="5"/>
  <c r="B43" i="5" s="1"/>
  <c r="F31" i="5"/>
  <c r="E31" i="5"/>
  <c r="D31" i="5"/>
  <c r="C31" i="5"/>
  <c r="B31" i="5"/>
  <c r="F30" i="5"/>
  <c r="E30" i="5"/>
  <c r="D30" i="5"/>
  <c r="C30" i="5"/>
  <c r="B30" i="5"/>
  <c r="F29" i="5"/>
  <c r="G29" i="5" s="1"/>
  <c r="H29" i="5" s="1"/>
  <c r="I29" i="5" s="1"/>
  <c r="J29" i="5" s="1"/>
  <c r="K29" i="5" s="1"/>
  <c r="E29" i="5"/>
  <c r="D29" i="5"/>
  <c r="C29" i="5"/>
  <c r="B29" i="5"/>
  <c r="F28" i="5"/>
  <c r="F19" i="11" s="1"/>
  <c r="G19" i="11" s="1"/>
  <c r="E28" i="5"/>
  <c r="D28" i="5"/>
  <c r="D19" i="11" s="1"/>
  <c r="C28" i="5"/>
  <c r="B28" i="5"/>
  <c r="B19" i="11" s="1"/>
  <c r="I27" i="5"/>
  <c r="J27" i="5" s="1"/>
  <c r="K27" i="5" s="1"/>
  <c r="F27" i="5"/>
  <c r="G27" i="5" s="1"/>
  <c r="H27" i="5" s="1"/>
  <c r="E27" i="5"/>
  <c r="D27" i="5"/>
  <c r="C27" i="5"/>
  <c r="B27" i="5"/>
  <c r="F26" i="5"/>
  <c r="E26" i="5"/>
  <c r="D26" i="5"/>
  <c r="C26" i="5"/>
  <c r="C18" i="9" s="1"/>
  <c r="B26" i="5"/>
  <c r="F24" i="5"/>
  <c r="E24" i="5"/>
  <c r="D24" i="5"/>
  <c r="C24" i="5"/>
  <c r="B24" i="5"/>
  <c r="F23" i="5"/>
  <c r="E23" i="5"/>
  <c r="D23" i="5"/>
  <c r="C23" i="5"/>
  <c r="B23" i="5"/>
  <c r="F22" i="5"/>
  <c r="E22" i="5"/>
  <c r="E55" i="5" s="1"/>
  <c r="D22" i="5"/>
  <c r="C22" i="5"/>
  <c r="B22" i="5"/>
  <c r="G21" i="5"/>
  <c r="H21" i="5" s="1"/>
  <c r="I21" i="5" s="1"/>
  <c r="J21" i="5" s="1"/>
  <c r="K21" i="5" s="1"/>
  <c r="F21" i="5"/>
  <c r="E21" i="5"/>
  <c r="D21" i="5"/>
  <c r="C21" i="5"/>
  <c r="B21" i="5"/>
  <c r="F20" i="5"/>
  <c r="E20" i="5"/>
  <c r="D20" i="5"/>
  <c r="C20" i="5"/>
  <c r="B20" i="5"/>
  <c r="B16" i="9" s="1"/>
  <c r="F19" i="5"/>
  <c r="E19" i="5"/>
  <c r="D19" i="5"/>
  <c r="C19" i="5"/>
  <c r="D48" i="5" s="1"/>
  <c r="B19" i="5"/>
  <c r="F17" i="5"/>
  <c r="E17" i="5"/>
  <c r="D17" i="5"/>
  <c r="D47" i="4" s="1"/>
  <c r="C17" i="5"/>
  <c r="B17" i="5"/>
  <c r="B48" i="4" s="1"/>
  <c r="F16" i="5"/>
  <c r="E16" i="5"/>
  <c r="D16" i="5"/>
  <c r="C16" i="5"/>
  <c r="B16" i="5"/>
  <c r="F15" i="5"/>
  <c r="E15" i="5"/>
  <c r="D15" i="5"/>
  <c r="C15" i="5"/>
  <c r="B15" i="5"/>
  <c r="F14" i="5"/>
  <c r="F17" i="11" s="1"/>
  <c r="E14" i="5"/>
  <c r="E17" i="11" s="1"/>
  <c r="D14" i="5"/>
  <c r="D17" i="11" s="1"/>
  <c r="C14" i="5"/>
  <c r="C17" i="11" s="1"/>
  <c r="B14" i="5"/>
  <c r="G13" i="5"/>
  <c r="F13" i="5"/>
  <c r="E13" i="5"/>
  <c r="D13" i="5"/>
  <c r="D12" i="9" s="1"/>
  <c r="C13" i="5"/>
  <c r="B13" i="5"/>
  <c r="F12" i="5"/>
  <c r="E12" i="5"/>
  <c r="D12" i="5"/>
  <c r="C12" i="5"/>
  <c r="B12" i="5"/>
  <c r="B27" i="10" s="1"/>
  <c r="B31" i="10" s="1"/>
  <c r="F11" i="5"/>
  <c r="E11" i="5"/>
  <c r="D11" i="5"/>
  <c r="C11" i="5"/>
  <c r="B11" i="5"/>
  <c r="F10" i="5"/>
  <c r="F5" i="10" s="1"/>
  <c r="E10" i="5"/>
  <c r="E5" i="10" s="1"/>
  <c r="E9" i="10" s="1"/>
  <c r="D10" i="5"/>
  <c r="D5" i="10" s="1"/>
  <c r="D9" i="10" s="1"/>
  <c r="C10" i="5"/>
  <c r="C5" i="10" s="1"/>
  <c r="B10" i="5"/>
  <c r="B5" i="10" s="1"/>
  <c r="B9" i="10" s="1"/>
  <c r="F8" i="5"/>
  <c r="E8" i="5"/>
  <c r="D8" i="5"/>
  <c r="C8" i="5"/>
  <c r="B8" i="5"/>
  <c r="F7" i="5"/>
  <c r="E7" i="5"/>
  <c r="D7" i="5"/>
  <c r="C7" i="5"/>
  <c r="C57" i="5" s="1"/>
  <c r="B7" i="5"/>
  <c r="B57" i="5" s="1"/>
  <c r="F6" i="5"/>
  <c r="E6" i="5"/>
  <c r="D6" i="5"/>
  <c r="C6" i="5"/>
  <c r="B6" i="5"/>
  <c r="F5" i="5"/>
  <c r="E5" i="5"/>
  <c r="D5" i="5"/>
  <c r="C5" i="5"/>
  <c r="B5" i="5"/>
  <c r="F4" i="5"/>
  <c r="E4" i="5"/>
  <c r="E63" i="5" s="1"/>
  <c r="D4" i="5"/>
  <c r="C4" i="5"/>
  <c r="B4" i="5"/>
  <c r="F3" i="5"/>
  <c r="B15" i="2" s="1"/>
  <c r="E3" i="5"/>
  <c r="E7" i="9" s="1"/>
  <c r="D3" i="5"/>
  <c r="C3" i="5"/>
  <c r="C7" i="9" s="1"/>
  <c r="B3" i="5"/>
  <c r="B7" i="9" s="1"/>
  <c r="A1" i="5"/>
  <c r="F51" i="4"/>
  <c r="E51" i="4"/>
  <c r="C47" i="4"/>
  <c r="B47" i="4"/>
  <c r="D45" i="4"/>
  <c r="C45" i="4"/>
  <c r="B45" i="4"/>
  <c r="E37" i="4"/>
  <c r="F36" i="4"/>
  <c r="F34" i="4"/>
  <c r="F35" i="4" s="1"/>
  <c r="D34" i="4"/>
  <c r="D35" i="4" s="1"/>
  <c r="C34" i="4"/>
  <c r="C35" i="4" s="1"/>
  <c r="E33" i="4"/>
  <c r="B33" i="4"/>
  <c r="D32" i="4"/>
  <c r="C32" i="4"/>
  <c r="B32" i="4"/>
  <c r="B4" i="6" s="1"/>
  <c r="E30" i="4"/>
  <c r="D30" i="4"/>
  <c r="C30" i="4"/>
  <c r="B30" i="4"/>
  <c r="C29" i="4"/>
  <c r="B28" i="4"/>
  <c r="B26" i="4"/>
  <c r="B3" i="10" s="1"/>
  <c r="C23" i="4"/>
  <c r="D22" i="4"/>
  <c r="C22" i="4"/>
  <c r="B22" i="4"/>
  <c r="J19" i="4"/>
  <c r="K19" i="4" s="1"/>
  <c r="F19" i="4"/>
  <c r="G19" i="4" s="1"/>
  <c r="H19" i="4" s="1"/>
  <c r="I19" i="4" s="1"/>
  <c r="E19" i="4"/>
  <c r="D19" i="4"/>
  <c r="C19" i="4"/>
  <c r="B19" i="4"/>
  <c r="F18" i="4"/>
  <c r="E18" i="4"/>
  <c r="D18" i="4"/>
  <c r="C18" i="4"/>
  <c r="B18" i="4"/>
  <c r="F17" i="4"/>
  <c r="F22" i="4" s="1"/>
  <c r="E17" i="4"/>
  <c r="D17" i="4"/>
  <c r="C17" i="4"/>
  <c r="B17" i="4"/>
  <c r="F15" i="4"/>
  <c r="E15" i="4"/>
  <c r="D15" i="4"/>
  <c r="C15" i="4"/>
  <c r="B15" i="4"/>
  <c r="F14" i="4"/>
  <c r="E14" i="4"/>
  <c r="E5" i="11" s="1"/>
  <c r="D14" i="4"/>
  <c r="C14" i="4"/>
  <c r="C5" i="11" s="1"/>
  <c r="C7" i="11" s="1"/>
  <c r="B14" i="4"/>
  <c r="K12" i="4"/>
  <c r="J12" i="4"/>
  <c r="I12" i="4"/>
  <c r="H12" i="4"/>
  <c r="G12" i="4"/>
  <c r="F12" i="4"/>
  <c r="E12" i="4"/>
  <c r="D12" i="4"/>
  <c r="C12" i="4"/>
  <c r="B12" i="4"/>
  <c r="F11" i="4"/>
  <c r="E11" i="4"/>
  <c r="D11" i="4"/>
  <c r="C11" i="4"/>
  <c r="B11" i="4"/>
  <c r="F10" i="4"/>
  <c r="E10" i="4"/>
  <c r="D10" i="4"/>
  <c r="C10" i="4"/>
  <c r="B10" i="4"/>
  <c r="B34" i="4" s="1"/>
  <c r="B35" i="4" s="1"/>
  <c r="F8" i="4"/>
  <c r="E8" i="4"/>
  <c r="D8" i="4"/>
  <c r="C8" i="4"/>
  <c r="C31" i="4" s="1"/>
  <c r="B8" i="4"/>
  <c r="B31" i="4" s="1"/>
  <c r="F7" i="4"/>
  <c r="E7" i="4"/>
  <c r="D7" i="4"/>
  <c r="C7" i="4"/>
  <c r="B7" i="4"/>
  <c r="F6" i="4"/>
  <c r="E6" i="4"/>
  <c r="D6" i="4"/>
  <c r="C6" i="4"/>
  <c r="B6" i="4"/>
  <c r="F5" i="4"/>
  <c r="F28" i="4" s="1"/>
  <c r="E5" i="4"/>
  <c r="E28" i="4" s="1"/>
  <c r="D5" i="4"/>
  <c r="C5" i="4"/>
  <c r="C28" i="4" s="1"/>
  <c r="B5" i="4"/>
  <c r="F4" i="4"/>
  <c r="E4" i="4"/>
  <c r="E48" i="5" s="1"/>
  <c r="D4" i="4"/>
  <c r="C4" i="4"/>
  <c r="B4" i="4"/>
  <c r="F3" i="4"/>
  <c r="E3" i="4"/>
  <c r="D3" i="4"/>
  <c r="C3" i="4"/>
  <c r="C41" i="6" s="1"/>
  <c r="B3" i="4"/>
  <c r="A1" i="4"/>
  <c r="B13" i="2"/>
  <c r="C3" i="2"/>
  <c r="D3" i="2" s="1"/>
  <c r="E3" i="2" s="1"/>
  <c r="F3" i="2" s="1"/>
  <c r="A1" i="2"/>
  <c r="B27" i="1"/>
  <c r="B25" i="1"/>
  <c r="B21" i="1"/>
  <c r="B18" i="1"/>
  <c r="B20" i="1" s="1"/>
  <c r="D14" i="8" l="1"/>
  <c r="E14" i="8"/>
  <c r="C6" i="8"/>
  <c r="F6" i="8"/>
  <c r="G9" i="8"/>
  <c r="H9" i="8" s="1"/>
  <c r="C10" i="8"/>
  <c r="D10" i="8"/>
  <c r="D6" i="8"/>
  <c r="H5" i="8"/>
  <c r="I5" i="8" s="1"/>
  <c r="J5" i="8" s="1"/>
  <c r="I9" i="8"/>
  <c r="J9" i="8" s="1"/>
  <c r="K9" i="8" s="1"/>
  <c r="F9" i="10"/>
  <c r="B17" i="2"/>
  <c r="G22" i="4"/>
  <c r="H22" i="4" s="1"/>
  <c r="I22" i="4" s="1"/>
  <c r="J22" i="4" s="1"/>
  <c r="K22" i="4" s="1"/>
  <c r="H28" i="9"/>
  <c r="G34" i="5"/>
  <c r="H18" i="9"/>
  <c r="G26" i="5"/>
  <c r="D51" i="4"/>
  <c r="D28" i="4"/>
  <c r="G28" i="4" s="1"/>
  <c r="H28" i="4" s="1"/>
  <c r="I28" i="4" s="1"/>
  <c r="J28" i="4" s="1"/>
  <c r="K28" i="4" s="1"/>
  <c r="G47" i="5"/>
  <c r="G30" i="4"/>
  <c r="H30" i="4" s="1"/>
  <c r="I30" i="4" s="1"/>
  <c r="J30" i="4" s="1"/>
  <c r="K30" i="4" s="1"/>
  <c r="D2" i="10"/>
  <c r="D46" i="4"/>
  <c r="D52" i="4"/>
  <c r="D27" i="4" s="1"/>
  <c r="D2" i="8"/>
  <c r="D31" i="4"/>
  <c r="D42" i="6"/>
  <c r="D53" i="5"/>
  <c r="E48" i="4"/>
  <c r="E45" i="4"/>
  <c r="E38" i="4"/>
  <c r="E23" i="4"/>
  <c r="E22" i="4"/>
  <c r="E2" i="8"/>
  <c r="E3" i="8" s="1"/>
  <c r="E26" i="4" s="1"/>
  <c r="E3" i="10" s="1"/>
  <c r="E46" i="4"/>
  <c r="E52" i="4"/>
  <c r="E27" i="4" s="1"/>
  <c r="E2" i="10"/>
  <c r="E36" i="4"/>
  <c r="E58" i="5"/>
  <c r="G58" i="5" s="1"/>
  <c r="H58" i="5" s="1"/>
  <c r="I58" i="5" s="1"/>
  <c r="J58" i="5" s="1"/>
  <c r="K58" i="5" s="1"/>
  <c r="E29" i="4"/>
  <c r="D38" i="10"/>
  <c r="F2" i="10"/>
  <c r="F46" i="4"/>
  <c r="F52" i="4"/>
  <c r="F27" i="4" s="1"/>
  <c r="F2" i="8"/>
  <c r="F57" i="5"/>
  <c r="F31" i="4"/>
  <c r="F53" i="5"/>
  <c r="F58" i="5"/>
  <c r="B5" i="11"/>
  <c r="B37" i="4"/>
  <c r="C37" i="4"/>
  <c r="D22" i="9"/>
  <c r="D23" i="9" s="1"/>
  <c r="D40" i="6"/>
  <c r="E22" i="9"/>
  <c r="E23" i="9" s="1"/>
  <c r="E40" i="6"/>
  <c r="F16" i="10"/>
  <c r="H19" i="11"/>
  <c r="G28" i="5"/>
  <c r="E4" i="6"/>
  <c r="E37" i="6" s="1"/>
  <c r="E34" i="4"/>
  <c r="E35" i="4" s="1"/>
  <c r="C46" i="5"/>
  <c r="E27" i="10"/>
  <c r="E31" i="10" s="1"/>
  <c r="E52" i="5"/>
  <c r="D41" i="6"/>
  <c r="H13" i="5"/>
  <c r="I12" i="9"/>
  <c r="C42" i="6"/>
  <c r="C2" i="10"/>
  <c r="C16" i="10" s="1"/>
  <c r="C46" i="4"/>
  <c r="C2" i="8"/>
  <c r="C63" i="5"/>
  <c r="C10" i="9"/>
  <c r="C27" i="10"/>
  <c r="C31" i="10" s="1"/>
  <c r="C52" i="5"/>
  <c r="F33" i="4"/>
  <c r="F4" i="6"/>
  <c r="F8" i="9" s="1"/>
  <c r="D46" i="5"/>
  <c r="E60" i="5"/>
  <c r="D42" i="5"/>
  <c r="D43" i="5" s="1"/>
  <c r="D56" i="5"/>
  <c r="F41" i="6"/>
  <c r="I29" i="9"/>
  <c r="F48" i="4"/>
  <c r="F40" i="6"/>
  <c r="F23" i="4"/>
  <c r="G23" i="4" s="1"/>
  <c r="H23" i="4" s="1"/>
  <c r="I23" i="4" s="1"/>
  <c r="J23" i="4" s="1"/>
  <c r="K23" i="4" s="1"/>
  <c r="F45" i="4"/>
  <c r="F38" i="4"/>
  <c r="F23" i="9"/>
  <c r="D5" i="11"/>
  <c r="D7" i="11" s="1"/>
  <c r="D37" i="4"/>
  <c r="C51" i="4"/>
  <c r="F30" i="4"/>
  <c r="C53" i="5"/>
  <c r="C12" i="9"/>
  <c r="D16" i="9"/>
  <c r="D64" i="5"/>
  <c r="H38" i="5"/>
  <c r="D54" i="5"/>
  <c r="F30" i="9"/>
  <c r="F65" i="5"/>
  <c r="F41" i="4" s="1"/>
  <c r="B12" i="2"/>
  <c r="B26" i="1"/>
  <c r="F6" i="11"/>
  <c r="F7" i="11" s="1"/>
  <c r="F42" i="4"/>
  <c r="D36" i="4"/>
  <c r="F48" i="5"/>
  <c r="G48" i="5" s="1"/>
  <c r="F60" i="5"/>
  <c r="C64" i="5"/>
  <c r="C54" i="5"/>
  <c r="B64" i="5"/>
  <c r="C16" i="9"/>
  <c r="B6" i="11"/>
  <c r="B42" i="4"/>
  <c r="E16" i="9"/>
  <c r="E64" i="5"/>
  <c r="F42" i="5"/>
  <c r="F43" i="5" s="1"/>
  <c r="F47" i="4"/>
  <c r="C52" i="4"/>
  <c r="C27" i="4" s="1"/>
  <c r="F54" i="5"/>
  <c r="B51" i="4"/>
  <c r="C42" i="4"/>
  <c r="C33" i="4"/>
  <c r="E12" i="9"/>
  <c r="E53" i="5"/>
  <c r="G35" i="5"/>
  <c r="F55" i="5"/>
  <c r="A4" i="11"/>
  <c r="A6" i="9"/>
  <c r="A1" i="10"/>
  <c r="D57" i="5"/>
  <c r="G57" i="5" s="1"/>
  <c r="H57" i="5" s="1"/>
  <c r="I57" i="5" s="1"/>
  <c r="J57" i="5" s="1"/>
  <c r="K57" i="5" s="1"/>
  <c r="G20" i="6"/>
  <c r="C55" i="5"/>
  <c r="B40" i="6"/>
  <c r="B22" i="9"/>
  <c r="B23" i="9" s="1"/>
  <c r="E7" i="11"/>
  <c r="B52" i="4"/>
  <c r="B27" i="4" s="1"/>
  <c r="B2" i="10"/>
  <c r="B38" i="10" s="1"/>
  <c r="B46" i="4"/>
  <c r="F37" i="4"/>
  <c r="E57" i="5"/>
  <c r="D55" i="5"/>
  <c r="B41" i="6"/>
  <c r="E31" i="4"/>
  <c r="D42" i="4"/>
  <c r="E47" i="4"/>
  <c r="E46" i="5"/>
  <c r="E49" i="5" s="1"/>
  <c r="G11" i="5"/>
  <c r="F16" i="9"/>
  <c r="E54" i="5"/>
  <c r="B29" i="4"/>
  <c r="E42" i="4"/>
  <c r="F46" i="5"/>
  <c r="F49" i="5" s="1"/>
  <c r="B56" i="5"/>
  <c r="D29" i="4"/>
  <c r="D52" i="5"/>
  <c r="D27" i="10"/>
  <c r="D31" i="10" s="1"/>
  <c r="E59" i="5"/>
  <c r="F29" i="4"/>
  <c r="C36" i="4"/>
  <c r="F52" i="5"/>
  <c r="C38" i="10"/>
  <c r="E42" i="6"/>
  <c r="H20" i="6"/>
  <c r="F59" i="5"/>
  <c r="B2" i="8"/>
  <c r="E38" i="10"/>
  <c r="B23" i="4"/>
  <c r="B38" i="4"/>
  <c r="D16" i="10"/>
  <c r="F38" i="10"/>
  <c r="E47" i="5"/>
  <c r="B14" i="2"/>
  <c r="C38" i="4"/>
  <c r="C48" i="4"/>
  <c r="C48" i="5"/>
  <c r="E41" i="6"/>
  <c r="F27" i="10"/>
  <c r="D38" i="4"/>
  <c r="D48" i="4"/>
  <c r="D23" i="4"/>
  <c r="D33" i="4"/>
  <c r="D4" i="6"/>
  <c r="D37" i="6" s="1"/>
  <c r="B53" i="5"/>
  <c r="B12" i="9"/>
  <c r="B54" i="5"/>
  <c r="H13" i="8"/>
  <c r="I13" i="8" s="1"/>
  <c r="J13" i="8" s="1"/>
  <c r="K13" i="8" s="1"/>
  <c r="F42" i="6"/>
  <c r="F5" i="11"/>
  <c r="B36" i="4"/>
  <c r="F63" i="5"/>
  <c r="E15" i="10"/>
  <c r="B55" i="5"/>
  <c r="F10" i="9"/>
  <c r="B63" i="5"/>
  <c r="G2" i="8" l="1"/>
  <c r="G3" i="8" s="1"/>
  <c r="E8" i="9"/>
  <c r="F37" i="6"/>
  <c r="C30" i="9"/>
  <c r="C65" i="5"/>
  <c r="C41" i="4" s="1"/>
  <c r="D49" i="5"/>
  <c r="B60" i="5"/>
  <c r="B8" i="9"/>
  <c r="C3" i="8"/>
  <c r="C26" i="4" s="1"/>
  <c r="C3" i="10" s="1"/>
  <c r="D8" i="9"/>
  <c r="D60" i="5"/>
  <c r="G60" i="5" s="1"/>
  <c r="H60" i="5" s="1"/>
  <c r="I60" i="5" s="1"/>
  <c r="J60" i="5" s="1"/>
  <c r="K60" i="5" s="1"/>
  <c r="I19" i="11"/>
  <c r="H28" i="5"/>
  <c r="G20" i="9"/>
  <c r="G11" i="4" s="1"/>
  <c r="G16" i="9"/>
  <c r="B28" i="1"/>
  <c r="B30" i="1" s="1"/>
  <c r="H34" i="5"/>
  <c r="I28" i="9"/>
  <c r="C59" i="5"/>
  <c r="C60" i="5"/>
  <c r="I18" i="9"/>
  <c r="H26" i="5"/>
  <c r="D59" i="5"/>
  <c r="G59" i="5" s="1"/>
  <c r="H59" i="5" s="1"/>
  <c r="I59" i="5" s="1"/>
  <c r="J59" i="5" s="1"/>
  <c r="K59" i="5" s="1"/>
  <c r="K5" i="8"/>
  <c r="H11" i="5"/>
  <c r="I13" i="5"/>
  <c r="I20" i="6" s="1"/>
  <c r="J12" i="9"/>
  <c r="B16" i="10"/>
  <c r="J29" i="9"/>
  <c r="I35" i="5"/>
  <c r="B59" i="5"/>
  <c r="F31" i="10"/>
  <c r="G14" i="9"/>
  <c r="G10" i="9"/>
  <c r="E16" i="10"/>
  <c r="G27" i="4"/>
  <c r="H27" i="4" s="1"/>
  <c r="I27" i="4" s="1"/>
  <c r="J27" i="4" s="1"/>
  <c r="K27" i="4" s="1"/>
  <c r="G23" i="9"/>
  <c r="H23" i="9" s="1"/>
  <c r="I23" i="9" s="1"/>
  <c r="J23" i="9" s="1"/>
  <c r="K23" i="9" s="1"/>
  <c r="G31" i="4"/>
  <c r="H31" i="4" s="1"/>
  <c r="I31" i="4" s="1"/>
  <c r="J31" i="4" s="1"/>
  <c r="K31" i="4" s="1"/>
  <c r="F56" i="5"/>
  <c r="G56" i="5"/>
  <c r="H56" i="5" s="1"/>
  <c r="I56" i="5" s="1"/>
  <c r="J56" i="5" s="1"/>
  <c r="K56" i="5" s="1"/>
  <c r="G16" i="10"/>
  <c r="H16" i="10" s="1"/>
  <c r="I16" i="10" s="1"/>
  <c r="J16" i="10" s="1"/>
  <c r="K16" i="10" s="1"/>
  <c r="G55" i="5"/>
  <c r="H55" i="5" s="1"/>
  <c r="I55" i="5" s="1"/>
  <c r="J55" i="5" s="1"/>
  <c r="K55" i="5" s="1"/>
  <c r="B65" i="5"/>
  <c r="B41" i="4" s="1"/>
  <c r="B30" i="9"/>
  <c r="I38" i="5"/>
  <c r="G13" i="10"/>
  <c r="G9" i="10"/>
  <c r="E30" i="9"/>
  <c r="E65" i="5"/>
  <c r="E41" i="4" s="1"/>
  <c r="F3" i="8"/>
  <c r="F26" i="4" s="1"/>
  <c r="F3" i="10" s="1"/>
  <c r="G29" i="4"/>
  <c r="H29" i="4" s="1"/>
  <c r="I29" i="4" s="1"/>
  <c r="J29" i="4" s="1"/>
  <c r="K29" i="4" s="1"/>
  <c r="B7" i="11"/>
  <c r="D3" i="8"/>
  <c r="D26" i="4" s="1"/>
  <c r="D3" i="10" s="1"/>
  <c r="C49" i="5"/>
  <c r="C8" i="9" s="1"/>
  <c r="D30" i="9"/>
  <c r="D65" i="5"/>
  <c r="D41" i="4" s="1"/>
  <c r="G38" i="10"/>
  <c r="H38" i="10" s="1"/>
  <c r="I38" i="10" s="1"/>
  <c r="J38" i="10" s="1"/>
  <c r="K38" i="10" s="1"/>
  <c r="G26" i="4" l="1"/>
  <c r="C9" i="15"/>
  <c r="J19" i="11"/>
  <c r="I28" i="5"/>
  <c r="K12" i="9"/>
  <c r="K13" i="5" s="1"/>
  <c r="J13" i="5"/>
  <c r="H2" i="8"/>
  <c r="H3" i="8" s="1"/>
  <c r="H10" i="9"/>
  <c r="G4" i="5"/>
  <c r="I26" i="5"/>
  <c r="J18" i="9"/>
  <c r="G31" i="10"/>
  <c r="G35" i="10"/>
  <c r="G49" i="5"/>
  <c r="J28" i="9"/>
  <c r="I34" i="5"/>
  <c r="I11" i="5"/>
  <c r="H13" i="10"/>
  <c r="J38" i="5"/>
  <c r="K29" i="9"/>
  <c r="K35" i="5" s="1"/>
  <c r="J35" i="5"/>
  <c r="B29" i="1"/>
  <c r="B31" i="1" s="1"/>
  <c r="H20" i="9"/>
  <c r="G20" i="5"/>
  <c r="H16" i="9"/>
  <c r="H26" i="4" l="1"/>
  <c r="H3" i="10" s="1"/>
  <c r="D9" i="15"/>
  <c r="G3" i="10"/>
  <c r="G3" i="4"/>
  <c r="J26" i="5"/>
  <c r="K18" i="9"/>
  <c r="K26" i="5" s="1"/>
  <c r="G64" i="5"/>
  <c r="G24" i="6"/>
  <c r="G25" i="6"/>
  <c r="H20" i="5"/>
  <c r="H24" i="6" s="1"/>
  <c r="I16" i="9"/>
  <c r="I20" i="9"/>
  <c r="H35" i="10"/>
  <c r="H31" i="10"/>
  <c r="H9" i="10"/>
  <c r="B4" i="2"/>
  <c r="F4" i="2"/>
  <c r="C4" i="2"/>
  <c r="E4" i="2"/>
  <c r="D4" i="2"/>
  <c r="H4" i="5"/>
  <c r="I10" i="9"/>
  <c r="J11" i="5"/>
  <c r="K38" i="5"/>
  <c r="K19" i="11"/>
  <c r="K28" i="5" s="1"/>
  <c r="J28" i="5"/>
  <c r="H14" i="6"/>
  <c r="G63" i="5"/>
  <c r="G14" i="6"/>
  <c r="G15" i="6"/>
  <c r="K20" i="6"/>
  <c r="J20" i="6"/>
  <c r="I2" i="8"/>
  <c r="I3" i="8" s="1"/>
  <c r="K28" i="9"/>
  <c r="K34" i="5" s="1"/>
  <c r="J34" i="5"/>
  <c r="H49" i="5"/>
  <c r="I26" i="4" l="1"/>
  <c r="I3" i="10" s="1"/>
  <c r="E9" i="15"/>
  <c r="H3" i="4"/>
  <c r="G54" i="5"/>
  <c r="G15" i="5"/>
  <c r="G6" i="4"/>
  <c r="G7" i="4"/>
  <c r="G52" i="4"/>
  <c r="G2" i="10"/>
  <c r="G5" i="4"/>
  <c r="G22" i="5"/>
  <c r="G9" i="6" s="1"/>
  <c r="G8" i="4"/>
  <c r="G7" i="5"/>
  <c r="G53" i="5"/>
  <c r="G5" i="5"/>
  <c r="G6" i="6" s="1"/>
  <c r="H2" i="10"/>
  <c r="H37" i="10" s="1"/>
  <c r="H6" i="4"/>
  <c r="H8" i="4"/>
  <c r="H52" i="4"/>
  <c r="H54" i="5"/>
  <c r="I49" i="5"/>
  <c r="K2" i="8"/>
  <c r="J2" i="8"/>
  <c r="J3" i="8" s="1"/>
  <c r="J26" i="4" s="1"/>
  <c r="J3" i="10" s="1"/>
  <c r="I3" i="4"/>
  <c r="I5" i="5" s="1"/>
  <c r="J10" i="9"/>
  <c r="I4" i="5"/>
  <c r="I15" i="6"/>
  <c r="H63" i="5"/>
  <c r="I14" i="6"/>
  <c r="J20" i="9"/>
  <c r="J16" i="9"/>
  <c r="I20" i="5"/>
  <c r="I35" i="10"/>
  <c r="I31" i="10"/>
  <c r="K11" i="5"/>
  <c r="I25" i="6"/>
  <c r="I24" i="6"/>
  <c r="H64" i="5"/>
  <c r="H25" i="6"/>
  <c r="H15" i="6"/>
  <c r="I13" i="10"/>
  <c r="I9" i="10"/>
  <c r="H4" i="4" l="1"/>
  <c r="D20" i="15"/>
  <c r="H15" i="10"/>
  <c r="J21" i="10" s="1"/>
  <c r="G15" i="10"/>
  <c r="G37" i="10"/>
  <c r="G4" i="4"/>
  <c r="C20" i="15"/>
  <c r="H22" i="5"/>
  <c r="H9" i="6" s="1"/>
  <c r="H5" i="5"/>
  <c r="H7" i="4"/>
  <c r="H7" i="5"/>
  <c r="H53" i="5"/>
  <c r="H5" i="4"/>
  <c r="H15" i="5"/>
  <c r="J49" i="5"/>
  <c r="I52" i="4"/>
  <c r="I8" i="4"/>
  <c r="I6" i="4"/>
  <c r="I22" i="5"/>
  <c r="I15" i="5"/>
  <c r="I2" i="10"/>
  <c r="J3" i="4"/>
  <c r="J5" i="5" s="1"/>
  <c r="J6" i="6" s="1"/>
  <c r="I7" i="4"/>
  <c r="I5" i="4"/>
  <c r="I7" i="5"/>
  <c r="I53" i="5"/>
  <c r="I54" i="5"/>
  <c r="K3" i="8"/>
  <c r="K26" i="4" s="1"/>
  <c r="K3" i="10" s="1"/>
  <c r="K10" i="9"/>
  <c r="K4" i="5" s="1"/>
  <c r="K63" i="5" s="1"/>
  <c r="J4" i="5"/>
  <c r="K21" i="10"/>
  <c r="I21" i="10"/>
  <c r="H21" i="10"/>
  <c r="H16" i="6"/>
  <c r="H41" i="6" s="1"/>
  <c r="K20" i="9"/>
  <c r="J20" i="5"/>
  <c r="K16" i="9"/>
  <c r="K20" i="5" s="1"/>
  <c r="K64" i="5" s="1"/>
  <c r="J13" i="10"/>
  <c r="J35" i="10"/>
  <c r="I63" i="5"/>
  <c r="J15" i="6"/>
  <c r="J14" i="6"/>
  <c r="I64" i="5"/>
  <c r="J43" i="10"/>
  <c r="I43" i="10"/>
  <c r="H43" i="10"/>
  <c r="H18" i="6"/>
  <c r="H42" i="6" s="1"/>
  <c r="K43" i="10"/>
  <c r="G6" i="5" l="1"/>
  <c r="G10" i="4"/>
  <c r="G51" i="4"/>
  <c r="G19" i="5"/>
  <c r="H6" i="6"/>
  <c r="I6" i="6"/>
  <c r="J42" i="10"/>
  <c r="I42" i="10"/>
  <c r="G42" i="10"/>
  <c r="G47" i="10" s="1"/>
  <c r="G27" i="10" s="1"/>
  <c r="G12" i="5" s="1"/>
  <c r="G52" i="5" s="1"/>
  <c r="G18" i="6"/>
  <c r="G42" i="6" s="1"/>
  <c r="K42" i="10"/>
  <c r="H42" i="10"/>
  <c r="H47" i="10" s="1"/>
  <c r="I4" i="4"/>
  <c r="I10" i="4" s="1"/>
  <c r="E20" i="15"/>
  <c r="J20" i="10"/>
  <c r="G20" i="10"/>
  <c r="G25" i="10" s="1"/>
  <c r="I20" i="10"/>
  <c r="G16" i="6"/>
  <c r="H20" i="10"/>
  <c r="H25" i="10" s="1"/>
  <c r="K20" i="10"/>
  <c r="H19" i="5"/>
  <c r="H51" i="4"/>
  <c r="H6" i="5"/>
  <c r="H10" i="4"/>
  <c r="K25" i="6"/>
  <c r="K24" i="6"/>
  <c r="J64" i="5"/>
  <c r="J9" i="10"/>
  <c r="I37" i="10"/>
  <c r="I15" i="10"/>
  <c r="J24" i="6"/>
  <c r="J25" i="6"/>
  <c r="K14" i="6"/>
  <c r="K15" i="6"/>
  <c r="J63" i="5"/>
  <c r="I9" i="6"/>
  <c r="H22" i="6"/>
  <c r="D31" i="15" s="1"/>
  <c r="J2" i="10"/>
  <c r="J6" i="4"/>
  <c r="J15" i="5"/>
  <c r="J8" i="4"/>
  <c r="J7" i="5"/>
  <c r="J7" i="4"/>
  <c r="J52" i="4"/>
  <c r="J4" i="4" s="1"/>
  <c r="J5" i="4"/>
  <c r="J22" i="5"/>
  <c r="J9" i="6" s="1"/>
  <c r="K3" i="4"/>
  <c r="K5" i="5" s="1"/>
  <c r="K6" i="6" s="1"/>
  <c r="J53" i="5"/>
  <c r="J54" i="5"/>
  <c r="K49" i="5"/>
  <c r="J31" i="10"/>
  <c r="E19" i="15" l="1"/>
  <c r="I36" i="4"/>
  <c r="H27" i="10"/>
  <c r="H12" i="5" s="1"/>
  <c r="H52" i="5" s="1"/>
  <c r="H4" i="6"/>
  <c r="D21" i="15" s="1"/>
  <c r="G4" i="6"/>
  <c r="G5" i="10"/>
  <c r="I51" i="4"/>
  <c r="I30" i="5" s="1"/>
  <c r="I31" i="5" s="1"/>
  <c r="H30" i="5"/>
  <c r="H31" i="5" s="1"/>
  <c r="H23" i="5"/>
  <c r="H24" i="5" s="1"/>
  <c r="G36" i="4"/>
  <c r="C19" i="15"/>
  <c r="G14" i="4"/>
  <c r="G7" i="6"/>
  <c r="H7" i="6"/>
  <c r="I6" i="5"/>
  <c r="I7" i="6" s="1"/>
  <c r="I19" i="5"/>
  <c r="I8" i="6" s="1"/>
  <c r="H36" i="4"/>
  <c r="D19" i="15"/>
  <c r="H8" i="6"/>
  <c r="G8" i="6"/>
  <c r="G30" i="5"/>
  <c r="G31" i="5" s="1"/>
  <c r="G23" i="5"/>
  <c r="G24" i="5" s="1"/>
  <c r="G41" i="6"/>
  <c r="G22" i="6"/>
  <c r="C31" i="15" s="1"/>
  <c r="J51" i="4"/>
  <c r="J6" i="5"/>
  <c r="J19" i="5"/>
  <c r="J10" i="4"/>
  <c r="K22" i="10"/>
  <c r="J22" i="10"/>
  <c r="I16" i="6"/>
  <c r="I22" i="10"/>
  <c r="I25" i="10" s="1"/>
  <c r="K22" i="5"/>
  <c r="K9" i="6" s="1"/>
  <c r="K2" i="10"/>
  <c r="K6" i="4"/>
  <c r="K15" i="5"/>
  <c r="K8" i="4"/>
  <c r="K7" i="5"/>
  <c r="K5" i="4"/>
  <c r="K52" i="4"/>
  <c r="K4" i="4" s="1"/>
  <c r="K7" i="4"/>
  <c r="K53" i="5"/>
  <c r="K54" i="5"/>
  <c r="K13" i="10"/>
  <c r="K9" i="10"/>
  <c r="K35" i="10"/>
  <c r="K31" i="10"/>
  <c r="K44" i="10"/>
  <c r="J44" i="10"/>
  <c r="I44" i="10"/>
  <c r="I47" i="10" s="1"/>
  <c r="I27" i="10" s="1"/>
  <c r="I18" i="6"/>
  <c r="I42" i="6" s="1"/>
  <c r="J37" i="10"/>
  <c r="J15" i="10"/>
  <c r="I23" i="5" l="1"/>
  <c r="I24" i="5" s="1"/>
  <c r="I32" i="5" s="1"/>
  <c r="E25" i="15" s="1"/>
  <c r="H32" i="5"/>
  <c r="D25" i="15" s="1"/>
  <c r="G32" i="5"/>
  <c r="C25" i="15" s="1"/>
  <c r="C22" i="15"/>
  <c r="C29" i="15"/>
  <c r="G5" i="11"/>
  <c r="G37" i="4"/>
  <c r="J7" i="6"/>
  <c r="J8" i="6"/>
  <c r="G10" i="5"/>
  <c r="H5" i="10"/>
  <c r="H10" i="5" s="1"/>
  <c r="G32" i="4"/>
  <c r="C21" i="15"/>
  <c r="G8" i="9"/>
  <c r="H8" i="9"/>
  <c r="H32" i="4"/>
  <c r="H33" i="4" s="1"/>
  <c r="I4" i="6"/>
  <c r="K51" i="4"/>
  <c r="K19" i="5"/>
  <c r="K6" i="5"/>
  <c r="K7" i="6" s="1"/>
  <c r="K10" i="4"/>
  <c r="K45" i="10"/>
  <c r="J18" i="6"/>
  <c r="J42" i="6" s="1"/>
  <c r="J45" i="10"/>
  <c r="J47" i="10" s="1"/>
  <c r="J27" i="10" s="1"/>
  <c r="J23" i="10"/>
  <c r="J25" i="10" s="1"/>
  <c r="K23" i="10"/>
  <c r="J16" i="6"/>
  <c r="I41" i="6"/>
  <c r="I22" i="6"/>
  <c r="E31" i="15" s="1"/>
  <c r="I12" i="5"/>
  <c r="I52" i="5" s="1"/>
  <c r="J36" i="4"/>
  <c r="K37" i="10"/>
  <c r="K15" i="10"/>
  <c r="J30" i="5"/>
  <c r="J31" i="5" s="1"/>
  <c r="J23" i="5"/>
  <c r="J24" i="5" s="1"/>
  <c r="K8" i="6" l="1"/>
  <c r="K33" i="13" s="1"/>
  <c r="K80" i="13"/>
  <c r="J4" i="6"/>
  <c r="H34" i="4"/>
  <c r="H35" i="4" s="1"/>
  <c r="D15" i="15"/>
  <c r="H54" i="4"/>
  <c r="D16" i="15" s="1"/>
  <c r="G33" i="4"/>
  <c r="G34" i="4"/>
  <c r="I32" i="4"/>
  <c r="E21" i="15"/>
  <c r="I5" i="10"/>
  <c r="J5" i="10" s="1"/>
  <c r="G7" i="11"/>
  <c r="G11" i="11"/>
  <c r="G14" i="11" s="1"/>
  <c r="G10" i="11"/>
  <c r="G12" i="11" s="1"/>
  <c r="H9" i="11" s="1"/>
  <c r="I8" i="9"/>
  <c r="J32" i="5"/>
  <c r="J32" i="4"/>
  <c r="J8" i="9"/>
  <c r="J12" i="5"/>
  <c r="J52" i="5" s="1"/>
  <c r="J41" i="6"/>
  <c r="J22" i="6"/>
  <c r="K16" i="6"/>
  <c r="K24" i="10"/>
  <c r="K25" i="10" s="1"/>
  <c r="K18" i="6"/>
  <c r="K42" i="6" s="1"/>
  <c r="K46" i="10"/>
  <c r="K47" i="10" s="1"/>
  <c r="K27" i="10" s="1"/>
  <c r="K12" i="5" s="1"/>
  <c r="K52" i="5" s="1"/>
  <c r="K36" i="4"/>
  <c r="K23" i="5"/>
  <c r="K24" i="5" s="1"/>
  <c r="K85" i="13" s="1"/>
  <c r="K30" i="5"/>
  <c r="K31" i="5" s="1"/>
  <c r="G18" i="11" l="1"/>
  <c r="G17" i="11" s="1"/>
  <c r="G14" i="5" s="1"/>
  <c r="I10" i="5"/>
  <c r="G16" i="5"/>
  <c r="G10" i="6"/>
  <c r="I34" i="4"/>
  <c r="I33" i="4"/>
  <c r="G6" i="11"/>
  <c r="G15" i="11"/>
  <c r="G21" i="11" s="1"/>
  <c r="G11" i="6" s="1"/>
  <c r="G35" i="4"/>
  <c r="C15" i="15"/>
  <c r="G54" i="4"/>
  <c r="C16" i="15" s="1"/>
  <c r="K4" i="6"/>
  <c r="K8" i="9" s="1"/>
  <c r="K32" i="5"/>
  <c r="K93" i="13" s="1"/>
  <c r="K41" i="6"/>
  <c r="K22" i="6"/>
  <c r="J33" i="4"/>
  <c r="J34" i="4"/>
  <c r="K5" i="10"/>
  <c r="K10" i="5" s="1"/>
  <c r="J10" i="5"/>
  <c r="K32" i="4" l="1"/>
  <c r="G15" i="4"/>
  <c r="G5" i="6"/>
  <c r="J35" i="4"/>
  <c r="J54" i="4"/>
  <c r="I35" i="4"/>
  <c r="E15" i="15"/>
  <c r="I54" i="4"/>
  <c r="E16" i="15" s="1"/>
  <c r="K33" i="4"/>
  <c r="K34" i="4"/>
  <c r="K54" i="4" s="1"/>
  <c r="G17" i="4" l="1"/>
  <c r="G42" i="4"/>
  <c r="K35" i="4"/>
  <c r="G53" i="4" l="1"/>
  <c r="C11" i="15" s="1"/>
  <c r="G3" i="6"/>
  <c r="G18" i="4"/>
  <c r="G22" i="9"/>
  <c r="G28" i="6" s="1"/>
  <c r="G38" i="4"/>
  <c r="G21" i="4" l="1"/>
  <c r="G20" i="4"/>
  <c r="G12" i="6"/>
  <c r="G37" i="6"/>
  <c r="G37" i="5"/>
  <c r="G40" i="6"/>
  <c r="G40" i="5" l="1"/>
  <c r="C30" i="15"/>
  <c r="B2" i="2"/>
  <c r="B5" i="2" s="1"/>
  <c r="C35" i="15"/>
  <c r="C26" i="15" l="1"/>
  <c r="G30" i="9"/>
  <c r="G45" i="4"/>
  <c r="C14" i="15" s="1"/>
  <c r="G3" i="5"/>
  <c r="H3" i="5"/>
  <c r="I3" i="5"/>
  <c r="J3" i="5"/>
  <c r="K3" i="5"/>
  <c r="G8" i="5"/>
  <c r="H8" i="5"/>
  <c r="I8" i="5"/>
  <c r="J8" i="5"/>
  <c r="K8" i="5"/>
  <c r="H14" i="5"/>
  <c r="I14" i="5"/>
  <c r="J14" i="5"/>
  <c r="K14" i="5"/>
  <c r="H16" i="5"/>
  <c r="I16" i="5"/>
  <c r="J16" i="5"/>
  <c r="K16" i="5"/>
  <c r="G17" i="5"/>
  <c r="H17" i="5"/>
  <c r="I17" i="5"/>
  <c r="J17" i="5"/>
  <c r="K17" i="5"/>
  <c r="H37" i="5"/>
  <c r="I37" i="5"/>
  <c r="J37" i="5"/>
  <c r="K37" i="5"/>
  <c r="H40" i="5"/>
  <c r="I40" i="5"/>
  <c r="J40" i="5"/>
  <c r="K40" i="5"/>
  <c r="G41" i="5"/>
  <c r="H41" i="5"/>
  <c r="I41" i="5"/>
  <c r="J41" i="5"/>
  <c r="K41" i="5"/>
  <c r="G42" i="5"/>
  <c r="H42" i="5"/>
  <c r="I42" i="5"/>
  <c r="J42" i="5"/>
  <c r="K42" i="5"/>
  <c r="G43" i="5"/>
  <c r="H43" i="5"/>
  <c r="I43" i="5"/>
  <c r="J43" i="5"/>
  <c r="K43" i="5"/>
  <c r="G65" i="5"/>
  <c r="H65" i="5"/>
  <c r="I65" i="5"/>
  <c r="J65" i="5"/>
  <c r="K65" i="5"/>
  <c r="G7" i="9"/>
  <c r="H7" i="9"/>
  <c r="I7" i="9"/>
  <c r="J7" i="9"/>
  <c r="K7" i="9"/>
  <c r="H14" i="9"/>
  <c r="I14" i="9"/>
  <c r="J14" i="9"/>
  <c r="K14" i="9"/>
  <c r="H22" i="9"/>
  <c r="I22" i="9"/>
  <c r="J22" i="9"/>
  <c r="K22" i="9"/>
  <c r="H30" i="9"/>
  <c r="I30" i="9"/>
  <c r="J30" i="9"/>
  <c r="K30" i="9"/>
  <c r="H3" i="6"/>
  <c r="I3" i="6"/>
  <c r="J3" i="6"/>
  <c r="K3" i="6"/>
  <c r="H5" i="6"/>
  <c r="I5" i="6"/>
  <c r="J5" i="6"/>
  <c r="K5" i="6"/>
  <c r="H10" i="6"/>
  <c r="I10" i="6"/>
  <c r="J10" i="6"/>
  <c r="K10" i="6"/>
  <c r="H11" i="6"/>
  <c r="I11" i="6"/>
  <c r="J11" i="6"/>
  <c r="K11" i="6"/>
  <c r="H12" i="6"/>
  <c r="I12" i="6"/>
  <c r="J12" i="6"/>
  <c r="K12" i="6"/>
  <c r="H28" i="6"/>
  <c r="I28" i="6"/>
  <c r="J28" i="6"/>
  <c r="K28" i="6"/>
  <c r="G29" i="6"/>
  <c r="H29" i="6"/>
  <c r="I29" i="6"/>
  <c r="J29" i="6"/>
  <c r="K29" i="6"/>
  <c r="G30" i="6"/>
  <c r="H30" i="6"/>
  <c r="I30" i="6"/>
  <c r="J30" i="6"/>
  <c r="K30" i="6"/>
  <c r="G33" i="6"/>
  <c r="H33" i="6"/>
  <c r="I33" i="6"/>
  <c r="J33" i="6"/>
  <c r="K33" i="6"/>
  <c r="G34" i="6"/>
  <c r="H34" i="6"/>
  <c r="I34" i="6"/>
  <c r="J34" i="6"/>
  <c r="K34" i="6"/>
  <c r="H35" i="6"/>
  <c r="I35" i="6"/>
  <c r="J35" i="6"/>
  <c r="K35" i="6"/>
  <c r="H37" i="6"/>
  <c r="I37" i="6"/>
  <c r="J37" i="6"/>
  <c r="K37" i="6"/>
  <c r="H40" i="6"/>
  <c r="I40" i="6"/>
  <c r="J40" i="6"/>
  <c r="K40" i="6"/>
  <c r="C2" i="2"/>
  <c r="D2" i="2"/>
  <c r="E2" i="2"/>
  <c r="F2" i="2"/>
  <c r="C5" i="2"/>
  <c r="D5" i="2"/>
  <c r="E5" i="2"/>
  <c r="F5" i="2"/>
  <c r="B9" i="2"/>
  <c r="C9" i="2"/>
  <c r="B10" i="2"/>
  <c r="C10" i="2"/>
  <c r="B11" i="2"/>
  <c r="C11" i="2"/>
  <c r="B16" i="2"/>
  <c r="B18" i="2"/>
  <c r="B20" i="2"/>
  <c r="H11" i="4"/>
  <c r="I11" i="4"/>
  <c r="J11" i="4"/>
  <c r="K11" i="4"/>
  <c r="H14" i="4"/>
  <c r="I14" i="4"/>
  <c r="J14" i="4"/>
  <c r="K14" i="4"/>
  <c r="H15" i="4"/>
  <c r="I15" i="4"/>
  <c r="J15" i="4"/>
  <c r="K15" i="4"/>
  <c r="H17" i="4"/>
  <c r="I17" i="4"/>
  <c r="J17" i="4"/>
  <c r="K17" i="4"/>
  <c r="H18" i="4"/>
  <c r="I18" i="4"/>
  <c r="J18" i="4"/>
  <c r="K18" i="4"/>
  <c r="H20" i="4"/>
  <c r="I20" i="4"/>
  <c r="J20" i="4"/>
  <c r="K20" i="4"/>
  <c r="H21" i="4"/>
  <c r="I21" i="4"/>
  <c r="J21" i="4"/>
  <c r="K21" i="4"/>
  <c r="H37" i="4"/>
  <c r="I37" i="4"/>
  <c r="J37" i="4"/>
  <c r="K37" i="4"/>
  <c r="H38" i="4"/>
  <c r="I38" i="4"/>
  <c r="J38" i="4"/>
  <c r="K38" i="4"/>
  <c r="G41" i="4"/>
  <c r="H41" i="4"/>
  <c r="I41" i="4"/>
  <c r="J41" i="4"/>
  <c r="K41" i="4"/>
  <c r="H42" i="4"/>
  <c r="I42" i="4"/>
  <c r="J42" i="4"/>
  <c r="K42" i="4"/>
  <c r="H45" i="4"/>
  <c r="I45" i="4"/>
  <c r="J45" i="4"/>
  <c r="K45" i="4"/>
  <c r="G46" i="4"/>
  <c r="H46" i="4"/>
  <c r="I46" i="4"/>
  <c r="J46" i="4"/>
  <c r="K46" i="4"/>
  <c r="G47" i="4"/>
  <c r="H47" i="4"/>
  <c r="I47" i="4"/>
  <c r="J47" i="4"/>
  <c r="K47" i="4"/>
  <c r="G48" i="4"/>
  <c r="H48" i="4"/>
  <c r="I48" i="4"/>
  <c r="J48" i="4"/>
  <c r="K48" i="4"/>
  <c r="H53" i="4"/>
  <c r="I53" i="4"/>
  <c r="J53" i="4"/>
  <c r="K53" i="4"/>
  <c r="H11" i="13"/>
  <c r="I11" i="13"/>
  <c r="J11" i="13"/>
  <c r="K11" i="13"/>
  <c r="H14" i="13"/>
  <c r="I14" i="13"/>
  <c r="J14" i="13"/>
  <c r="K14" i="13"/>
  <c r="H15" i="13"/>
  <c r="I15" i="13"/>
  <c r="J15" i="13"/>
  <c r="K15" i="13"/>
  <c r="H17" i="13"/>
  <c r="I17" i="13"/>
  <c r="J17" i="13"/>
  <c r="K17" i="13"/>
  <c r="H18" i="13"/>
  <c r="I18" i="13"/>
  <c r="J18" i="13"/>
  <c r="K18" i="13"/>
  <c r="H20" i="13"/>
  <c r="I20" i="13"/>
  <c r="J20" i="13"/>
  <c r="K20" i="13"/>
  <c r="H21" i="13"/>
  <c r="I21" i="13"/>
  <c r="J21" i="13"/>
  <c r="K21" i="13"/>
  <c r="H28" i="13"/>
  <c r="I28" i="13"/>
  <c r="J28" i="13"/>
  <c r="K28" i="13"/>
  <c r="H30" i="13"/>
  <c r="I30" i="13"/>
  <c r="J30" i="13"/>
  <c r="K30" i="13"/>
  <c r="H35" i="13"/>
  <c r="I35" i="13"/>
  <c r="J35" i="13"/>
  <c r="K35" i="13"/>
  <c r="H36" i="13"/>
  <c r="I36" i="13"/>
  <c r="J36" i="13"/>
  <c r="K36" i="13"/>
  <c r="H37" i="13"/>
  <c r="I37" i="13"/>
  <c r="J37" i="13"/>
  <c r="K37" i="13"/>
  <c r="H53" i="13"/>
  <c r="I53" i="13"/>
  <c r="J53" i="13"/>
  <c r="K53" i="13"/>
  <c r="G54" i="13"/>
  <c r="H54" i="13"/>
  <c r="I54" i="13"/>
  <c r="J54" i="13"/>
  <c r="K54" i="13"/>
  <c r="G55" i="13"/>
  <c r="H55" i="13"/>
  <c r="I55" i="13"/>
  <c r="J55" i="13"/>
  <c r="K55" i="13"/>
  <c r="G58" i="13"/>
  <c r="H58" i="13"/>
  <c r="I58" i="13"/>
  <c r="J58" i="13"/>
  <c r="K58" i="13"/>
  <c r="G59" i="13"/>
  <c r="H59" i="13"/>
  <c r="I59" i="13"/>
  <c r="J59" i="13"/>
  <c r="K59" i="13"/>
  <c r="H60" i="13"/>
  <c r="I60" i="13"/>
  <c r="J60" i="13"/>
  <c r="K60" i="13"/>
  <c r="G64" i="13"/>
  <c r="H64" i="13"/>
  <c r="I64" i="13"/>
  <c r="J64" i="13"/>
  <c r="K64" i="13"/>
  <c r="G69" i="13"/>
  <c r="H69" i="13"/>
  <c r="I69" i="13"/>
  <c r="J69" i="13"/>
  <c r="K69" i="13"/>
  <c r="H75" i="13"/>
  <c r="I75" i="13"/>
  <c r="J75" i="13"/>
  <c r="K75" i="13"/>
  <c r="H77" i="13"/>
  <c r="I77" i="13"/>
  <c r="J77" i="13"/>
  <c r="K77" i="13"/>
  <c r="G78" i="13"/>
  <c r="H78" i="13"/>
  <c r="I78" i="13"/>
  <c r="J78" i="13"/>
  <c r="K78" i="13"/>
  <c r="H98" i="13"/>
  <c r="I98" i="13"/>
  <c r="J98" i="13"/>
  <c r="K98" i="13"/>
  <c r="H101" i="13"/>
  <c r="I101" i="13"/>
  <c r="J101" i="13"/>
  <c r="K101" i="13"/>
  <c r="G102" i="13"/>
  <c r="H102" i="13"/>
  <c r="I102" i="13"/>
  <c r="J102" i="13"/>
  <c r="K102" i="13"/>
  <c r="G103" i="13"/>
  <c r="H103" i="13"/>
  <c r="I103" i="13"/>
  <c r="J103" i="13"/>
  <c r="K103" i="13"/>
  <c r="G104" i="13"/>
  <c r="H104" i="13"/>
  <c r="I104" i="13"/>
  <c r="J104" i="13"/>
  <c r="K104" i="13"/>
  <c r="K3" i="14"/>
  <c r="L3" i="14"/>
  <c r="M3" i="14"/>
  <c r="K8" i="14"/>
  <c r="L8" i="14"/>
  <c r="M8" i="14"/>
  <c r="E11" i="14"/>
  <c r="F11" i="14"/>
  <c r="E14" i="14"/>
  <c r="F14" i="14"/>
  <c r="L14" i="14"/>
  <c r="M14" i="14"/>
  <c r="E15" i="14"/>
  <c r="F15" i="14"/>
  <c r="L16" i="14"/>
  <c r="M16" i="14"/>
  <c r="E17" i="14"/>
  <c r="F17" i="14"/>
  <c r="K17" i="14"/>
  <c r="L17" i="14"/>
  <c r="M17" i="14"/>
  <c r="E21" i="14"/>
  <c r="F21" i="14"/>
  <c r="E23" i="14"/>
  <c r="F23" i="14"/>
  <c r="D25" i="14"/>
  <c r="E25" i="14"/>
  <c r="F25" i="14"/>
  <c r="D27" i="14"/>
  <c r="E27" i="14"/>
  <c r="F27" i="14"/>
  <c r="D28" i="14"/>
  <c r="E28" i="14"/>
  <c r="F28" i="14"/>
  <c r="E29" i="14"/>
  <c r="F29" i="14"/>
  <c r="L33" i="14"/>
  <c r="M33" i="14"/>
  <c r="K34" i="14"/>
  <c r="L34" i="14"/>
  <c r="M34" i="14"/>
  <c r="K35" i="14"/>
  <c r="L35" i="14"/>
  <c r="M35" i="14"/>
  <c r="E36" i="14"/>
  <c r="F36" i="14"/>
  <c r="K36" i="14"/>
  <c r="L36" i="14"/>
  <c r="M36" i="14"/>
  <c r="D37" i="14"/>
  <c r="E37" i="14"/>
  <c r="F37" i="14"/>
  <c r="H5" i="11"/>
  <c r="I5" i="11"/>
  <c r="J5" i="11"/>
  <c r="K5" i="11"/>
  <c r="H6" i="11"/>
  <c r="I6" i="11"/>
  <c r="J6" i="11"/>
  <c r="K6" i="11"/>
  <c r="H7" i="11"/>
  <c r="I7" i="11"/>
  <c r="J7" i="11"/>
  <c r="K7" i="11"/>
  <c r="I9" i="11"/>
  <c r="J9" i="11"/>
  <c r="K9" i="11"/>
  <c r="H10" i="11"/>
  <c r="I10" i="11"/>
  <c r="J10" i="11"/>
  <c r="K10" i="11"/>
  <c r="H11" i="11"/>
  <c r="I11" i="11"/>
  <c r="J11" i="11"/>
  <c r="K11" i="11"/>
  <c r="H12" i="11"/>
  <c r="I12" i="11"/>
  <c r="J12" i="11"/>
  <c r="K12" i="11"/>
  <c r="H14" i="11"/>
  <c r="I14" i="11"/>
  <c r="J14" i="11"/>
  <c r="K14" i="11"/>
  <c r="H15" i="11"/>
  <c r="I15" i="11"/>
  <c r="J15" i="11"/>
  <c r="K15" i="11"/>
  <c r="H17" i="11"/>
  <c r="I17" i="11"/>
  <c r="J17" i="11"/>
  <c r="K17" i="11"/>
  <c r="H18" i="11"/>
  <c r="I18" i="11"/>
  <c r="J18" i="11"/>
  <c r="K18" i="11"/>
  <c r="H21" i="11"/>
  <c r="I21" i="11"/>
  <c r="J21" i="11"/>
  <c r="K21" i="11"/>
  <c r="D8" i="15"/>
  <c r="E8" i="15"/>
  <c r="D10" i="15"/>
  <c r="E10" i="15"/>
  <c r="D11" i="15"/>
  <c r="E11" i="15"/>
  <c r="D12" i="15"/>
  <c r="E12" i="15"/>
  <c r="D14" i="15"/>
  <c r="E14" i="15"/>
  <c r="D17" i="15"/>
  <c r="E17" i="15"/>
  <c r="D22" i="15"/>
  <c r="E22" i="15"/>
  <c r="C24" i="15"/>
  <c r="D24" i="15"/>
  <c r="E24" i="15"/>
  <c r="D26" i="15"/>
  <c r="E26" i="15"/>
  <c r="C27" i="15"/>
  <c r="D27" i="15"/>
  <c r="E27" i="15"/>
  <c r="D29" i="15"/>
  <c r="E29" i="15"/>
  <c r="D30" i="15"/>
  <c r="E30" i="15"/>
  <c r="C32" i="15"/>
  <c r="D32" i="15"/>
  <c r="E32" i="15"/>
  <c r="C33" i="15"/>
  <c r="D33" i="15"/>
  <c r="E33" i="15"/>
  <c r="C34" i="15"/>
  <c r="D34" i="15"/>
  <c r="E34" i="15"/>
  <c r="D35" i="15"/>
  <c r="E35" i="15"/>
  <c r="D40" i="15"/>
  <c r="E40" i="15"/>
  <c r="B41" i="15"/>
  <c r="B42" i="15"/>
  <c r="B47" i="15"/>
  <c r="B48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FiMo Copilot</author>
  </authors>
  <commentList>
    <comment ref="G27" authorId="0" shapeId="0" xr:uid="{00000000-0006-0000-0800-000001000000}">
      <text>
        <r>
          <rPr>
            <sz val="11"/>
            <color theme="1"/>
            <rFont val="宋体"/>
            <family val="2"/>
            <scheme val="minor"/>
          </rPr>
          <t>Should be negative value</t>
        </r>
      </text>
    </comment>
  </commentList>
</comments>
</file>

<file path=xl/sharedStrings.xml><?xml version="1.0" encoding="utf-8"?>
<sst xmlns="http://schemas.openxmlformats.org/spreadsheetml/2006/main" count="595" uniqueCount="305">
  <si>
    <t>关键信息和假设</t>
  </si>
  <si>
    <t>股票代码</t>
  </si>
  <si>
    <t>03393.HK</t>
  </si>
  <si>
    <t>公司名称</t>
  </si>
  <si>
    <t>Wasion Holdings Limited</t>
  </si>
  <si>
    <t>国家或地区</t>
  </si>
  <si>
    <t>HK</t>
  </si>
  <si>
    <t>交易所</t>
  </si>
  <si>
    <t>HKSE</t>
  </si>
  <si>
    <t>行业</t>
  </si>
  <si>
    <t>Industrials</t>
  </si>
  <si>
    <t>子行业</t>
  </si>
  <si>
    <t>Electrical Equipment &amp; Parts</t>
  </si>
  <si>
    <t>期间</t>
  </si>
  <si>
    <t>Annual Reports</t>
  </si>
  <si>
    <t>历史数据期间</t>
  </si>
  <si>
    <t>估算期间</t>
  </si>
  <si>
    <t>终端增长率</t>
  </si>
  <si>
    <t>终端息税折旧摊销前利润倍数</t>
  </si>
  <si>
    <t>报告单位</t>
  </si>
  <si>
    <t>加权平均资本成本  (WACC)  计算</t>
  </si>
  <si>
    <t>无风险利率</t>
  </si>
  <si>
    <t>无风险利率的溢价</t>
  </si>
  <si>
    <t>税前债务成本</t>
  </si>
  <si>
    <t>边际税率</t>
  </si>
  <si>
    <t>税后债务成本</t>
  </si>
  <si>
    <t>贝塔系数</t>
  </si>
  <si>
    <t>市场风险溢价</t>
  </si>
  <si>
    <t>其他风险溢价</t>
  </si>
  <si>
    <t>股权成本</t>
  </si>
  <si>
    <t>总债务价值</t>
  </si>
  <si>
    <t>权益市场价值</t>
  </si>
  <si>
    <t>总资本</t>
  </si>
  <si>
    <t>债务权重</t>
  </si>
  <si>
    <t>股权权重</t>
  </si>
  <si>
    <t>加权平均资本成本 (WACC)</t>
  </si>
  <si>
    <t>FY2026E</t>
  </si>
  <si>
    <t>FY2027E</t>
  </si>
  <si>
    <t>FY2028E</t>
  </si>
  <si>
    <t>FY2029E</t>
  </si>
  <si>
    <t>FY2030E</t>
  </si>
  <si>
    <t>自由现金流</t>
  </si>
  <si>
    <t>折现期</t>
  </si>
  <si>
    <t>折现因子</t>
  </si>
  <si>
    <t>自由现金流的现值</t>
  </si>
  <si>
    <t>财报货币/股票货币 (CNY/HKD)</t>
  </si>
  <si>
    <t>企业价值到股权价值的转换 - 换算成股票货币HKD</t>
  </si>
  <si>
    <t>终端增长率法</t>
  </si>
  <si>
    <t>息税折旧摊销前利润倍数 (EBITDA Multiples)</t>
  </si>
  <si>
    <t>自由现金流的现值总和</t>
  </si>
  <si>
    <t>终端价值的现值</t>
  </si>
  <si>
    <t>企业价值</t>
  </si>
  <si>
    <t xml:space="preserve"> - 总债务</t>
  </si>
  <si>
    <t xml:space="preserve"> - 优先股</t>
  </si>
  <si>
    <t xml:space="preserve"> - 少数股东权益</t>
  </si>
  <si>
    <t xml:space="preserve"> + 现金及现金等价物</t>
  </si>
  <si>
    <t>隐含股权价值</t>
  </si>
  <si>
    <t>加权平均流通股数</t>
  </si>
  <si>
    <t>隐含每股股权价值</t>
  </si>
  <si>
    <t>当前股价 at 2026-03-31 15:23:53</t>
  </si>
  <si>
    <t>涨幅/跌幅</t>
  </si>
  <si>
    <t>FY2021A</t>
  </si>
  <si>
    <t>FY2022A</t>
  </si>
  <si>
    <t>FY2023A</t>
  </si>
  <si>
    <t>FY2024A</t>
  </si>
  <si>
    <t>FY2025A</t>
  </si>
  <si>
    <t>损益表</t>
  </si>
  <si>
    <t>营业收入</t>
  </si>
  <si>
    <t>销售成本</t>
  </si>
  <si>
    <t>研究与开发费用</t>
  </si>
  <si>
    <t>一般和行政费用</t>
  </si>
  <si>
    <t>销售和营销费用</t>
  </si>
  <si>
    <t>其他营业成本</t>
  </si>
  <si>
    <t>营业利润</t>
  </si>
  <si>
    <t>利息费用 (净值)</t>
  </si>
  <si>
    <t>其他业务收入 (成本)</t>
  </si>
  <si>
    <t>税前利润</t>
  </si>
  <si>
    <t>所得税费用</t>
  </si>
  <si>
    <t>净利润</t>
  </si>
  <si>
    <t>归属于母公司股东的净利润</t>
  </si>
  <si>
    <t>少数股东损益</t>
  </si>
  <si>
    <t>每股收益</t>
  </si>
  <si>
    <t>摊薄每股收益</t>
  </si>
  <si>
    <t>摊薄加权平均流通股数</t>
  </si>
  <si>
    <t>利润率和增长驱动因素分析</t>
  </si>
  <si>
    <t>收入增长率</t>
  </si>
  <si>
    <t>毛利率</t>
  </si>
  <si>
    <t>研发费用占销售额的百分比</t>
  </si>
  <si>
    <t>一般和行政费用占销售额的百分比</t>
  </si>
  <si>
    <t>销售和营销费用占销售额的百分比</t>
  </si>
  <si>
    <t>其他营业成本占销售额的百分比</t>
  </si>
  <si>
    <t>折旧和摊销</t>
  </si>
  <si>
    <t>折旧和摊销占销售额的百分比</t>
  </si>
  <si>
    <t>息税折旧摊销前利润 (EBITDA)</t>
  </si>
  <si>
    <t>息税折旧摊销前利润率 (EBITDA Margin)</t>
  </si>
  <si>
    <t>营业利润率</t>
  </si>
  <si>
    <t>税前利润率</t>
  </si>
  <si>
    <t>净利润率</t>
  </si>
  <si>
    <t>其他损益表假设</t>
  </si>
  <si>
    <t>净利息费用比率</t>
  </si>
  <si>
    <t>有效税率</t>
  </si>
  <si>
    <t>杜邦分析</t>
  </si>
  <si>
    <t>股本回报率 (ROE)</t>
  </si>
  <si>
    <t>资产周转率</t>
  </si>
  <si>
    <t>权益乘数</t>
  </si>
  <si>
    <t>资产回报率 (ROA)</t>
  </si>
  <si>
    <t>用于计算</t>
  </si>
  <si>
    <t>营业成本</t>
  </si>
  <si>
    <t>毛利</t>
  </si>
  <si>
    <t>资产负债表</t>
  </si>
  <si>
    <t>现金及现金等价物</t>
  </si>
  <si>
    <t>短期投资</t>
  </si>
  <si>
    <t>应收款 (净值)</t>
  </si>
  <si>
    <t>存货</t>
  </si>
  <si>
    <t>其他流动资产</t>
  </si>
  <si>
    <t>流动资产总额</t>
  </si>
  <si>
    <t>物业、厂房及设备 (净值)</t>
  </si>
  <si>
    <t>商誉</t>
  </si>
  <si>
    <t>无形资产</t>
  </si>
  <si>
    <t>长期投资</t>
  </si>
  <si>
    <t>递延税资产</t>
  </si>
  <si>
    <t>其他非流动资产</t>
  </si>
  <si>
    <t>非流动资产总额</t>
  </si>
  <si>
    <t>资产总额</t>
  </si>
  <si>
    <t>应付账款</t>
  </si>
  <si>
    <t>短期债务</t>
  </si>
  <si>
    <t>应交税金</t>
  </si>
  <si>
    <t>递延收入</t>
  </si>
  <si>
    <t>其他流动负债</t>
  </si>
  <si>
    <t>流动负债总额</t>
  </si>
  <si>
    <t>长期债务</t>
  </si>
  <si>
    <t>递延收入非流动部分</t>
  </si>
  <si>
    <t>递延税负债</t>
  </si>
  <si>
    <t>租赁负债</t>
  </si>
  <si>
    <t>其他非流动负债</t>
  </si>
  <si>
    <t>非流动负债总额</t>
  </si>
  <si>
    <t>负债总额</t>
  </si>
  <si>
    <t>实收资本</t>
  </si>
  <si>
    <t>资本公积</t>
  </si>
  <si>
    <t>优先股</t>
  </si>
  <si>
    <t>留存收益</t>
  </si>
  <si>
    <t>累计其他综合收益 (亏损)</t>
  </si>
  <si>
    <t>其他股东权益总额</t>
  </si>
  <si>
    <t>股东权益总额</t>
  </si>
  <si>
    <t>少数股东权益</t>
  </si>
  <si>
    <t>权益总额</t>
  </si>
  <si>
    <t>负债和权益总额</t>
  </si>
  <si>
    <t>应收账款周转天数</t>
  </si>
  <si>
    <t>存货周转天数</t>
  </si>
  <si>
    <t>应付账款周转天数</t>
  </si>
  <si>
    <t>现金转换周期</t>
  </si>
  <si>
    <t>利润率分析</t>
  </si>
  <si>
    <t>无形资产占销售额的百分比</t>
  </si>
  <si>
    <t>长期投资占销售额的百分比</t>
  </si>
  <si>
    <t>长期债务占销售额的百分比</t>
  </si>
  <si>
    <t>递延收入占销售额的百分比</t>
  </si>
  <si>
    <t>少数股东权益占总权益的百分比</t>
  </si>
  <si>
    <t>其他流动资产占收入的比率</t>
  </si>
  <si>
    <t>其他非流动资产占销售额的百分比</t>
  </si>
  <si>
    <t>其他流动负债占营业成本的百分比</t>
  </si>
  <si>
    <t>其他非流动负债占营业成本的百分比</t>
  </si>
  <si>
    <t>总投资</t>
  </si>
  <si>
    <t>总债务</t>
  </si>
  <si>
    <t>净负债</t>
  </si>
  <si>
    <t>现金流量表</t>
  </si>
  <si>
    <t>应收账款变动</t>
  </si>
  <si>
    <t>存货变动</t>
  </si>
  <si>
    <t>应付账款变动</t>
  </si>
  <si>
    <t>其他营运资金变动</t>
  </si>
  <si>
    <t>其他非现金项目</t>
  </si>
  <si>
    <t>缴纳税金</t>
  </si>
  <si>
    <t>经营活动提供的净现金</t>
  </si>
  <si>
    <t>投资购买</t>
  </si>
  <si>
    <t>投资销售/到期</t>
  </si>
  <si>
    <t>物业、厂房及设备的资本支出</t>
  </si>
  <si>
    <t>物业、厂房及设备的销售</t>
  </si>
  <si>
    <t>无形资产的资本支出</t>
  </si>
  <si>
    <t>无形资产的销售</t>
  </si>
  <si>
    <t>并购 (净值)</t>
  </si>
  <si>
    <t>其他投资活动</t>
  </si>
  <si>
    <t>投资活动使用的净现金</t>
  </si>
  <si>
    <t>发行新债</t>
  </si>
  <si>
    <t>偿还债务</t>
  </si>
  <si>
    <t>发行普通股</t>
  </si>
  <si>
    <t>回购普通股</t>
  </si>
  <si>
    <t>支付的股息</t>
  </si>
  <si>
    <t>其他筹资活动</t>
  </si>
  <si>
    <t>筹资活动提供的净现金</t>
  </si>
  <si>
    <t>外汇变动对现金的影响</t>
  </si>
  <si>
    <t>现金净变化</t>
  </si>
  <si>
    <t>期末现金</t>
  </si>
  <si>
    <t>期初现金</t>
  </si>
  <si>
    <t>现金流假设</t>
  </si>
  <si>
    <t>支付的股息占净利润的百分比</t>
  </si>
  <si>
    <t>物业、厂房及设备资本支出占收入的比率</t>
  </si>
  <si>
    <t>无形资产资本支出占收入的比率</t>
  </si>
  <si>
    <t>Revise in Key Info &amp; Assumptions sheet-&gt;</t>
  </si>
  <si>
    <t>总债务成本</t>
  </si>
  <si>
    <t>储蓄率</t>
  </si>
  <si>
    <t>最低现金余额</t>
  </si>
  <si>
    <t>短期投资的变动</t>
  </si>
  <si>
    <t>长期投资的变动</t>
  </si>
  <si>
    <t>利息收入</t>
  </si>
  <si>
    <t>短期债务的变动</t>
  </si>
  <si>
    <t>长期债务的变动</t>
  </si>
  <si>
    <t>利息费用</t>
  </si>
  <si>
    <t>普通股的平均价格</t>
  </si>
  <si>
    <t>债务股本比率</t>
  </si>
  <si>
    <t>现有物业、厂房及设备的预计折旧期</t>
  </si>
  <si>
    <t>现有物业、厂房及设备的折旧率</t>
  </si>
  <si>
    <t>现有物业、厂房及设备的账面价值</t>
  </si>
  <si>
    <t>出售物业、厂房及设备的收益</t>
  </si>
  <si>
    <t>出售物业、厂房及设备的残值</t>
  </si>
  <si>
    <t>处置物业、厂房及设备的损益</t>
  </si>
  <si>
    <t>现有物业、厂房及设备的折旧</t>
  </si>
  <si>
    <t>新物业、厂房及设备的预计折旧期</t>
  </si>
  <si>
    <t>新物业、厂房及设备的折旧率</t>
  </si>
  <si>
    <t>新购物业、厂房及设备的第1年折旧</t>
  </si>
  <si>
    <t>新购物业、厂房及设备的第2年折旧</t>
  </si>
  <si>
    <t>新购物业、厂房及设备的第3年折旧</t>
  </si>
  <si>
    <t>新购物业、厂房及设备的第4年折旧</t>
  </si>
  <si>
    <t>新购物业、厂房及设备的第5年折旧</t>
  </si>
  <si>
    <t>物业、厂房及设备的总折旧</t>
  </si>
  <si>
    <t>现有无形资产的预计摊销期</t>
  </si>
  <si>
    <t>现有无形资产的摊销率</t>
  </si>
  <si>
    <t>现有无形资产的账面价值</t>
  </si>
  <si>
    <t>出售无形资产的收益</t>
  </si>
  <si>
    <t>出售无形资产的残值</t>
  </si>
  <si>
    <t>处置无形资产的损益</t>
  </si>
  <si>
    <t>现有无形资产的摊销</t>
  </si>
  <si>
    <t>新无形资产的预计摊销期</t>
  </si>
  <si>
    <t>新无形资产的摊销率</t>
  </si>
  <si>
    <t>新购无形资产的第1年摊销</t>
  </si>
  <si>
    <t>新购无形资产的第2年摊销</t>
  </si>
  <si>
    <t>新购无形资产的第3年摊销</t>
  </si>
  <si>
    <t>新购无形资产的第4年摊销</t>
  </si>
  <si>
    <t>新购无形资产的第5年摊销</t>
  </si>
  <si>
    <t>无形资产的总摊销</t>
  </si>
  <si>
    <t>净经营亏损(NOLs)结转率</t>
  </si>
  <si>
    <t>期初净经营亏损(NOLs)</t>
  </si>
  <si>
    <t>产生的净经营亏损(NOLs)</t>
  </si>
  <si>
    <t>利用的净经营亏损(NOLs)</t>
  </si>
  <si>
    <t>期末净经营亏损(NOLs)</t>
  </si>
  <si>
    <t>应税收入</t>
  </si>
  <si>
    <t>应付税款</t>
  </si>
  <si>
    <t>递延税资产的变动</t>
  </si>
  <si>
    <t>递延税负债的变动</t>
  </si>
  <si>
    <r>
      <rPr>
        <sz val="9"/>
        <color rgb="FF000000"/>
        <rFont val="宋体"/>
        <family val="2"/>
        <charset val="134"/>
      </rPr>
      <t>数字能源服务商</t>
    </r>
    <r>
      <rPr>
        <sz val="9"/>
        <color rgb="FF000000"/>
        <rFont val="等线"/>
        <family val="2"/>
        <charset val="134"/>
      </rPr>
      <t>增长率</t>
    </r>
    <phoneticPr fontId="11" type="noConversion"/>
  </si>
  <si>
    <r>
      <rPr>
        <sz val="9"/>
        <color rgb="FF000000"/>
        <rFont val="等线"/>
        <family val="2"/>
        <charset val="134"/>
      </rPr>
      <t>数智能效管理解决方案（原通讯及流体智能计量）</t>
    </r>
    <phoneticPr fontId="11" type="noConversion"/>
  </si>
  <si>
    <r>
      <rPr>
        <sz val="9"/>
        <color rgb="FF000000"/>
        <rFont val="等线"/>
        <family val="2"/>
        <charset val="134"/>
      </rPr>
      <t>数智能效管理解决方案增长率</t>
    </r>
    <phoneticPr fontId="11" type="noConversion"/>
  </si>
  <si>
    <r>
      <rPr>
        <sz val="9"/>
        <color rgb="FF000000"/>
        <rFont val="等线"/>
        <family val="2"/>
        <charset val="134"/>
      </rPr>
      <t>智能电网解决方案（原电智能计量）</t>
    </r>
    <phoneticPr fontId="11" type="noConversion"/>
  </si>
  <si>
    <r>
      <rPr>
        <sz val="9"/>
        <color rgb="FF000000"/>
        <rFont val="等线"/>
        <family val="2"/>
        <charset val="134"/>
      </rPr>
      <t>智能电网解决方案增长率</t>
    </r>
    <phoneticPr fontId="11" type="noConversion"/>
  </si>
  <si>
    <r>
      <rPr>
        <sz val="9"/>
        <color rgb="FF000000"/>
        <rFont val="宋体"/>
        <family val="2"/>
        <charset val="134"/>
      </rPr>
      <t>数字能源服务商（原智能配用电）</t>
    </r>
    <phoneticPr fontId="11" type="noConversion"/>
  </si>
  <si>
    <t>03393.HK in Millions CNY</t>
  </si>
  <si>
    <t>Code</t>
  </si>
  <si>
    <t>Please enter the ticker in B1, e.g. 700 HK</t>
  </si>
  <si>
    <t>Last annual report</t>
  </si>
  <si>
    <t>Please enter the date in B2, e.g. 2020/3/31</t>
  </si>
  <si>
    <t>Start year</t>
  </si>
  <si>
    <t>Currency</t>
  </si>
  <si>
    <t>Unit</t>
  </si>
  <si>
    <t>mn</t>
  </si>
  <si>
    <t>P&amp;L</t>
  </si>
  <si>
    <t>Revenue</t>
  </si>
  <si>
    <t>(+/-)</t>
  </si>
  <si>
    <t>Net profit</t>
  </si>
  <si>
    <t>GPM</t>
  </si>
  <si>
    <t>e.g.  50.5%</t>
  </si>
  <si>
    <t>ROE</t>
  </si>
  <si>
    <t>EBITDA</t>
  </si>
  <si>
    <t>EBIT</t>
  </si>
  <si>
    <t>Interest Revenue</t>
  </si>
  <si>
    <t>Interest Expense</t>
  </si>
  <si>
    <t>-</t>
  </si>
  <si>
    <t>Operating Profit</t>
  </si>
  <si>
    <t>Gross Profit</t>
  </si>
  <si>
    <t>Depreciation</t>
  </si>
  <si>
    <t>Pre-Tax Profit</t>
  </si>
  <si>
    <t>Balance Sheet</t>
  </si>
  <si>
    <t>Total Assets</t>
  </si>
  <si>
    <t>Total Liabilities</t>
  </si>
  <si>
    <t>Shareholder Equity</t>
  </si>
  <si>
    <t>Total Equity</t>
  </si>
  <si>
    <t>Cash Flow</t>
  </si>
  <si>
    <t>Profit before tax</t>
  </si>
  <si>
    <t>Net Cash from operations</t>
  </si>
  <si>
    <t>Net Cash from investment activity</t>
  </si>
  <si>
    <t>Net Cash from financing activity</t>
  </si>
  <si>
    <t>Net change in Cash</t>
  </si>
  <si>
    <t>Implied cash at end of period</t>
  </si>
  <si>
    <t>Free Cash Flow</t>
  </si>
  <si>
    <t>EPS</t>
  </si>
  <si>
    <t>EPS1</t>
  </si>
  <si>
    <t>EPS2</t>
  </si>
  <si>
    <t>v2</t>
  </si>
  <si>
    <t>modeltype</t>
  </si>
  <si>
    <t>code</t>
  </si>
  <si>
    <t>smdrmb</t>
  </si>
  <si>
    <t>Supported format: Link and paste as value</t>
  </si>
  <si>
    <t>3393.HK</t>
    <phoneticPr fontId="11" type="noConversion"/>
  </si>
  <si>
    <t>Rmb</t>
  </si>
  <si>
    <r>
      <rPr>
        <sz val="9"/>
        <color rgb="FF000000"/>
        <rFont val="宋体"/>
        <family val="2"/>
      </rPr>
      <t>净利增长率</t>
    </r>
    <phoneticPr fontId="11" type="noConversion"/>
  </si>
  <si>
    <t>EBIT</t>
    <phoneticPr fontId="11" type="noConversion"/>
  </si>
  <si>
    <t>03393.HK in Millions CNY</t>
    <phoneticPr fontId="11" type="noConversion"/>
  </si>
  <si>
    <t>财务比例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</si>
</sst>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 * #,##0_ ;_ * \(#,##0\)_ ;_ * &quot;-&quot;_ ;_ @_ "/>
    <numFmt numFmtId="177" formatCode="#,##0.0\x_)"/>
    <numFmt numFmtId="178" formatCode="###,##0"/>
    <numFmt numFmtId="179" formatCode="###,##0.00"/>
    <numFmt numFmtId="180" formatCode="[&lt;0]\(0.0%\);0.0%"/>
    <numFmt numFmtId="181" formatCode="yyyy/mm/dd"/>
    <numFmt numFmtId="182" formatCode="0.0%"/>
    <numFmt numFmtId="183" formatCode="[&gt;=100]##,##0;[&lt;=-100]\-##,##0;0.00"/>
    <numFmt numFmtId="184" formatCode="_(* #,##0.00_);_(* \(#,##0.00\);_(* &quot;-&quot;??_);_(@_)"/>
    <numFmt numFmtId="185" formatCode="#,##0.00_);\(#,##0.00\)"/>
  </numFmts>
  <fonts count="27" x14ac:knownFonts="1">
    <font>
      <sz val="11"/>
      <color theme="1"/>
      <name val="宋体"/>
      <family val="2"/>
      <scheme val="minor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u/>
      <sz val="9"/>
      <color rgb="FF0000FF"/>
      <name val="Arial"/>
      <family val="2"/>
    </font>
    <font>
      <b/>
      <sz val="9"/>
      <color rgb="FF0000FF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C00000"/>
      <name val="Arial"/>
      <family val="2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rgb="FF000000"/>
      <name val="等线"/>
      <family val="2"/>
      <charset val="134"/>
    </font>
    <font>
      <sz val="9"/>
      <color rgb="FF000000"/>
      <name val="宋体"/>
      <family val="2"/>
      <charset val="134"/>
    </font>
    <font>
      <sz val="9"/>
      <color rgb="FF474762"/>
      <name val="Arial"/>
      <family val="2"/>
    </font>
    <font>
      <sz val="11"/>
      <color rgb="FF000000"/>
      <name val="宋体"/>
      <family val="2"/>
      <scheme val="minor"/>
    </font>
    <font>
      <sz val="10"/>
      <name val="宋体"/>
      <family val="3"/>
      <charset val="134"/>
    </font>
    <font>
      <sz val="10"/>
      <name val="Times New Roman"/>
      <family val="1"/>
    </font>
    <font>
      <sz val="10"/>
      <color rgb="FF000000"/>
      <name val="Calibri"/>
      <family val="2"/>
    </font>
    <font>
      <sz val="10"/>
      <name val="Arial"/>
      <family val="2"/>
    </font>
    <font>
      <sz val="10"/>
      <name val="Calibri"/>
      <family val="2"/>
    </font>
    <font>
      <i/>
      <sz val="10"/>
      <color rgb="FF000000"/>
      <name val="Calibri"/>
      <family val="2"/>
    </font>
    <font>
      <sz val="9"/>
      <color rgb="FF000000"/>
      <name val="宋体"/>
      <family val="2"/>
    </font>
    <font>
      <sz val="9"/>
      <color rgb="FFFF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000000"/>
      <name val="等线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rgb="FF1F4E78"/>
      </patternFill>
    </fill>
    <fill>
      <patternFill patternType="solid">
        <fgColor rgb="FFDBDBDB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dashed">
        <color rgb="FFAEAAAA"/>
      </left>
      <right style="dashed">
        <color rgb="FFAEAAAA"/>
      </right>
      <top style="dashed">
        <color rgb="FFAEAAAA"/>
      </top>
      <bottom style="dashed">
        <color rgb="FFAEAAAA"/>
      </bottom>
      <diagonal/>
    </border>
    <border>
      <left/>
      <right/>
      <top style="dashed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7">
    <xf numFmtId="0" fontId="0" fillId="0" borderId="0"/>
    <xf numFmtId="180" fontId="1" fillId="2" borderId="1">
      <alignment horizontal="right" vertical="center"/>
    </xf>
    <xf numFmtId="180" fontId="2" fillId="3" borderId="2">
      <alignment horizontal="right" vertical="center"/>
    </xf>
    <xf numFmtId="2" fontId="1" fillId="2" borderId="1">
      <alignment horizontal="right" vertical="center"/>
    </xf>
    <xf numFmtId="2" fontId="2" fillId="3" borderId="2">
      <alignment horizontal="right" vertical="center"/>
    </xf>
    <xf numFmtId="176" fontId="1" fillId="2" borderId="1">
      <alignment horizontal="left" vertical="center"/>
    </xf>
    <xf numFmtId="176" fontId="1" fillId="2" borderId="3">
      <alignment horizontal="left" vertical="center" indent="1"/>
    </xf>
    <xf numFmtId="0" fontId="3" fillId="4" borderId="4">
      <alignment horizontal="center" vertical="center"/>
    </xf>
    <xf numFmtId="0" fontId="4" fillId="5" borderId="4">
      <alignment horizontal="left" vertical="center"/>
    </xf>
    <xf numFmtId="0" fontId="5" fillId="2" borderId="1">
      <alignment horizontal="left" vertical="center"/>
    </xf>
    <xf numFmtId="176" fontId="1" fillId="2" borderId="5">
      <alignment horizontal="left" vertical="center" indent="1"/>
    </xf>
    <xf numFmtId="9" fontId="10" fillId="0" borderId="0" applyFont="0" applyFill="0" applyBorder="0" applyAlignment="0" applyProtection="0">
      <alignment vertical="center"/>
    </xf>
    <xf numFmtId="0" fontId="15" fillId="0" borderId="1"/>
    <xf numFmtId="9" fontId="10" fillId="0" borderId="1" applyFont="0" applyFill="0" applyBorder="0" applyAlignment="0" applyProtection="0"/>
    <xf numFmtId="184" fontId="10" fillId="0" borderId="1" applyFont="0" applyFill="0" applyBorder="0" applyAlignment="0" applyProtection="0"/>
    <xf numFmtId="0" fontId="19" fillId="0" borderId="1"/>
    <xf numFmtId="184" fontId="19" fillId="0" borderId="1" applyFont="0" applyFill="0" applyBorder="0" applyAlignment="0" applyProtection="0">
      <alignment vertical="center"/>
    </xf>
  </cellStyleXfs>
  <cellXfs count="94">
    <xf numFmtId="0" fontId="0" fillId="0" borderId="0" xfId="0"/>
    <xf numFmtId="0" fontId="3" fillId="4" borderId="4" xfId="7">
      <alignment horizontal="center" vertical="center"/>
    </xf>
    <xf numFmtId="176" fontId="1" fillId="2" borderId="1" xfId="5">
      <alignment horizontal="left" vertical="center"/>
    </xf>
    <xf numFmtId="0" fontId="1" fillId="2" borderId="1" xfId="5" applyNumberFormat="1" applyAlignment="1">
      <alignment horizontal="right" vertical="center"/>
    </xf>
    <xf numFmtId="1" fontId="1" fillId="2" borderId="1" xfId="5" applyNumberFormat="1" applyAlignment="1">
      <alignment horizontal="right" vertical="center"/>
    </xf>
    <xf numFmtId="10" fontId="2" fillId="3" borderId="2" xfId="2" applyNumberFormat="1">
      <alignment horizontal="right" vertical="center"/>
    </xf>
    <xf numFmtId="177" fontId="2" fillId="3" borderId="2" xfId="2" applyNumberFormat="1">
      <alignment horizontal="right" vertical="center"/>
    </xf>
    <xf numFmtId="178" fontId="2" fillId="3" borderId="2" xfId="2" applyNumberFormat="1">
      <alignment horizontal="right" vertical="center"/>
    </xf>
    <xf numFmtId="10" fontId="1" fillId="2" borderId="1" xfId="5" applyNumberFormat="1" applyAlignment="1">
      <alignment horizontal="right" vertical="center"/>
    </xf>
    <xf numFmtId="176" fontId="1" fillId="2" borderId="3" xfId="6">
      <alignment horizontal="left" vertical="center" indent="1"/>
    </xf>
    <xf numFmtId="10" fontId="1" fillId="2" borderId="3" xfId="6" applyNumberFormat="1" applyAlignment="1">
      <alignment horizontal="right" vertical="center"/>
    </xf>
    <xf numFmtId="179" fontId="2" fillId="3" borderId="2" xfId="2" applyNumberFormat="1">
      <alignment horizontal="right" vertical="center"/>
    </xf>
    <xf numFmtId="178" fontId="1" fillId="2" borderId="1" xfId="5" applyNumberFormat="1" applyAlignment="1">
      <alignment horizontal="right" vertical="center"/>
    </xf>
    <xf numFmtId="176" fontId="1" fillId="2" borderId="1" xfId="5" applyAlignment="1">
      <alignment horizontal="right" vertical="center"/>
    </xf>
    <xf numFmtId="180" fontId="1" fillId="2" borderId="1" xfId="5" applyNumberFormat="1" applyAlignment="1">
      <alignment horizontal="right" vertical="center"/>
    </xf>
    <xf numFmtId="176" fontId="1" fillId="2" borderId="3" xfId="6" applyAlignment="1">
      <alignment horizontal="right" vertical="center"/>
    </xf>
    <xf numFmtId="0" fontId="0" fillId="2" borderId="0" xfId="0" applyFill="1"/>
    <xf numFmtId="2" fontId="1" fillId="2" borderId="1" xfId="5" applyNumberFormat="1" applyAlignment="1">
      <alignment horizontal="right" vertical="center"/>
    </xf>
    <xf numFmtId="0" fontId="4" fillId="5" borderId="4" xfId="8">
      <alignment horizontal="left" vertical="center"/>
    </xf>
    <xf numFmtId="0" fontId="4" fillId="5" borderId="4" xfId="8" applyAlignment="1">
      <alignment horizontal="right" vertical="center"/>
    </xf>
    <xf numFmtId="180" fontId="1" fillId="2" borderId="1" xfId="5" applyNumberFormat="1" applyAlignment="1">
      <alignment horizontal="center" vertical="center"/>
    </xf>
    <xf numFmtId="180" fontId="1" fillId="2" borderId="3" xfId="6" applyNumberFormat="1" applyAlignment="1">
      <alignment horizontal="center" vertical="center"/>
    </xf>
    <xf numFmtId="176" fontId="4" fillId="2" borderId="1" xfId="5" applyFont="1">
      <alignment horizontal="left" vertical="center"/>
    </xf>
    <xf numFmtId="176" fontId="6" fillId="2" borderId="1" xfId="5" applyFont="1">
      <alignment horizontal="left" vertical="center"/>
    </xf>
    <xf numFmtId="176" fontId="1" fillId="2" borderId="1" xfId="5" applyAlignment="1">
      <alignment horizontal="left" vertical="center" indent="1"/>
    </xf>
    <xf numFmtId="176" fontId="7" fillId="2" borderId="1" xfId="5" applyFont="1">
      <alignment horizontal="left" vertical="center"/>
    </xf>
    <xf numFmtId="176" fontId="8" fillId="2" borderId="1" xfId="5" applyFont="1">
      <alignment horizontal="left" vertical="center"/>
    </xf>
    <xf numFmtId="176" fontId="4" fillId="2" borderId="5" xfId="10" applyFont="1">
      <alignment horizontal="left" vertical="center" indent="1"/>
    </xf>
    <xf numFmtId="176" fontId="6" fillId="2" borderId="5" xfId="10" applyFont="1">
      <alignment horizontal="left" vertical="center" indent="1"/>
    </xf>
    <xf numFmtId="2" fontId="7" fillId="2" borderId="1" xfId="5" applyNumberFormat="1" applyFont="1" applyAlignment="1">
      <alignment horizontal="right" vertical="center"/>
    </xf>
    <xf numFmtId="180" fontId="1" fillId="2" borderId="1" xfId="1">
      <alignment horizontal="right" vertical="center"/>
    </xf>
    <xf numFmtId="180" fontId="2" fillId="3" borderId="2" xfId="2">
      <alignment horizontal="right" vertical="center"/>
    </xf>
    <xf numFmtId="2" fontId="1" fillId="2" borderId="1" xfId="3">
      <alignment horizontal="right" vertical="center"/>
    </xf>
    <xf numFmtId="176" fontId="4" fillId="2" borderId="3" xfId="6" applyFont="1">
      <alignment horizontal="left" vertical="center" indent="1"/>
    </xf>
    <xf numFmtId="176" fontId="6" fillId="2" borderId="3" xfId="6" applyFont="1">
      <alignment horizontal="left" vertical="center" indent="1"/>
    </xf>
    <xf numFmtId="2" fontId="2" fillId="3" borderId="2" xfId="4">
      <alignment horizontal="right" vertical="center"/>
    </xf>
    <xf numFmtId="180" fontId="9" fillId="2" borderId="1" xfId="1" applyFont="1">
      <alignment horizontal="right" vertical="center"/>
    </xf>
    <xf numFmtId="176" fontId="9" fillId="2" borderId="1" xfId="5" applyFont="1">
      <alignment horizontal="left" vertical="center"/>
    </xf>
    <xf numFmtId="0" fontId="5" fillId="2" borderId="1" xfId="9">
      <alignment horizontal="left" vertical="center"/>
    </xf>
    <xf numFmtId="176" fontId="2" fillId="3" borderId="2" xfId="4" applyNumberFormat="1">
      <alignment horizontal="right" vertical="center"/>
    </xf>
    <xf numFmtId="180" fontId="8" fillId="2" borderId="1" xfId="1" applyFont="1">
      <alignment horizontal="right" vertical="center"/>
    </xf>
    <xf numFmtId="176" fontId="1" fillId="2" borderId="1" xfId="3" applyNumberFormat="1">
      <alignment horizontal="right" vertical="center"/>
    </xf>
    <xf numFmtId="180" fontId="2" fillId="6" borderId="1" xfId="2" applyFill="1" applyBorder="1">
      <alignment horizontal="right" vertical="center"/>
    </xf>
    <xf numFmtId="0" fontId="14" fillId="0" borderId="0" xfId="0" applyFont="1" applyAlignment="1">
      <alignment vertical="center" wrapText="1"/>
    </xf>
    <xf numFmtId="0" fontId="0" fillId="6" borderId="0" xfId="0" applyFill="1"/>
    <xf numFmtId="49" fontId="16" fillId="0" borderId="1" xfId="12" applyNumberFormat="1" applyFont="1" applyAlignment="1" applyProtection="1">
      <alignment horizontal="right" vertical="center"/>
      <protection locked="0"/>
    </xf>
    <xf numFmtId="0" fontId="16" fillId="0" borderId="1" xfId="12" applyFont="1" applyAlignment="1" applyProtection="1">
      <alignment vertical="center"/>
      <protection locked="0"/>
    </xf>
    <xf numFmtId="181" fontId="16" fillId="0" borderId="1" xfId="12" applyNumberFormat="1" applyFont="1" applyAlignment="1" applyProtection="1">
      <alignment vertical="center"/>
      <protection locked="0"/>
    </xf>
    <xf numFmtId="0" fontId="17" fillId="0" borderId="1" xfId="12" applyFont="1" applyAlignment="1" applyProtection="1">
      <alignment horizontal="right" vertical="center"/>
      <protection locked="0"/>
    </xf>
    <xf numFmtId="0" fontId="18" fillId="10" borderId="1" xfId="12" applyFont="1" applyFill="1" applyAlignment="1">
      <alignment horizontal="center" vertical="center" wrapText="1"/>
    </xf>
    <xf numFmtId="3" fontId="16" fillId="0" borderId="1" xfId="12" applyNumberFormat="1" applyFont="1" applyAlignment="1" applyProtection="1">
      <alignment horizontal="right" vertical="center"/>
      <protection locked="0"/>
    </xf>
    <xf numFmtId="10" fontId="16" fillId="0" borderId="1" xfId="13" applyNumberFormat="1" applyFont="1" applyAlignment="1" applyProtection="1">
      <alignment horizontal="right" vertical="center"/>
      <protection locked="0"/>
    </xf>
    <xf numFmtId="182" fontId="16" fillId="0" borderId="0" xfId="11" applyNumberFormat="1" applyFont="1" applyAlignment="1" applyProtection="1">
      <alignment horizontal="right" vertical="center"/>
      <protection locked="0"/>
    </xf>
    <xf numFmtId="183" fontId="16" fillId="0" borderId="1" xfId="12" applyNumberFormat="1" applyFont="1" applyAlignment="1" applyProtection="1">
      <alignment horizontal="right" vertical="center"/>
      <protection locked="0"/>
    </xf>
    <xf numFmtId="182" fontId="16" fillId="0" borderId="1" xfId="12" applyNumberFormat="1" applyFont="1" applyAlignment="1" applyProtection="1">
      <alignment horizontal="right" vertical="center"/>
      <protection locked="0"/>
    </xf>
    <xf numFmtId="3" fontId="16" fillId="0" borderId="1" xfId="14" applyNumberFormat="1" applyFont="1" applyAlignment="1" applyProtection="1">
      <alignment horizontal="right" vertical="center"/>
      <protection locked="0"/>
    </xf>
    <xf numFmtId="0" fontId="16" fillId="0" borderId="1" xfId="15" applyFont="1" applyAlignment="1" applyProtection="1">
      <alignment vertical="center"/>
      <protection locked="0"/>
    </xf>
    <xf numFmtId="3" fontId="16" fillId="0" borderId="1" xfId="16" applyNumberFormat="1" applyFont="1" applyAlignment="1" applyProtection="1">
      <alignment horizontal="right" vertical="center"/>
      <protection locked="0"/>
    </xf>
    <xf numFmtId="2" fontId="16" fillId="0" borderId="1" xfId="15" applyNumberFormat="1" applyFont="1" applyAlignment="1" applyProtection="1">
      <alignment vertical="center"/>
      <protection locked="0"/>
    </xf>
    <xf numFmtId="1" fontId="16" fillId="0" borderId="1" xfId="15" applyNumberFormat="1" applyFont="1" applyAlignment="1" applyProtection="1">
      <alignment vertical="center"/>
      <protection locked="0"/>
    </xf>
    <xf numFmtId="0" fontId="16" fillId="0" borderId="1" xfId="15" applyFont="1" applyAlignment="1" applyProtection="1">
      <alignment horizontal="right" vertical="center"/>
      <protection locked="0"/>
    </xf>
    <xf numFmtId="0" fontId="16" fillId="7" borderId="1" xfId="15" applyFont="1" applyFill="1" applyAlignment="1" applyProtection="1">
      <alignment vertical="center"/>
      <protection locked="0"/>
    </xf>
    <xf numFmtId="0" fontId="18" fillId="0" borderId="1" xfId="12" applyFont="1" applyAlignment="1" applyProtection="1">
      <alignment vertical="center" wrapText="1"/>
      <protection locked="0"/>
    </xf>
    <xf numFmtId="0" fontId="20" fillId="7" borderId="1" xfId="12" applyFont="1" applyFill="1" applyAlignment="1" applyProtection="1">
      <alignment horizontal="left" vertical="center" indent="1"/>
      <protection locked="0"/>
    </xf>
    <xf numFmtId="0" fontId="20" fillId="7" borderId="1" xfId="12" applyFont="1" applyFill="1" applyAlignment="1" applyProtection="1">
      <alignment horizontal="left" vertical="center"/>
      <protection locked="0"/>
    </xf>
    <xf numFmtId="0" fontId="18" fillId="0" borderId="1" xfId="12" applyFont="1" applyAlignment="1" applyProtection="1">
      <alignment horizontal="center" vertical="center" wrapText="1"/>
      <protection locked="0"/>
    </xf>
    <xf numFmtId="0" fontId="16" fillId="0" borderId="1" xfId="12" applyFont="1" applyAlignment="1" applyProtection="1">
      <alignment horizontal="right" vertical="center"/>
      <protection locked="0"/>
    </xf>
    <xf numFmtId="0" fontId="18" fillId="8" borderId="1" xfId="12" applyFont="1" applyFill="1" applyAlignment="1">
      <alignment horizontal="center" vertical="center" wrapText="1"/>
    </xf>
    <xf numFmtId="0" fontId="18" fillId="9" borderId="1" xfId="12" applyFont="1" applyFill="1" applyAlignment="1">
      <alignment horizontal="right" vertical="center" wrapText="1"/>
    </xf>
    <xf numFmtId="0" fontId="21" fillId="0" borderId="1" xfId="12" applyFont="1" applyAlignment="1" applyProtection="1">
      <alignment vertical="center" wrapText="1"/>
      <protection locked="0"/>
    </xf>
    <xf numFmtId="0" fontId="18" fillId="8" borderId="1" xfId="12" applyFont="1" applyFill="1" applyAlignment="1" applyProtection="1">
      <alignment horizontal="center" vertical="center" wrapText="1"/>
      <protection locked="0"/>
    </xf>
    <xf numFmtId="182" fontId="0" fillId="0" borderId="0" xfId="0" applyNumberFormat="1"/>
    <xf numFmtId="176" fontId="0" fillId="0" borderId="0" xfId="0" applyNumberFormat="1"/>
    <xf numFmtId="176" fontId="4" fillId="2" borderId="1" xfId="6" applyFont="1" applyBorder="1">
      <alignment horizontal="left" vertical="center" indent="1"/>
    </xf>
    <xf numFmtId="176" fontId="6" fillId="2" borderId="1" xfId="6" applyFont="1" applyBorder="1">
      <alignment horizontal="left" vertical="center" indent="1"/>
    </xf>
    <xf numFmtId="2" fontId="23" fillId="7" borderId="1" xfId="5" applyNumberFormat="1" applyFont="1" applyFill="1" applyAlignment="1">
      <alignment horizontal="right" vertical="center"/>
    </xf>
    <xf numFmtId="176" fontId="24" fillId="2" borderId="1" xfId="5" applyFont="1">
      <alignment horizontal="left" vertical="center"/>
    </xf>
    <xf numFmtId="176" fontId="25" fillId="2" borderId="1" xfId="5" applyFont="1">
      <alignment horizontal="left" vertical="center"/>
    </xf>
    <xf numFmtId="176" fontId="24" fillId="2" borderId="5" xfId="10" applyFont="1">
      <alignment horizontal="left" vertical="center" indent="1"/>
    </xf>
    <xf numFmtId="176" fontId="24" fillId="2" borderId="1" xfId="6" applyFont="1" applyBorder="1">
      <alignment horizontal="left" vertical="center" indent="1"/>
    </xf>
    <xf numFmtId="176" fontId="24" fillId="2" borderId="3" xfId="6" applyFont="1">
      <alignment horizontal="left" vertical="center" indent="1"/>
    </xf>
    <xf numFmtId="0" fontId="26" fillId="5" borderId="4" xfId="8" applyFont="1">
      <alignment horizontal="left" vertical="center"/>
    </xf>
    <xf numFmtId="10" fontId="7" fillId="2" borderId="1" xfId="5" applyNumberFormat="1" applyFont="1" applyAlignment="1">
      <alignment vertical="center"/>
    </xf>
    <xf numFmtId="10" fontId="25" fillId="2" borderId="1" xfId="5" applyNumberFormat="1" applyFont="1" applyAlignment="1">
      <alignment vertical="center"/>
    </xf>
    <xf numFmtId="10" fontId="25" fillId="2" borderId="1" xfId="6" applyNumberFormat="1" applyFont="1" applyBorder="1" applyAlignment="1">
      <alignment vertical="center"/>
    </xf>
    <xf numFmtId="185" fontId="25" fillId="2" borderId="1" xfId="6" applyNumberFormat="1" applyFont="1" applyBorder="1" applyAlignment="1">
      <alignment vertical="center"/>
    </xf>
    <xf numFmtId="10" fontId="7" fillId="2" borderId="1" xfId="6" applyNumberFormat="1" applyFont="1" applyBorder="1" applyAlignment="1">
      <alignment vertical="center"/>
    </xf>
    <xf numFmtId="185" fontId="7" fillId="2" borderId="1" xfId="6" applyNumberFormat="1" applyFont="1" applyBorder="1" applyAlignment="1">
      <alignment vertical="center"/>
    </xf>
    <xf numFmtId="185" fontId="7" fillId="2" borderId="1" xfId="5" applyNumberFormat="1" applyFont="1" applyAlignment="1">
      <alignment horizontal="right" vertical="center"/>
    </xf>
    <xf numFmtId="185" fontId="25" fillId="2" borderId="1" xfId="5" applyNumberFormat="1" applyFont="1" applyAlignment="1">
      <alignment horizontal="right" vertical="center"/>
    </xf>
    <xf numFmtId="176" fontId="7" fillId="2" borderId="3" xfId="6" applyFont="1">
      <alignment horizontal="left" vertical="center" indent="1"/>
    </xf>
    <xf numFmtId="176" fontId="25" fillId="2" borderId="3" xfId="6" applyFont="1">
      <alignment horizontal="left" vertical="center" indent="1"/>
    </xf>
    <xf numFmtId="0" fontId="3" fillId="4" borderId="4" xfId="7">
      <alignment horizontal="center" vertical="center"/>
    </xf>
    <xf numFmtId="0" fontId="0" fillId="0" borderId="6" xfId="0" applyBorder="1"/>
  </cellXfs>
  <cellStyles count="17">
    <cellStyle name="Comma 7" xfId="14" xr:uid="{CEAD4126-DB83-4597-8EE8-4DE8FA445B14}"/>
    <cellStyle name="hyperlink" xfId="9" xr:uid="{00000000-0005-0000-0000-000009000000}"/>
    <cellStyle name="item" xfId="5" xr:uid="{00000000-0005-0000-0000-000005000000}"/>
    <cellStyle name="Normal 9" xfId="12" xr:uid="{1EE94863-2909-4425-A2BD-53D51966AA4B}"/>
    <cellStyle name="Percent 7" xfId="13" xr:uid="{0D784079-7AE0-4F2E-81AD-295E21901D2E}"/>
    <cellStyle name="subtitle" xfId="8" xr:uid="{00000000-0005-0000-0000-000008000000}"/>
    <cellStyle name="subtotal" xfId="6" xr:uid="{00000000-0005-0000-0000-000006000000}"/>
    <cellStyle name="title" xfId="7" xr:uid="{00000000-0005-0000-0000-000007000000}"/>
    <cellStyle name="total" xfId="10" xr:uid="{00000000-0005-0000-0000-00000A000000}"/>
    <cellStyle name="variable" xfId="1" xr:uid="{00000000-0005-0000-0000-000001000000}"/>
    <cellStyle name="variable_days" xfId="3" xr:uid="{00000000-0005-0000-0000-000003000000}"/>
    <cellStyle name="variable_days_forecast" xfId="4" xr:uid="{00000000-0005-0000-0000-000004000000}"/>
    <cellStyle name="variable_forecast" xfId="2" xr:uid="{00000000-0005-0000-0000-000002000000}"/>
    <cellStyle name="百分比" xfId="11" builtinId="5"/>
    <cellStyle name="常规" xfId="0" builtinId="0"/>
    <cellStyle name="常规 194" xfId="15" xr:uid="{A452AA29-063F-4590-9D36-9A8A9A3AE33D}"/>
    <cellStyle name="千位分隔 6" xfId="16" xr:uid="{E331B4F3-D5A9-47B6-820D-3E854B023F5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9D29C-B7C3-45C4-A8AE-2CF272095C0B}">
  <dimension ref="A1:F53"/>
  <sheetViews>
    <sheetView workbookViewId="0">
      <selection activeCell="D8" sqref="D8"/>
    </sheetView>
  </sheetViews>
  <sheetFormatPr defaultRowHeight="14.4" x14ac:dyDescent="0.25"/>
  <cols>
    <col min="1" max="1" width="27.109375" customWidth="1"/>
    <col min="2" max="6" width="18.5546875" customWidth="1"/>
  </cols>
  <sheetData>
    <row r="1" spans="1:6" x14ac:dyDescent="0.25">
      <c r="A1" s="62" t="s">
        <v>254</v>
      </c>
      <c r="B1" s="45" t="s">
        <v>299</v>
      </c>
      <c r="C1" s="63" t="s">
        <v>255</v>
      </c>
      <c r="D1" s="64"/>
      <c r="E1" s="46"/>
      <c r="F1" s="46"/>
    </row>
    <row r="2" spans="1:6" x14ac:dyDescent="0.25">
      <c r="A2" s="62" t="s">
        <v>256</v>
      </c>
      <c r="B2" s="47">
        <v>46022</v>
      </c>
      <c r="C2" s="63" t="s">
        <v>257</v>
      </c>
      <c r="D2" s="64"/>
      <c r="E2" s="46"/>
      <c r="F2" s="46"/>
    </row>
    <row r="3" spans="1:6" x14ac:dyDescent="0.25">
      <c r="A3" s="62" t="s">
        <v>258</v>
      </c>
      <c r="B3" s="46">
        <v>2024</v>
      </c>
      <c r="C3" s="65"/>
      <c r="D3" s="46"/>
      <c r="E3" s="46"/>
      <c r="F3" s="46"/>
    </row>
    <row r="4" spans="1:6" x14ac:dyDescent="0.25">
      <c r="A4" s="62" t="s">
        <v>259</v>
      </c>
      <c r="B4" s="48" t="s">
        <v>300</v>
      </c>
      <c r="C4" s="46"/>
      <c r="D4" s="46"/>
      <c r="E4" s="46"/>
      <c r="F4" s="46"/>
    </row>
    <row r="5" spans="1:6" x14ac:dyDescent="0.25">
      <c r="A5" s="62" t="s">
        <v>260</v>
      </c>
      <c r="B5" s="66" t="s">
        <v>261</v>
      </c>
      <c r="C5" s="46"/>
      <c r="D5" s="46"/>
      <c r="E5" s="46"/>
      <c r="F5" s="46"/>
    </row>
    <row r="6" spans="1:6" x14ac:dyDescent="0.25">
      <c r="A6" s="67" t="str">
        <f>B4&amp;" "&amp;B5</f>
        <v>Rmb mn</v>
      </c>
      <c r="B6" s="68" t="str">
        <f>TEXT(DATE($B$3+1,MONTH($B$2),DAY($B$2)),"mmm-yy")&amp;IF($B$3+1&gt;YEAR($B$2),"E","A")</f>
        <v>Dec-25A</v>
      </c>
      <c r="C6" s="68" t="str">
        <f>TEXT(DATE($B$3+2,MONTH($B$2),DAY($B$2)),"mmm-yy")&amp;IF($B$3+2&gt;YEAR($B$2),"E","A")</f>
        <v>Dec-26E</v>
      </c>
      <c r="D6" s="68" t="str">
        <f>TEXT(DATE($B$3+3,MONTH($B$2),DAY($B$2)),"mmm-yy")&amp;IF($B$3+3&gt;YEAR($B$2),"E","A")</f>
        <v>Dec-27E</v>
      </c>
      <c r="E6" s="68" t="str">
        <f>TEXT(DATE($B$3+3,MONTH($B$2),DAY($B$2)),"mmm-yy")&amp;IF($B$3+3&gt;YEAR($B$2),"E","A")</f>
        <v>Dec-27E</v>
      </c>
      <c r="F6" s="46"/>
    </row>
    <row r="7" spans="1:6" x14ac:dyDescent="0.25">
      <c r="A7" s="69" t="s">
        <v>262</v>
      </c>
      <c r="B7" s="46"/>
      <c r="C7" s="46"/>
      <c r="D7" s="46"/>
      <c r="E7" s="46"/>
      <c r="F7" s="46"/>
    </row>
    <row r="8" spans="1:6" x14ac:dyDescent="0.25">
      <c r="A8" s="49" t="s">
        <v>263</v>
      </c>
      <c r="B8" s="50">
        <f>'PL-CF-BS'!F17</f>
        <v>1481.104</v>
      </c>
      <c r="C8" s="50">
        <f>'PL-CF-BS'!G17</f>
        <v>1873.135266981792</v>
      </c>
      <c r="D8" s="50">
        <f ca="1">'PL-CF-BS'!H17</f>
        <v>2226.9588079581508</v>
      </c>
      <c r="E8" s="50">
        <f ca="1">'PL-CF-BS'!I17</f>
        <v>2622.4061210078994</v>
      </c>
      <c r="F8" s="46"/>
    </row>
    <row r="9" spans="1:6" x14ac:dyDescent="0.25">
      <c r="A9" s="49" t="s">
        <v>264</v>
      </c>
      <c r="B9" s="51">
        <f>Revenue!F3</f>
        <v>0.15567918512630197</v>
      </c>
      <c r="C9" s="51">
        <f>Revenue!G3</f>
        <v>0.22510060281778255</v>
      </c>
      <c r="D9" s="51">
        <f>Revenue!H3</f>
        <v>0.19174888737601847</v>
      </c>
      <c r="E9" s="51">
        <f>Revenue!I3</f>
        <v>0.17138741167533494</v>
      </c>
      <c r="F9" s="46"/>
    </row>
    <row r="10" spans="1:6" x14ac:dyDescent="0.25">
      <c r="A10" s="49" t="s">
        <v>265</v>
      </c>
      <c r="B10" s="50">
        <f>'PL-CF-BS'!F17</f>
        <v>1481.104</v>
      </c>
      <c r="C10" s="50">
        <f>'PL-CF-BS'!G17</f>
        <v>1873.135266981792</v>
      </c>
      <c r="D10" s="50">
        <f ca="1">'PL-CF-BS'!H17</f>
        <v>2226.9588079581508</v>
      </c>
      <c r="E10" s="50">
        <f ca="1">'PL-CF-BS'!I17</f>
        <v>2622.4061210078994</v>
      </c>
      <c r="F10" s="46"/>
    </row>
    <row r="11" spans="1:6" x14ac:dyDescent="0.25">
      <c r="A11" s="49" t="s">
        <v>264</v>
      </c>
      <c r="B11" s="52">
        <f>IS!F53</f>
        <v>0.43773891873317011</v>
      </c>
      <c r="C11" s="52">
        <f>IS!G53</f>
        <v>0.26468854785470297</v>
      </c>
      <c r="D11" s="52">
        <f ca="1">IS!H53</f>
        <v>0.1888937479387057</v>
      </c>
      <c r="E11" s="52">
        <f ca="1">IS!I53</f>
        <v>0.17757280091423219</v>
      </c>
      <c r="F11" s="46"/>
    </row>
    <row r="12" spans="1:6" x14ac:dyDescent="0.25">
      <c r="A12" s="49" t="str">
        <f>"Diluted EPS ("&amp;B4&amp;")"</f>
        <v>Diluted EPS (Rmb)</v>
      </c>
      <c r="B12" s="53">
        <f>'PL-CF-BS'!F21</f>
        <v>1.07</v>
      </c>
      <c r="C12" s="53">
        <f>'PL-CF-BS'!G21</f>
        <v>1.0477297176096463</v>
      </c>
      <c r="D12" s="53">
        <f ca="1">'PL-CF-BS'!H21</f>
        <v>1.3033439005736407</v>
      </c>
      <c r="E12" s="53">
        <f ca="1">'PL-CF-BS'!I21</f>
        <v>1.5890285148635426</v>
      </c>
      <c r="F12" s="46"/>
    </row>
    <row r="13" spans="1:6" x14ac:dyDescent="0.25">
      <c r="A13" s="49" t="s">
        <v>266</v>
      </c>
      <c r="B13" s="52">
        <f>IS!F27</f>
        <v>0.35706666732846748</v>
      </c>
      <c r="C13" s="52">
        <f>IS!G27</f>
        <v>0.35370840444142021</v>
      </c>
      <c r="D13" s="52">
        <f>IS!H27</f>
        <v>0.35370840444142021</v>
      </c>
      <c r="E13" s="52">
        <f>IS!I27</f>
        <v>0.35370840444142021</v>
      </c>
      <c r="F13" s="70" t="s">
        <v>267</v>
      </c>
    </row>
    <row r="14" spans="1:6" x14ac:dyDescent="0.25">
      <c r="A14" s="49" t="s">
        <v>268</v>
      </c>
      <c r="B14" s="54">
        <f>IS!F45</f>
        <v>0.23751787673607605</v>
      </c>
      <c r="C14" s="54">
        <f>IS!G45</f>
        <v>0.25192540177859296</v>
      </c>
      <c r="D14" s="54">
        <f ca="1">IS!H45</f>
        <v>0.25131064642446016</v>
      </c>
      <c r="E14" s="54">
        <f ca="1">IS!I45</f>
        <v>0.24878821783554836</v>
      </c>
      <c r="F14" s="70" t="s">
        <v>267</v>
      </c>
    </row>
    <row r="15" spans="1:6" x14ac:dyDescent="0.25">
      <c r="A15" s="49" t="s">
        <v>269</v>
      </c>
      <c r="B15" s="55">
        <f>IS!F34</f>
        <v>2299.7440000000001</v>
      </c>
      <c r="C15" s="55">
        <f>IS!G34</f>
        <v>2382.8769158481668</v>
      </c>
      <c r="D15" s="55">
        <f>IS!H34</f>
        <v>2908.5185091121107</v>
      </c>
      <c r="E15" s="55">
        <f>IS!I34</f>
        <v>3480.5897332107734</v>
      </c>
      <c r="F15" s="65"/>
    </row>
    <row r="16" spans="1:6" x14ac:dyDescent="0.25">
      <c r="A16" s="49" t="s">
        <v>270</v>
      </c>
      <c r="B16" s="55">
        <f>IS!F54</f>
        <v>1946.7440000000001</v>
      </c>
      <c r="C16" s="55">
        <f>IS!G54</f>
        <v>2144.1825703340946</v>
      </c>
      <c r="D16" s="55">
        <f>IS!H54</f>
        <v>2555.327192526709</v>
      </c>
      <c r="E16" s="55">
        <f>IS!I54</f>
        <v>2993.2781060374614</v>
      </c>
      <c r="F16" s="65"/>
    </row>
    <row r="17" spans="1:6" x14ac:dyDescent="0.25">
      <c r="A17" s="49" t="s">
        <v>271</v>
      </c>
      <c r="B17" s="55">
        <f>IS!F11</f>
        <v>-106.60299999999999</v>
      </c>
      <c r="C17" s="55">
        <f>IS!G11</f>
        <v>29.186942240000008</v>
      </c>
      <c r="D17" s="55">
        <f ca="1">IS!H11</f>
        <v>28.578232933224498</v>
      </c>
      <c r="E17" s="55">
        <f ca="1">IS!I11</f>
        <v>49.458643118873297</v>
      </c>
      <c r="F17" s="46"/>
    </row>
    <row r="18" spans="1:6" x14ac:dyDescent="0.25">
      <c r="A18" s="49" t="s">
        <v>272</v>
      </c>
      <c r="B18" s="56" t="s">
        <v>273</v>
      </c>
      <c r="C18" s="56" t="s">
        <v>273</v>
      </c>
      <c r="D18" s="56" t="s">
        <v>273</v>
      </c>
      <c r="E18" s="56" t="s">
        <v>273</v>
      </c>
      <c r="F18" s="46"/>
    </row>
    <row r="19" spans="1:6" x14ac:dyDescent="0.25">
      <c r="A19" s="49" t="s">
        <v>274</v>
      </c>
      <c r="B19" s="55">
        <f>IS!F10</f>
        <v>1899.1010000000001</v>
      </c>
      <c r="C19" s="55">
        <f>IS!G10</f>
        <v>2144.1825703340946</v>
      </c>
      <c r="D19" s="55">
        <f>IS!H10</f>
        <v>2555.327192526709</v>
      </c>
      <c r="E19" s="55">
        <f>IS!I10</f>
        <v>2993.2781060374614</v>
      </c>
      <c r="F19" s="46"/>
    </row>
    <row r="20" spans="1:6" x14ac:dyDescent="0.25">
      <c r="A20" s="49" t="s">
        <v>275</v>
      </c>
      <c r="B20" s="55">
        <f>IS!F52</f>
        <v>3596.92</v>
      </c>
      <c r="C20" s="55">
        <f>IS!G52</f>
        <v>4365.1442641319509</v>
      </c>
      <c r="D20" s="55">
        <f>IS!H52</f>
        <v>5202.1558200150612</v>
      </c>
      <c r="E20" s="55">
        <f>IS!I52</f>
        <v>6093.7398411392214</v>
      </c>
      <c r="F20" s="46"/>
    </row>
    <row r="21" spans="1:6" x14ac:dyDescent="0.25">
      <c r="A21" s="49" t="s">
        <v>276</v>
      </c>
      <c r="B21" s="55">
        <f>CFS!F4</f>
        <v>353</v>
      </c>
      <c r="C21" s="55">
        <f>CFS!G4</f>
        <v>238.69434551407204</v>
      </c>
      <c r="D21" s="55">
        <f>CFS!H4</f>
        <v>353.19131658540152</v>
      </c>
      <c r="E21" s="55">
        <f>CFS!I4</f>
        <v>487.31162717331188</v>
      </c>
      <c r="F21" s="46"/>
    </row>
    <row r="22" spans="1:6" x14ac:dyDescent="0.25">
      <c r="A22" s="49" t="s">
        <v>277</v>
      </c>
      <c r="B22" s="55">
        <f>IS!F14</f>
        <v>1744.855</v>
      </c>
      <c r="C22" s="55">
        <f>IS!G14</f>
        <v>2173.3695125740946</v>
      </c>
      <c r="D22" s="55">
        <f ca="1">IS!H14</f>
        <v>2583.9054254599337</v>
      </c>
      <c r="E22" s="55">
        <f ca="1">IS!I14</f>
        <v>3042.7367491563346</v>
      </c>
      <c r="F22" s="46"/>
    </row>
    <row r="23" spans="1:6" x14ac:dyDescent="0.25">
      <c r="A23" s="69" t="s">
        <v>278</v>
      </c>
      <c r="B23" s="55"/>
      <c r="C23" s="55"/>
      <c r="D23" s="55"/>
      <c r="E23" s="55"/>
      <c r="F23" s="46"/>
    </row>
    <row r="24" spans="1:6" x14ac:dyDescent="0.25">
      <c r="A24" s="49" t="s">
        <v>279</v>
      </c>
      <c r="B24" s="55">
        <f>BS!F17</f>
        <v>17582.912</v>
      </c>
      <c r="C24" s="55">
        <f ca="1">BS!G17</f>
        <v>19902.079068157524</v>
      </c>
      <c r="D24" s="55">
        <f ca="1">BS!H17</f>
        <v>22944.019153072288</v>
      </c>
      <c r="E24" s="55">
        <f ca="1">BS!I17</f>
        <v>26325.264573060431</v>
      </c>
      <c r="F24" s="46"/>
    </row>
    <row r="25" spans="1:6" x14ac:dyDescent="0.25">
      <c r="A25" s="49" t="s">
        <v>280</v>
      </c>
      <c r="B25" s="55">
        <f>BS!F32</f>
        <v>9267.4230000000007</v>
      </c>
      <c r="C25" s="55">
        <f>BS!G32</f>
        <v>10007.649054824877</v>
      </c>
      <c r="D25" s="55">
        <f>BS!H32</f>
        <v>11151.817513232669</v>
      </c>
      <c r="E25" s="55">
        <f>BS!I32</f>
        <v>12298.298683499435</v>
      </c>
      <c r="F25" s="46"/>
    </row>
    <row r="26" spans="1:6" x14ac:dyDescent="0.25">
      <c r="A26" s="49" t="s">
        <v>281</v>
      </c>
      <c r="B26" s="55">
        <f>BS!F40</f>
        <v>6235.7579999999998</v>
      </c>
      <c r="C26" s="55">
        <f>BS!G40</f>
        <v>7435.2774819746628</v>
      </c>
      <c r="D26" s="55">
        <f ca="1">BS!H40</f>
        <v>8861.3786946250129</v>
      </c>
      <c r="E26" s="55">
        <f ca="1">BS!I40</f>
        <v>10540.71669399287</v>
      </c>
      <c r="F26" s="46"/>
    </row>
    <row r="27" spans="1:6" x14ac:dyDescent="0.25">
      <c r="A27" s="49" t="s">
        <v>282</v>
      </c>
      <c r="B27" s="55">
        <f>BS!F42</f>
        <v>8315.4889999999996</v>
      </c>
      <c r="C27" s="55">
        <f ca="1">BS!G42</f>
        <v>9894.4300133326469</v>
      </c>
      <c r="D27" s="55">
        <f ca="1">BS!H42</f>
        <v>11792.201639839617</v>
      </c>
      <c r="E27" s="55">
        <f ca="1">BS!I42</f>
        <v>14026.96588956099</v>
      </c>
      <c r="F27" s="46"/>
    </row>
    <row r="28" spans="1:6" x14ac:dyDescent="0.25">
      <c r="A28" s="69" t="s">
        <v>283</v>
      </c>
      <c r="B28" s="55"/>
      <c r="C28" s="55"/>
      <c r="D28" s="55"/>
      <c r="E28" s="55"/>
      <c r="F28" s="46"/>
    </row>
    <row r="29" spans="1:6" x14ac:dyDescent="0.25">
      <c r="A29" s="49" t="s">
        <v>284</v>
      </c>
      <c r="B29" s="55">
        <f>IS!F14</f>
        <v>1744.855</v>
      </c>
      <c r="C29" s="55">
        <f>IS!G14</f>
        <v>2173.3695125740946</v>
      </c>
      <c r="D29" s="55">
        <f ca="1">IS!H14</f>
        <v>2583.9054254599337</v>
      </c>
      <c r="E29" s="55">
        <f ca="1">IS!I14</f>
        <v>3042.7367491563346</v>
      </c>
      <c r="F29" s="46"/>
    </row>
    <row r="30" spans="1:6" x14ac:dyDescent="0.25">
      <c r="A30" s="49" t="s">
        <v>285</v>
      </c>
      <c r="B30" s="55">
        <f>CFS!F12</f>
        <v>1835</v>
      </c>
      <c r="C30" s="55">
        <f>CFS!G12</f>
        <v>1235.2296198398817</v>
      </c>
      <c r="D30" s="55">
        <f ca="1">CFS!H12</f>
        <v>2150.3359784872982</v>
      </c>
      <c r="E30" s="55">
        <f ca="1">CFS!I12</f>
        <v>2803.2890402473804</v>
      </c>
      <c r="F30" s="46"/>
    </row>
    <row r="31" spans="1:6" ht="27.6" x14ac:dyDescent="0.25">
      <c r="A31" s="49" t="s">
        <v>286</v>
      </c>
      <c r="B31" s="55">
        <f>CFS!F22</f>
        <v>-605</v>
      </c>
      <c r="C31" s="55">
        <f>CFS!G22</f>
        <v>-960.74745514072038</v>
      </c>
      <c r="D31" s="55">
        <f>CFS!H22</f>
        <v>-1144.9697107132947</v>
      </c>
      <c r="E31" s="55">
        <f>CFS!I22</f>
        <v>-1341.2031058791033</v>
      </c>
      <c r="F31" s="46"/>
    </row>
    <row r="32" spans="1:6" x14ac:dyDescent="0.25">
      <c r="A32" s="49" t="s">
        <v>287</v>
      </c>
      <c r="B32" s="55">
        <f>CFS!F30</f>
        <v>-640</v>
      </c>
      <c r="C32" s="55">
        <f ca="1">CFS!G30</f>
        <v>-294.19425364914571</v>
      </c>
      <c r="D32" s="55">
        <f ca="1">CFS!H30</f>
        <v>-329.18718145117953</v>
      </c>
      <c r="E32" s="55">
        <f ca="1">CFS!I30</f>
        <v>-387.64187128652634</v>
      </c>
      <c r="F32" s="46"/>
    </row>
    <row r="33" spans="1:6" x14ac:dyDescent="0.25">
      <c r="A33" s="49" t="s">
        <v>288</v>
      </c>
      <c r="B33" s="55">
        <f>CFS!F33</f>
        <v>590</v>
      </c>
      <c r="C33" s="55">
        <f ca="1">CFS!G33</f>
        <v>-19.712088949984377</v>
      </c>
      <c r="D33" s="55">
        <f ca="1">CFS!H33</f>
        <v>676.17908632282388</v>
      </c>
      <c r="E33" s="55">
        <f ca="1">CFS!I33</f>
        <v>1074.444063081751</v>
      </c>
      <c r="F33" s="46"/>
    </row>
    <row r="34" spans="1:6" x14ac:dyDescent="0.25">
      <c r="A34" s="49" t="s">
        <v>289</v>
      </c>
      <c r="B34" s="55">
        <f>CFS!F34</f>
        <v>3017</v>
      </c>
      <c r="C34" s="55">
        <f ca="1">CFS!G34</f>
        <v>2997.2879110500157</v>
      </c>
      <c r="D34" s="55">
        <f ca="1">CFS!H34</f>
        <v>3673.4669973728396</v>
      </c>
      <c r="E34" s="55">
        <f ca="1">CFS!I34</f>
        <v>4747.9110604545904</v>
      </c>
      <c r="F34" s="46"/>
    </row>
    <row r="35" spans="1:6" x14ac:dyDescent="0.25">
      <c r="A35" s="49" t="s">
        <v>290</v>
      </c>
      <c r="B35" s="55">
        <f>CFS!F37</f>
        <v>1834.104</v>
      </c>
      <c r="C35" s="55">
        <f>CFS!G37</f>
        <v>515.60706205042345</v>
      </c>
      <c r="D35" s="55">
        <f ca="1">CFS!H37</f>
        <v>1300.1237882589623</v>
      </c>
      <c r="E35" s="55">
        <f ca="1">CFS!I37</f>
        <v>1776.061402835127</v>
      </c>
      <c r="F35" s="46"/>
    </row>
    <row r="36" spans="1:6" x14ac:dyDescent="0.25">
      <c r="A36" s="56"/>
      <c r="B36" s="57"/>
      <c r="C36" s="57"/>
      <c r="D36" s="57"/>
      <c r="E36" s="57"/>
      <c r="F36" s="56"/>
    </row>
    <row r="37" spans="1:6" x14ac:dyDescent="0.25">
      <c r="A37" s="56"/>
      <c r="B37" s="57"/>
      <c r="C37" s="57"/>
      <c r="D37" s="57"/>
      <c r="E37" s="57"/>
      <c r="F37" s="56"/>
    </row>
    <row r="38" spans="1:6" x14ac:dyDescent="0.25">
      <c r="A38" s="56"/>
      <c r="B38" s="57"/>
      <c r="C38" s="57"/>
      <c r="D38" s="57"/>
      <c r="E38" s="57"/>
      <c r="F38" s="56"/>
    </row>
    <row r="39" spans="1:6" x14ac:dyDescent="0.25">
      <c r="A39" s="56"/>
      <c r="B39" s="57"/>
      <c r="C39" s="57"/>
      <c r="D39" s="57"/>
      <c r="E39" s="57"/>
      <c r="F39" s="56"/>
    </row>
    <row r="40" spans="1:6" x14ac:dyDescent="0.25">
      <c r="A40" s="56" t="s">
        <v>291</v>
      </c>
      <c r="B40" s="58">
        <f>B12</f>
        <v>1.07</v>
      </c>
      <c r="C40" s="58">
        <f>C12</f>
        <v>1.0477297176096463</v>
      </c>
      <c r="D40" s="58">
        <f ca="1">D12</f>
        <v>1.3033439005736407</v>
      </c>
      <c r="E40" s="58">
        <f ca="1">E12</f>
        <v>1.5890285148635426</v>
      </c>
      <c r="F40" s="56"/>
    </row>
    <row r="41" spans="1:6" x14ac:dyDescent="0.25">
      <c r="A41" s="56" t="s">
        <v>292</v>
      </c>
      <c r="B41" s="58">
        <f ca="1">IF(A43-YEAR($B$2)&gt;=0,VLOOKUP((A43-B3+1),A45:B48,2,FALSE),"na")</f>
        <v>1.3033439005736407</v>
      </c>
      <c r="C41" s="56"/>
      <c r="D41" s="56"/>
      <c r="E41" s="56"/>
      <c r="F41" s="56"/>
    </row>
    <row r="42" spans="1:6" x14ac:dyDescent="0.25">
      <c r="A42" s="56" t="s">
        <v>293</v>
      </c>
      <c r="B42" s="58">
        <f ca="1">IF(A43-YEAR($B$2)&gt;=0,VLOOKUP((A43-B3+2),A45:B48,2,FALSE),"na")</f>
        <v>1.5890285148635426</v>
      </c>
      <c r="C42" s="56"/>
      <c r="D42" s="56"/>
      <c r="E42" s="56"/>
      <c r="F42" s="56"/>
    </row>
    <row r="43" spans="1:6" x14ac:dyDescent="0.25">
      <c r="A43" s="59">
        <f ca="1">YEAR(TODAY())</f>
        <v>2026</v>
      </c>
      <c r="B43" s="58"/>
      <c r="C43" s="56"/>
      <c r="D43" s="56"/>
      <c r="E43" s="56"/>
      <c r="F43" s="56"/>
    </row>
    <row r="44" spans="1:6" x14ac:dyDescent="0.25">
      <c r="A44" s="59">
        <f ca="1">YEAR(TODAY())</f>
        <v>2026</v>
      </c>
      <c r="B44" s="58"/>
      <c r="C44" s="56"/>
      <c r="D44" s="56"/>
      <c r="E44" s="56"/>
      <c r="F44" s="56"/>
    </row>
    <row r="45" spans="1:6" x14ac:dyDescent="0.25">
      <c r="A45" s="56">
        <v>1</v>
      </c>
      <c r="B45" s="58">
        <f>B40</f>
        <v>1.07</v>
      </c>
      <c r="C45" s="56"/>
      <c r="D45" s="56"/>
      <c r="E45" s="56"/>
      <c r="F45" s="56"/>
    </row>
    <row r="46" spans="1:6" x14ac:dyDescent="0.25">
      <c r="A46" s="56">
        <v>2</v>
      </c>
      <c r="B46" s="58">
        <f>C40</f>
        <v>1.0477297176096463</v>
      </c>
      <c r="C46" s="56"/>
      <c r="D46" s="56"/>
      <c r="E46" s="56"/>
      <c r="F46" s="56"/>
    </row>
    <row r="47" spans="1:6" x14ac:dyDescent="0.25">
      <c r="A47" s="56">
        <v>3</v>
      </c>
      <c r="B47" s="58">
        <f ca="1">D40</f>
        <v>1.3033439005736407</v>
      </c>
      <c r="C47" s="56"/>
      <c r="D47" s="56"/>
      <c r="E47" s="56"/>
      <c r="F47" s="56"/>
    </row>
    <row r="48" spans="1:6" x14ac:dyDescent="0.25">
      <c r="A48" s="56">
        <v>4</v>
      </c>
      <c r="B48" s="58">
        <f ca="1">E40</f>
        <v>1.5890285148635426</v>
      </c>
      <c r="C48" s="56"/>
      <c r="D48" s="56"/>
      <c r="E48" s="56"/>
      <c r="F48" s="56"/>
    </row>
    <row r="49" spans="1:6" x14ac:dyDescent="0.25">
      <c r="A49" s="60" t="s">
        <v>294</v>
      </c>
      <c r="B49" s="56"/>
      <c r="C49" s="56"/>
      <c r="D49" s="56"/>
      <c r="E49" s="56"/>
      <c r="F49" s="56"/>
    </row>
    <row r="50" spans="1:6" x14ac:dyDescent="0.25">
      <c r="A50" s="60" t="s">
        <v>295</v>
      </c>
      <c r="B50" s="56">
        <v>1</v>
      </c>
      <c r="C50" s="56"/>
      <c r="D50" s="56"/>
      <c r="E50" s="56"/>
      <c r="F50" s="56"/>
    </row>
    <row r="51" spans="1:6" x14ac:dyDescent="0.25">
      <c r="A51" s="60" t="s">
        <v>296</v>
      </c>
      <c r="B51" s="60" t="s">
        <v>297</v>
      </c>
      <c r="C51" s="56"/>
      <c r="D51" s="56"/>
      <c r="E51" s="56"/>
      <c r="F51" s="56"/>
    </row>
    <row r="52" spans="1:6" x14ac:dyDescent="0.25">
      <c r="A52" s="56"/>
      <c r="B52" s="56"/>
      <c r="C52" s="56"/>
      <c r="D52" s="56"/>
      <c r="E52" s="56"/>
      <c r="F52" s="56"/>
    </row>
    <row r="53" spans="1:6" x14ac:dyDescent="0.25">
      <c r="A53" s="61" t="s">
        <v>298</v>
      </c>
      <c r="B53" s="56"/>
      <c r="C53" s="56"/>
      <c r="D53" s="56"/>
      <c r="E53" s="56"/>
      <c r="F53" s="56"/>
    </row>
  </sheetData>
  <phoneticPr fontId="11" type="noConversion"/>
  <dataValidations count="4">
    <dataValidation type="list" allowBlank="1" showInputMessage="1" showErrorMessage="1" sqref="B3" xr:uid="{1F093B79-AA66-4D55-AD81-DBB50FD3E43C}">
      <formula1>"2017,2018,2019,2020,2021,2022,2023,2024,2025"</formula1>
    </dataValidation>
    <dataValidation type="list" allowBlank="1" showInputMessage="1" showErrorMessage="1" sqref="B4" xr:uid="{EEAEE1DF-20CD-4E22-A53D-13ECDD04008D}">
      <formula1>"Rmb,HK$,US$,Rs,¥,₩,NT$,EUR,S$"</formula1>
    </dataValidation>
    <dataValidation type="list" allowBlank="1" showInputMessage="1" showErrorMessage="1" sqref="B5" xr:uid="{F654B088-70E6-49B8-A50F-157333093CDD}">
      <formula1>"mn,bn,trn"</formula1>
    </dataValidation>
    <dataValidation allowBlank="1" showInputMessage="1" showErrorMessage="1" sqref="B7" xr:uid="{BF422EDC-82B0-4C68-9350-C4E88D3BD7FE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33F99-CEB4-4810-B8B0-4086EF9D11B1}">
  <dimension ref="A1:K104"/>
  <sheetViews>
    <sheetView workbookViewId="0">
      <selection activeCell="B104" sqref="B104:K104"/>
    </sheetView>
  </sheetViews>
  <sheetFormatPr defaultRowHeight="14.4" x14ac:dyDescent="0.25"/>
  <cols>
    <col min="1" max="1" width="25" customWidth="1"/>
    <col min="2" max="11" width="14.77734375" customWidth="1"/>
  </cols>
  <sheetData>
    <row r="1" spans="1:11" x14ac:dyDescent="0.25">
      <c r="A1" s="1" t="s">
        <v>253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 x14ac:dyDescent="0.25">
      <c r="A2" s="18" t="s">
        <v>66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25">
      <c r="A3" s="22" t="s">
        <v>67</v>
      </c>
      <c r="B3" s="23">
        <f>IS!B3</f>
        <v>4590.7619999999997</v>
      </c>
      <c r="C3" s="23">
        <f>IS!C3</f>
        <v>5855.8440000000001</v>
      </c>
      <c r="D3" s="23">
        <f>IS!D3</f>
        <v>7252.2719999999999</v>
      </c>
      <c r="E3" s="23">
        <f>IS!E3</f>
        <v>8716.5409999999993</v>
      </c>
      <c r="F3" s="23">
        <f>IS!F3</f>
        <v>10073.525</v>
      </c>
      <c r="G3" s="76">
        <f>IS!G3</f>
        <v>12341.081550000004</v>
      </c>
      <c r="H3" s="76">
        <f>IS!H3</f>
        <v>14707.470206229214</v>
      </c>
      <c r="I3" s="76">
        <f>IS!I3</f>
        <v>17228.145457166942</v>
      </c>
      <c r="J3" s="76">
        <f>IS!J3</f>
        <v>19872.945875138081</v>
      </c>
      <c r="K3" s="76">
        <f>IS!K3</f>
        <v>22613.097580158337</v>
      </c>
    </row>
    <row r="4" spans="1:11" x14ac:dyDescent="0.25">
      <c r="A4" s="24" t="s">
        <v>68</v>
      </c>
      <c r="B4" s="25">
        <f>IS!B4</f>
        <v>-3091.9920000000002</v>
      </c>
      <c r="C4" s="25">
        <f>IS!C4</f>
        <v>-3926.62</v>
      </c>
      <c r="D4" s="25">
        <f>IS!D4</f>
        <v>-4671.5209999999997</v>
      </c>
      <c r="E4" s="25">
        <f>IS!E4</f>
        <v>-5681.4030000000002</v>
      </c>
      <c r="F4" s="25">
        <f>IS!F4</f>
        <v>-6476.6049999999996</v>
      </c>
      <c r="G4" s="77">
        <f>IS!G4</f>
        <v>-7975.9372858680536</v>
      </c>
      <c r="H4" s="77">
        <f>IS!H4</f>
        <v>-9505.3143862141533</v>
      </c>
      <c r="I4" s="77">
        <f>IS!I4</f>
        <v>-11134.405616027721</v>
      </c>
      <c r="J4" s="77">
        <f>IS!J4</f>
        <v>-12843.717898092287</v>
      </c>
      <c r="K4" s="77">
        <f>IS!K4</f>
        <v>-14614.65491560239</v>
      </c>
    </row>
    <row r="5" spans="1:11" x14ac:dyDescent="0.25">
      <c r="A5" s="24" t="s">
        <v>69</v>
      </c>
      <c r="B5" s="25">
        <f>IS!B5</f>
        <v>-424.476</v>
      </c>
      <c r="C5" s="25">
        <f>IS!C5</f>
        <v>-577.44299999999998</v>
      </c>
      <c r="D5" s="25">
        <f>IS!D5</f>
        <v>-681.375</v>
      </c>
      <c r="E5" s="25">
        <f>IS!E5</f>
        <v>-730.404</v>
      </c>
      <c r="F5" s="25">
        <f>IS!F5</f>
        <v>-734.17700000000002</v>
      </c>
      <c r="G5" s="77">
        <f>IS!G5</f>
        <v>-1031.0163973250744</v>
      </c>
      <c r="H5" s="77">
        <f>IS!H5</f>
        <v>-1228.7126443785885</v>
      </c>
      <c r="I5" s="77">
        <f>IS!I5</f>
        <v>-1439.2985241913907</v>
      </c>
      <c r="J5" s="77">
        <f>IS!J5</f>
        <v>-1660.2542473614117</v>
      </c>
      <c r="K5" s="77">
        <f>IS!K5</f>
        <v>-1889.17594499286</v>
      </c>
    </row>
    <row r="6" spans="1:11" x14ac:dyDescent="0.25">
      <c r="A6" s="24" t="s">
        <v>70</v>
      </c>
      <c r="B6" s="25">
        <f>IS!B6</f>
        <v>-177.40700000000001</v>
      </c>
      <c r="C6" s="25">
        <f>IS!C6</f>
        <v>-215.65199999999999</v>
      </c>
      <c r="D6" s="25">
        <f>IS!D6</f>
        <v>-327.358</v>
      </c>
      <c r="E6" s="25">
        <f>IS!E6</f>
        <v>-367.79599999999999</v>
      </c>
      <c r="F6" s="25">
        <f>IS!F6</f>
        <v>-413.202</v>
      </c>
      <c r="G6" s="77">
        <f>IS!G6</f>
        <v>-528.00276989577424</v>
      </c>
      <c r="H6" s="77">
        <f>IS!H6</f>
        <v>-629.24671355474482</v>
      </c>
      <c r="I6" s="77">
        <f>IS!I6</f>
        <v>-737.09167909610335</v>
      </c>
      <c r="J6" s="77">
        <f>IS!J6</f>
        <v>-850.2472352645384</v>
      </c>
      <c r="K6" s="77">
        <f>IS!K6</f>
        <v>-967.48231586290967</v>
      </c>
    </row>
    <row r="7" spans="1:11" x14ac:dyDescent="0.25">
      <c r="A7" s="24" t="s">
        <v>71</v>
      </c>
      <c r="B7" s="25">
        <f>IS!B7</f>
        <v>-437.70800000000003</v>
      </c>
      <c r="C7" s="25">
        <f>IS!C7</f>
        <v>-512.91399999999999</v>
      </c>
      <c r="D7" s="25">
        <f>IS!D7</f>
        <v>-649.47900000000004</v>
      </c>
      <c r="E7" s="25">
        <f>IS!E7</f>
        <v>-737.64300000000003</v>
      </c>
      <c r="F7" s="25">
        <f>IS!F7</f>
        <v>-788.91</v>
      </c>
      <c r="G7" s="77">
        <f>IS!G7</f>
        <v>-1038.6916090724203</v>
      </c>
      <c r="H7" s="77">
        <f>IS!H7</f>
        <v>-1237.8595694388632</v>
      </c>
      <c r="I7" s="77">
        <f>IS!I7</f>
        <v>-1450.0131170625345</v>
      </c>
      <c r="J7" s="77">
        <f>IS!J7</f>
        <v>-1672.613704433084</v>
      </c>
      <c r="K7" s="77">
        <f>IS!K7</f>
        <v>-1903.2395674953068</v>
      </c>
    </row>
    <row r="8" spans="1:11" x14ac:dyDescent="0.25">
      <c r="A8" s="24" t="s">
        <v>72</v>
      </c>
      <c r="B8" s="23">
        <f>IS!B8</f>
        <v>252.005</v>
      </c>
      <c r="C8" s="23">
        <f>IS!C8</f>
        <v>256.86599999999999</v>
      </c>
      <c r="D8" s="23">
        <f>IS!D8</f>
        <v>216.001</v>
      </c>
      <c r="E8" s="23">
        <f>IS!E8</f>
        <v>332.33800000000002</v>
      </c>
      <c r="F8" s="23">
        <f>IS!F8</f>
        <v>238.47</v>
      </c>
      <c r="G8" s="76">
        <f>IS!G8</f>
        <v>376.74908249541306</v>
      </c>
      <c r="H8" s="76">
        <f>IS!H8</f>
        <v>448.99029988384433</v>
      </c>
      <c r="I8" s="76">
        <f>IS!I8</f>
        <v>525.94158524826878</v>
      </c>
      <c r="J8" s="76">
        <f>IS!J8</f>
        <v>606.68216919280246</v>
      </c>
      <c r="K8" s="76">
        <f>IS!K8</f>
        <v>690.33364143873564</v>
      </c>
    </row>
    <row r="9" spans="1:11" x14ac:dyDescent="0.25">
      <c r="A9" s="2"/>
      <c r="B9" s="23">
        <f>IS!B9</f>
        <v>0</v>
      </c>
      <c r="C9" s="23">
        <f>IS!C9</f>
        <v>0</v>
      </c>
      <c r="D9" s="23">
        <f>IS!D9</f>
        <v>0</v>
      </c>
      <c r="E9" s="23">
        <f>IS!E9</f>
        <v>0</v>
      </c>
      <c r="F9" s="23">
        <f>IS!F9</f>
        <v>0</v>
      </c>
      <c r="G9" s="76">
        <f>IS!G9</f>
        <v>0</v>
      </c>
      <c r="H9" s="76">
        <f>IS!H9</f>
        <v>0</v>
      </c>
      <c r="I9" s="76">
        <f>IS!I9</f>
        <v>0</v>
      </c>
      <c r="J9" s="76">
        <f>IS!J9</f>
        <v>0</v>
      </c>
      <c r="K9" s="76">
        <f>IS!K9</f>
        <v>0</v>
      </c>
    </row>
    <row r="10" spans="1:11" x14ac:dyDescent="0.25">
      <c r="A10" s="22" t="s">
        <v>73</v>
      </c>
      <c r="B10" s="23">
        <f>IS!B10</f>
        <v>711.18399999999997</v>
      </c>
      <c r="C10" s="23">
        <f>IS!C10</f>
        <v>880.08100000000002</v>
      </c>
      <c r="D10" s="23">
        <f>IS!D10</f>
        <v>1138.54</v>
      </c>
      <c r="E10" s="23">
        <f>IS!E10</f>
        <v>1531.633</v>
      </c>
      <c r="F10" s="23">
        <f>IS!F10</f>
        <v>1899.1010000000001</v>
      </c>
      <c r="G10" s="76">
        <f>IS!G10</f>
        <v>2144.1825703340946</v>
      </c>
      <c r="H10" s="76">
        <f>IS!H10</f>
        <v>2555.327192526709</v>
      </c>
      <c r="I10" s="76">
        <f>IS!I10</f>
        <v>2993.2781060374614</v>
      </c>
      <c r="J10" s="76">
        <f>IS!J10</f>
        <v>3452.7949591795618</v>
      </c>
      <c r="K10" s="76">
        <f>IS!K10</f>
        <v>3928.8784776436069</v>
      </c>
    </row>
    <row r="11" spans="1:11" x14ac:dyDescent="0.25">
      <c r="A11" s="24" t="s">
        <v>74</v>
      </c>
      <c r="B11" s="25">
        <f>IS!B11</f>
        <v>-99.266999999999996</v>
      </c>
      <c r="C11" s="25">
        <f>IS!C11</f>
        <v>-112.5</v>
      </c>
      <c r="D11" s="25">
        <f>IS!D11</f>
        <v>-131.53</v>
      </c>
      <c r="E11" s="25">
        <f>IS!E11</f>
        <v>-125.52800000000001</v>
      </c>
      <c r="F11" s="25">
        <f>IS!F11</f>
        <v>-106.60299999999999</v>
      </c>
      <c r="G11" s="77">
        <f>IS!G11</f>
        <v>29.186942240000008</v>
      </c>
      <c r="H11" s="77">
        <f ca="1">IS!H11</f>
        <v>28.578232933224498</v>
      </c>
      <c r="I11" s="77">
        <f ca="1">IS!I11</f>
        <v>49.458643118873297</v>
      </c>
      <c r="J11" s="77">
        <f ca="1">IS!J11</f>
        <v>82.637475786837783</v>
      </c>
      <c r="K11" s="77">
        <f ca="1">IS!K11</f>
        <v>130.03052275121627</v>
      </c>
    </row>
    <row r="12" spans="1:11" x14ac:dyDescent="0.25">
      <c r="A12" s="24" t="s">
        <v>75</v>
      </c>
      <c r="B12" s="25">
        <f>IS!B12</f>
        <v>-139.184</v>
      </c>
      <c r="C12" s="25">
        <f>IS!C12</f>
        <v>-185.14699999999999</v>
      </c>
      <c r="D12" s="25">
        <f>IS!D12</f>
        <v>-146.27799999999999</v>
      </c>
      <c r="E12" s="25">
        <f>IS!E12</f>
        <v>-198.517</v>
      </c>
      <c r="F12" s="25">
        <f>IS!F12</f>
        <v>-47.643000000000001</v>
      </c>
      <c r="G12" s="77">
        <f>IS!G12</f>
        <v>0</v>
      </c>
      <c r="H12" s="77">
        <f>IS!H12</f>
        <v>0</v>
      </c>
      <c r="I12" s="77">
        <f>IS!I12</f>
        <v>0</v>
      </c>
      <c r="J12" s="77">
        <f>IS!J12</f>
        <v>0</v>
      </c>
      <c r="K12" s="77">
        <f>IS!K12</f>
        <v>0</v>
      </c>
    </row>
    <row r="13" spans="1:11" x14ac:dyDescent="0.25">
      <c r="A13" s="2"/>
      <c r="B13" s="23">
        <f>IS!B13</f>
        <v>0</v>
      </c>
      <c r="C13" s="23">
        <f>IS!C13</f>
        <v>0</v>
      </c>
      <c r="D13" s="23">
        <f>IS!D13</f>
        <v>0</v>
      </c>
      <c r="E13" s="23">
        <f>IS!E13</f>
        <v>0</v>
      </c>
      <c r="F13" s="23">
        <f>IS!F13</f>
        <v>0</v>
      </c>
      <c r="G13" s="76">
        <f>IS!G13</f>
        <v>0</v>
      </c>
      <c r="H13" s="76">
        <f>IS!H13</f>
        <v>0</v>
      </c>
      <c r="I13" s="76">
        <f>IS!I13</f>
        <v>0</v>
      </c>
      <c r="J13" s="76">
        <f>IS!J13</f>
        <v>0</v>
      </c>
      <c r="K13" s="76">
        <f>IS!K13</f>
        <v>0</v>
      </c>
    </row>
    <row r="14" spans="1:11" x14ac:dyDescent="0.25">
      <c r="A14" s="22" t="s">
        <v>76</v>
      </c>
      <c r="B14" s="23">
        <f>IS!B14</f>
        <v>472.733</v>
      </c>
      <c r="C14" s="23">
        <f>IS!C14</f>
        <v>582.43399999999997</v>
      </c>
      <c r="D14" s="23">
        <f>IS!D14</f>
        <v>860.73199999999997</v>
      </c>
      <c r="E14" s="23">
        <f>IS!E14</f>
        <v>1207.588</v>
      </c>
      <c r="F14" s="23">
        <f>IS!F14</f>
        <v>1744.855</v>
      </c>
      <c r="G14" s="76">
        <f>IS!G14</f>
        <v>2173.3695125740946</v>
      </c>
      <c r="H14" s="76">
        <f ca="1">IS!H14</f>
        <v>2583.9054254599337</v>
      </c>
      <c r="I14" s="76">
        <f ca="1">IS!I14</f>
        <v>3042.7367491563346</v>
      </c>
      <c r="J14" s="76">
        <f ca="1">IS!J14</f>
        <v>3535.4324349663998</v>
      </c>
      <c r="K14" s="76">
        <f ca="1">IS!K14</f>
        <v>4058.9090003948231</v>
      </c>
    </row>
    <row r="15" spans="1:11" x14ac:dyDescent="0.25">
      <c r="A15" s="24" t="s">
        <v>77</v>
      </c>
      <c r="B15" s="25">
        <f>IS!B15</f>
        <v>-44.759</v>
      </c>
      <c r="C15" s="25">
        <f>IS!C15</f>
        <v>-71.274000000000001</v>
      </c>
      <c r="D15" s="25">
        <f>IS!D15</f>
        <v>-100.139</v>
      </c>
      <c r="E15" s="25">
        <f>IS!E15</f>
        <v>-177.42599999999999</v>
      </c>
      <c r="F15" s="25">
        <f>IS!F15</f>
        <v>-263.75099999999998</v>
      </c>
      <c r="G15" s="77">
        <f>IS!G15</f>
        <v>-300.23424559230273</v>
      </c>
      <c r="H15" s="77">
        <f ca="1">IS!H15</f>
        <v>-356.94661750178267</v>
      </c>
      <c r="I15" s="77">
        <f ca="1">IS!I15</f>
        <v>-420.33062814843527</v>
      </c>
      <c r="J15" s="77">
        <f ca="1">IS!J15</f>
        <v>-488.39273939088514</v>
      </c>
      <c r="K15" s="77">
        <f ca="1">IS!K15</f>
        <v>-560.70699189022594</v>
      </c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7" t="s">
        <v>78</v>
      </c>
      <c r="B17" s="28">
        <f>IS!B17</f>
        <v>427.97399999999999</v>
      </c>
      <c r="C17" s="28">
        <f>IS!C17</f>
        <v>511.16</v>
      </c>
      <c r="D17" s="28">
        <f>IS!D17</f>
        <v>760.59299999999996</v>
      </c>
      <c r="E17" s="28">
        <f>IS!E17</f>
        <v>1030.162</v>
      </c>
      <c r="F17" s="28">
        <f>IS!F17</f>
        <v>1481.104</v>
      </c>
      <c r="G17" s="78">
        <f>IS!G17</f>
        <v>1873.135266981792</v>
      </c>
      <c r="H17" s="78">
        <f ca="1">IS!H17</f>
        <v>2226.9588079581508</v>
      </c>
      <c r="I17" s="78">
        <f ca="1">IS!I17</f>
        <v>2622.4061210078994</v>
      </c>
      <c r="J17" s="78">
        <f ca="1">IS!J17</f>
        <v>3047.0396955755145</v>
      </c>
      <c r="K17" s="78">
        <f ca="1">IS!K17</f>
        <v>3498.202008504597</v>
      </c>
    </row>
    <row r="18" spans="1:11" x14ac:dyDescent="0.25">
      <c r="A18" s="24" t="s">
        <v>79</v>
      </c>
      <c r="B18" s="25">
        <f>IS!B18</f>
        <v>268.084</v>
      </c>
      <c r="C18" s="25">
        <f>IS!C18</f>
        <v>323.79700000000003</v>
      </c>
      <c r="D18" s="25">
        <f>IS!D18</f>
        <v>521.23299999999995</v>
      </c>
      <c r="E18" s="25">
        <f>IS!E18</f>
        <v>705.61199999999997</v>
      </c>
      <c r="F18" s="25">
        <f>IS!F18</f>
        <v>1058.2460000000001</v>
      </c>
      <c r="G18" s="77">
        <f>IS!G18</f>
        <v>1450.2772669817921</v>
      </c>
      <c r="H18" s="77">
        <f ca="1">IS!H18</f>
        <v>1804.1008079581509</v>
      </c>
      <c r="I18" s="77">
        <f ca="1">IS!I18</f>
        <v>2199.5481210078992</v>
      </c>
      <c r="J18" s="77">
        <f ca="1">IS!J18</f>
        <v>2624.1816955755144</v>
      </c>
      <c r="K18" s="77">
        <f ca="1">IS!K18</f>
        <v>3075.3440085045968</v>
      </c>
    </row>
    <row r="19" spans="1:11" x14ac:dyDescent="0.25">
      <c r="A19" s="24" t="s">
        <v>80</v>
      </c>
      <c r="B19" s="25">
        <f>IS!B19</f>
        <v>159.88999999999999</v>
      </c>
      <c r="C19" s="25">
        <f>IS!C19</f>
        <v>187.363</v>
      </c>
      <c r="D19" s="25">
        <f>IS!D19</f>
        <v>239.36</v>
      </c>
      <c r="E19" s="25">
        <f>IS!E19</f>
        <v>324.55</v>
      </c>
      <c r="F19" s="25">
        <f>IS!F19</f>
        <v>422.858</v>
      </c>
      <c r="G19" s="77">
        <f>IS!G19</f>
        <v>422.858</v>
      </c>
      <c r="H19" s="77">
        <f>IS!H19</f>
        <v>422.858</v>
      </c>
      <c r="I19" s="77">
        <f>IS!I19</f>
        <v>422.858</v>
      </c>
      <c r="J19" s="77">
        <f>IS!J19</f>
        <v>422.858</v>
      </c>
      <c r="K19" s="77">
        <f>IS!K19</f>
        <v>422.858</v>
      </c>
    </row>
    <row r="20" spans="1:11" x14ac:dyDescent="0.25">
      <c r="A20" s="24" t="s">
        <v>81</v>
      </c>
      <c r="B20" s="88">
        <f>IS!B20</f>
        <v>0.27</v>
      </c>
      <c r="C20" s="88">
        <f>IS!C20</f>
        <v>0.33</v>
      </c>
      <c r="D20" s="88">
        <f>IS!D20</f>
        <v>0.53</v>
      </c>
      <c r="E20" s="88">
        <f>IS!E20</f>
        <v>0.71</v>
      </c>
      <c r="F20" s="88">
        <f>IS!F20</f>
        <v>1.07</v>
      </c>
      <c r="G20" s="89">
        <f>IS!G20</f>
        <v>1.0477297176096463</v>
      </c>
      <c r="H20" s="89">
        <f ca="1">IS!H20</f>
        <v>1.3033439005736407</v>
      </c>
      <c r="I20" s="89">
        <f ca="1">IS!I20</f>
        <v>1.5890285148635426</v>
      </c>
      <c r="J20" s="89">
        <f ca="1">IS!J20</f>
        <v>1.8957982790309125</v>
      </c>
      <c r="K20" s="89">
        <f ca="1">IS!K20</f>
        <v>2.22173330778927</v>
      </c>
    </row>
    <row r="21" spans="1:11" x14ac:dyDescent="0.25">
      <c r="A21" s="24" t="s">
        <v>82</v>
      </c>
      <c r="B21" s="88">
        <f>IS!B21</f>
        <v>0.27</v>
      </c>
      <c r="C21" s="88">
        <f>IS!C21</f>
        <v>0.33</v>
      </c>
      <c r="D21" s="88">
        <f>IS!D21</f>
        <v>0.53</v>
      </c>
      <c r="E21" s="88">
        <f>IS!E21</f>
        <v>0.71</v>
      </c>
      <c r="F21" s="88">
        <f>IS!F21</f>
        <v>1.07</v>
      </c>
      <c r="G21" s="89">
        <f>IS!G21</f>
        <v>1.0477297176096463</v>
      </c>
      <c r="H21" s="89">
        <f ca="1">IS!H21</f>
        <v>1.3033439005736407</v>
      </c>
      <c r="I21" s="89">
        <f ca="1">IS!I21</f>
        <v>1.5890285148635426</v>
      </c>
      <c r="J21" s="89">
        <f ca="1">IS!J21</f>
        <v>1.8957982790309125</v>
      </c>
      <c r="K21" s="89">
        <f ca="1">IS!K21</f>
        <v>2.22173330778927</v>
      </c>
    </row>
    <row r="22" spans="1:11" x14ac:dyDescent="0.25">
      <c r="A22" s="24" t="s">
        <v>57</v>
      </c>
      <c r="B22" s="25">
        <f>IS!B22</f>
        <v>1585.0888888888887</v>
      </c>
      <c r="C22" s="25">
        <f>IS!C22</f>
        <v>1548.969696969697</v>
      </c>
      <c r="D22" s="25">
        <f>IS!D22</f>
        <v>1435.0811320754715</v>
      </c>
      <c r="E22" s="25">
        <f>IS!E22</f>
        <v>1450.9323943661973</v>
      </c>
      <c r="F22" s="25">
        <f>IS!F22</f>
        <v>1384.2093457943924</v>
      </c>
      <c r="G22" s="77">
        <f>IS!G22</f>
        <v>1384.2093457943924</v>
      </c>
      <c r="H22" s="77">
        <f>IS!H22</f>
        <v>1384.2093457943924</v>
      </c>
      <c r="I22" s="77">
        <f>IS!I22</f>
        <v>1384.2093457943924</v>
      </c>
      <c r="J22" s="77">
        <f>IS!J22</f>
        <v>1384.2093457943924</v>
      </c>
      <c r="K22" s="77">
        <f>IS!K22</f>
        <v>1384.2093457943924</v>
      </c>
    </row>
    <row r="23" spans="1:11" x14ac:dyDescent="0.25">
      <c r="A23" s="24" t="s">
        <v>83</v>
      </c>
      <c r="B23" s="25">
        <f>IS!B23</f>
        <v>1585.0888888888887</v>
      </c>
      <c r="C23" s="25">
        <f>IS!C23</f>
        <v>1548.969696969697</v>
      </c>
      <c r="D23" s="25">
        <f>IS!D23</f>
        <v>1435.0811320754715</v>
      </c>
      <c r="E23" s="25">
        <f>IS!E23</f>
        <v>1450.9323943661973</v>
      </c>
      <c r="F23" s="25">
        <f>IS!F23</f>
        <v>1384.2093457943924</v>
      </c>
      <c r="G23" s="77">
        <f>IS!G23</f>
        <v>1384.2093457943924</v>
      </c>
      <c r="H23" s="77">
        <f>IS!H23</f>
        <v>1384.2093457943924</v>
      </c>
      <c r="I23" s="77">
        <f>IS!I23</f>
        <v>1384.2093457943924</v>
      </c>
      <c r="J23" s="77">
        <f>IS!J23</f>
        <v>1384.2093457943924</v>
      </c>
      <c r="K23" s="77">
        <f>IS!K23</f>
        <v>1384.2093457943924</v>
      </c>
    </row>
    <row r="24" spans="1:11" x14ac:dyDescent="0.2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</row>
    <row r="25" spans="1:11" x14ac:dyDescent="0.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</row>
    <row r="26" spans="1:11" x14ac:dyDescent="0.25">
      <c r="A26" s="1" t="s">
        <v>253</v>
      </c>
      <c r="B26" s="1" t="s">
        <v>61</v>
      </c>
      <c r="C26" s="1" t="s">
        <v>62</v>
      </c>
      <c r="D26" s="1" t="s">
        <v>63</v>
      </c>
      <c r="E26" s="1" t="s">
        <v>64</v>
      </c>
      <c r="F26" s="1" t="s">
        <v>65</v>
      </c>
      <c r="G26" s="1" t="s">
        <v>36</v>
      </c>
      <c r="H26" s="1" t="s">
        <v>37</v>
      </c>
      <c r="I26" s="1" t="s">
        <v>38</v>
      </c>
      <c r="J26" s="1" t="s">
        <v>39</v>
      </c>
      <c r="K26" s="1" t="s">
        <v>40</v>
      </c>
    </row>
    <row r="27" spans="1:11" x14ac:dyDescent="0.25">
      <c r="A27" s="18" t="s">
        <v>164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x14ac:dyDescent="0.25">
      <c r="A28" s="24" t="s">
        <v>78</v>
      </c>
      <c r="B28" s="25">
        <f>CFS!B3</f>
        <v>427.97399999999999</v>
      </c>
      <c r="C28" s="25">
        <f>CFS!C3</f>
        <v>511.16</v>
      </c>
      <c r="D28" s="25">
        <f>CFS!D3</f>
        <v>760.59299999999996</v>
      </c>
      <c r="E28" s="25">
        <f>CFS!E3</f>
        <v>1030.162</v>
      </c>
      <c r="F28" s="25">
        <f>CFS!F3</f>
        <v>1481.104</v>
      </c>
      <c r="G28" s="77">
        <f>CFS!G3</f>
        <v>1873.135266981792</v>
      </c>
      <c r="H28" s="77">
        <f ca="1">CFS!H3</f>
        <v>2226.9588079581508</v>
      </c>
      <c r="I28" s="77">
        <f ca="1">CFS!I3</f>
        <v>2622.4061210078994</v>
      </c>
      <c r="J28" s="77">
        <f ca="1">CFS!J3</f>
        <v>3047.0396955755145</v>
      </c>
      <c r="K28" s="77">
        <f ca="1">CFS!K3</f>
        <v>3498.202008504597</v>
      </c>
    </row>
    <row r="29" spans="1:11" x14ac:dyDescent="0.25">
      <c r="A29" s="24" t="s">
        <v>91</v>
      </c>
      <c r="B29" s="25">
        <f>CFS!B4</f>
        <v>219.22200000000001</v>
      </c>
      <c r="C29" s="25">
        <f>CFS!C4</f>
        <v>266.99900000000002</v>
      </c>
      <c r="D29" s="25">
        <f>CFS!D4</f>
        <v>276.81200000000001</v>
      </c>
      <c r="E29" s="25">
        <f>CFS!E4</f>
        <v>316</v>
      </c>
      <c r="F29" s="25">
        <f>CFS!F4</f>
        <v>353</v>
      </c>
      <c r="G29" s="77">
        <f>CFS!G4</f>
        <v>238.69434551407204</v>
      </c>
      <c r="H29" s="77">
        <f>CFS!H4</f>
        <v>353.19131658540152</v>
      </c>
      <c r="I29" s="77">
        <f>CFS!I4</f>
        <v>487.31162717331188</v>
      </c>
      <c r="J29" s="77">
        <f>CFS!J4</f>
        <v>642.02158592638557</v>
      </c>
      <c r="K29" s="77">
        <f>CFS!K4</f>
        <v>818.06349817666069</v>
      </c>
    </row>
    <row r="30" spans="1:11" x14ac:dyDescent="0.25">
      <c r="A30" s="24" t="s">
        <v>77</v>
      </c>
      <c r="B30" s="25">
        <f>CFS!B5</f>
        <v>44.759</v>
      </c>
      <c r="C30" s="25">
        <f>CFS!C5</f>
        <v>71.274000000000001</v>
      </c>
      <c r="D30" s="25">
        <f>CFS!D5</f>
        <v>100.139</v>
      </c>
      <c r="E30" s="25">
        <f>CFS!E5</f>
        <v>0</v>
      </c>
      <c r="F30" s="25">
        <f>CFS!F5</f>
        <v>0</v>
      </c>
      <c r="G30" s="77">
        <f>CFS!G5</f>
        <v>300.23424559230273</v>
      </c>
      <c r="H30" s="77">
        <f ca="1">CFS!H5</f>
        <v>356.94661750178267</v>
      </c>
      <c r="I30" s="77">
        <f ca="1">CFS!I5</f>
        <v>420.33062814843527</v>
      </c>
      <c r="J30" s="77">
        <f ca="1">CFS!J5</f>
        <v>488.39273939088514</v>
      </c>
      <c r="K30" s="77">
        <f ca="1">CFS!K5</f>
        <v>560.70699189022594</v>
      </c>
    </row>
    <row r="31" spans="1:11" x14ac:dyDescent="0.25">
      <c r="A31" s="24" t="s">
        <v>165</v>
      </c>
      <c r="B31" s="25">
        <f>CFS!B6</f>
        <v>-235.26599999999999</v>
      </c>
      <c r="C31" s="25">
        <f>CFS!C6</f>
        <v>-450.81799999999998</v>
      </c>
      <c r="D31" s="25">
        <f>CFS!D6</f>
        <v>-198.18600000000001</v>
      </c>
      <c r="E31" s="25">
        <f>CFS!E6</f>
        <v>0</v>
      </c>
      <c r="F31" s="25">
        <f>CFS!F6</f>
        <v>0</v>
      </c>
      <c r="G31" s="77">
        <f>CFS!G6</f>
        <v>-983.97899622659043</v>
      </c>
      <c r="H31" s="77">
        <f>CFS!H6</f>
        <v>-921.36122972518569</v>
      </c>
      <c r="I31" s="77">
        <f>CFS!I6</f>
        <v>-757.73812642312259</v>
      </c>
      <c r="J31" s="77">
        <f>CFS!J6</f>
        <v>-551.69576777998736</v>
      </c>
      <c r="K31" s="77">
        <f>CFS!K6</f>
        <v>-310.55354213144892</v>
      </c>
    </row>
    <row r="32" spans="1:11" x14ac:dyDescent="0.25">
      <c r="A32" s="24" t="s">
        <v>166</v>
      </c>
      <c r="B32" s="25">
        <f>CFS!B7</f>
        <v>-488.61599999999999</v>
      </c>
      <c r="C32" s="25">
        <f>CFS!C7</f>
        <v>-109.74</v>
      </c>
      <c r="D32" s="25">
        <f>CFS!D7</f>
        <v>-117.801</v>
      </c>
      <c r="E32" s="25">
        <f>CFS!E7</f>
        <v>0</v>
      </c>
      <c r="F32" s="25">
        <f>CFS!F7</f>
        <v>0</v>
      </c>
      <c r="G32" s="77">
        <f>CFS!G7</f>
        <v>-345.33796250454589</v>
      </c>
      <c r="H32" s="77">
        <f>CFS!H7</f>
        <v>-341.93159425027625</v>
      </c>
      <c r="I32" s="77">
        <f>CFS!I7</f>
        <v>-364.22525305448744</v>
      </c>
      <c r="J32" s="77">
        <f>CFS!J7</f>
        <v>-382.16073298446099</v>
      </c>
      <c r="K32" s="77">
        <f>CFS!K7</f>
        <v>-395.93852789938137</v>
      </c>
    </row>
    <row r="33" spans="1:11" x14ac:dyDescent="0.25">
      <c r="A33" s="24" t="s">
        <v>167</v>
      </c>
      <c r="B33" s="25">
        <f>CFS!B8</f>
        <v>266.91300000000001</v>
      </c>
      <c r="C33" s="25">
        <f>CFS!C8</f>
        <v>328.91500000000002</v>
      </c>
      <c r="D33" s="25">
        <f>CFS!D8</f>
        <v>277.42</v>
      </c>
      <c r="E33" s="25">
        <f>CFS!E8</f>
        <v>0</v>
      </c>
      <c r="F33" s="25">
        <f>CFS!F8</f>
        <v>0</v>
      </c>
      <c r="G33" s="77">
        <f>CFS!G8</f>
        <v>693.84186342641624</v>
      </c>
      <c r="H33" s="77">
        <f>CFS!H8</f>
        <v>1128.2361984041663</v>
      </c>
      <c r="I33" s="77">
        <f>CFS!I8</f>
        <v>1129.5101400106287</v>
      </c>
      <c r="J33" s="77">
        <f>CFS!J8</f>
        <v>1106.4910938968296</v>
      </c>
      <c r="K33" s="77">
        <f>CFS!K8</f>
        <v>1262.2320123834888</v>
      </c>
    </row>
    <row r="34" spans="1:11" x14ac:dyDescent="0.25">
      <c r="A34" s="24" t="s">
        <v>168</v>
      </c>
      <c r="B34" s="25">
        <f>CFS!B9</f>
        <v>-127.886</v>
      </c>
      <c r="C34" s="25">
        <f>CFS!C9</f>
        <v>100.14700000000001</v>
      </c>
      <c r="D34" s="25">
        <f>CFS!D9</f>
        <v>149.214</v>
      </c>
      <c r="E34" s="25">
        <f>CFS!E9</f>
        <v>0</v>
      </c>
      <c r="F34" s="25">
        <f>CFS!F9</f>
        <v>0</v>
      </c>
      <c r="G34" s="77">
        <f>CFS!G9</f>
        <v>0</v>
      </c>
      <c r="H34" s="77">
        <f>CFS!H9</f>
        <v>0</v>
      </c>
      <c r="I34" s="77">
        <f>CFS!I9</f>
        <v>0</v>
      </c>
      <c r="J34" s="77">
        <f>CFS!J9</f>
        <v>0</v>
      </c>
      <c r="K34" s="77">
        <f>CFS!K9</f>
        <v>0</v>
      </c>
    </row>
    <row r="35" spans="1:11" x14ac:dyDescent="0.25">
      <c r="A35" s="24" t="s">
        <v>169</v>
      </c>
      <c r="B35" s="25">
        <f>CFS!B10</f>
        <v>190.64699999999999</v>
      </c>
      <c r="C35" s="25">
        <f>CFS!C10</f>
        <v>220.35</v>
      </c>
      <c r="D35" s="25">
        <f>CFS!D10</f>
        <v>372.13400000000001</v>
      </c>
      <c r="E35" s="25">
        <f>CFS!E10</f>
        <v>0</v>
      </c>
      <c r="F35" s="25">
        <f>CFS!F10</f>
        <v>0</v>
      </c>
      <c r="G35" s="77">
        <f>CFS!G10</f>
        <v>-241.12489735126258</v>
      </c>
      <c r="H35" s="77">
        <f ca="1">CFS!H10</f>
        <v>-294.75752048495843</v>
      </c>
      <c r="I35" s="77">
        <f ca="1">CFS!I10</f>
        <v>-313.97546846684986</v>
      </c>
      <c r="J35" s="77">
        <f ca="1">CFS!J10</f>
        <v>-329.43650711248392</v>
      </c>
      <c r="K35" s="77">
        <f ca="1">CFS!K10</f>
        <v>-341.31346944986763</v>
      </c>
    </row>
    <row r="36" spans="1:11" x14ac:dyDescent="0.25">
      <c r="A36" s="24" t="s">
        <v>170</v>
      </c>
      <c r="B36" s="25">
        <f>CFS!B11</f>
        <v>-46.124000000000002</v>
      </c>
      <c r="C36" s="25">
        <f>CFS!C11</f>
        <v>-75.057000000000002</v>
      </c>
      <c r="D36" s="25">
        <f>CFS!D11</f>
        <v>-123.73</v>
      </c>
      <c r="E36" s="25">
        <f>CFS!E11</f>
        <v>0</v>
      </c>
      <c r="F36" s="25">
        <f>CFS!F11</f>
        <v>0</v>
      </c>
      <c r="G36" s="77">
        <f>CFS!G11</f>
        <v>-300.23424559230273</v>
      </c>
      <c r="H36" s="77">
        <f ca="1">CFS!H11</f>
        <v>-356.94661750178267</v>
      </c>
      <c r="I36" s="77">
        <f ca="1">CFS!I11</f>
        <v>-420.33062814843527</v>
      </c>
      <c r="J36" s="77">
        <f ca="1">CFS!J11</f>
        <v>-488.39273939088514</v>
      </c>
      <c r="K36" s="77">
        <f ca="1">CFS!K11</f>
        <v>-560.70699189022594</v>
      </c>
    </row>
    <row r="37" spans="1:11" x14ac:dyDescent="0.25">
      <c r="A37" s="33" t="s">
        <v>171</v>
      </c>
      <c r="B37" s="34">
        <f>CFS!B12</f>
        <v>251.62299999999999</v>
      </c>
      <c r="C37" s="34">
        <f>CFS!C12</f>
        <v>863.23</v>
      </c>
      <c r="D37" s="34">
        <f>CFS!D12</f>
        <v>1496.595</v>
      </c>
      <c r="E37" s="34">
        <f>CFS!E12</f>
        <v>927</v>
      </c>
      <c r="F37" s="34">
        <f>CFS!F12</f>
        <v>1835</v>
      </c>
      <c r="G37" s="80">
        <f>CFS!G12</f>
        <v>1235.2296198398817</v>
      </c>
      <c r="H37" s="80">
        <f ca="1">CFS!H12</f>
        <v>2150.3359784872982</v>
      </c>
      <c r="I37" s="80">
        <f ca="1">CFS!I12</f>
        <v>2803.2890402473804</v>
      </c>
      <c r="J37" s="80">
        <f ca="1">CFS!J12</f>
        <v>3532.2593675217977</v>
      </c>
      <c r="K37" s="80">
        <f ca="1">CFS!K12</f>
        <v>4530.6919795840486</v>
      </c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4" t="s">
        <v>172</v>
      </c>
      <c r="B39" s="25">
        <f>CFS!B14</f>
        <v>0</v>
      </c>
      <c r="C39" s="25">
        <f>CFS!C14</f>
        <v>-29.898</v>
      </c>
      <c r="D39" s="25">
        <f>CFS!D14</f>
        <v>-33.267000000000003</v>
      </c>
      <c r="E39" s="25">
        <f>CFS!E14</f>
        <v>0</v>
      </c>
      <c r="F39" s="25">
        <f>CFS!F14</f>
        <v>0</v>
      </c>
      <c r="G39" s="77">
        <f>CFS!G14</f>
        <v>0</v>
      </c>
      <c r="H39" s="77">
        <f>CFS!H14</f>
        <v>0</v>
      </c>
      <c r="I39" s="77">
        <f>CFS!I14</f>
        <v>0</v>
      </c>
      <c r="J39" s="77">
        <f>CFS!J14</f>
        <v>0</v>
      </c>
      <c r="K39" s="77">
        <f>CFS!K14</f>
        <v>0</v>
      </c>
    </row>
    <row r="40" spans="1:11" x14ac:dyDescent="0.25">
      <c r="A40" s="24" t="s">
        <v>173</v>
      </c>
      <c r="B40" s="25">
        <f>CFS!B15</f>
        <v>3.06</v>
      </c>
      <c r="C40" s="25">
        <f>CFS!C15</f>
        <v>0</v>
      </c>
      <c r="D40" s="25">
        <f>CFS!D15</f>
        <v>0</v>
      </c>
      <c r="E40" s="25">
        <f>CFS!E15</f>
        <v>0</v>
      </c>
      <c r="F40" s="25">
        <f>CFS!F15</f>
        <v>0</v>
      </c>
      <c r="G40" s="77">
        <f>CFS!G15</f>
        <v>0</v>
      </c>
      <c r="H40" s="77">
        <f>CFS!H15</f>
        <v>0</v>
      </c>
      <c r="I40" s="77">
        <f>CFS!I15</f>
        <v>0</v>
      </c>
      <c r="J40" s="77">
        <f>CFS!J15</f>
        <v>0</v>
      </c>
      <c r="K40" s="77">
        <f>CFS!K15</f>
        <v>0</v>
      </c>
    </row>
    <row r="41" spans="1:11" x14ac:dyDescent="0.25">
      <c r="A41" s="24" t="s">
        <v>174</v>
      </c>
      <c r="B41" s="25">
        <f>CFS!B16</f>
        <v>-216.65100000000001</v>
      </c>
      <c r="C41" s="25">
        <f>CFS!C16</f>
        <v>-246.33600000000001</v>
      </c>
      <c r="D41" s="25">
        <f>CFS!D16</f>
        <v>-446.29300000000001</v>
      </c>
      <c r="E41" s="25">
        <f>CFS!E16</f>
        <v>0</v>
      </c>
      <c r="F41" s="25">
        <f>CFS!F16</f>
        <v>0</v>
      </c>
      <c r="G41" s="77">
        <f>CFS!G16</f>
        <v>-759.45004657770039</v>
      </c>
      <c r="H41" s="77">
        <f>CFS!H16</f>
        <v>-905.07374802663981</v>
      </c>
      <c r="I41" s="77">
        <f>CFS!I16</f>
        <v>-1060.1919950762199</v>
      </c>
      <c r="J41" s="77">
        <f>CFS!J16</f>
        <v>-1222.9487026207787</v>
      </c>
      <c r="K41" s="77">
        <f>CFS!K16</f>
        <v>-1391.5731729782894</v>
      </c>
    </row>
    <row r="42" spans="1:11" x14ac:dyDescent="0.25">
      <c r="A42" s="24" t="s">
        <v>175</v>
      </c>
      <c r="B42" s="25">
        <f>CFS!B17</f>
        <v>6.2460000000000004</v>
      </c>
      <c r="C42" s="25">
        <f>CFS!C17</f>
        <v>20.071999999999999</v>
      </c>
      <c r="D42" s="25">
        <f>CFS!D17</f>
        <v>6.4660000000000002</v>
      </c>
      <c r="E42" s="25">
        <f>CFS!E17</f>
        <v>0</v>
      </c>
      <c r="F42" s="25">
        <f>CFS!F17</f>
        <v>0</v>
      </c>
      <c r="G42" s="77">
        <f>CFS!G17</f>
        <v>0</v>
      </c>
      <c r="H42" s="77">
        <f>CFS!H17</f>
        <v>0</v>
      </c>
      <c r="I42" s="77">
        <f>CFS!I17</f>
        <v>0</v>
      </c>
      <c r="J42" s="77">
        <f>CFS!J17</f>
        <v>0</v>
      </c>
      <c r="K42" s="77">
        <f>CFS!K17</f>
        <v>0</v>
      </c>
    </row>
    <row r="43" spans="1:11" x14ac:dyDescent="0.25">
      <c r="A43" s="24" t="s">
        <v>176</v>
      </c>
      <c r="B43" s="25">
        <f>CFS!B18</f>
        <v>-162.78200000000001</v>
      </c>
      <c r="C43" s="25">
        <f>CFS!C18</f>
        <v>-143.404</v>
      </c>
      <c r="D43" s="25">
        <f>CFS!D18</f>
        <v>-118.29300000000001</v>
      </c>
      <c r="E43" s="25">
        <f>CFS!E18</f>
        <v>0</v>
      </c>
      <c r="F43" s="25">
        <f>CFS!F18</f>
        <v>0</v>
      </c>
      <c r="G43" s="77">
        <f>CFS!G18</f>
        <v>-201.29740856302004</v>
      </c>
      <c r="H43" s="77">
        <f>CFS!H18</f>
        <v>-239.89596268665494</v>
      </c>
      <c r="I43" s="77">
        <f>CFS!I18</f>
        <v>-281.01111080288342</v>
      </c>
      <c r="J43" s="77">
        <f>CFS!J18</f>
        <v>-324.15088490995771</v>
      </c>
      <c r="K43" s="77">
        <f>CFS!K18</f>
        <v>-368.84594952446213</v>
      </c>
    </row>
    <row r="44" spans="1:11" x14ac:dyDescent="0.25">
      <c r="A44" s="24" t="s">
        <v>177</v>
      </c>
      <c r="B44" s="25">
        <f>CFS!B19</f>
        <v>0</v>
      </c>
      <c r="C44" s="25">
        <f>CFS!C19</f>
        <v>0</v>
      </c>
      <c r="D44" s="25">
        <f>CFS!D19</f>
        <v>0</v>
      </c>
      <c r="E44" s="25">
        <f>CFS!E19</f>
        <v>0</v>
      </c>
      <c r="F44" s="25">
        <f>CFS!F19</f>
        <v>0</v>
      </c>
      <c r="G44" s="77">
        <f>CFS!G19</f>
        <v>0</v>
      </c>
      <c r="H44" s="77">
        <f>CFS!H19</f>
        <v>0</v>
      </c>
      <c r="I44" s="77">
        <f>CFS!I19</f>
        <v>0</v>
      </c>
      <c r="J44" s="77">
        <f>CFS!J19</f>
        <v>0</v>
      </c>
      <c r="K44" s="77">
        <f>CFS!K19</f>
        <v>0</v>
      </c>
    </row>
    <row r="45" spans="1:11" x14ac:dyDescent="0.25">
      <c r="A45" s="24" t="s">
        <v>178</v>
      </c>
      <c r="B45" s="25">
        <f>CFS!B20</f>
        <v>-44.482999999999997</v>
      </c>
      <c r="C45" s="25">
        <f>CFS!C20</f>
        <v>-5.16</v>
      </c>
      <c r="D45" s="25">
        <f>CFS!D20</f>
        <v>-37.97</v>
      </c>
      <c r="E45" s="25">
        <f>CFS!E20</f>
        <v>0</v>
      </c>
      <c r="F45" s="25">
        <f>CFS!F20</f>
        <v>0</v>
      </c>
      <c r="G45" s="77">
        <f>CFS!G20</f>
        <v>0</v>
      </c>
      <c r="H45" s="77">
        <f>CFS!H20</f>
        <v>0</v>
      </c>
      <c r="I45" s="77">
        <f>CFS!I20</f>
        <v>0</v>
      </c>
      <c r="J45" s="77">
        <f>CFS!J20</f>
        <v>0</v>
      </c>
      <c r="K45" s="77">
        <f>CFS!K20</f>
        <v>0</v>
      </c>
    </row>
    <row r="46" spans="1:11" x14ac:dyDescent="0.25">
      <c r="A46" s="24" t="s">
        <v>179</v>
      </c>
      <c r="B46" s="25">
        <f>CFS!B21</f>
        <v>-47.960999999999999</v>
      </c>
      <c r="C46" s="25">
        <f>CFS!C21</f>
        <v>-273.46699999999998</v>
      </c>
      <c r="D46" s="25">
        <f>CFS!D21</f>
        <v>113.562</v>
      </c>
      <c r="E46" s="25">
        <f>CFS!E21</f>
        <v>0</v>
      </c>
      <c r="F46" s="25">
        <f>CFS!F21</f>
        <v>0</v>
      </c>
      <c r="G46" s="77">
        <f>CFS!G21</f>
        <v>0</v>
      </c>
      <c r="H46" s="77">
        <f>CFS!H21</f>
        <v>0</v>
      </c>
      <c r="I46" s="77">
        <f>CFS!I21</f>
        <v>0</v>
      </c>
      <c r="J46" s="77">
        <f>CFS!J21</f>
        <v>0</v>
      </c>
      <c r="K46" s="77">
        <f>CFS!K21</f>
        <v>0</v>
      </c>
    </row>
    <row r="47" spans="1:11" x14ac:dyDescent="0.25">
      <c r="A47" s="33" t="s">
        <v>180</v>
      </c>
      <c r="B47" s="34">
        <f>CFS!B22</f>
        <v>-462.57100000000003</v>
      </c>
      <c r="C47" s="34">
        <f>CFS!C22</f>
        <v>-678.19299999999998</v>
      </c>
      <c r="D47" s="34">
        <f>CFS!D22</f>
        <v>-515.79499999999996</v>
      </c>
      <c r="E47" s="34">
        <f>CFS!E22</f>
        <v>-171</v>
      </c>
      <c r="F47" s="34">
        <f>CFS!F22</f>
        <v>-605</v>
      </c>
      <c r="G47" s="80">
        <f>CFS!G22</f>
        <v>-960.74745514072038</v>
      </c>
      <c r="H47" s="80">
        <f>CFS!H22</f>
        <v>-1144.9697107132947</v>
      </c>
      <c r="I47" s="80">
        <f>CFS!I22</f>
        <v>-1341.2031058791033</v>
      </c>
      <c r="J47" s="80">
        <f>CFS!J22</f>
        <v>-1547.0995875307365</v>
      </c>
      <c r="K47" s="80">
        <f>CFS!K22</f>
        <v>-1760.4191225027516</v>
      </c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4" t="s">
        <v>181</v>
      </c>
      <c r="B49" s="25">
        <f>CFS!B24</f>
        <v>2569.6179999999999</v>
      </c>
      <c r="C49" s="25">
        <f>CFS!C24</f>
        <v>2629.4380000000001</v>
      </c>
      <c r="D49" s="25">
        <f>CFS!D24</f>
        <v>2510.4870000000001</v>
      </c>
      <c r="E49" s="25">
        <f>CFS!E24</f>
        <v>0</v>
      </c>
      <c r="F49" s="25">
        <f>CFS!F24</f>
        <v>0</v>
      </c>
      <c r="G49" s="77">
        <f>CFS!G24</f>
        <v>0</v>
      </c>
      <c r="H49" s="77">
        <f>CFS!H24</f>
        <v>0</v>
      </c>
      <c r="I49" s="77">
        <f>CFS!I24</f>
        <v>0</v>
      </c>
      <c r="J49" s="77">
        <f>CFS!J24</f>
        <v>0</v>
      </c>
      <c r="K49" s="77">
        <f>CFS!K24</f>
        <v>0</v>
      </c>
    </row>
    <row r="50" spans="1:11" x14ac:dyDescent="0.25">
      <c r="A50" s="24" t="s">
        <v>182</v>
      </c>
      <c r="B50" s="25">
        <f>CFS!B25</f>
        <v>-2003.2560000000001</v>
      </c>
      <c r="C50" s="25">
        <f>CFS!C25</f>
        <v>-2793.94</v>
      </c>
      <c r="D50" s="25">
        <f>CFS!D25</f>
        <v>-2674.924</v>
      </c>
      <c r="E50" s="25">
        <f>CFS!E25</f>
        <v>0</v>
      </c>
      <c r="F50" s="25">
        <f>CFS!F25</f>
        <v>0</v>
      </c>
      <c r="G50" s="77">
        <f>CFS!G25</f>
        <v>0</v>
      </c>
      <c r="H50" s="77">
        <f>CFS!H25</f>
        <v>0</v>
      </c>
      <c r="I50" s="77">
        <f>CFS!I25</f>
        <v>0</v>
      </c>
      <c r="J50" s="77">
        <f>CFS!J25</f>
        <v>0</v>
      </c>
      <c r="K50" s="77">
        <f>CFS!K25</f>
        <v>0</v>
      </c>
    </row>
    <row r="51" spans="1:11" x14ac:dyDescent="0.25">
      <c r="A51" s="24" t="s">
        <v>183</v>
      </c>
      <c r="B51" s="25">
        <f>CFS!B26</f>
        <v>0</v>
      </c>
      <c r="C51" s="25">
        <f>CFS!C26</f>
        <v>0</v>
      </c>
      <c r="D51" s="25">
        <f>CFS!D26</f>
        <v>0</v>
      </c>
      <c r="E51" s="25">
        <f>CFS!E26</f>
        <v>0</v>
      </c>
      <c r="F51" s="25">
        <f>CFS!F26</f>
        <v>0</v>
      </c>
      <c r="G51" s="77">
        <f>CFS!G26</f>
        <v>0</v>
      </c>
      <c r="H51" s="77">
        <f>CFS!H26</f>
        <v>0</v>
      </c>
      <c r="I51" s="77">
        <f>CFS!I26</f>
        <v>0</v>
      </c>
      <c r="J51" s="77">
        <f>CFS!J26</f>
        <v>0</v>
      </c>
      <c r="K51" s="77">
        <f>CFS!K26</f>
        <v>0</v>
      </c>
    </row>
    <row r="52" spans="1:11" x14ac:dyDescent="0.25">
      <c r="A52" s="24" t="s">
        <v>184</v>
      </c>
      <c r="B52" s="25">
        <f>CFS!B27</f>
        <v>0</v>
      </c>
      <c r="C52" s="25">
        <f>CFS!C27</f>
        <v>0</v>
      </c>
      <c r="D52" s="25">
        <f>CFS!D27</f>
        <v>0</v>
      </c>
      <c r="E52" s="25">
        <f>CFS!E27</f>
        <v>0</v>
      </c>
      <c r="F52" s="25">
        <f>CFS!F27</f>
        <v>0</v>
      </c>
      <c r="G52" s="77">
        <f>CFS!G27</f>
        <v>0</v>
      </c>
      <c r="H52" s="77">
        <f>CFS!H27</f>
        <v>0</v>
      </c>
      <c r="I52" s="77">
        <f>CFS!I27</f>
        <v>0</v>
      </c>
      <c r="J52" s="77">
        <f>CFS!J27</f>
        <v>0</v>
      </c>
      <c r="K52" s="77">
        <f>CFS!K27</f>
        <v>0</v>
      </c>
    </row>
    <row r="53" spans="1:11" x14ac:dyDescent="0.25">
      <c r="A53" s="24" t="s">
        <v>185</v>
      </c>
      <c r="B53" s="25">
        <f>CFS!B28</f>
        <v>-211.53899999999999</v>
      </c>
      <c r="C53" s="25">
        <f>CFS!C28</f>
        <v>-222.458</v>
      </c>
      <c r="D53" s="25">
        <f>CFS!D28</f>
        <v>-273.524</v>
      </c>
      <c r="E53" s="25">
        <f>CFS!E28</f>
        <v>0</v>
      </c>
      <c r="F53" s="25">
        <f>CFS!F28</f>
        <v>0</v>
      </c>
      <c r="G53" s="77">
        <f>CFS!G28</f>
        <v>-673.6157850071296</v>
      </c>
      <c r="H53" s="77">
        <f ca="1">CFS!H28</f>
        <v>-800.85759530779967</v>
      </c>
      <c r="I53" s="77">
        <f ca="1">CFS!I28</f>
        <v>-943.06812164004236</v>
      </c>
      <c r="J53" s="77">
        <f ca="1">CFS!J28</f>
        <v>-1095.7745938926562</v>
      </c>
      <c r="K53" s="77">
        <f ca="1">CFS!K28</f>
        <v>-1258.0213151767259</v>
      </c>
    </row>
    <row r="54" spans="1:11" x14ac:dyDescent="0.25">
      <c r="A54" s="24" t="s">
        <v>186</v>
      </c>
      <c r="B54" s="25">
        <f>CFS!B29</f>
        <v>89.034000000000006</v>
      </c>
      <c r="C54" s="25">
        <f>CFS!C29</f>
        <v>-331.80700000000002</v>
      </c>
      <c r="D54" s="25">
        <f>CFS!D29</f>
        <v>-42.05</v>
      </c>
      <c r="E54" s="25">
        <f>CFS!E29</f>
        <v>0</v>
      </c>
      <c r="F54" s="25">
        <f>CFS!F29</f>
        <v>0</v>
      </c>
      <c r="G54" s="77">
        <f ca="1">CFS!G29</f>
        <v>379.42153135798389</v>
      </c>
      <c r="H54" s="77">
        <f ca="1">CFS!H29</f>
        <v>471.67041385662014</v>
      </c>
      <c r="I54" s="77">
        <f ca="1">CFS!I29</f>
        <v>555.42625035351602</v>
      </c>
      <c r="J54" s="77">
        <f ca="1">CFS!J29</f>
        <v>645.36374409519931</v>
      </c>
      <c r="K54" s="77">
        <f ca="1">CFS!K29</f>
        <v>740.92003103473326</v>
      </c>
    </row>
    <row r="55" spans="1:11" x14ac:dyDescent="0.25">
      <c r="A55" s="33" t="s">
        <v>187</v>
      </c>
      <c r="B55" s="34">
        <f>CFS!B30</f>
        <v>443.85700000000003</v>
      </c>
      <c r="C55" s="34">
        <f>CFS!C30</f>
        <v>-718.76700000000005</v>
      </c>
      <c r="D55" s="34">
        <f>CFS!D30</f>
        <v>-480.01100000000002</v>
      </c>
      <c r="E55" s="34">
        <f>CFS!E30</f>
        <v>-534</v>
      </c>
      <c r="F55" s="34">
        <f>CFS!F30</f>
        <v>-640</v>
      </c>
      <c r="G55" s="80">
        <f ca="1">CFS!G30</f>
        <v>-294.19425364914571</v>
      </c>
      <c r="H55" s="80">
        <f ca="1">CFS!H30</f>
        <v>-329.18718145117953</v>
      </c>
      <c r="I55" s="80">
        <f ca="1">CFS!I30</f>
        <v>-387.64187128652634</v>
      </c>
      <c r="J55" s="80">
        <f ca="1">CFS!J30</f>
        <v>-450.41084979745688</v>
      </c>
      <c r="K55" s="80">
        <f ca="1">CFS!K30</f>
        <v>-517.10128414199266</v>
      </c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4" t="s">
        <v>188</v>
      </c>
      <c r="B57" s="25">
        <f>CFS!B32</f>
        <v>-7.4359999999999999</v>
      </c>
      <c r="C57" s="25">
        <f>CFS!C32</f>
        <v>22.712</v>
      </c>
      <c r="D57" s="25">
        <f>CFS!D32</f>
        <v>6.1790000000000003</v>
      </c>
      <c r="E57" s="25">
        <f>CFS!E32</f>
        <v>0</v>
      </c>
      <c r="F57" s="25">
        <f>CFS!F32</f>
        <v>0</v>
      </c>
      <c r="G57" s="77">
        <f>CFS!G32</f>
        <v>0</v>
      </c>
      <c r="H57" s="77">
        <f>CFS!H32</f>
        <v>0</v>
      </c>
      <c r="I57" s="77">
        <f>CFS!I32</f>
        <v>0</v>
      </c>
      <c r="J57" s="77">
        <f>CFS!J32</f>
        <v>0</v>
      </c>
      <c r="K57" s="77">
        <f>CFS!K32</f>
        <v>0</v>
      </c>
    </row>
    <row r="58" spans="1:11" x14ac:dyDescent="0.25">
      <c r="A58" s="24" t="s">
        <v>189</v>
      </c>
      <c r="B58" s="25">
        <f>CFS!B33</f>
        <v>232.90899999999999</v>
      </c>
      <c r="C58" s="25">
        <f>CFS!C33</f>
        <v>-533.73</v>
      </c>
      <c r="D58" s="25">
        <f>CFS!D33</f>
        <v>500.78899999999999</v>
      </c>
      <c r="E58" s="25">
        <f>CFS!E33</f>
        <v>222</v>
      </c>
      <c r="F58" s="25">
        <f>CFS!F33</f>
        <v>590</v>
      </c>
      <c r="G58" s="77">
        <f ca="1">CFS!G33</f>
        <v>-19.712088949984377</v>
      </c>
      <c r="H58" s="77">
        <f ca="1">CFS!H33</f>
        <v>676.17908632282388</v>
      </c>
      <c r="I58" s="77">
        <f ca="1">CFS!I33</f>
        <v>1074.444063081751</v>
      </c>
      <c r="J58" s="77">
        <f ca="1">CFS!J33</f>
        <v>1534.7489301936046</v>
      </c>
      <c r="K58" s="77">
        <f ca="1">CFS!K33</f>
        <v>2253.1715729393045</v>
      </c>
    </row>
    <row r="59" spans="1:11" x14ac:dyDescent="0.25">
      <c r="A59" s="24" t="s">
        <v>190</v>
      </c>
      <c r="B59" s="25">
        <f>CFS!B34</f>
        <v>2208.9459999999999</v>
      </c>
      <c r="C59" s="25">
        <f>CFS!C34</f>
        <v>1697.9280000000001</v>
      </c>
      <c r="D59" s="25">
        <f>CFS!D34</f>
        <v>2204.8960000000002</v>
      </c>
      <c r="E59" s="25">
        <f>CFS!E34</f>
        <v>2427</v>
      </c>
      <c r="F59" s="25">
        <f>CFS!F34</f>
        <v>3017</v>
      </c>
      <c r="G59" s="77">
        <f ca="1">CFS!G34</f>
        <v>2997.2879110500157</v>
      </c>
      <c r="H59" s="77">
        <f ca="1">CFS!H34</f>
        <v>3673.4669973728396</v>
      </c>
      <c r="I59" s="77">
        <f ca="1">CFS!I34</f>
        <v>4747.9110604545904</v>
      </c>
      <c r="J59" s="77">
        <f ca="1">CFS!J34</f>
        <v>6282.6599906481952</v>
      </c>
      <c r="K59" s="77">
        <f ca="1">CFS!K34</f>
        <v>8535.8315635875006</v>
      </c>
    </row>
    <row r="60" spans="1:11" x14ac:dyDescent="0.25">
      <c r="A60" s="24" t="s">
        <v>191</v>
      </c>
      <c r="B60" s="25">
        <f>CFS!B35</f>
        <v>1983.473</v>
      </c>
      <c r="C60" s="25">
        <f>CFS!C35</f>
        <v>2208.9459999999999</v>
      </c>
      <c r="D60" s="25">
        <f>CFS!D35</f>
        <v>1697.9280000000001</v>
      </c>
      <c r="E60" s="25">
        <f>CFS!E35</f>
        <v>2205</v>
      </c>
      <c r="F60" s="25">
        <f>CFS!F35</f>
        <v>2427</v>
      </c>
      <c r="G60" s="77">
        <f>CFS!G35</f>
        <v>3017</v>
      </c>
      <c r="H60" s="77">
        <f ca="1">CFS!H35</f>
        <v>2997.2879110500157</v>
      </c>
      <c r="I60" s="77">
        <f ca="1">CFS!I35</f>
        <v>3673.4669973728396</v>
      </c>
      <c r="J60" s="77">
        <f ca="1">CFS!J35</f>
        <v>4747.9110604545904</v>
      </c>
      <c r="K60" s="77">
        <f ca="1">CFS!K35</f>
        <v>6282.6599906481952</v>
      </c>
    </row>
    <row r="61" spans="1:11" x14ac:dyDescent="0.25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</row>
    <row r="62" spans="1:11" x14ac:dyDescent="0.25">
      <c r="A62" s="1" t="s">
        <v>253</v>
      </c>
      <c r="B62" s="1" t="s">
        <v>61</v>
      </c>
      <c r="C62" s="1" t="s">
        <v>62</v>
      </c>
      <c r="D62" s="1" t="s">
        <v>63</v>
      </c>
      <c r="E62" s="1" t="s">
        <v>64</v>
      </c>
      <c r="F62" s="1" t="s">
        <v>65</v>
      </c>
      <c r="G62" s="1" t="s">
        <v>36</v>
      </c>
      <c r="H62" s="1" t="s">
        <v>37</v>
      </c>
      <c r="I62" s="1" t="s">
        <v>38</v>
      </c>
      <c r="J62" s="1" t="s">
        <v>39</v>
      </c>
      <c r="K62" s="1" t="s">
        <v>40</v>
      </c>
    </row>
    <row r="63" spans="1:11" x14ac:dyDescent="0.25">
      <c r="A63" s="18" t="s">
        <v>109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</row>
    <row r="64" spans="1:11" x14ac:dyDescent="0.25">
      <c r="A64" s="24" t="s">
        <v>110</v>
      </c>
      <c r="B64" s="25">
        <f>BS!B3</f>
        <v>2578.9459999999999</v>
      </c>
      <c r="C64" s="25">
        <f>BS!C3</f>
        <v>2027.9280000000001</v>
      </c>
      <c r="D64" s="25">
        <f>BS!D3</f>
        <v>2644.8960000000002</v>
      </c>
      <c r="E64" s="25">
        <f>BS!E3</f>
        <v>2790.3</v>
      </c>
      <c r="F64" s="25">
        <f>BS!F3</f>
        <v>3015.2420000000002</v>
      </c>
      <c r="G64" s="77">
        <f ca="1">BS!G3</f>
        <v>2995.5299110500159</v>
      </c>
      <c r="H64" s="77">
        <f ca="1">BS!H3</f>
        <v>3671.7089973728398</v>
      </c>
      <c r="I64" s="77">
        <f ca="1">BS!I3</f>
        <v>4746.1530604545906</v>
      </c>
      <c r="J64" s="77">
        <f ca="1">BS!J3</f>
        <v>6280.9019906481954</v>
      </c>
      <c r="K64" s="77">
        <f ca="1">BS!K3</f>
        <v>8534.0735635874989</v>
      </c>
    </row>
    <row r="65" spans="1:11" x14ac:dyDescent="0.25">
      <c r="A65" s="24" t="s">
        <v>111</v>
      </c>
      <c r="B65" s="25">
        <f>BS!B4</f>
        <v>418.52100000000002</v>
      </c>
      <c r="C65" s="25">
        <f>BS!C4</f>
        <v>832.38400000000001</v>
      </c>
      <c r="D65" s="25">
        <f>BS!D4</f>
        <v>880.89599999999996</v>
      </c>
      <c r="E65" s="25">
        <f>BS!E4</f>
        <v>564.54700000000003</v>
      </c>
      <c r="F65" s="25">
        <f>BS!F4</f>
        <v>416.83199999999999</v>
      </c>
      <c r="G65" s="77">
        <f>BS!G4</f>
        <v>416.83199999999999</v>
      </c>
      <c r="H65" s="77">
        <f>BS!H4</f>
        <v>416.83199999999999</v>
      </c>
      <c r="I65" s="77">
        <f>BS!I4</f>
        <v>416.83199999999999</v>
      </c>
      <c r="J65" s="77">
        <f>BS!J4</f>
        <v>416.83199999999999</v>
      </c>
      <c r="K65" s="77">
        <f>BS!K4</f>
        <v>416.83199999999999</v>
      </c>
    </row>
    <row r="66" spans="1:11" x14ac:dyDescent="0.25">
      <c r="A66" s="24" t="s">
        <v>112</v>
      </c>
      <c r="B66" s="25">
        <f>BS!B5</f>
        <v>5032.8029999999999</v>
      </c>
      <c r="C66" s="25">
        <f>BS!C5</f>
        <v>5302.4409999999998</v>
      </c>
      <c r="D66" s="25">
        <f>BS!D5</f>
        <v>5352.8329999999996</v>
      </c>
      <c r="E66" s="25">
        <f>BS!E5</f>
        <v>6681.6310000000003</v>
      </c>
      <c r="F66" s="25">
        <f>BS!F5</f>
        <v>8023.8959999999997</v>
      </c>
      <c r="G66" s="77">
        <f>BS!G5</f>
        <v>9007.8749962265902</v>
      </c>
      <c r="H66" s="77">
        <f>BS!H5</f>
        <v>9929.2362259517759</v>
      </c>
      <c r="I66" s="77">
        <f>BS!I5</f>
        <v>10686.974352374898</v>
      </c>
      <c r="J66" s="77">
        <f>BS!J5</f>
        <v>11238.670120154886</v>
      </c>
      <c r="K66" s="77">
        <f>BS!K5</f>
        <v>11549.223662286335</v>
      </c>
    </row>
    <row r="67" spans="1:11" x14ac:dyDescent="0.25">
      <c r="A67" s="24" t="s">
        <v>113</v>
      </c>
      <c r="B67" s="25">
        <f>BS!B6</f>
        <v>990.75800000000004</v>
      </c>
      <c r="C67" s="25">
        <f>BS!C6</f>
        <v>1080.835</v>
      </c>
      <c r="D67" s="25">
        <f>BS!D6</f>
        <v>1205.9190000000001</v>
      </c>
      <c r="E67" s="25">
        <f>BS!E6</f>
        <v>1264.0930000000001</v>
      </c>
      <c r="F67" s="25">
        <f>BS!F6</f>
        <v>1437.8879999999999</v>
      </c>
      <c r="G67" s="77">
        <f>BS!G6</f>
        <v>1783.2259625045458</v>
      </c>
      <c r="H67" s="77">
        <f>BS!H6</f>
        <v>2125.1575567548221</v>
      </c>
      <c r="I67" s="77">
        <f>BS!I6</f>
        <v>2489.3828098093095</v>
      </c>
      <c r="J67" s="77">
        <f>BS!J6</f>
        <v>2871.5435427937705</v>
      </c>
      <c r="K67" s="77">
        <f>BS!K6</f>
        <v>3267.4820706931519</v>
      </c>
    </row>
    <row r="68" spans="1:11" x14ac:dyDescent="0.25">
      <c r="A68" s="24" t="s">
        <v>114</v>
      </c>
      <c r="B68" s="25">
        <f>BS!B7</f>
        <v>567.31299999999999</v>
      </c>
      <c r="C68" s="25">
        <f>BS!C7</f>
        <v>552.69299999999998</v>
      </c>
      <c r="D68" s="25">
        <f>BS!D7</f>
        <v>404.95299999999997</v>
      </c>
      <c r="E68" s="25">
        <f>BS!E7</f>
        <v>473.495</v>
      </c>
      <c r="F68" s="25">
        <f>BS!F7</f>
        <v>424.959</v>
      </c>
      <c r="G68" s="77">
        <f>BS!G7</f>
        <v>626.70171951613236</v>
      </c>
      <c r="H68" s="77">
        <f>BS!H7</f>
        <v>746.87107694998826</v>
      </c>
      <c r="I68" s="77">
        <f>BS!I7</f>
        <v>874.87537768361665</v>
      </c>
      <c r="J68" s="77">
        <f>BS!J7</f>
        <v>1009.1829716334757</v>
      </c>
      <c r="K68" s="77">
        <f>BS!K7</f>
        <v>1148.3326708161421</v>
      </c>
    </row>
    <row r="69" spans="1:11" x14ac:dyDescent="0.25">
      <c r="A69" s="33" t="s">
        <v>115</v>
      </c>
      <c r="B69" s="34">
        <f>BS!B8</f>
        <v>9588.3410000000003</v>
      </c>
      <c r="C69" s="34">
        <f>BS!C8</f>
        <v>9796.2810000000009</v>
      </c>
      <c r="D69" s="34">
        <f>BS!D8</f>
        <v>10489.496999999999</v>
      </c>
      <c r="E69" s="34">
        <f>BS!E8</f>
        <v>11774.066000000001</v>
      </c>
      <c r="F69" s="34">
        <f>BS!F8</f>
        <v>13318.816999999999</v>
      </c>
      <c r="G69" s="80">
        <f ca="1">BS!G8</f>
        <v>14830.164589297283</v>
      </c>
      <c r="H69" s="80">
        <f ca="1">BS!H8</f>
        <v>16889.805857029427</v>
      </c>
      <c r="I69" s="80">
        <f ca="1">BS!I8</f>
        <v>19214.217600322416</v>
      </c>
      <c r="J69" s="80">
        <f ca="1">BS!J8</f>
        <v>21817.130625230326</v>
      </c>
      <c r="K69" s="80">
        <f ca="1">BS!K8</f>
        <v>24915.943967383129</v>
      </c>
    </row>
    <row r="70" spans="1:1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4" t="s">
        <v>116</v>
      </c>
      <c r="B71" s="25">
        <f>BS!B10</f>
        <v>1472.2080000000001</v>
      </c>
      <c r="C71" s="25">
        <f>BS!C10</f>
        <v>1615.569</v>
      </c>
      <c r="D71" s="25">
        <f>BS!D10</f>
        <v>1958.1790000000001</v>
      </c>
      <c r="E71" s="25">
        <f>BS!E10</f>
        <v>2167.5830000000001</v>
      </c>
      <c r="F71" s="25">
        <f>BS!F10</f>
        <v>2333.1329999999998</v>
      </c>
      <c r="G71" s="77">
        <f>BS!G10</f>
        <v>2899.9813919199305</v>
      </c>
      <c r="H71" s="77">
        <f>BS!H10</f>
        <v>3521.9461104861361</v>
      </c>
      <c r="I71" s="77">
        <f>BS!I10</f>
        <v>4193.0098765943003</v>
      </c>
      <c r="J71" s="77">
        <f>BS!J10</f>
        <v>4904.5354799849456</v>
      </c>
      <c r="K71" s="77">
        <f>BS!K10</f>
        <v>5645.5282364352715</v>
      </c>
    </row>
    <row r="72" spans="1:11" x14ac:dyDescent="0.25">
      <c r="A72" s="24" t="s">
        <v>117</v>
      </c>
      <c r="B72" s="25">
        <f>BS!B11</f>
        <v>338.31700000000001</v>
      </c>
      <c r="C72" s="25">
        <f>BS!C11</f>
        <v>330.63600000000002</v>
      </c>
      <c r="D72" s="25">
        <f>BS!D11</f>
        <v>330.63600000000002</v>
      </c>
      <c r="E72" s="25">
        <f>BS!E11</f>
        <v>330.63600000000002</v>
      </c>
      <c r="F72" s="25">
        <f>BS!F11</f>
        <v>330.63600000000002</v>
      </c>
      <c r="G72" s="77">
        <f>BS!G11</f>
        <v>330.63600000000002</v>
      </c>
      <c r="H72" s="77">
        <f>BS!H11</f>
        <v>330.63600000000002</v>
      </c>
      <c r="I72" s="77">
        <f>BS!I11</f>
        <v>330.63600000000002</v>
      </c>
      <c r="J72" s="77">
        <f>BS!J11</f>
        <v>330.63600000000002</v>
      </c>
      <c r="K72" s="77">
        <f>BS!K11</f>
        <v>330.63600000000002</v>
      </c>
    </row>
    <row r="73" spans="1:11" x14ac:dyDescent="0.25">
      <c r="A73" s="24" t="s">
        <v>118</v>
      </c>
      <c r="B73" s="25">
        <f>BS!B12</f>
        <v>568.21</v>
      </c>
      <c r="C73" s="25">
        <f>BS!C12</f>
        <v>546.48299999999995</v>
      </c>
      <c r="D73" s="25">
        <f>BS!D12</f>
        <v>523.82600000000002</v>
      </c>
      <c r="E73" s="25">
        <f>BS!E12</f>
        <v>511.57799999999997</v>
      </c>
      <c r="F73" s="25">
        <f>BS!F12</f>
        <v>519.25900000000001</v>
      </c>
      <c r="G73" s="77">
        <f>BS!G12</f>
        <v>674.46371770671806</v>
      </c>
      <c r="H73" s="77">
        <f>BS!H12</f>
        <v>844.27739326840549</v>
      </c>
      <c r="I73" s="77">
        <f>BS!I12</f>
        <v>1027.1051058660332</v>
      </c>
      <c r="J73" s="77">
        <f>BS!J12</f>
        <v>1220.6575040797393</v>
      </c>
      <c r="K73" s="77">
        <f>BS!K12</f>
        <v>1422.0203719555036</v>
      </c>
    </row>
    <row r="74" spans="1:11" x14ac:dyDescent="0.25">
      <c r="A74" s="24" t="s">
        <v>119</v>
      </c>
      <c r="B74" s="25">
        <f>BS!B13</f>
        <v>0</v>
      </c>
      <c r="C74" s="25">
        <f>BS!C13</f>
        <v>8.3949999999999996</v>
      </c>
      <c r="D74" s="25">
        <f>BS!D13</f>
        <v>9.1509999999999998</v>
      </c>
      <c r="E74" s="25">
        <f>BS!E13</f>
        <v>9.4260000000000002</v>
      </c>
      <c r="F74" s="25">
        <f>BS!F13</f>
        <v>10.372999999999999</v>
      </c>
      <c r="G74" s="77">
        <f>BS!G13</f>
        <v>10.372999999999999</v>
      </c>
      <c r="H74" s="77">
        <f>BS!H13</f>
        <v>10.372999999999999</v>
      </c>
      <c r="I74" s="77">
        <f>BS!I13</f>
        <v>10.372999999999999</v>
      </c>
      <c r="J74" s="77">
        <f>BS!J13</f>
        <v>10.372999999999999</v>
      </c>
      <c r="K74" s="77">
        <f>BS!K13</f>
        <v>10.372999999999999</v>
      </c>
    </row>
    <row r="75" spans="1:11" x14ac:dyDescent="0.25">
      <c r="A75" s="24" t="s">
        <v>120</v>
      </c>
      <c r="B75" s="25">
        <f>BS!B14</f>
        <v>62.143000000000001</v>
      </c>
      <c r="C75" s="25">
        <f>BS!C14</f>
        <v>91.463999999999999</v>
      </c>
      <c r="D75" s="25">
        <f>BS!D14</f>
        <v>119.56399999999999</v>
      </c>
      <c r="E75" s="25">
        <f>BS!E14</f>
        <v>153.786</v>
      </c>
      <c r="F75" s="25">
        <f>BS!F14</f>
        <v>162.86699999999999</v>
      </c>
      <c r="G75" s="77">
        <f>BS!G14</f>
        <v>162.86699999999999</v>
      </c>
      <c r="H75" s="77">
        <f ca="1">BS!H14</f>
        <v>162.86699999999999</v>
      </c>
      <c r="I75" s="77">
        <f ca="1">BS!I14</f>
        <v>162.86699999999999</v>
      </c>
      <c r="J75" s="77">
        <f ca="1">BS!J14</f>
        <v>162.86699999999999</v>
      </c>
      <c r="K75" s="77">
        <f ca="1">BS!K14</f>
        <v>162.86699999999999</v>
      </c>
    </row>
    <row r="76" spans="1:11" x14ac:dyDescent="0.25">
      <c r="A76" s="24" t="s">
        <v>121</v>
      </c>
      <c r="B76" s="25">
        <f>BS!B15</f>
        <v>642.91999999999996</v>
      </c>
      <c r="C76" s="25">
        <f>BS!C15</f>
        <v>637.22699999999998</v>
      </c>
      <c r="D76" s="25">
        <f>BS!D15</f>
        <v>449.26600000000002</v>
      </c>
      <c r="E76" s="25">
        <f>BS!E15</f>
        <v>779.82299999999998</v>
      </c>
      <c r="F76" s="25">
        <f>BS!F15</f>
        <v>907.827</v>
      </c>
      <c r="G76" s="77">
        <f>BS!G15</f>
        <v>993.59336923359012</v>
      </c>
      <c r="H76" s="77">
        <f>BS!H15</f>
        <v>1184.1137922883204</v>
      </c>
      <c r="I76" s="77">
        <f>BS!I15</f>
        <v>1387.0559902776806</v>
      </c>
      <c r="J76" s="77">
        <f>BS!J15</f>
        <v>1599.9916351476679</v>
      </c>
      <c r="K76" s="77">
        <f>BS!K15</f>
        <v>1820.6041117585401</v>
      </c>
    </row>
    <row r="77" spans="1:11" x14ac:dyDescent="0.25">
      <c r="A77" s="33" t="s">
        <v>122</v>
      </c>
      <c r="B77" s="34">
        <f>BS!B16</f>
        <v>3083.7979999999998</v>
      </c>
      <c r="C77" s="34">
        <f>BS!C16</f>
        <v>3229.7739999999999</v>
      </c>
      <c r="D77" s="34">
        <f>BS!D16</f>
        <v>3390.6219999999998</v>
      </c>
      <c r="E77" s="34">
        <f>BS!E16</f>
        <v>3952.8319999999999</v>
      </c>
      <c r="F77" s="34">
        <f>BS!F16</f>
        <v>4264.0950000000003</v>
      </c>
      <c r="G77" s="80">
        <f>BS!G16</f>
        <v>5071.9144788602389</v>
      </c>
      <c r="H77" s="80">
        <f ca="1">BS!H16</f>
        <v>6054.2132960428626</v>
      </c>
      <c r="I77" s="80">
        <f ca="1">BS!I16</f>
        <v>7111.0469727380141</v>
      </c>
      <c r="J77" s="80">
        <f ca="1">BS!J16</f>
        <v>8229.0606192123523</v>
      </c>
      <c r="K77" s="80">
        <f ca="1">BS!K16</f>
        <v>9392.0287201493156</v>
      </c>
    </row>
    <row r="78" spans="1:11" x14ac:dyDescent="0.25">
      <c r="A78" s="27" t="s">
        <v>123</v>
      </c>
      <c r="B78" s="28">
        <f>BS!B17</f>
        <v>12672.138999999999</v>
      </c>
      <c r="C78" s="28">
        <f>BS!C17</f>
        <v>13026.055</v>
      </c>
      <c r="D78" s="28">
        <f>BS!D17</f>
        <v>13880.119000000001</v>
      </c>
      <c r="E78" s="28">
        <f>BS!E17</f>
        <v>15726.897999999999</v>
      </c>
      <c r="F78" s="28">
        <f>BS!F17</f>
        <v>17582.912</v>
      </c>
      <c r="G78" s="78">
        <f ca="1">BS!G17</f>
        <v>19902.079068157524</v>
      </c>
      <c r="H78" s="78">
        <f ca="1">BS!H17</f>
        <v>22944.019153072288</v>
      </c>
      <c r="I78" s="78">
        <f ca="1">BS!I17</f>
        <v>26325.264573060431</v>
      </c>
      <c r="J78" s="78">
        <f ca="1">BS!J17</f>
        <v>30046.191244442678</v>
      </c>
      <c r="K78" s="78">
        <f ca="1">BS!K17</f>
        <v>34307.972687532441</v>
      </c>
    </row>
    <row r="79" spans="1:1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24" t="s">
        <v>124</v>
      </c>
      <c r="B80" s="25">
        <f>BS!B19</f>
        <v>3629.5909999999999</v>
      </c>
      <c r="C80" s="25">
        <f>BS!C19</f>
        <v>4050.6190000000001</v>
      </c>
      <c r="D80" s="25">
        <f>BS!D19</f>
        <v>4391.674</v>
      </c>
      <c r="E80" s="25">
        <f>BS!E19</f>
        <v>5619.2910000000002</v>
      </c>
      <c r="F80" s="25">
        <f>BS!F19</f>
        <v>6548.2120000000004</v>
      </c>
      <c r="G80" s="77">
        <f>BS!G19</f>
        <v>7242.0538634264167</v>
      </c>
      <c r="H80" s="77">
        <f>BS!H19</f>
        <v>8370.290061830583</v>
      </c>
      <c r="I80" s="77">
        <f>BS!I19</f>
        <v>9499.8002018412117</v>
      </c>
      <c r="J80" s="77">
        <f>BS!J19</f>
        <v>10606.291295738041</v>
      </c>
      <c r="K80" s="77">
        <f>BS!K19</f>
        <v>11868.52330812153</v>
      </c>
    </row>
    <row r="81" spans="1:11" x14ac:dyDescent="0.25">
      <c r="A81" s="24" t="s">
        <v>125</v>
      </c>
      <c r="B81" s="25">
        <f>BS!B20</f>
        <v>2046.566</v>
      </c>
      <c r="C81" s="25">
        <f>BS!C20</f>
        <v>1714.799</v>
      </c>
      <c r="D81" s="25">
        <f>BS!D20</f>
        <v>1679.3019999999999</v>
      </c>
      <c r="E81" s="25">
        <f>BS!E20</f>
        <v>1615.723</v>
      </c>
      <c r="F81" s="25">
        <f>BS!F20</f>
        <v>1400.82</v>
      </c>
      <c r="G81" s="77">
        <f>BS!G20</f>
        <v>1400.82</v>
      </c>
      <c r="H81" s="77">
        <f>BS!H20</f>
        <v>1400.82</v>
      </c>
      <c r="I81" s="77">
        <f>BS!I20</f>
        <v>1400.82</v>
      </c>
      <c r="J81" s="77">
        <f>BS!J20</f>
        <v>1400.82</v>
      </c>
      <c r="K81" s="77">
        <f>BS!K20</f>
        <v>1400.82</v>
      </c>
    </row>
    <row r="82" spans="1:11" x14ac:dyDescent="0.25">
      <c r="A82" s="24" t="s">
        <v>126</v>
      </c>
      <c r="B82" s="25">
        <f>BS!B21</f>
        <v>74.53</v>
      </c>
      <c r="C82" s="25">
        <f>BS!C21</f>
        <v>100.053</v>
      </c>
      <c r="D82" s="25">
        <f>BS!D21</f>
        <v>101.575</v>
      </c>
      <c r="E82" s="25">
        <f>BS!E21</f>
        <v>110.795</v>
      </c>
      <c r="F82" s="25">
        <f>BS!F21</f>
        <v>137.10300000000001</v>
      </c>
      <c r="G82" s="77">
        <f>BS!G21</f>
        <v>137.10300000000001</v>
      </c>
      <c r="H82" s="77">
        <f>BS!H21</f>
        <v>137.10300000000001</v>
      </c>
      <c r="I82" s="77">
        <f>BS!I21</f>
        <v>137.10300000000001</v>
      </c>
      <c r="J82" s="77">
        <f>BS!J21</f>
        <v>137.10300000000001</v>
      </c>
      <c r="K82" s="77">
        <f>BS!K21</f>
        <v>137.10300000000001</v>
      </c>
    </row>
    <row r="83" spans="1:11" x14ac:dyDescent="0.25">
      <c r="A83" s="24" t="s">
        <v>127</v>
      </c>
      <c r="B83" s="25">
        <f>BS!B22</f>
        <v>0</v>
      </c>
      <c r="C83" s="25">
        <f>BS!C22</f>
        <v>0</v>
      </c>
      <c r="D83" s="25">
        <f>BS!D22</f>
        <v>0</v>
      </c>
      <c r="E83" s="25">
        <f>BS!E22</f>
        <v>0</v>
      </c>
      <c r="F83" s="25">
        <f>BS!F22</f>
        <v>0</v>
      </c>
      <c r="G83" s="77">
        <f>BS!G22</f>
        <v>0</v>
      </c>
      <c r="H83" s="77">
        <f>BS!H22</f>
        <v>0</v>
      </c>
      <c r="I83" s="77">
        <f>BS!I22</f>
        <v>0</v>
      </c>
      <c r="J83" s="77">
        <f>BS!J22</f>
        <v>0</v>
      </c>
      <c r="K83" s="77">
        <f>BS!K22</f>
        <v>0</v>
      </c>
    </row>
    <row r="84" spans="1:11" x14ac:dyDescent="0.25">
      <c r="A84" s="24" t="s">
        <v>128</v>
      </c>
      <c r="B84" s="25">
        <f>BS!B23</f>
        <v>7.891</v>
      </c>
      <c r="C84" s="25">
        <f>BS!C23</f>
        <v>47.231000000000002</v>
      </c>
      <c r="D84" s="25">
        <f>BS!D23</f>
        <v>55.16</v>
      </c>
      <c r="E84" s="25">
        <f>BS!E23</f>
        <v>30.300999999999998</v>
      </c>
      <c r="F84" s="25">
        <f>BS!F23</f>
        <v>9.2569999999999997</v>
      </c>
      <c r="G84" s="77">
        <f>BS!G23</f>
        <v>48.85014492939127</v>
      </c>
      <c r="H84" s="77">
        <f>BS!H23</f>
        <v>58.217105867759294</v>
      </c>
      <c r="I84" s="77">
        <f>BS!I23</f>
        <v>68.194784957663515</v>
      </c>
      <c r="J84" s="77">
        <f>BS!J23</f>
        <v>78.663793140111224</v>
      </c>
      <c r="K84" s="77">
        <f>BS!K23</f>
        <v>89.510233735810743</v>
      </c>
    </row>
    <row r="85" spans="1:11" x14ac:dyDescent="0.25">
      <c r="A85" s="33" t="s">
        <v>129</v>
      </c>
      <c r="B85" s="34">
        <f>BS!B24</f>
        <v>5758.5780000000004</v>
      </c>
      <c r="C85" s="34">
        <f>BS!C24</f>
        <v>5912.7020000000002</v>
      </c>
      <c r="D85" s="34">
        <f>BS!D24</f>
        <v>6227.7110000000002</v>
      </c>
      <c r="E85" s="34">
        <f>BS!E24</f>
        <v>7376.11</v>
      </c>
      <c r="F85" s="34">
        <f>BS!F24</f>
        <v>8095.3919999999998</v>
      </c>
      <c r="G85" s="80">
        <f>BS!G24</f>
        <v>8828.8270083558073</v>
      </c>
      <c r="H85" s="80">
        <f>BS!H24</f>
        <v>9966.4301676983414</v>
      </c>
      <c r="I85" s="80">
        <f>BS!I24</f>
        <v>11105.917986798873</v>
      </c>
      <c r="J85" s="80">
        <f>BS!J24</f>
        <v>12222.878088878151</v>
      </c>
      <c r="K85" s="80">
        <f>BS!K24</f>
        <v>13495.95654185734</v>
      </c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24" t="s">
        <v>130</v>
      </c>
      <c r="B87" s="25">
        <f>BS!B26</f>
        <v>790.33500000000004</v>
      </c>
      <c r="C87" s="25">
        <f>BS!C26</f>
        <v>946.84299999999996</v>
      </c>
      <c r="D87" s="25">
        <f>BS!D26</f>
        <v>835.14400000000001</v>
      </c>
      <c r="E87" s="25">
        <f>BS!E26</f>
        <v>971.47299999999996</v>
      </c>
      <c r="F87" s="25">
        <f>BS!F26</f>
        <v>1086.0809999999999</v>
      </c>
      <c r="G87" s="77">
        <f>BS!G26</f>
        <v>1086.0809999999999</v>
      </c>
      <c r="H87" s="77">
        <f>BS!H26</f>
        <v>1086.0809999999999</v>
      </c>
      <c r="I87" s="77">
        <f>BS!I26</f>
        <v>1086.0809999999999</v>
      </c>
      <c r="J87" s="77">
        <f>BS!J26</f>
        <v>1086.0809999999999</v>
      </c>
      <c r="K87" s="77">
        <f>BS!K26</f>
        <v>1086.0809999999999</v>
      </c>
    </row>
    <row r="88" spans="1:11" x14ac:dyDescent="0.25">
      <c r="A88" s="24" t="s">
        <v>131</v>
      </c>
      <c r="B88" s="25">
        <f>BS!B27</f>
        <v>0</v>
      </c>
      <c r="C88" s="25">
        <f>BS!C27</f>
        <v>0</v>
      </c>
      <c r="D88" s="25">
        <f>BS!D27</f>
        <v>0</v>
      </c>
      <c r="E88" s="25">
        <f>BS!E27</f>
        <v>0</v>
      </c>
      <c r="F88" s="25">
        <f>BS!F27</f>
        <v>0</v>
      </c>
      <c r="G88" s="77">
        <f>BS!G27</f>
        <v>0</v>
      </c>
      <c r="H88" s="77">
        <f>BS!H27</f>
        <v>0</v>
      </c>
      <c r="I88" s="77">
        <f>BS!I27</f>
        <v>0</v>
      </c>
      <c r="J88" s="77">
        <f>BS!J27</f>
        <v>0</v>
      </c>
      <c r="K88" s="77">
        <f>BS!K27</f>
        <v>0</v>
      </c>
    </row>
    <row r="89" spans="1:11" x14ac:dyDescent="0.25">
      <c r="A89" s="24" t="s">
        <v>132</v>
      </c>
      <c r="B89" s="25">
        <f>BS!B28</f>
        <v>34.466000000000001</v>
      </c>
      <c r="C89" s="25">
        <f>BS!C28</f>
        <v>33.499000000000002</v>
      </c>
      <c r="D89" s="25">
        <f>BS!D28</f>
        <v>36.847999999999999</v>
      </c>
      <c r="E89" s="25">
        <f>BS!E28</f>
        <v>38.872</v>
      </c>
      <c r="F89" s="25">
        <f>BS!F28</f>
        <v>45.686</v>
      </c>
      <c r="G89" s="77">
        <f>BS!G28</f>
        <v>45.686</v>
      </c>
      <c r="H89" s="77">
        <f>BS!H28</f>
        <v>45.686</v>
      </c>
      <c r="I89" s="77">
        <f>BS!I28</f>
        <v>45.686</v>
      </c>
      <c r="J89" s="77">
        <f>BS!J28</f>
        <v>45.686</v>
      </c>
      <c r="K89" s="77">
        <f>BS!K28</f>
        <v>45.686</v>
      </c>
    </row>
    <row r="90" spans="1:11" x14ac:dyDescent="0.25">
      <c r="A90" s="24" t="s">
        <v>133</v>
      </c>
      <c r="B90" s="25">
        <f>BS!B29</f>
        <v>8.8979999999999997</v>
      </c>
      <c r="C90" s="25">
        <f>BS!C29</f>
        <v>4.5350000000000001</v>
      </c>
      <c r="D90" s="25">
        <f>BS!D29</f>
        <v>3.7949999999999999</v>
      </c>
      <c r="E90" s="25">
        <f>BS!E29</f>
        <v>19.515000000000001</v>
      </c>
      <c r="F90" s="25">
        <f>BS!F29</f>
        <v>12.816000000000001</v>
      </c>
      <c r="G90" s="77">
        <f>BS!G29</f>
        <v>12.816000000000001</v>
      </c>
      <c r="H90" s="77">
        <f>BS!H29</f>
        <v>12.816000000000001</v>
      </c>
      <c r="I90" s="77">
        <f>BS!I29</f>
        <v>12.816000000000001</v>
      </c>
      <c r="J90" s="77">
        <f>BS!J29</f>
        <v>12.816000000000001</v>
      </c>
      <c r="K90" s="77">
        <f>BS!K29</f>
        <v>12.816000000000001</v>
      </c>
    </row>
    <row r="91" spans="1:11" x14ac:dyDescent="0.25">
      <c r="A91" s="24" t="s">
        <v>134</v>
      </c>
      <c r="B91" s="25">
        <f>BS!B30</f>
        <v>0</v>
      </c>
      <c r="C91" s="25">
        <f>BS!C30</f>
        <v>0</v>
      </c>
      <c r="D91" s="25">
        <f>BS!D30</f>
        <v>0</v>
      </c>
      <c r="E91" s="25">
        <f>BS!E30</f>
        <v>0</v>
      </c>
      <c r="F91" s="25">
        <f>BS!F30</f>
        <v>27.448</v>
      </c>
      <c r="G91" s="77">
        <f>BS!G30</f>
        <v>34.239046469068633</v>
      </c>
      <c r="H91" s="77">
        <f>BS!H30</f>
        <v>40.804345534328334</v>
      </c>
      <c r="I91" s="77">
        <f>BS!I30</f>
        <v>47.797696700562881</v>
      </c>
      <c r="J91" s="77">
        <f>BS!J30</f>
        <v>55.135420225477588</v>
      </c>
      <c r="K91" s="77">
        <f>BS!K30</f>
        <v>62.737685973448954</v>
      </c>
    </row>
    <row r="92" spans="1:11" x14ac:dyDescent="0.25">
      <c r="A92" s="9" t="s">
        <v>135</v>
      </c>
      <c r="B92" s="34">
        <f>BS!B31</f>
        <v>833.69899999999996</v>
      </c>
      <c r="C92" s="34">
        <f>BS!C31</f>
        <v>984.87699999999995</v>
      </c>
      <c r="D92" s="34">
        <f>BS!D31</f>
        <v>875.78700000000003</v>
      </c>
      <c r="E92" s="34">
        <f>BS!E31</f>
        <v>1029.8599999999999</v>
      </c>
      <c r="F92" s="34">
        <f>BS!F31</f>
        <v>1172.0309999999999</v>
      </c>
      <c r="G92" s="80">
        <f>BS!G31</f>
        <v>1178.8220464690685</v>
      </c>
      <c r="H92" s="80">
        <f>BS!H31</f>
        <v>1185.3873455343282</v>
      </c>
      <c r="I92" s="80">
        <f>BS!I31</f>
        <v>1192.3806967005628</v>
      </c>
      <c r="J92" s="80">
        <f>BS!J31</f>
        <v>1199.7184202254775</v>
      </c>
      <c r="K92" s="80">
        <f>BS!K31</f>
        <v>1207.3206859734489</v>
      </c>
    </row>
    <row r="93" spans="1:11" x14ac:dyDescent="0.25">
      <c r="A93" s="27" t="s">
        <v>136</v>
      </c>
      <c r="B93" s="28">
        <f>BS!B32</f>
        <v>6592.277</v>
      </c>
      <c r="C93" s="28">
        <f>BS!C32</f>
        <v>6897.5789999999997</v>
      </c>
      <c r="D93" s="28">
        <f>BS!D32</f>
        <v>7103.4979999999996</v>
      </c>
      <c r="E93" s="28">
        <f>BS!E32</f>
        <v>8405.9699999999993</v>
      </c>
      <c r="F93" s="28">
        <f>BS!F32</f>
        <v>9267.4230000000007</v>
      </c>
      <c r="G93" s="78">
        <f>BS!G32</f>
        <v>10007.649054824877</v>
      </c>
      <c r="H93" s="78">
        <f>BS!H32</f>
        <v>11151.817513232669</v>
      </c>
      <c r="I93" s="78">
        <f>BS!I32</f>
        <v>12298.298683499435</v>
      </c>
      <c r="J93" s="78">
        <f>BS!J32</f>
        <v>13422.596509103629</v>
      </c>
      <c r="K93" s="78">
        <f>BS!K32</f>
        <v>14703.277227830789</v>
      </c>
    </row>
    <row r="94" spans="1:1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24" t="s">
        <v>137</v>
      </c>
      <c r="B95" s="25">
        <f>BS!B34</f>
        <v>9.9060000000000006</v>
      </c>
      <c r="C95" s="25">
        <f>BS!C34</f>
        <v>9.9060000000000006</v>
      </c>
      <c r="D95" s="25">
        <f>BS!D34</f>
        <v>9.9060000000000006</v>
      </c>
      <c r="E95" s="25">
        <f>BS!E34</f>
        <v>9.9060000000000006</v>
      </c>
      <c r="F95" s="25">
        <f>BS!F34</f>
        <v>9.9060000000000006</v>
      </c>
      <c r="G95" s="77">
        <f>BS!G34</f>
        <v>9.9060000000000006</v>
      </c>
      <c r="H95" s="77">
        <f>BS!H34</f>
        <v>9.9060000000000006</v>
      </c>
      <c r="I95" s="77">
        <f>BS!I34</f>
        <v>9.9060000000000006</v>
      </c>
      <c r="J95" s="77">
        <f>BS!J34</f>
        <v>9.9060000000000006</v>
      </c>
      <c r="K95" s="77">
        <f>BS!K34</f>
        <v>9.9060000000000006</v>
      </c>
    </row>
    <row r="96" spans="1:11" x14ac:dyDescent="0.25">
      <c r="A96" s="24" t="s">
        <v>138</v>
      </c>
      <c r="B96" s="25">
        <f>BS!B35</f>
        <v>0</v>
      </c>
      <c r="C96" s="25">
        <f>BS!C35</f>
        <v>0</v>
      </c>
      <c r="D96" s="25">
        <f>BS!D35</f>
        <v>0</v>
      </c>
      <c r="E96" s="25">
        <f>BS!E35</f>
        <v>0</v>
      </c>
      <c r="F96" s="25">
        <f>BS!F35</f>
        <v>0</v>
      </c>
      <c r="G96" s="77">
        <f>BS!G35</f>
        <v>0</v>
      </c>
      <c r="H96" s="77">
        <f>BS!H35</f>
        <v>0</v>
      </c>
      <c r="I96" s="77">
        <f>BS!I35</f>
        <v>0</v>
      </c>
      <c r="J96" s="77">
        <f>BS!J35</f>
        <v>0</v>
      </c>
      <c r="K96" s="77">
        <f>BS!K35</f>
        <v>0</v>
      </c>
    </row>
    <row r="97" spans="1:11" x14ac:dyDescent="0.25">
      <c r="A97" s="24" t="s">
        <v>139</v>
      </c>
      <c r="B97" s="25">
        <f>BS!B36</f>
        <v>0</v>
      </c>
      <c r="C97" s="25">
        <f>BS!C36</f>
        <v>0</v>
      </c>
      <c r="D97" s="25">
        <f>BS!D36</f>
        <v>0</v>
      </c>
      <c r="E97" s="25">
        <f>BS!E36</f>
        <v>0</v>
      </c>
      <c r="F97" s="25">
        <f>BS!F36</f>
        <v>0</v>
      </c>
      <c r="G97" s="77">
        <f>BS!G36</f>
        <v>0</v>
      </c>
      <c r="H97" s="77">
        <f>BS!H36</f>
        <v>0</v>
      </c>
      <c r="I97" s="77">
        <f>BS!I36</f>
        <v>0</v>
      </c>
      <c r="J97" s="77">
        <f>BS!J36</f>
        <v>0</v>
      </c>
      <c r="K97" s="77">
        <f>BS!K36</f>
        <v>0</v>
      </c>
    </row>
    <row r="98" spans="1:11" x14ac:dyDescent="0.25">
      <c r="A98" s="24" t="s">
        <v>140</v>
      </c>
      <c r="B98" s="25">
        <f>BS!B37</f>
        <v>0</v>
      </c>
      <c r="C98" s="25">
        <f>BS!C37</f>
        <v>0</v>
      </c>
      <c r="D98" s="25">
        <f>BS!D37</f>
        <v>0</v>
      </c>
      <c r="E98" s="25">
        <f>BS!E37</f>
        <v>0</v>
      </c>
      <c r="F98" s="25">
        <f>BS!F37</f>
        <v>0</v>
      </c>
      <c r="G98" s="77">
        <f>BS!G37</f>
        <v>1199.5194819746625</v>
      </c>
      <c r="H98" s="77">
        <f ca="1">BS!H37</f>
        <v>2625.6206946250136</v>
      </c>
      <c r="I98" s="77">
        <f ca="1">BS!I37</f>
        <v>4304.9586939928704</v>
      </c>
      <c r="J98" s="77">
        <f ca="1">BS!J37</f>
        <v>6256.223795675729</v>
      </c>
      <c r="K98" s="77">
        <f ca="1">BS!K37</f>
        <v>8496.4044890036002</v>
      </c>
    </row>
    <row r="99" spans="1:11" x14ac:dyDescent="0.25">
      <c r="A99" s="24" t="s">
        <v>141</v>
      </c>
      <c r="B99" s="25">
        <f>BS!B38</f>
        <v>4622.0200000000004</v>
      </c>
      <c r="C99" s="25">
        <f>BS!C38</f>
        <v>4645.9979999999996</v>
      </c>
      <c r="D99" s="25">
        <f>BS!D38</f>
        <v>5156.7299999999996</v>
      </c>
      <c r="E99" s="25">
        <f>BS!E38</f>
        <v>5422.701</v>
      </c>
      <c r="F99" s="25">
        <f>BS!F38</f>
        <v>6225.8519999999999</v>
      </c>
      <c r="G99" s="77">
        <f>BS!G38</f>
        <v>6225.8519999999999</v>
      </c>
      <c r="H99" s="77">
        <f>BS!H38</f>
        <v>6225.8519999999999</v>
      </c>
      <c r="I99" s="77">
        <f>BS!I38</f>
        <v>6225.8519999999999</v>
      </c>
      <c r="J99" s="77">
        <f>BS!J38</f>
        <v>6225.8519999999999</v>
      </c>
      <c r="K99" s="77">
        <f>BS!K38</f>
        <v>6225.8519999999999</v>
      </c>
    </row>
    <row r="100" spans="1:11" x14ac:dyDescent="0.25">
      <c r="A100" s="24" t="s">
        <v>142</v>
      </c>
      <c r="B100" s="25">
        <f>BS!B39</f>
        <v>0</v>
      </c>
      <c r="C100" s="25">
        <f>BS!C39</f>
        <v>0</v>
      </c>
      <c r="D100" s="25">
        <f>BS!D39</f>
        <v>0</v>
      </c>
      <c r="E100" s="25">
        <f>BS!E39</f>
        <v>0</v>
      </c>
      <c r="F100" s="25">
        <f>BS!F39</f>
        <v>0</v>
      </c>
      <c r="G100" s="77">
        <f>BS!G39</f>
        <v>0</v>
      </c>
      <c r="H100" s="77">
        <f>BS!H39</f>
        <v>0</v>
      </c>
      <c r="I100" s="77">
        <f>BS!I39</f>
        <v>0</v>
      </c>
      <c r="J100" s="77">
        <f>BS!J39</f>
        <v>0</v>
      </c>
      <c r="K100" s="77">
        <f>BS!K39</f>
        <v>0</v>
      </c>
    </row>
    <row r="101" spans="1:11" x14ac:dyDescent="0.25">
      <c r="A101" s="33" t="s">
        <v>143</v>
      </c>
      <c r="B101" s="34">
        <f>BS!B40</f>
        <v>4631.9260000000004</v>
      </c>
      <c r="C101" s="34">
        <f>BS!C40</f>
        <v>4655.9040000000005</v>
      </c>
      <c r="D101" s="34">
        <f>BS!D40</f>
        <v>5166.6360000000004</v>
      </c>
      <c r="E101" s="34">
        <f>BS!E40</f>
        <v>5432.607</v>
      </c>
      <c r="F101" s="34">
        <f>BS!F40</f>
        <v>6235.7579999999998</v>
      </c>
      <c r="G101" s="80">
        <f>BS!G40</f>
        <v>7435.2774819746628</v>
      </c>
      <c r="H101" s="80">
        <f ca="1">BS!H40</f>
        <v>8861.3786946250129</v>
      </c>
      <c r="I101" s="80">
        <f ca="1">BS!I40</f>
        <v>10540.71669399287</v>
      </c>
      <c r="J101" s="80">
        <f ca="1">BS!J40</f>
        <v>12491.981795675729</v>
      </c>
      <c r="K101" s="80">
        <f ca="1">BS!K40</f>
        <v>14732.1624890036</v>
      </c>
    </row>
    <row r="102" spans="1:11" x14ac:dyDescent="0.25">
      <c r="A102" s="24" t="s">
        <v>144</v>
      </c>
      <c r="B102" s="90">
        <f>BS!B41</f>
        <v>1447.9359999999999</v>
      </c>
      <c r="C102" s="90">
        <f>BS!C41</f>
        <v>1472.5719999999999</v>
      </c>
      <c r="D102" s="90">
        <f>BS!D41</f>
        <v>1609.9849999999999</v>
      </c>
      <c r="E102" s="90">
        <f>BS!E41</f>
        <v>1888.3209999999999</v>
      </c>
      <c r="F102" s="90">
        <f>BS!F41</f>
        <v>2079.7310000000002</v>
      </c>
      <c r="G102" s="91">
        <f ca="1">BS!G41</f>
        <v>2459.1525313579841</v>
      </c>
      <c r="H102" s="91">
        <f ca="1">BS!H41</f>
        <v>2930.8229452146043</v>
      </c>
      <c r="I102" s="91">
        <f ca="1">BS!I41</f>
        <v>3486.2491955681203</v>
      </c>
      <c r="J102" s="91">
        <f ca="1">BS!J41</f>
        <v>4131.6129396633196</v>
      </c>
      <c r="K102" s="91">
        <f ca="1">BS!K41</f>
        <v>4872.5329706980528</v>
      </c>
    </row>
    <row r="103" spans="1:11" x14ac:dyDescent="0.25">
      <c r="A103" s="27" t="s">
        <v>145</v>
      </c>
      <c r="B103" s="27">
        <f>BS!B42</f>
        <v>6079.8620000000001</v>
      </c>
      <c r="C103" s="27">
        <f>BS!C42</f>
        <v>6128.4760000000006</v>
      </c>
      <c r="D103" s="27">
        <f>BS!D42</f>
        <v>6776.6210000000001</v>
      </c>
      <c r="E103" s="27">
        <f>BS!E42</f>
        <v>7320.9279999999999</v>
      </c>
      <c r="F103" s="27">
        <f>BS!F42</f>
        <v>8315.4889999999996</v>
      </c>
      <c r="G103" s="27">
        <f ca="1">BS!G42</f>
        <v>9894.4300133326469</v>
      </c>
      <c r="H103" s="27">
        <f ca="1">BS!H42</f>
        <v>11792.201639839617</v>
      </c>
      <c r="I103" s="27">
        <f ca="1">BS!I42</f>
        <v>14026.96588956099</v>
      </c>
      <c r="J103" s="27">
        <f ca="1">BS!J42</f>
        <v>16623.594735339047</v>
      </c>
      <c r="K103" s="27">
        <f ca="1">BS!K42</f>
        <v>19604.695459701652</v>
      </c>
    </row>
    <row r="104" spans="1:11" x14ac:dyDescent="0.25">
      <c r="A104" s="27" t="s">
        <v>146</v>
      </c>
      <c r="B104" s="27">
        <f>BS!B43</f>
        <v>12672.138999999999</v>
      </c>
      <c r="C104" s="27">
        <f>BS!C43</f>
        <v>13026.055</v>
      </c>
      <c r="D104" s="27">
        <f>BS!D43</f>
        <v>13880.118999999999</v>
      </c>
      <c r="E104" s="27">
        <f>BS!E43</f>
        <v>15726.897999999999</v>
      </c>
      <c r="F104" s="27">
        <f>BS!F43</f>
        <v>17582.912</v>
      </c>
      <c r="G104" s="27">
        <f ca="1">BS!G43</f>
        <v>19902.079068157524</v>
      </c>
      <c r="H104" s="27">
        <f ca="1">BS!H43</f>
        <v>22944.019153072288</v>
      </c>
      <c r="I104" s="27">
        <f ca="1">BS!I43</f>
        <v>26325.264573060427</v>
      </c>
      <c r="J104" s="27">
        <f ca="1">BS!J43</f>
        <v>30046.191244442678</v>
      </c>
      <c r="K104" s="27">
        <f ca="1">BS!K43</f>
        <v>34307.972687532441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0"/>
  <sheetViews>
    <sheetView workbookViewId="0">
      <selection activeCell="L26" sqref="L26"/>
    </sheetView>
  </sheetViews>
  <sheetFormatPr defaultRowHeight="14.4" x14ac:dyDescent="0.25"/>
  <cols>
    <col min="1" max="1" width="45" customWidth="1"/>
    <col min="2" max="6" width="14" customWidth="1"/>
  </cols>
  <sheetData>
    <row r="1" spans="1:6" ht="15.6" customHeight="1" x14ac:dyDescent="0.25">
      <c r="A1" s="1" t="str">
        <f>IS!A1</f>
        <v>03393.HK in Millions CNY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ht="15.6" customHeight="1" x14ac:dyDescent="0.25">
      <c r="A2" s="2" t="s">
        <v>41</v>
      </c>
      <c r="B2" s="13">
        <f>CFS!G37</f>
        <v>515.60706205042345</v>
      </c>
      <c r="C2" s="13">
        <f ca="1">CFS!H37</f>
        <v>1300.1237882589623</v>
      </c>
      <c r="D2" s="13">
        <f ca="1">CFS!I37</f>
        <v>1776.061402835127</v>
      </c>
      <c r="E2" s="13">
        <f ca="1">CFS!J37</f>
        <v>2314.5962871035449</v>
      </c>
      <c r="F2" s="13">
        <f ca="1">CFS!K37</f>
        <v>3111.5863265311655</v>
      </c>
    </row>
    <row r="3" spans="1:6" ht="15.6" hidden="1" customHeight="1" x14ac:dyDescent="0.25">
      <c r="A3" s="2" t="s">
        <v>42</v>
      </c>
      <c r="B3" s="3">
        <v>0.5</v>
      </c>
      <c r="C3" s="3">
        <f>B3+1</f>
        <v>1.5</v>
      </c>
      <c r="D3" s="3">
        <f>C3+1</f>
        <v>2.5</v>
      </c>
      <c r="E3" s="3">
        <f>D3+1</f>
        <v>3.5</v>
      </c>
      <c r="F3" s="3">
        <f>E3+1</f>
        <v>4.5</v>
      </c>
    </row>
    <row r="4" spans="1:6" ht="15.6" customHeight="1" x14ac:dyDescent="0.25">
      <c r="A4" s="2" t="s">
        <v>43</v>
      </c>
      <c r="B4" s="14">
        <f>1/((1+WACC)^B3)</f>
        <v>0.9618868906500293</v>
      </c>
      <c r="C4" s="14">
        <f>1/((1+WACC)^C3)</f>
        <v>0.88996313581342057</v>
      </c>
      <c r="D4" s="14">
        <f>1/((1+WACC)^D3)</f>
        <v>0.82341737974161522</v>
      </c>
      <c r="E4" s="14">
        <f>1/((1+WACC)^E3)</f>
        <v>0.76184749005456853</v>
      </c>
      <c r="F4" s="14">
        <f>1/((1+WACC)^F3)</f>
        <v>0.70488140326182624</v>
      </c>
    </row>
    <row r="5" spans="1:6" ht="15.6" customHeight="1" x14ac:dyDescent="0.25">
      <c r="A5" s="9" t="s">
        <v>44</v>
      </c>
      <c r="B5" s="15">
        <f>B2*B4</f>
        <v>495.95567371287854</v>
      </c>
      <c r="C5" s="15">
        <f ca="1">C2*C4</f>
        <v>1157.0622435445698</v>
      </c>
      <c r="D5" s="15">
        <f ca="1">D2*D4</f>
        <v>1462.4398265827176</v>
      </c>
      <c r="E5" s="15">
        <f ca="1">E2*E4</f>
        <v>1763.3693718194593</v>
      </c>
      <c r="F5" s="15">
        <f ca="1">F2*F4</f>
        <v>2193.2993362155989</v>
      </c>
    </row>
    <row r="6" spans="1:6" ht="15.6" customHeight="1" x14ac:dyDescent="0.25">
      <c r="A6" s="16"/>
      <c r="B6" s="16"/>
      <c r="C6" s="16"/>
      <c r="D6" s="16"/>
      <c r="E6" s="16"/>
      <c r="F6" s="16"/>
    </row>
    <row r="7" spans="1:6" ht="15.6" customHeight="1" x14ac:dyDescent="0.25">
      <c r="A7" s="2" t="s">
        <v>45</v>
      </c>
      <c r="B7" s="17">
        <v>1.13405</v>
      </c>
      <c r="C7" s="17"/>
      <c r="D7" s="17"/>
      <c r="E7" s="17"/>
      <c r="F7" s="17"/>
    </row>
    <row r="8" spans="1:6" ht="15.6" customHeight="1" x14ac:dyDescent="0.25">
      <c r="A8" s="18" t="s">
        <v>46</v>
      </c>
      <c r="B8" s="19" t="s">
        <v>47</v>
      </c>
      <c r="C8" s="19"/>
      <c r="D8" s="19" t="s">
        <v>48</v>
      </c>
      <c r="E8" s="19"/>
      <c r="F8" s="19"/>
    </row>
    <row r="9" spans="1:6" ht="15.6" customHeight="1" x14ac:dyDescent="0.25">
      <c r="A9" s="2" t="s">
        <v>49</v>
      </c>
      <c r="B9" s="13">
        <f ca="1">SUM(B5:F5)*B7</f>
        <v>8020.1450027490973</v>
      </c>
      <c r="C9" s="20">
        <f ca="1">B9/(B11)</f>
        <v>0.13724801540550904</v>
      </c>
      <c r="D9" s="13"/>
      <c r="E9" s="20"/>
      <c r="F9" s="13"/>
    </row>
    <row r="10" spans="1:6" ht="15.6" customHeight="1" x14ac:dyDescent="0.25">
      <c r="A10" s="2" t="s">
        <v>50</v>
      </c>
      <c r="B10" s="13">
        <f ca="1">F2*(1+TerminalGrowthRate)/(WACC-TerminalGrowthRate)*F4*B7</f>
        <v>50415.271925160625</v>
      </c>
      <c r="C10" s="20">
        <f ca="1">B10/(B11)</f>
        <v>0.86275198459449087</v>
      </c>
      <c r="D10" s="13"/>
      <c r="E10" s="20"/>
      <c r="F10" s="13"/>
    </row>
    <row r="11" spans="1:6" ht="15.6" customHeight="1" x14ac:dyDescent="0.25">
      <c r="A11" s="9" t="s">
        <v>51</v>
      </c>
      <c r="B11" s="15">
        <f ca="1">B9+B10</f>
        <v>58435.416927909726</v>
      </c>
      <c r="C11" s="21">
        <f ca="1">C9+C10</f>
        <v>0.99999999999999989</v>
      </c>
      <c r="D11" s="15"/>
      <c r="E11" s="21"/>
      <c r="F11" s="15"/>
    </row>
    <row r="12" spans="1:6" ht="15.6" customHeight="1" x14ac:dyDescent="0.25">
      <c r="A12" s="2" t="s">
        <v>52</v>
      </c>
      <c r="B12" s="13">
        <f>-BS!F64*B7</f>
        <v>-2820.2700790499998</v>
      </c>
      <c r="C12" s="13"/>
      <c r="D12" s="13"/>
      <c r="E12" s="13"/>
      <c r="F12" s="13"/>
    </row>
    <row r="13" spans="1:6" ht="15.6" customHeight="1" x14ac:dyDescent="0.25">
      <c r="A13" s="2" t="s">
        <v>53</v>
      </c>
      <c r="B13" s="13">
        <f>-BS!F36*B7</f>
        <v>0</v>
      </c>
      <c r="C13" s="13"/>
      <c r="D13" s="13"/>
      <c r="E13" s="13"/>
      <c r="F13" s="13"/>
    </row>
    <row r="14" spans="1:6" ht="15.6" customHeight="1" x14ac:dyDescent="0.25">
      <c r="A14" s="2" t="s">
        <v>54</v>
      </c>
      <c r="B14" s="13">
        <f>-BS!F41*B7</f>
        <v>-2358.5189405500005</v>
      </c>
      <c r="C14" s="13"/>
      <c r="D14" s="13"/>
      <c r="E14" s="13"/>
      <c r="F14" s="13"/>
    </row>
    <row r="15" spans="1:6" ht="15.6" customHeight="1" x14ac:dyDescent="0.25">
      <c r="A15" s="2" t="s">
        <v>55</v>
      </c>
      <c r="B15" s="13">
        <f>BS!F3*B7</f>
        <v>3419.4351901</v>
      </c>
      <c r="C15" s="13"/>
      <c r="D15" s="13"/>
      <c r="E15" s="13"/>
      <c r="F15" s="13"/>
    </row>
    <row r="16" spans="1:6" ht="15.6" customHeight="1" x14ac:dyDescent="0.25">
      <c r="A16" s="9" t="s">
        <v>56</v>
      </c>
      <c r="B16" s="15">
        <f ca="1">SUM(B11:B15)</f>
        <v>56676.063098409722</v>
      </c>
      <c r="C16" s="15"/>
      <c r="D16" s="15"/>
      <c r="E16" s="15"/>
      <c r="F16" s="15"/>
    </row>
    <row r="17" spans="1:6" ht="15.6" customHeight="1" x14ac:dyDescent="0.25">
      <c r="A17" s="2" t="s">
        <v>57</v>
      </c>
      <c r="B17" s="13">
        <f>IS!F22</f>
        <v>1384.2093457943924</v>
      </c>
      <c r="C17" s="13"/>
      <c r="D17" s="13"/>
      <c r="E17" s="13"/>
      <c r="F17" s="13"/>
    </row>
    <row r="18" spans="1:6" ht="15.6" customHeight="1" x14ac:dyDescent="0.25">
      <c r="A18" s="2" t="s">
        <v>58</v>
      </c>
      <c r="B18" s="75">
        <f ca="1">IFERROR(B16/B17,"")</f>
        <v>40.944719287300828</v>
      </c>
      <c r="C18" s="17"/>
      <c r="D18" s="17"/>
      <c r="E18" s="17"/>
      <c r="F18" s="17"/>
    </row>
    <row r="19" spans="1:6" ht="15.6" customHeight="1" x14ac:dyDescent="0.25">
      <c r="A19" s="2" t="s">
        <v>59</v>
      </c>
      <c r="B19" s="17">
        <v>28.4</v>
      </c>
      <c r="C19" s="17"/>
      <c r="D19" s="17"/>
      <c r="E19" s="17"/>
      <c r="F19" s="17"/>
    </row>
    <row r="20" spans="1:6" ht="15.6" customHeight="1" x14ac:dyDescent="0.25">
      <c r="A20" s="2" t="s">
        <v>60</v>
      </c>
      <c r="B20" s="14">
        <f ca="1">IFERROR(B18/B19,0)-1</f>
        <v>0.44171546786270532</v>
      </c>
      <c r="C20" s="14"/>
      <c r="D20" s="14"/>
      <c r="E20" s="14"/>
      <c r="F20" s="14"/>
    </row>
  </sheetData>
  <phoneticPr fontId="11" type="noConversion"/>
  <pageMargins left="0.75" right="0.75" top="1" bottom="1" header="0.5" footer="0.5"/>
  <pageSetup paperSize="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0EFD-83CE-4587-8F5E-D064F0FC1AA4}">
  <dimension ref="A1:N68"/>
  <sheetViews>
    <sheetView workbookViewId="0">
      <selection activeCell="C3" sqref="C3"/>
    </sheetView>
  </sheetViews>
  <sheetFormatPr defaultRowHeight="14.4" x14ac:dyDescent="0.25"/>
  <cols>
    <col min="1" max="1" width="23.5546875" customWidth="1"/>
    <col min="2" max="6" width="11.88671875" customWidth="1"/>
    <col min="7" max="7" width="0.88671875" customWidth="1"/>
    <col min="8" max="8" width="24.109375" customWidth="1"/>
    <col min="9" max="11" width="11.88671875" customWidth="1"/>
    <col min="12" max="12" width="10.109375" customWidth="1"/>
    <col min="13" max="13" width="10.44140625" customWidth="1"/>
  </cols>
  <sheetData>
    <row r="1" spans="1:14" x14ac:dyDescent="0.25">
      <c r="A1" s="1" t="s">
        <v>253</v>
      </c>
      <c r="B1" s="1" t="s">
        <v>64</v>
      </c>
      <c r="C1" s="1" t="s">
        <v>65</v>
      </c>
      <c r="D1" s="1" t="s">
        <v>36</v>
      </c>
      <c r="E1" s="1" t="s">
        <v>37</v>
      </c>
      <c r="F1" s="1" t="s">
        <v>38</v>
      </c>
      <c r="G1" s="44"/>
      <c r="H1" s="1" t="s">
        <v>303</v>
      </c>
      <c r="I1" s="1" t="s">
        <v>64</v>
      </c>
      <c r="J1" s="1" t="s">
        <v>65</v>
      </c>
      <c r="K1" s="1" t="s">
        <v>36</v>
      </c>
      <c r="L1" s="1" t="s">
        <v>37</v>
      </c>
      <c r="M1" s="1" t="s">
        <v>38</v>
      </c>
      <c r="N1" s="44"/>
    </row>
    <row r="2" spans="1:14" x14ac:dyDescent="0.25">
      <c r="A2" s="18" t="s">
        <v>66</v>
      </c>
      <c r="B2" s="18"/>
      <c r="C2" s="18"/>
      <c r="D2" s="18"/>
      <c r="E2" s="18"/>
      <c r="F2" s="18"/>
      <c r="G2" s="44"/>
      <c r="H2" s="18" t="s">
        <v>109</v>
      </c>
      <c r="I2" s="18"/>
      <c r="J2" s="18"/>
      <c r="K2" s="18"/>
      <c r="L2" s="18"/>
      <c r="M2" s="18"/>
      <c r="N2" s="44"/>
    </row>
    <row r="3" spans="1:14" x14ac:dyDescent="0.25">
      <c r="A3" s="22" t="s">
        <v>67</v>
      </c>
      <c r="B3" s="23">
        <f>IS!E3</f>
        <v>8716.5409999999993</v>
      </c>
      <c r="C3" s="23">
        <f>IS!F3</f>
        <v>10073.525</v>
      </c>
      <c r="D3" s="76">
        <f>IS!G3</f>
        <v>12341.081550000004</v>
      </c>
      <c r="E3" s="76">
        <f>IS!H3</f>
        <v>14707.470206229214</v>
      </c>
      <c r="F3" s="76">
        <f>IS!I3</f>
        <v>17228.145457166942</v>
      </c>
      <c r="G3" s="44"/>
      <c r="H3" s="24" t="s">
        <v>110</v>
      </c>
      <c r="I3" s="25">
        <f>BS!E3</f>
        <v>2790.3</v>
      </c>
      <c r="J3" s="25">
        <f>BS!F3</f>
        <v>3015.2420000000002</v>
      </c>
      <c r="K3" s="77">
        <f ca="1">BS!G3</f>
        <v>2995.5299110500159</v>
      </c>
      <c r="L3" s="77">
        <f ca="1">BS!H3</f>
        <v>3671.7089973728398</v>
      </c>
      <c r="M3" s="77">
        <f ca="1">BS!I3</f>
        <v>4746.1530604545906</v>
      </c>
      <c r="N3" s="44"/>
    </row>
    <row r="4" spans="1:14" x14ac:dyDescent="0.25">
      <c r="A4" s="24" t="s">
        <v>68</v>
      </c>
      <c r="B4" s="25">
        <f>IS!E4</f>
        <v>-5681.4030000000002</v>
      </c>
      <c r="C4" s="25">
        <f>IS!F4</f>
        <v>-6476.6049999999996</v>
      </c>
      <c r="D4" s="77">
        <f>IS!G4</f>
        <v>-7975.9372858680536</v>
      </c>
      <c r="E4" s="77">
        <f>IS!H4</f>
        <v>-9505.3143862141533</v>
      </c>
      <c r="F4" s="77">
        <f>IS!I4</f>
        <v>-11134.405616027721</v>
      </c>
      <c r="G4" s="44"/>
      <c r="H4" s="24" t="s">
        <v>111</v>
      </c>
      <c r="I4" s="25">
        <f>BS!E4</f>
        <v>564.54700000000003</v>
      </c>
      <c r="J4" s="25">
        <f>BS!F4</f>
        <v>416.83199999999999</v>
      </c>
      <c r="K4" s="77">
        <f>BS!G4</f>
        <v>416.83199999999999</v>
      </c>
      <c r="L4" s="77">
        <f>BS!H4</f>
        <v>416.83199999999999</v>
      </c>
      <c r="M4" s="77">
        <f>BS!I4</f>
        <v>416.83199999999999</v>
      </c>
      <c r="N4" s="44"/>
    </row>
    <row r="5" spans="1:14" x14ac:dyDescent="0.25">
      <c r="A5" s="24" t="s">
        <v>69</v>
      </c>
      <c r="B5" s="25">
        <f>IS!E5</f>
        <v>-730.404</v>
      </c>
      <c r="C5" s="25">
        <f>IS!F5</f>
        <v>-734.17700000000002</v>
      </c>
      <c r="D5" s="77">
        <f>IS!G5</f>
        <v>-1031.0163973250744</v>
      </c>
      <c r="E5" s="77">
        <f>IS!H5</f>
        <v>-1228.7126443785885</v>
      </c>
      <c r="F5" s="77">
        <f>IS!I5</f>
        <v>-1439.2985241913907</v>
      </c>
      <c r="G5" s="44"/>
      <c r="H5" s="24" t="s">
        <v>112</v>
      </c>
      <c r="I5" s="25">
        <f>BS!E5</f>
        <v>6681.6310000000003</v>
      </c>
      <c r="J5" s="25">
        <f>BS!F5</f>
        <v>8023.8959999999997</v>
      </c>
      <c r="K5" s="77">
        <f>BS!G5</f>
        <v>9007.8749962265902</v>
      </c>
      <c r="L5" s="77">
        <f>BS!H5</f>
        <v>9929.2362259517759</v>
      </c>
      <c r="M5" s="77">
        <f>BS!I5</f>
        <v>10686.974352374898</v>
      </c>
      <c r="N5" s="44"/>
    </row>
    <row r="6" spans="1:14" x14ac:dyDescent="0.25">
      <c r="A6" s="24" t="s">
        <v>70</v>
      </c>
      <c r="B6" s="25">
        <f>IS!E6</f>
        <v>-367.79599999999999</v>
      </c>
      <c r="C6" s="25">
        <f>IS!F6</f>
        <v>-413.202</v>
      </c>
      <c r="D6" s="77">
        <f>IS!G6</f>
        <v>-528.00276989577424</v>
      </c>
      <c r="E6" s="77">
        <f>IS!H6</f>
        <v>-629.24671355474482</v>
      </c>
      <c r="F6" s="77">
        <f>IS!I6</f>
        <v>-737.09167909610335</v>
      </c>
      <c r="G6" s="44"/>
      <c r="H6" s="24" t="s">
        <v>113</v>
      </c>
      <c r="I6" s="25">
        <f>BS!E6</f>
        <v>1264.0930000000001</v>
      </c>
      <c r="J6" s="25">
        <f>BS!F6</f>
        <v>1437.8879999999999</v>
      </c>
      <c r="K6" s="77">
        <f>BS!G6</f>
        <v>1783.2259625045458</v>
      </c>
      <c r="L6" s="77">
        <f>BS!H6</f>
        <v>2125.1575567548221</v>
      </c>
      <c r="M6" s="77">
        <f>BS!I6</f>
        <v>2489.3828098093095</v>
      </c>
      <c r="N6" s="44"/>
    </row>
    <row r="7" spans="1:14" x14ac:dyDescent="0.25">
      <c r="A7" s="24" t="s">
        <v>71</v>
      </c>
      <c r="B7" s="25">
        <f>IS!E7</f>
        <v>-737.64300000000003</v>
      </c>
      <c r="C7" s="25">
        <f>IS!F7</f>
        <v>-788.91</v>
      </c>
      <c r="D7" s="77">
        <f>IS!G7</f>
        <v>-1038.6916090724203</v>
      </c>
      <c r="E7" s="77">
        <f>IS!H7</f>
        <v>-1237.8595694388632</v>
      </c>
      <c r="F7" s="77">
        <f>IS!I7</f>
        <v>-1450.0131170625345</v>
      </c>
      <c r="G7" s="44"/>
      <c r="H7" s="24" t="s">
        <v>114</v>
      </c>
      <c r="I7" s="25">
        <f>BS!E7</f>
        <v>473.495</v>
      </c>
      <c r="J7" s="25">
        <f>BS!F7</f>
        <v>424.959</v>
      </c>
      <c r="K7" s="77">
        <f>BS!G7</f>
        <v>626.70171951613236</v>
      </c>
      <c r="L7" s="77">
        <f>BS!H7</f>
        <v>746.87107694998826</v>
      </c>
      <c r="M7" s="77">
        <f>BS!I7</f>
        <v>874.87537768361665</v>
      </c>
      <c r="N7" s="44"/>
    </row>
    <row r="8" spans="1:14" x14ac:dyDescent="0.25">
      <c r="A8" s="24" t="s">
        <v>72</v>
      </c>
      <c r="B8" s="25">
        <f>IS!E8</f>
        <v>332.33800000000002</v>
      </c>
      <c r="C8" s="25">
        <f>IS!F8</f>
        <v>238.47</v>
      </c>
      <c r="D8" s="77">
        <f>IS!G8</f>
        <v>376.74908249541306</v>
      </c>
      <c r="E8" s="77">
        <f>IS!H8</f>
        <v>448.99029988384433</v>
      </c>
      <c r="F8" s="77">
        <f>IS!I8</f>
        <v>525.94158524826878</v>
      </c>
      <c r="G8" s="44"/>
      <c r="H8" s="33" t="s">
        <v>115</v>
      </c>
      <c r="I8" s="34">
        <f>BS!E8</f>
        <v>11774.066000000001</v>
      </c>
      <c r="J8" s="34">
        <f>BS!F8</f>
        <v>13318.816999999999</v>
      </c>
      <c r="K8" s="80">
        <f ca="1">BS!G8</f>
        <v>14830.164589297283</v>
      </c>
      <c r="L8" s="80">
        <f ca="1">BS!H8</f>
        <v>16889.805857029427</v>
      </c>
      <c r="M8" s="80">
        <f ca="1">BS!I8</f>
        <v>19214.217600322416</v>
      </c>
      <c r="N8" s="44"/>
    </row>
    <row r="9" spans="1:14" x14ac:dyDescent="0.25">
      <c r="A9" s="2"/>
      <c r="B9" s="2"/>
      <c r="C9" s="2"/>
      <c r="D9" s="77"/>
      <c r="E9" s="77"/>
      <c r="F9" s="77"/>
      <c r="G9" s="44"/>
      <c r="H9" s="2"/>
      <c r="I9" s="2"/>
      <c r="J9" s="2"/>
      <c r="K9" s="77"/>
      <c r="L9" s="77"/>
      <c r="M9" s="77"/>
      <c r="N9" s="44"/>
    </row>
    <row r="10" spans="1:14" x14ac:dyDescent="0.25">
      <c r="A10" s="22" t="s">
        <v>73</v>
      </c>
      <c r="B10" s="23">
        <f>IS!E10</f>
        <v>1531.633</v>
      </c>
      <c r="C10" s="23">
        <f>IS!F10</f>
        <v>1899.1010000000001</v>
      </c>
      <c r="D10" s="76">
        <f>IS!G10</f>
        <v>2144.1825703340946</v>
      </c>
      <c r="E10" s="76">
        <f>IS!H10</f>
        <v>2555.327192526709</v>
      </c>
      <c r="F10" s="76">
        <f>IS!I10</f>
        <v>2993.2781060374614</v>
      </c>
      <c r="G10" s="44"/>
      <c r="H10" s="24" t="s">
        <v>116</v>
      </c>
      <c r="I10" s="25">
        <f>BS!E10</f>
        <v>2167.5830000000001</v>
      </c>
      <c r="J10" s="25">
        <f>BS!F10</f>
        <v>2333.1329999999998</v>
      </c>
      <c r="K10" s="77">
        <f>BS!G10</f>
        <v>2899.9813919199305</v>
      </c>
      <c r="L10" s="77">
        <f>BS!H10</f>
        <v>3521.9461104861361</v>
      </c>
      <c r="M10" s="77">
        <f>BS!I10</f>
        <v>4193.0098765943003</v>
      </c>
      <c r="N10" s="44"/>
    </row>
    <row r="11" spans="1:14" x14ac:dyDescent="0.25">
      <c r="A11" s="24" t="s">
        <v>74</v>
      </c>
      <c r="B11" s="25">
        <f>IS!E11</f>
        <v>-125.52800000000001</v>
      </c>
      <c r="C11" s="25">
        <f>IS!F11</f>
        <v>-106.60299999999999</v>
      </c>
      <c r="D11" s="77">
        <f>IS!G11</f>
        <v>29.186942240000008</v>
      </c>
      <c r="E11" s="77">
        <f ca="1">IS!H11</f>
        <v>28.578232933224498</v>
      </c>
      <c r="F11" s="77">
        <f ca="1">IS!I11</f>
        <v>49.458643118873297</v>
      </c>
      <c r="G11" s="44"/>
      <c r="H11" s="24" t="s">
        <v>117</v>
      </c>
      <c r="I11" s="25">
        <f>BS!E11</f>
        <v>330.63600000000002</v>
      </c>
      <c r="J11" s="25">
        <f>BS!F11</f>
        <v>330.63600000000002</v>
      </c>
      <c r="K11" s="77">
        <f>BS!G11</f>
        <v>330.63600000000002</v>
      </c>
      <c r="L11" s="77">
        <f>BS!H11</f>
        <v>330.63600000000002</v>
      </c>
      <c r="M11" s="77">
        <f>BS!I11</f>
        <v>330.63600000000002</v>
      </c>
      <c r="N11" s="44"/>
    </row>
    <row r="12" spans="1:14" x14ac:dyDescent="0.25">
      <c r="A12" s="24" t="s">
        <v>75</v>
      </c>
      <c r="B12" s="25">
        <f>IS!E12</f>
        <v>-198.517</v>
      </c>
      <c r="C12" s="25">
        <f>IS!F12</f>
        <v>-47.643000000000001</v>
      </c>
      <c r="D12" s="77">
        <f>IS!G12</f>
        <v>0</v>
      </c>
      <c r="E12" s="77">
        <f>IS!H12</f>
        <v>0</v>
      </c>
      <c r="F12" s="77">
        <f>IS!I12</f>
        <v>0</v>
      </c>
      <c r="G12" s="44"/>
      <c r="H12" s="24" t="s">
        <v>118</v>
      </c>
      <c r="I12" s="25">
        <f>BS!E12</f>
        <v>511.57799999999997</v>
      </c>
      <c r="J12" s="25">
        <f>BS!F12</f>
        <v>519.25900000000001</v>
      </c>
      <c r="K12" s="77">
        <f>BS!G12</f>
        <v>674.46371770671806</v>
      </c>
      <c r="L12" s="77">
        <f>BS!H12</f>
        <v>844.27739326840549</v>
      </c>
      <c r="M12" s="77">
        <f>BS!I12</f>
        <v>1027.1051058660332</v>
      </c>
      <c r="N12" s="44"/>
    </row>
    <row r="13" spans="1:14" x14ac:dyDescent="0.25">
      <c r="A13" s="2"/>
      <c r="B13" s="2"/>
      <c r="C13" s="2"/>
      <c r="D13" s="77"/>
      <c r="E13" s="77"/>
      <c r="F13" s="77"/>
      <c r="G13" s="44"/>
      <c r="H13" s="24" t="s">
        <v>119</v>
      </c>
      <c r="I13" s="25">
        <f>BS!E13</f>
        <v>9.4260000000000002</v>
      </c>
      <c r="J13" s="25">
        <f>BS!F13</f>
        <v>10.372999999999999</v>
      </c>
      <c r="K13" s="77">
        <f>BS!G13</f>
        <v>10.372999999999999</v>
      </c>
      <c r="L13" s="77">
        <f>BS!H13</f>
        <v>10.372999999999999</v>
      </c>
      <c r="M13" s="77">
        <f>BS!I13</f>
        <v>10.372999999999999</v>
      </c>
      <c r="N13" s="44"/>
    </row>
    <row r="14" spans="1:14" x14ac:dyDescent="0.25">
      <c r="A14" s="22" t="s">
        <v>76</v>
      </c>
      <c r="B14" s="23">
        <f>IS!E14</f>
        <v>1207.588</v>
      </c>
      <c r="C14" s="23">
        <f>IS!F14</f>
        <v>1744.855</v>
      </c>
      <c r="D14" s="76">
        <f>IS!G14</f>
        <v>2173.3695125740946</v>
      </c>
      <c r="E14" s="76">
        <f ca="1">IS!H14</f>
        <v>2583.9054254599337</v>
      </c>
      <c r="F14" s="76">
        <f ca="1">IS!I14</f>
        <v>3042.7367491563346</v>
      </c>
      <c r="G14" s="44"/>
      <c r="H14" s="24" t="s">
        <v>120</v>
      </c>
      <c r="I14" s="25">
        <f>BS!E14</f>
        <v>153.786</v>
      </c>
      <c r="J14" s="25">
        <f>BS!F14</f>
        <v>162.86699999999999</v>
      </c>
      <c r="K14" s="77">
        <f>BS!G14</f>
        <v>162.86699999999999</v>
      </c>
      <c r="L14" s="77">
        <f ca="1">BS!H14</f>
        <v>162.86699999999999</v>
      </c>
      <c r="M14" s="77">
        <f ca="1">BS!I14</f>
        <v>162.86699999999999</v>
      </c>
      <c r="N14" s="44"/>
    </row>
    <row r="15" spans="1:14" x14ac:dyDescent="0.25">
      <c r="A15" s="24" t="s">
        <v>77</v>
      </c>
      <c r="B15" s="25">
        <f>IS!E15</f>
        <v>-177.42599999999999</v>
      </c>
      <c r="C15" s="25">
        <f>IS!F15</f>
        <v>-263.75099999999998</v>
      </c>
      <c r="D15" s="77">
        <f>IS!G15</f>
        <v>-300.23424559230273</v>
      </c>
      <c r="E15" s="77">
        <f ca="1">IS!H15</f>
        <v>-356.94661750178267</v>
      </c>
      <c r="F15" s="77">
        <f ca="1">IS!I15</f>
        <v>-420.33062814843527</v>
      </c>
      <c r="G15" s="44"/>
      <c r="H15" s="24" t="s">
        <v>121</v>
      </c>
      <c r="I15" s="25">
        <f>BS!E15</f>
        <v>779.82299999999998</v>
      </c>
      <c r="J15" s="25">
        <f>BS!F15</f>
        <v>907.827</v>
      </c>
      <c r="K15" s="77">
        <f>BS!G15</f>
        <v>993.59336923359012</v>
      </c>
      <c r="L15" s="77">
        <f>BS!H15</f>
        <v>1184.1137922883204</v>
      </c>
      <c r="M15" s="77">
        <f>BS!I15</f>
        <v>1387.0559902776806</v>
      </c>
      <c r="N15" s="44"/>
    </row>
    <row r="16" spans="1:14" x14ac:dyDescent="0.25">
      <c r="A16" s="2"/>
      <c r="B16" s="2"/>
      <c r="C16" s="2"/>
      <c r="D16" s="2"/>
      <c r="E16" s="2"/>
      <c r="F16" s="2"/>
      <c r="G16" s="44"/>
      <c r="H16" s="33" t="s">
        <v>122</v>
      </c>
      <c r="I16" s="34">
        <f>BS!E16</f>
        <v>3952.8319999999999</v>
      </c>
      <c r="J16" s="34">
        <f>BS!F16</f>
        <v>4264.0950000000003</v>
      </c>
      <c r="K16" s="80">
        <f>BS!G16</f>
        <v>5071.9144788602389</v>
      </c>
      <c r="L16" s="80">
        <f ca="1">BS!H16</f>
        <v>6054.2132960428626</v>
      </c>
      <c r="M16" s="80">
        <f ca="1">BS!I16</f>
        <v>7111.0469727380141</v>
      </c>
      <c r="N16" s="44"/>
    </row>
    <row r="17" spans="1:14" x14ac:dyDescent="0.25">
      <c r="A17" s="27" t="s">
        <v>78</v>
      </c>
      <c r="B17" s="28">
        <f>IS!E17</f>
        <v>1030.162</v>
      </c>
      <c r="C17" s="28">
        <f>IS!F17</f>
        <v>1481.104</v>
      </c>
      <c r="D17" s="78">
        <f>IS!G17</f>
        <v>1873.135266981792</v>
      </c>
      <c r="E17" s="78">
        <f ca="1">IS!H17</f>
        <v>2226.9588079581508</v>
      </c>
      <c r="F17" s="78">
        <f ca="1">IS!I17</f>
        <v>2622.4061210078994</v>
      </c>
      <c r="G17" s="44"/>
      <c r="H17" s="27" t="s">
        <v>123</v>
      </c>
      <c r="I17" s="28">
        <f>BS!E17</f>
        <v>15726.897999999999</v>
      </c>
      <c r="J17" s="28">
        <f>BS!F17</f>
        <v>17582.912</v>
      </c>
      <c r="K17" s="78">
        <f ca="1">BS!G17</f>
        <v>19902.079068157524</v>
      </c>
      <c r="L17" s="78">
        <f ca="1">BS!H17</f>
        <v>22944.019153072288</v>
      </c>
      <c r="M17" s="78">
        <f ca="1">BS!I17</f>
        <v>26325.264573060431</v>
      </c>
      <c r="N17" s="44"/>
    </row>
    <row r="18" spans="1:14" ht="6" customHeight="1" x14ac:dyDescent="0.25">
      <c r="G18" s="44"/>
      <c r="H18" s="2"/>
      <c r="I18" s="2"/>
      <c r="J18" s="2"/>
      <c r="K18" s="2"/>
      <c r="L18" s="2"/>
      <c r="M18" s="2"/>
      <c r="N18" s="44"/>
    </row>
    <row r="19" spans="1:14" x14ac:dyDescent="0.25">
      <c r="A19" s="1" t="s">
        <v>253</v>
      </c>
      <c r="B19" s="1" t="s">
        <v>64</v>
      </c>
      <c r="C19" s="1" t="s">
        <v>65</v>
      </c>
      <c r="D19" s="1" t="s">
        <v>36</v>
      </c>
      <c r="E19" s="1" t="s">
        <v>37</v>
      </c>
      <c r="F19" s="1" t="s">
        <v>38</v>
      </c>
      <c r="G19" s="44"/>
      <c r="H19" s="24" t="s">
        <v>124</v>
      </c>
      <c r="I19" s="25">
        <f>BS!E19</f>
        <v>5619.2910000000002</v>
      </c>
      <c r="J19" s="25">
        <f>BS!F19</f>
        <v>6548.2120000000004</v>
      </c>
      <c r="K19" s="77">
        <f>BS!G19</f>
        <v>7242.0538634264167</v>
      </c>
      <c r="L19" s="77">
        <f>BS!H19</f>
        <v>8370.290061830583</v>
      </c>
      <c r="M19" s="77">
        <f>BS!I19</f>
        <v>9499.8002018412117</v>
      </c>
      <c r="N19" s="44"/>
    </row>
    <row r="20" spans="1:14" x14ac:dyDescent="0.25">
      <c r="A20" s="18" t="s">
        <v>164</v>
      </c>
      <c r="B20" s="18"/>
      <c r="C20" s="18"/>
      <c r="D20" s="18"/>
      <c r="E20" s="18"/>
      <c r="F20" s="18"/>
      <c r="G20" s="44"/>
      <c r="H20" s="24" t="s">
        <v>125</v>
      </c>
      <c r="I20" s="25">
        <f>BS!E20</f>
        <v>1615.723</v>
      </c>
      <c r="J20" s="25">
        <f>BS!F20</f>
        <v>1400.82</v>
      </c>
      <c r="K20" s="77">
        <f>BS!G20</f>
        <v>1400.82</v>
      </c>
      <c r="L20" s="77">
        <f>BS!H20</f>
        <v>1400.82</v>
      </c>
      <c r="M20" s="77">
        <f>BS!I20</f>
        <v>1400.82</v>
      </c>
      <c r="N20" s="44"/>
    </row>
    <row r="21" spans="1:14" x14ac:dyDescent="0.25">
      <c r="A21" s="24" t="s">
        <v>78</v>
      </c>
      <c r="B21" s="25">
        <f>B17</f>
        <v>1030.162</v>
      </c>
      <c r="C21" s="25">
        <f t="shared" ref="C21:F21" si="0">C17</f>
        <v>1481.104</v>
      </c>
      <c r="D21" s="77">
        <f t="shared" si="0"/>
        <v>1873.135266981792</v>
      </c>
      <c r="E21" s="77">
        <f t="shared" ca="1" si="0"/>
        <v>2226.9588079581508</v>
      </c>
      <c r="F21" s="77">
        <f t="shared" ca="1" si="0"/>
        <v>2622.4061210078994</v>
      </c>
      <c r="G21" s="44"/>
      <c r="H21" s="24" t="s">
        <v>126</v>
      </c>
      <c r="I21" s="25">
        <f>BS!E21</f>
        <v>110.795</v>
      </c>
      <c r="J21" s="25">
        <f>BS!F21</f>
        <v>137.10300000000001</v>
      </c>
      <c r="K21" s="77">
        <f>BS!G21</f>
        <v>137.10300000000001</v>
      </c>
      <c r="L21" s="77">
        <f>BS!H21</f>
        <v>137.10300000000001</v>
      </c>
      <c r="M21" s="77">
        <f>BS!I21</f>
        <v>137.10300000000001</v>
      </c>
      <c r="N21" s="44"/>
    </row>
    <row r="22" spans="1:14" x14ac:dyDescent="0.25">
      <c r="A22" s="24" t="s">
        <v>91</v>
      </c>
      <c r="B22" s="26">
        <f>CFS!E4</f>
        <v>316</v>
      </c>
      <c r="C22" s="26">
        <f>CFS!F4</f>
        <v>353</v>
      </c>
      <c r="D22" s="77">
        <f>CFS!G4</f>
        <v>238.69434551407204</v>
      </c>
      <c r="E22" s="77">
        <f>CFS!H4</f>
        <v>353.19131658540152</v>
      </c>
      <c r="F22" s="77">
        <f>CFS!I4</f>
        <v>487.31162717331188</v>
      </c>
      <c r="G22" s="44"/>
      <c r="H22" s="24" t="s">
        <v>128</v>
      </c>
      <c r="I22" s="25">
        <f>BS!E23</f>
        <v>30.300999999999998</v>
      </c>
      <c r="J22" s="25">
        <f>BS!F23</f>
        <v>9.2569999999999997</v>
      </c>
      <c r="K22" s="77">
        <f>BS!G23</f>
        <v>48.85014492939127</v>
      </c>
      <c r="L22" s="77">
        <f>BS!H23</f>
        <v>58.217105867759294</v>
      </c>
      <c r="M22" s="77">
        <f>BS!I23</f>
        <v>68.194784957663515</v>
      </c>
      <c r="N22" s="44"/>
    </row>
    <row r="23" spans="1:14" x14ac:dyDescent="0.25">
      <c r="A23" s="73" t="s">
        <v>171</v>
      </c>
      <c r="B23" s="74">
        <f>CFS!E12</f>
        <v>927</v>
      </c>
      <c r="C23" s="74">
        <f>CFS!F12</f>
        <v>1835</v>
      </c>
      <c r="D23" s="79">
        <f>CFS!G12</f>
        <v>1235.2296198398817</v>
      </c>
      <c r="E23" s="79">
        <f ca="1">CFS!H12</f>
        <v>2150.3359784872982</v>
      </c>
      <c r="F23" s="79">
        <f ca="1">CFS!I12</f>
        <v>2803.2890402473804</v>
      </c>
      <c r="G23" s="44"/>
      <c r="H23" s="33" t="s">
        <v>129</v>
      </c>
      <c r="I23" s="34">
        <f>BS!E24</f>
        <v>7376.11</v>
      </c>
      <c r="J23" s="34">
        <f>BS!F24</f>
        <v>8095.3919999999998</v>
      </c>
      <c r="K23" s="80">
        <f>BS!G24</f>
        <v>8828.8270083558073</v>
      </c>
      <c r="L23" s="80">
        <f>BS!H24</f>
        <v>9966.4301676983414</v>
      </c>
      <c r="M23" s="80">
        <f>BS!I24</f>
        <v>11105.917986798873</v>
      </c>
      <c r="N23" s="44"/>
    </row>
    <row r="24" spans="1:14" x14ac:dyDescent="0.25">
      <c r="A24" s="73" t="s">
        <v>180</v>
      </c>
      <c r="B24" s="74">
        <f>CFS!E22</f>
        <v>-171</v>
      </c>
      <c r="C24" s="74">
        <f>CFS!F22</f>
        <v>-605</v>
      </c>
      <c r="D24" s="79">
        <f>CFS!G22</f>
        <v>-960.74745514072038</v>
      </c>
      <c r="E24" s="79">
        <f>CFS!H22</f>
        <v>-1144.9697107132947</v>
      </c>
      <c r="F24" s="79">
        <f>CFS!I22</f>
        <v>-1341.2031058791033</v>
      </c>
      <c r="G24" s="44"/>
      <c r="H24" s="2"/>
      <c r="I24" s="2"/>
      <c r="J24" s="2"/>
      <c r="K24" s="2"/>
      <c r="L24" s="2"/>
      <c r="M24" s="2"/>
      <c r="N24" s="44"/>
    </row>
    <row r="25" spans="1:14" x14ac:dyDescent="0.25">
      <c r="A25" s="73" t="s">
        <v>187</v>
      </c>
      <c r="B25" s="74">
        <f>CFS!E30</f>
        <v>-534</v>
      </c>
      <c r="C25" s="74">
        <f>CFS!F30</f>
        <v>-640</v>
      </c>
      <c r="D25" s="79">
        <f ca="1">CFS!G30</f>
        <v>-294.19425364914571</v>
      </c>
      <c r="E25" s="79">
        <f ca="1">CFS!H30</f>
        <v>-329.18718145117953</v>
      </c>
      <c r="F25" s="79">
        <f ca="1">CFS!I30</f>
        <v>-387.64187128652634</v>
      </c>
      <c r="G25" s="44"/>
      <c r="H25" s="24" t="s">
        <v>130</v>
      </c>
      <c r="I25" s="25">
        <f>BS!E26</f>
        <v>971.47299999999996</v>
      </c>
      <c r="J25" s="25">
        <f>BS!F26</f>
        <v>1086.0809999999999</v>
      </c>
      <c r="K25" s="77">
        <f>BS!G26</f>
        <v>1086.0809999999999</v>
      </c>
      <c r="L25" s="77">
        <f>BS!H26</f>
        <v>1086.0809999999999</v>
      </c>
      <c r="M25" s="77">
        <f>BS!I26</f>
        <v>1086.0809999999999</v>
      </c>
      <c r="N25" s="44"/>
    </row>
    <row r="26" spans="1:14" x14ac:dyDescent="0.25">
      <c r="A26" s="24" t="s">
        <v>188</v>
      </c>
      <c r="B26" s="25">
        <v>0</v>
      </c>
      <c r="C26" s="25">
        <v>0</v>
      </c>
      <c r="D26" s="77">
        <v>0</v>
      </c>
      <c r="E26" s="77">
        <v>0</v>
      </c>
      <c r="F26" s="77">
        <v>0</v>
      </c>
      <c r="G26" s="44"/>
      <c r="H26" s="24" t="s">
        <v>132</v>
      </c>
      <c r="I26" s="25">
        <f>BS!E28</f>
        <v>38.872</v>
      </c>
      <c r="J26" s="25">
        <f>BS!F28</f>
        <v>45.686</v>
      </c>
      <c r="K26" s="77">
        <f>BS!G28</f>
        <v>45.686</v>
      </c>
      <c r="L26" s="77">
        <f>BS!H28</f>
        <v>45.686</v>
      </c>
      <c r="M26" s="77">
        <f>BS!I28</f>
        <v>45.686</v>
      </c>
      <c r="N26" s="44"/>
    </row>
    <row r="27" spans="1:14" x14ac:dyDescent="0.25">
      <c r="A27" s="24" t="s">
        <v>189</v>
      </c>
      <c r="B27" s="25">
        <f>CFS!E33</f>
        <v>222</v>
      </c>
      <c r="C27" s="25">
        <f>CFS!F33</f>
        <v>590</v>
      </c>
      <c r="D27" s="77">
        <f ca="1">CFS!G33</f>
        <v>-19.712088949984377</v>
      </c>
      <c r="E27" s="77">
        <f ca="1">CFS!H33</f>
        <v>676.17908632282388</v>
      </c>
      <c r="F27" s="77">
        <f ca="1">CFS!I33</f>
        <v>1074.444063081751</v>
      </c>
      <c r="G27" s="44"/>
      <c r="H27" s="24" t="s">
        <v>133</v>
      </c>
      <c r="I27" s="25">
        <f>BS!E29</f>
        <v>19.515000000000001</v>
      </c>
      <c r="J27" s="25">
        <f>BS!F29</f>
        <v>12.816000000000001</v>
      </c>
      <c r="K27" s="77">
        <f>BS!G29</f>
        <v>12.816000000000001</v>
      </c>
      <c r="L27" s="77">
        <f>BS!H29</f>
        <v>12.816000000000001</v>
      </c>
      <c r="M27" s="77">
        <f>BS!I29</f>
        <v>12.816000000000001</v>
      </c>
      <c r="N27" s="44"/>
    </row>
    <row r="28" spans="1:14" x14ac:dyDescent="0.25">
      <c r="A28" s="24" t="s">
        <v>190</v>
      </c>
      <c r="B28" s="25">
        <f>CFS!E34</f>
        <v>2427</v>
      </c>
      <c r="C28" s="25">
        <f>CFS!F34</f>
        <v>3017</v>
      </c>
      <c r="D28" s="77">
        <f ca="1">CFS!G34</f>
        <v>2997.2879110500157</v>
      </c>
      <c r="E28" s="77">
        <f ca="1">CFS!H34</f>
        <v>3673.4669973728396</v>
      </c>
      <c r="F28" s="77">
        <f ca="1">CFS!I34</f>
        <v>4747.9110604545904</v>
      </c>
      <c r="G28" s="44"/>
      <c r="H28" s="9" t="s">
        <v>135</v>
      </c>
      <c r="I28" s="34">
        <f>BS!E31</f>
        <v>1029.8599999999999</v>
      </c>
      <c r="J28" s="34">
        <f>BS!F31</f>
        <v>1172.0309999999999</v>
      </c>
      <c r="K28" s="80">
        <f>BS!G31</f>
        <v>1178.8220464690685</v>
      </c>
      <c r="L28" s="80">
        <f>BS!H31</f>
        <v>1185.3873455343282</v>
      </c>
      <c r="M28" s="80">
        <f>BS!I31</f>
        <v>1192.3806967005628</v>
      </c>
      <c r="N28" s="44"/>
    </row>
    <row r="29" spans="1:14" x14ac:dyDescent="0.25">
      <c r="A29" s="24" t="s">
        <v>191</v>
      </c>
      <c r="B29" s="25">
        <f>CFS!E35</f>
        <v>2205</v>
      </c>
      <c r="C29" s="25">
        <f>CFS!F35</f>
        <v>2427</v>
      </c>
      <c r="D29" s="77">
        <f>CFS!G35</f>
        <v>3017</v>
      </c>
      <c r="E29" s="77">
        <f ca="1">CFS!H35</f>
        <v>2997.2879110500157</v>
      </c>
      <c r="F29" s="77">
        <f ca="1">CFS!I35</f>
        <v>3673.4669973728396</v>
      </c>
      <c r="G29" s="44"/>
      <c r="H29" s="27" t="s">
        <v>136</v>
      </c>
      <c r="I29" s="28">
        <f>BS!E32</f>
        <v>8405.9699999999993</v>
      </c>
      <c r="J29" s="28">
        <f>BS!F32</f>
        <v>9267.4230000000007</v>
      </c>
      <c r="K29" s="78">
        <f>BS!G32</f>
        <v>10007.649054824877</v>
      </c>
      <c r="L29" s="78">
        <f>BS!H32</f>
        <v>11151.817513232669</v>
      </c>
      <c r="M29" s="78">
        <f>BS!I32</f>
        <v>12298.298683499435</v>
      </c>
      <c r="N29" s="44"/>
    </row>
    <row r="30" spans="1:14" ht="5.4" customHeight="1" x14ac:dyDescent="0.25">
      <c r="G30" s="44"/>
      <c r="H30" s="2"/>
      <c r="I30" s="2"/>
      <c r="J30" s="2"/>
      <c r="K30" s="2"/>
      <c r="L30" s="2"/>
      <c r="M30" s="2"/>
      <c r="N30" s="44"/>
    </row>
    <row r="31" spans="1:14" x14ac:dyDescent="0.25">
      <c r="A31" s="1" t="s">
        <v>253</v>
      </c>
      <c r="B31" s="1" t="s">
        <v>64</v>
      </c>
      <c r="C31" s="1" t="s">
        <v>65</v>
      </c>
      <c r="D31" s="1" t="s">
        <v>36</v>
      </c>
      <c r="E31" s="1" t="s">
        <v>37</v>
      </c>
      <c r="F31" s="1" t="s">
        <v>38</v>
      </c>
      <c r="G31" s="44"/>
      <c r="H31" s="24" t="s">
        <v>137</v>
      </c>
      <c r="I31" s="25">
        <f>BS!E34</f>
        <v>9.9060000000000006</v>
      </c>
      <c r="J31" s="25">
        <f>BS!F34</f>
        <v>9.9060000000000006</v>
      </c>
      <c r="K31" s="77">
        <f>BS!G34</f>
        <v>9.9060000000000006</v>
      </c>
      <c r="L31" s="77">
        <f>BS!H34</f>
        <v>9.9060000000000006</v>
      </c>
      <c r="M31" s="77">
        <f>BS!I34</f>
        <v>9.9060000000000006</v>
      </c>
      <c r="N31" s="44"/>
    </row>
    <row r="32" spans="1:14" x14ac:dyDescent="0.25">
      <c r="A32" s="81" t="s">
        <v>304</v>
      </c>
      <c r="B32" s="18"/>
      <c r="C32" s="18"/>
      <c r="D32" s="18"/>
      <c r="E32" s="18"/>
      <c r="F32" s="18"/>
      <c r="G32" s="44"/>
      <c r="H32" s="24" t="s">
        <v>141</v>
      </c>
      <c r="I32" s="25">
        <f>BS!E38</f>
        <v>5422.701</v>
      </c>
      <c r="J32" s="25">
        <f>BS!F38</f>
        <v>6225.8519999999999</v>
      </c>
      <c r="K32" s="77">
        <f>BS!G38</f>
        <v>6225.8519999999999</v>
      </c>
      <c r="L32" s="77">
        <f>BS!H38</f>
        <v>6225.8519999999999</v>
      </c>
      <c r="M32" s="77">
        <f>BS!I38</f>
        <v>6225.8519999999999</v>
      </c>
      <c r="N32" s="44"/>
    </row>
    <row r="33" spans="1:14" x14ac:dyDescent="0.25">
      <c r="A33" s="24" t="s">
        <v>85</v>
      </c>
      <c r="B33" s="82">
        <f>IS!E26</f>
        <v>0.20190486512364658</v>
      </c>
      <c r="C33" s="82">
        <f>IS!F26</f>
        <v>0.15567918512630197</v>
      </c>
      <c r="D33" s="83">
        <f>IS!G26</f>
        <v>0.22510060281778255</v>
      </c>
      <c r="E33" s="83">
        <f>IS!H26</f>
        <v>0.19174888737601847</v>
      </c>
      <c r="F33" s="83">
        <f>IS!I26</f>
        <v>0.17138741167533494</v>
      </c>
      <c r="G33" s="44"/>
      <c r="H33" s="33" t="s">
        <v>143</v>
      </c>
      <c r="I33" s="34">
        <f>BS!E40</f>
        <v>5432.607</v>
      </c>
      <c r="J33" s="34">
        <f>BS!F40</f>
        <v>6235.7579999999998</v>
      </c>
      <c r="K33" s="80">
        <f>BS!G40</f>
        <v>7435.2774819746628</v>
      </c>
      <c r="L33" s="80">
        <f ca="1">BS!H40</f>
        <v>8861.3786946250129</v>
      </c>
      <c r="M33" s="80">
        <f ca="1">BS!I40</f>
        <v>10540.71669399287</v>
      </c>
      <c r="N33" s="44"/>
    </row>
    <row r="34" spans="1:14" x14ac:dyDescent="0.25">
      <c r="A34" s="24" t="s">
        <v>86</v>
      </c>
      <c r="B34" s="82">
        <f>IS!E27</f>
        <v>0.34820440814768144</v>
      </c>
      <c r="C34" s="82">
        <f>IS!F27</f>
        <v>0.35706666732846748</v>
      </c>
      <c r="D34" s="83">
        <f>IS!G27</f>
        <v>0.35370840444142021</v>
      </c>
      <c r="E34" s="83">
        <f>IS!H27</f>
        <v>0.35370840444142021</v>
      </c>
      <c r="F34" s="83">
        <f>IS!I27</f>
        <v>0.35370840444142021</v>
      </c>
      <c r="G34" s="44"/>
      <c r="H34" s="24" t="s">
        <v>144</v>
      </c>
      <c r="I34" s="25">
        <f>BS!E41</f>
        <v>1888.3209999999999</v>
      </c>
      <c r="J34" s="25">
        <f>BS!F41</f>
        <v>2079.7310000000002</v>
      </c>
      <c r="K34" s="77">
        <f ca="1">BS!G41</f>
        <v>2459.1525313579841</v>
      </c>
      <c r="L34" s="77">
        <f ca="1">BS!H41</f>
        <v>2930.8229452146043</v>
      </c>
      <c r="M34" s="77">
        <f ca="1">BS!I41</f>
        <v>3486.2491955681203</v>
      </c>
      <c r="N34" s="44"/>
    </row>
    <row r="35" spans="1:14" x14ac:dyDescent="0.25">
      <c r="A35" s="24" t="s">
        <v>95</v>
      </c>
      <c r="B35" s="86">
        <f>IS!E36</f>
        <v>0.17571568813821906</v>
      </c>
      <c r="C35" s="86">
        <f>IS!F36</f>
        <v>0.18852397745575658</v>
      </c>
      <c r="D35" s="84">
        <f>IS!G36</f>
        <v>0.1737434893082036</v>
      </c>
      <c r="E35" s="84">
        <f>IS!H36</f>
        <v>0.17374348930820363</v>
      </c>
      <c r="F35" s="84">
        <f>IS!I36</f>
        <v>0.17374348930820363</v>
      </c>
      <c r="G35" s="44"/>
      <c r="H35" s="27" t="s">
        <v>145</v>
      </c>
      <c r="I35" s="27">
        <f>BS!E42</f>
        <v>7320.9279999999999</v>
      </c>
      <c r="J35" s="27">
        <f>BS!F42</f>
        <v>8315.4889999999996</v>
      </c>
      <c r="K35" s="78">
        <f ca="1">BS!G42</f>
        <v>9894.4300133326469</v>
      </c>
      <c r="L35" s="78">
        <f ca="1">BS!H42</f>
        <v>11792.201639839617</v>
      </c>
      <c r="M35" s="78">
        <f ca="1">BS!I42</f>
        <v>14026.96588956099</v>
      </c>
      <c r="N35" s="44"/>
    </row>
    <row r="36" spans="1:14" x14ac:dyDescent="0.25">
      <c r="A36" s="24" t="s">
        <v>102</v>
      </c>
      <c r="B36" s="86">
        <f>IS!E45</f>
        <v>0.18962571745020393</v>
      </c>
      <c r="C36" s="86">
        <f>IS!F45</f>
        <v>0.23751787673607605</v>
      </c>
      <c r="D36" s="84">
        <f>IS!G45</f>
        <v>0.25192540177859296</v>
      </c>
      <c r="E36" s="84">
        <f ca="1">IS!H45</f>
        <v>0.25131064642446016</v>
      </c>
      <c r="F36" s="84">
        <f ca="1">IS!I45</f>
        <v>0.24878821783554836</v>
      </c>
      <c r="G36" s="44"/>
      <c r="H36" s="27" t="s">
        <v>146</v>
      </c>
      <c r="I36" s="27">
        <f>BS!E43</f>
        <v>15726.897999999999</v>
      </c>
      <c r="J36" s="27">
        <f>BS!F43</f>
        <v>17582.912</v>
      </c>
      <c r="K36" s="78">
        <f ca="1">BS!G43</f>
        <v>19902.079068157524</v>
      </c>
      <c r="L36" s="78">
        <f ca="1">BS!H43</f>
        <v>22944.019153072288</v>
      </c>
      <c r="M36" s="78">
        <f ca="1">BS!I43</f>
        <v>26325.264573060427</v>
      </c>
      <c r="N36" s="44"/>
    </row>
    <row r="37" spans="1:14" x14ac:dyDescent="0.25">
      <c r="A37" s="24" t="s">
        <v>103</v>
      </c>
      <c r="B37" s="87">
        <f>IS!E46</f>
        <v>0.55424413638341141</v>
      </c>
      <c r="C37" s="87">
        <f>IS!F46</f>
        <v>0.57291562398765339</v>
      </c>
      <c r="D37" s="85">
        <f ca="1">IS!G46</f>
        <v>0.62009006736111338</v>
      </c>
      <c r="E37" s="85">
        <f ca="1">IS!H46</f>
        <v>0.64101542576771386</v>
      </c>
      <c r="F37" s="85">
        <f ca="1">IS!I46</f>
        <v>0.65443389597676105</v>
      </c>
      <c r="G37" s="44"/>
      <c r="H37" s="44"/>
      <c r="I37" s="44"/>
      <c r="J37" s="44"/>
      <c r="K37" s="44"/>
      <c r="L37" s="44"/>
      <c r="M37" s="44"/>
      <c r="N37" s="44"/>
    </row>
    <row r="38" spans="1:14" x14ac:dyDescent="0.25">
      <c r="A38" s="24"/>
      <c r="B38" s="25"/>
      <c r="C38" s="25"/>
      <c r="D38" s="77"/>
      <c r="E38" s="77"/>
      <c r="F38" s="77"/>
      <c r="G38" s="44"/>
      <c r="H38" s="44"/>
      <c r="I38" s="44"/>
      <c r="J38" s="44"/>
      <c r="K38" s="44"/>
      <c r="L38" s="44"/>
      <c r="M38" s="44"/>
      <c r="N38" s="44"/>
    </row>
    <row r="39" spans="1:14" x14ac:dyDescent="0.25">
      <c r="A39" s="24"/>
      <c r="B39" s="25"/>
      <c r="C39" s="25"/>
      <c r="D39" s="77"/>
      <c r="E39" s="77"/>
      <c r="F39" s="77"/>
      <c r="G39" s="44"/>
      <c r="H39" s="44"/>
      <c r="I39" s="44"/>
      <c r="J39" s="44"/>
      <c r="K39" s="44"/>
      <c r="L39" s="44"/>
      <c r="M39" s="44"/>
      <c r="N39" s="44"/>
    </row>
    <row r="40" spans="1:14" x14ac:dyDescent="0.25">
      <c r="A40" s="24"/>
      <c r="B40" s="25"/>
      <c r="C40" s="25"/>
      <c r="D40" s="77"/>
      <c r="E40" s="77"/>
      <c r="F40" s="77"/>
      <c r="G40" s="44"/>
      <c r="H40" s="44"/>
      <c r="I40" s="44"/>
      <c r="J40" s="44"/>
      <c r="K40" s="44"/>
      <c r="L40" s="44"/>
      <c r="M40" s="44"/>
      <c r="N40" s="44"/>
    </row>
    <row r="41" spans="1:14" x14ac:dyDescent="0.25">
      <c r="A41" s="24"/>
      <c r="B41" s="25"/>
      <c r="C41" s="25"/>
      <c r="D41" s="77"/>
      <c r="E41" s="77"/>
      <c r="F41" s="77"/>
      <c r="G41" s="44"/>
      <c r="H41" s="44"/>
      <c r="I41" s="44"/>
      <c r="J41" s="44"/>
      <c r="K41" s="44"/>
      <c r="L41" s="44"/>
      <c r="M41" s="44"/>
      <c r="N41" s="44"/>
    </row>
    <row r="42" spans="1:14" x14ac:dyDescent="0.25">
      <c r="G42" s="44"/>
      <c r="H42" s="44"/>
      <c r="I42" s="44"/>
      <c r="J42" s="44"/>
      <c r="K42" s="44"/>
      <c r="L42" s="44"/>
      <c r="M42" s="44"/>
      <c r="N42" s="44"/>
    </row>
    <row r="43" spans="1:14" x14ac:dyDescent="0.25">
      <c r="G43" s="44"/>
    </row>
    <row r="44" spans="1:14" x14ac:dyDescent="0.25">
      <c r="G44" s="44"/>
    </row>
    <row r="45" spans="1:14" x14ac:dyDescent="0.25">
      <c r="G45" s="44"/>
    </row>
    <row r="46" spans="1:14" x14ac:dyDescent="0.25">
      <c r="G46" s="44"/>
    </row>
    <row r="47" spans="1:14" x14ac:dyDescent="0.25">
      <c r="G47" s="44"/>
    </row>
    <row r="48" spans="1:14" x14ac:dyDescent="0.25">
      <c r="G48" s="44"/>
    </row>
    <row r="49" spans="7:7" x14ac:dyDescent="0.25">
      <c r="G49" s="44"/>
    </row>
    <row r="50" spans="7:7" x14ac:dyDescent="0.25">
      <c r="G50" s="44"/>
    </row>
    <row r="51" spans="7:7" x14ac:dyDescent="0.25">
      <c r="G51" s="44"/>
    </row>
    <row r="52" spans="7:7" x14ac:dyDescent="0.25">
      <c r="G52" s="44"/>
    </row>
    <row r="53" spans="7:7" x14ac:dyDescent="0.25">
      <c r="G53" s="44"/>
    </row>
    <row r="54" spans="7:7" x14ac:dyDescent="0.25">
      <c r="G54" s="44"/>
    </row>
    <row r="55" spans="7:7" x14ac:dyDescent="0.25">
      <c r="G55" s="44"/>
    </row>
    <row r="56" spans="7:7" x14ac:dyDescent="0.25">
      <c r="G56" s="44"/>
    </row>
    <row r="57" spans="7:7" x14ac:dyDescent="0.25">
      <c r="G57" s="44"/>
    </row>
    <row r="58" spans="7:7" x14ac:dyDescent="0.25">
      <c r="G58" s="44"/>
    </row>
    <row r="59" spans="7:7" x14ac:dyDescent="0.25">
      <c r="G59" s="44"/>
    </row>
    <row r="60" spans="7:7" x14ac:dyDescent="0.25">
      <c r="G60" s="44"/>
    </row>
    <row r="61" spans="7:7" x14ac:dyDescent="0.25">
      <c r="G61" s="44"/>
    </row>
    <row r="62" spans="7:7" x14ac:dyDescent="0.25">
      <c r="G62" s="44"/>
    </row>
    <row r="63" spans="7:7" x14ac:dyDescent="0.25">
      <c r="G63" s="44"/>
    </row>
    <row r="64" spans="7:7" x14ac:dyDescent="0.25">
      <c r="G64" s="44"/>
    </row>
    <row r="65" spans="7:7" x14ac:dyDescent="0.25">
      <c r="G65" s="44"/>
    </row>
    <row r="66" spans="7:7" x14ac:dyDescent="0.25">
      <c r="G66" s="44"/>
    </row>
    <row r="67" spans="7:7" x14ac:dyDescent="0.25">
      <c r="G67" s="44"/>
    </row>
    <row r="68" spans="7:7" x14ac:dyDescent="0.25">
      <c r="G68" s="44"/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3"/>
  <sheetViews>
    <sheetView workbookViewId="0">
      <selection activeCell="B16" sqref="B16"/>
    </sheetView>
  </sheetViews>
  <sheetFormatPr defaultRowHeight="14.4" x14ac:dyDescent="0.25"/>
  <cols>
    <col min="1" max="1" width="43" customWidth="1"/>
    <col min="2" max="2" width="28" customWidth="1"/>
  </cols>
  <sheetData>
    <row r="1" spans="1:2" ht="31.8" customHeight="1" x14ac:dyDescent="0.25">
      <c r="A1" s="92" t="s">
        <v>0</v>
      </c>
      <c r="B1" s="93"/>
    </row>
    <row r="2" spans="1:2" ht="15.6" customHeight="1" x14ac:dyDescent="0.25">
      <c r="A2" s="2" t="s">
        <v>1</v>
      </c>
      <c r="B2" s="3" t="s">
        <v>2</v>
      </c>
    </row>
    <row r="3" spans="1:2" ht="15.6" customHeight="1" x14ac:dyDescent="0.25">
      <c r="A3" s="2" t="s">
        <v>3</v>
      </c>
      <c r="B3" s="3" t="s">
        <v>4</v>
      </c>
    </row>
    <row r="4" spans="1:2" ht="15.6" customHeight="1" x14ac:dyDescent="0.25">
      <c r="A4" s="2" t="s">
        <v>5</v>
      </c>
      <c r="B4" s="3" t="s">
        <v>6</v>
      </c>
    </row>
    <row r="5" spans="1:2" ht="15.6" customHeight="1" x14ac:dyDescent="0.25">
      <c r="A5" s="2" t="s">
        <v>7</v>
      </c>
      <c r="B5" s="3" t="s">
        <v>8</v>
      </c>
    </row>
    <row r="6" spans="1:2" ht="15.6" customHeight="1" x14ac:dyDescent="0.25">
      <c r="A6" s="2" t="s">
        <v>9</v>
      </c>
      <c r="B6" s="3" t="s">
        <v>10</v>
      </c>
    </row>
    <row r="7" spans="1:2" ht="15.6" customHeight="1" x14ac:dyDescent="0.25">
      <c r="A7" s="2" t="s">
        <v>11</v>
      </c>
      <c r="B7" s="3" t="s">
        <v>12</v>
      </c>
    </row>
    <row r="8" spans="1:2" ht="15.6" customHeight="1" x14ac:dyDescent="0.25">
      <c r="A8" s="2" t="s">
        <v>13</v>
      </c>
      <c r="B8" s="3" t="s">
        <v>14</v>
      </c>
    </row>
    <row r="9" spans="1:2" ht="15.6" customHeight="1" x14ac:dyDescent="0.25">
      <c r="A9" s="2" t="s">
        <v>15</v>
      </c>
      <c r="B9" s="4">
        <v>5</v>
      </c>
    </row>
    <row r="10" spans="1:2" ht="15.6" customHeight="1" x14ac:dyDescent="0.25">
      <c r="A10" s="2" t="s">
        <v>16</v>
      </c>
      <c r="B10" s="4">
        <v>5</v>
      </c>
    </row>
    <row r="11" spans="1:2" ht="15.6" customHeight="1" x14ac:dyDescent="0.25">
      <c r="A11" s="2" t="s">
        <v>17</v>
      </c>
      <c r="B11" s="5">
        <v>0.03</v>
      </c>
    </row>
    <row r="12" spans="1:2" ht="15.6" customHeight="1" x14ac:dyDescent="0.25">
      <c r="A12" s="2" t="s">
        <v>18</v>
      </c>
      <c r="B12" s="6">
        <v>6</v>
      </c>
    </row>
    <row r="13" spans="1:2" ht="15.6" customHeight="1" x14ac:dyDescent="0.25">
      <c r="A13" s="2" t="s">
        <v>19</v>
      </c>
      <c r="B13" s="7">
        <v>1000000</v>
      </c>
    </row>
    <row r="14" spans="1:2" ht="15.6" customHeight="1" x14ac:dyDescent="0.25">
      <c r="A14" s="2"/>
      <c r="B14" s="2"/>
    </row>
    <row r="15" spans="1:2" ht="15.6" customHeight="1" x14ac:dyDescent="0.25">
      <c r="A15" s="92" t="s">
        <v>20</v>
      </c>
      <c r="B15" s="93"/>
    </row>
    <row r="16" spans="1:2" ht="15.6" customHeight="1" x14ac:dyDescent="0.25">
      <c r="A16" s="2" t="s">
        <v>21</v>
      </c>
      <c r="B16" s="5">
        <v>3.0880000000000001E-2</v>
      </c>
    </row>
    <row r="17" spans="1:2" ht="15.6" customHeight="1" x14ac:dyDescent="0.25">
      <c r="A17" s="2" t="s">
        <v>22</v>
      </c>
      <c r="B17" s="5">
        <v>0</v>
      </c>
    </row>
    <row r="18" spans="1:2" ht="15.6" customHeight="1" x14ac:dyDescent="0.25">
      <c r="A18" s="2" t="s">
        <v>23</v>
      </c>
      <c r="B18" s="8">
        <f>RiskFreeRate+SpreadOverRiskFreeRate</f>
        <v>3.0880000000000001E-2</v>
      </c>
    </row>
    <row r="19" spans="1:2" ht="15.6" customHeight="1" x14ac:dyDescent="0.25">
      <c r="A19" s="2" t="s">
        <v>24</v>
      </c>
      <c r="B19" s="5">
        <v>0.16500000000000001</v>
      </c>
    </row>
    <row r="20" spans="1:2" ht="15.6" customHeight="1" x14ac:dyDescent="0.25">
      <c r="A20" s="9" t="s">
        <v>25</v>
      </c>
      <c r="B20" s="10">
        <f>CostOfDebtBeforeTax*(1-MarginalTaxRate)</f>
        <v>2.57848E-2</v>
      </c>
    </row>
    <row r="21" spans="1:2" ht="15.6" customHeight="1" x14ac:dyDescent="0.25">
      <c r="A21" s="2" t="s">
        <v>21</v>
      </c>
      <c r="B21" s="8">
        <f>RiskFreeRate</f>
        <v>3.0880000000000001E-2</v>
      </c>
    </row>
    <row r="22" spans="1:2" ht="15.6" customHeight="1" x14ac:dyDescent="0.25">
      <c r="A22" s="2" t="s">
        <v>26</v>
      </c>
      <c r="B22" s="11">
        <v>1</v>
      </c>
    </row>
    <row r="23" spans="1:2" ht="15.6" customHeight="1" x14ac:dyDescent="0.25">
      <c r="A23" s="2" t="s">
        <v>27</v>
      </c>
      <c r="B23" s="5">
        <v>5.4800000000000001E-2</v>
      </c>
    </row>
    <row r="24" spans="1:2" ht="15.6" customHeight="1" x14ac:dyDescent="0.25">
      <c r="A24" s="2" t="s">
        <v>28</v>
      </c>
      <c r="B24" s="5">
        <v>0</v>
      </c>
    </row>
    <row r="25" spans="1:2" ht="15.6" customHeight="1" x14ac:dyDescent="0.25">
      <c r="A25" s="9" t="s">
        <v>29</v>
      </c>
      <c r="B25" s="10">
        <f>RiskFreeRate+Beta*(MarketRiskPremium)+OtherRiskPremium</f>
        <v>8.5680000000000006E-2</v>
      </c>
    </row>
    <row r="26" spans="1:2" ht="15.6" customHeight="1" x14ac:dyDescent="0.25">
      <c r="A26" s="2" t="s">
        <v>30</v>
      </c>
      <c r="B26" s="12">
        <f>BS!F64</f>
        <v>2486.9009999999998</v>
      </c>
    </row>
    <row r="27" spans="1:2" ht="15.6" customHeight="1" x14ac:dyDescent="0.25">
      <c r="A27" s="2" t="s">
        <v>31</v>
      </c>
      <c r="B27" s="12">
        <f>28140244370/ReportUnit</f>
        <v>28140.24437</v>
      </c>
    </row>
    <row r="28" spans="1:2" ht="15.6" customHeight="1" x14ac:dyDescent="0.25">
      <c r="A28" s="2" t="s">
        <v>32</v>
      </c>
      <c r="B28" s="12">
        <f>CurrentTotalDebt+MarketValueOfEquity</f>
        <v>30627.145369999998</v>
      </c>
    </row>
    <row r="29" spans="1:2" ht="15.6" customHeight="1" x14ac:dyDescent="0.25">
      <c r="A29" s="2" t="s">
        <v>33</v>
      </c>
      <c r="B29" s="5">
        <f>CurrentTotalDebt/TotalCapital</f>
        <v>8.1199242370004782E-2</v>
      </c>
    </row>
    <row r="30" spans="1:2" ht="15.6" customHeight="1" x14ac:dyDescent="0.25">
      <c r="A30" s="2" t="s">
        <v>34</v>
      </c>
      <c r="B30" s="5">
        <f>MarketValueOfEquity/TotalCapital</f>
        <v>0.91880075762999525</v>
      </c>
    </row>
    <row r="31" spans="1:2" ht="15.6" customHeight="1" x14ac:dyDescent="0.25">
      <c r="A31" s="9" t="s">
        <v>35</v>
      </c>
      <c r="B31" s="10">
        <f>WeightOfDebt*CostOfDebtAfterTax+WeightOfEquity*CostOfEquity</f>
        <v>8.0816555138400095E-2</v>
      </c>
    </row>
    <row r="32" spans="1:2" ht="15.6" customHeight="1" x14ac:dyDescent="0.25">
      <c r="A32" s="2"/>
      <c r="B32" s="2"/>
    </row>
    <row r="33" spans="1:2" ht="15.6" customHeight="1" x14ac:dyDescent="0.25">
      <c r="A33" s="2"/>
      <c r="B33" s="2"/>
    </row>
  </sheetData>
  <mergeCells count="2">
    <mergeCell ref="A1:B1"/>
    <mergeCell ref="A15:B15"/>
  </mergeCells>
  <phoneticPr fontId="11" type="noConversion"/>
  <dataValidations count="1">
    <dataValidation type="list" showInputMessage="1" showErrorMessage="1" errorTitle="Wrong Input" error="Must be one of (1, thousand, million or billion). Please select from the dropdown list" promptTitle="Report Unit" prompt="Must be one of (1, thousand, million or billion). Please select from the dropdown list" sqref="B13" xr:uid="{00000000-0002-0000-0000-000000000000}">
      <formula1>"1,1000,1000000,1000000000"</formula1>
    </dataValidation>
  </dataValidations>
  <pageMargins left="0.75" right="0.75" top="1" bottom="1" header="0.5" footer="0.5"/>
  <pageSetup paperSize="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1"/>
  <sheetViews>
    <sheetView workbookViewId="0"/>
  </sheetViews>
  <sheetFormatPr defaultRowHeight="14.4" x14ac:dyDescent="0.25"/>
  <sheetData/>
  <phoneticPr fontId="1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54"/>
  <sheetViews>
    <sheetView workbookViewId="0">
      <pane xSplit="1" ySplit="1" topLeftCell="B2" activePane="bottomRight" state="frozen"/>
      <selection pane="topRight"/>
      <selection pane="bottomLeft"/>
      <selection pane="bottomRight" activeCell="B17" sqref="B17"/>
    </sheetView>
  </sheetViews>
  <sheetFormatPr defaultRowHeight="14.4" x14ac:dyDescent="0.25"/>
  <cols>
    <col min="1" max="1" width="45" customWidth="1"/>
    <col min="2" max="11" width="14" customWidth="1"/>
  </cols>
  <sheetData>
    <row r="1" spans="1:11" ht="15.6" customHeight="1" x14ac:dyDescent="0.25">
      <c r="A1" s="1" t="str">
        <f>"03393.HK in "&amp;IF(ReportUnit&lt;1000, "", IF(ReportUnit&lt;1000000, "Thousands", IF(ReportUnit&lt;1000000000, "Millions", "Billions")))&amp;" CNY"</f>
        <v>03393.HK in Millions CNY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 ht="15.6" customHeight="1" x14ac:dyDescent="0.25">
      <c r="A2" s="18" t="s">
        <v>66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5.6" customHeight="1" x14ac:dyDescent="0.25">
      <c r="A3" s="22" t="s">
        <v>67</v>
      </c>
      <c r="B3" s="23">
        <f>4590762000/ReportUnit</f>
        <v>4590.7619999999997</v>
      </c>
      <c r="C3" s="23">
        <f>5855844000/ReportUnit</f>
        <v>5855.8440000000001</v>
      </c>
      <c r="D3" s="23">
        <f>7252272000/ReportUnit</f>
        <v>7252.2719999999999</v>
      </c>
      <c r="E3" s="23">
        <f>8716541000/ReportUnit</f>
        <v>8716.5409999999993</v>
      </c>
      <c r="F3" s="23">
        <f>10073525000/ReportUnit</f>
        <v>10073.525</v>
      </c>
      <c r="G3" s="22">
        <f>F3*(1+G26)</f>
        <v>12341.081550000004</v>
      </c>
      <c r="H3" s="22">
        <f>G3*(1+H26)</f>
        <v>14707.470206229214</v>
      </c>
      <c r="I3" s="22">
        <f>H3*(1+I26)</f>
        <v>17228.145457166942</v>
      </c>
      <c r="J3" s="22">
        <f>I3*(1+J26)</f>
        <v>19872.945875138081</v>
      </c>
      <c r="K3" s="22">
        <f>J3*(1+K26)</f>
        <v>22613.097580158337</v>
      </c>
    </row>
    <row r="4" spans="1:11" ht="15.6" customHeight="1" x14ac:dyDescent="0.25">
      <c r="A4" s="24" t="s">
        <v>68</v>
      </c>
      <c r="B4" s="25">
        <f>-3091992000/ReportUnit</f>
        <v>-3091.9920000000002</v>
      </c>
      <c r="C4" s="25">
        <f>-3926620000/ReportUnit</f>
        <v>-3926.62</v>
      </c>
      <c r="D4" s="25">
        <f>-4671521000/ReportUnit</f>
        <v>-4671.5209999999997</v>
      </c>
      <c r="E4" s="25">
        <f>-5681403000/ReportUnit</f>
        <v>-5681.4030000000002</v>
      </c>
      <c r="F4" s="25">
        <f>-6476605000/ReportUnit</f>
        <v>-6476.6049999999996</v>
      </c>
      <c r="G4" s="2">
        <f>-G3+G52</f>
        <v>-7975.9372858680536</v>
      </c>
      <c r="H4" s="2">
        <f>-H3+H52</f>
        <v>-9505.3143862141533</v>
      </c>
      <c r="I4" s="2">
        <f>-I3+I52</f>
        <v>-11134.405616027721</v>
      </c>
      <c r="J4" s="2">
        <f>-J3+J52</f>
        <v>-12843.717898092287</v>
      </c>
      <c r="K4" s="2">
        <f>-K3+K52</f>
        <v>-14614.65491560239</v>
      </c>
    </row>
    <row r="5" spans="1:11" ht="15.6" customHeight="1" x14ac:dyDescent="0.25">
      <c r="A5" s="24" t="s">
        <v>69</v>
      </c>
      <c r="B5" s="25">
        <f>-424476000/ReportUnit</f>
        <v>-424.476</v>
      </c>
      <c r="C5" s="25">
        <f>-577443000/ReportUnit</f>
        <v>-577.44299999999998</v>
      </c>
      <c r="D5" s="25">
        <f>-681375000/ReportUnit</f>
        <v>-681.375</v>
      </c>
      <c r="E5" s="25">
        <f>-730404000/ReportUnit</f>
        <v>-730.404</v>
      </c>
      <c r="F5" s="25">
        <f>-734177000/ReportUnit</f>
        <v>-734.17700000000002</v>
      </c>
      <c r="G5" s="2">
        <f>G3*G28*-1</f>
        <v>-1031.0163973250744</v>
      </c>
      <c r="H5" s="2">
        <f>H3*H28*-1</f>
        <v>-1228.7126443785885</v>
      </c>
      <c r="I5" s="2">
        <f>I3*I28*-1</f>
        <v>-1439.2985241913907</v>
      </c>
      <c r="J5" s="2">
        <f>J3*J28*-1</f>
        <v>-1660.2542473614117</v>
      </c>
      <c r="K5" s="2">
        <f>K3*K28*-1</f>
        <v>-1889.17594499286</v>
      </c>
    </row>
    <row r="6" spans="1:11" ht="15.6" customHeight="1" x14ac:dyDescent="0.25">
      <c r="A6" s="24" t="s">
        <v>70</v>
      </c>
      <c r="B6" s="25">
        <f>-177407000/ReportUnit</f>
        <v>-177.40700000000001</v>
      </c>
      <c r="C6" s="25">
        <f>-215652000/ReportUnit</f>
        <v>-215.65199999999999</v>
      </c>
      <c r="D6" s="25">
        <f>-327358000/ReportUnit</f>
        <v>-327.358</v>
      </c>
      <c r="E6" s="25">
        <f>-367796000/ReportUnit</f>
        <v>-367.79599999999999</v>
      </c>
      <c r="F6" s="25">
        <f>-413202000/ReportUnit</f>
        <v>-413.202</v>
      </c>
      <c r="G6" s="2">
        <f>G3*G29*-1</f>
        <v>-528.00276989577424</v>
      </c>
      <c r="H6" s="2">
        <f>H3*H29*-1</f>
        <v>-629.24671355474482</v>
      </c>
      <c r="I6" s="2">
        <f>I3*I29*-1</f>
        <v>-737.09167909610335</v>
      </c>
      <c r="J6" s="2">
        <f>J3*J29*-1</f>
        <v>-850.2472352645384</v>
      </c>
      <c r="K6" s="2">
        <f>K3*K29*-1</f>
        <v>-967.48231586290967</v>
      </c>
    </row>
    <row r="7" spans="1:11" ht="15.6" customHeight="1" x14ac:dyDescent="0.25">
      <c r="A7" s="24" t="s">
        <v>71</v>
      </c>
      <c r="B7" s="25">
        <f>-437708000/ReportUnit</f>
        <v>-437.70800000000003</v>
      </c>
      <c r="C7" s="25">
        <f>-512914000/ReportUnit</f>
        <v>-512.91399999999999</v>
      </c>
      <c r="D7" s="25">
        <f>-649479000/ReportUnit</f>
        <v>-649.47900000000004</v>
      </c>
      <c r="E7" s="25">
        <f>-737643000/ReportUnit</f>
        <v>-737.64300000000003</v>
      </c>
      <c r="F7" s="25">
        <f>-788910000/ReportUnit</f>
        <v>-788.91</v>
      </c>
      <c r="G7" s="2">
        <f>G3*G30*-1</f>
        <v>-1038.6916090724203</v>
      </c>
      <c r="H7" s="2">
        <f>H3*H30*-1</f>
        <v>-1237.8595694388632</v>
      </c>
      <c r="I7" s="2">
        <f>I3*I30*-1</f>
        <v>-1450.0131170625345</v>
      </c>
      <c r="J7" s="2">
        <f>J3*J30*-1</f>
        <v>-1672.613704433084</v>
      </c>
      <c r="K7" s="2">
        <f>K3*K30*-1</f>
        <v>-1903.2395674953068</v>
      </c>
    </row>
    <row r="8" spans="1:11" ht="15.6" customHeight="1" x14ac:dyDescent="0.25">
      <c r="A8" s="24" t="s">
        <v>72</v>
      </c>
      <c r="B8" s="25">
        <f>252005000/ReportUnit</f>
        <v>252.005</v>
      </c>
      <c r="C8" s="25">
        <f>256866000/ReportUnit</f>
        <v>256.86599999999999</v>
      </c>
      <c r="D8" s="25">
        <f>216001000/ReportUnit</f>
        <v>216.001</v>
      </c>
      <c r="E8" s="25">
        <f>332338000/ReportUnit</f>
        <v>332.33800000000002</v>
      </c>
      <c r="F8" s="25">
        <f>238470000/ReportUnit</f>
        <v>238.47</v>
      </c>
      <c r="G8" s="2">
        <f>G3*G31*-1</f>
        <v>376.74908249541306</v>
      </c>
      <c r="H8" s="2">
        <f>H3*H31*-1</f>
        <v>448.99029988384433</v>
      </c>
      <c r="I8" s="2">
        <f>I3*I31*-1</f>
        <v>525.94158524826878</v>
      </c>
      <c r="J8" s="2">
        <f>J3*J31*-1</f>
        <v>606.68216919280246</v>
      </c>
      <c r="K8" s="2">
        <f>K3*K31*-1</f>
        <v>690.33364143873564</v>
      </c>
    </row>
    <row r="9" spans="1:11" ht="15.6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6" customHeight="1" x14ac:dyDescent="0.25">
      <c r="A10" s="22" t="s">
        <v>73</v>
      </c>
      <c r="B10" s="23">
        <f>711184000/ReportUnit</f>
        <v>711.18399999999997</v>
      </c>
      <c r="C10" s="23">
        <f>880081000/ReportUnit</f>
        <v>880.08100000000002</v>
      </c>
      <c r="D10" s="23">
        <f>1138540000/ReportUnit</f>
        <v>1138.54</v>
      </c>
      <c r="E10" s="23">
        <f>1531633000/ReportUnit</f>
        <v>1531.633</v>
      </c>
      <c r="F10" s="23">
        <f>1899101000/ReportUnit</f>
        <v>1899.1010000000001</v>
      </c>
      <c r="G10" s="22">
        <f>G3+G4+G5+G6+G7+G8</f>
        <v>2144.1825703340946</v>
      </c>
      <c r="H10" s="22">
        <f>H3+H4+H5+H6+H7+H8</f>
        <v>2555.327192526709</v>
      </c>
      <c r="I10" s="22">
        <f>I3+I4+I5+I6+I7+I8</f>
        <v>2993.2781060374614</v>
      </c>
      <c r="J10" s="22">
        <f>J3+J4+J5+J6+J7+J8</f>
        <v>3452.7949591795618</v>
      </c>
      <c r="K10" s="22">
        <f>K3+K4+K5+K6+K7+K8</f>
        <v>3928.8784776436069</v>
      </c>
    </row>
    <row r="11" spans="1:11" ht="15.6" customHeight="1" x14ac:dyDescent="0.25">
      <c r="A11" s="24" t="s">
        <v>74</v>
      </c>
      <c r="B11" s="25">
        <f>-99267000/ReportUnit</f>
        <v>-99.266999999999996</v>
      </c>
      <c r="C11" s="25">
        <f>-112500000/ReportUnit</f>
        <v>-112.5</v>
      </c>
      <c r="D11" s="25">
        <f>-131530000/ReportUnit</f>
        <v>-131.53</v>
      </c>
      <c r="E11" s="25">
        <f>-125528000/ReportUnit</f>
        <v>-125.52800000000001</v>
      </c>
      <c r="F11" s="25">
        <f>-106603000/ReportUnit</f>
        <v>-106.60299999999999</v>
      </c>
      <c r="G11" s="26">
        <f>Cash!G20+Cash!G14</f>
        <v>29.186942240000008</v>
      </c>
      <c r="H11" s="26">
        <f ca="1">Cash!H20+Cash!H14</f>
        <v>28.578232933224498</v>
      </c>
      <c r="I11" s="26">
        <f ca="1">Cash!I20+Cash!I14</f>
        <v>49.458643118873297</v>
      </c>
      <c r="J11" s="26">
        <f ca="1">Cash!J20+Cash!J14</f>
        <v>82.637475786837783</v>
      </c>
      <c r="K11" s="26">
        <f ca="1">Cash!K20+Cash!K14</f>
        <v>130.03052275121627</v>
      </c>
    </row>
    <row r="12" spans="1:11" ht="15.6" customHeight="1" x14ac:dyDescent="0.25">
      <c r="A12" s="24" t="s">
        <v>75</v>
      </c>
      <c r="B12" s="25">
        <f>-139184000/ReportUnit</f>
        <v>-139.184</v>
      </c>
      <c r="C12" s="25">
        <f>-185147000/ReportUnit</f>
        <v>-185.14699999999999</v>
      </c>
      <c r="D12" s="25">
        <f>-146278000/ReportUnit</f>
        <v>-146.27799999999999</v>
      </c>
      <c r="E12" s="25">
        <f>-198517000/ReportUnit</f>
        <v>-198.517</v>
      </c>
      <c r="F12" s="25">
        <f>-47643000/ReportUnit</f>
        <v>-47.643000000000001</v>
      </c>
      <c r="G12" s="2">
        <f>'D&amp;A'!G12+'D&amp;A'!G34</f>
        <v>0</v>
      </c>
      <c r="H12" s="2">
        <f>'D&amp;A'!H12+'D&amp;A'!H34</f>
        <v>0</v>
      </c>
      <c r="I12" s="2">
        <f>'D&amp;A'!I12+'D&amp;A'!I34</f>
        <v>0</v>
      </c>
      <c r="J12" s="2">
        <f>'D&amp;A'!J12+'D&amp;A'!J34</f>
        <v>0</v>
      </c>
      <c r="K12" s="2">
        <f>'D&amp;A'!K12+'D&amp;A'!K34</f>
        <v>0</v>
      </c>
    </row>
    <row r="13" spans="1:11" ht="15.6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6" customHeight="1" x14ac:dyDescent="0.25">
      <c r="A14" s="22" t="s">
        <v>76</v>
      </c>
      <c r="B14" s="23">
        <f>472733000/ReportUnit</f>
        <v>472.733</v>
      </c>
      <c r="C14" s="23">
        <f>582434000/ReportUnit</f>
        <v>582.43399999999997</v>
      </c>
      <c r="D14" s="23">
        <f>860732000/ReportUnit</f>
        <v>860.73199999999997</v>
      </c>
      <c r="E14" s="23">
        <f>1207588000/ReportUnit</f>
        <v>1207.588</v>
      </c>
      <c r="F14" s="23">
        <f>1744855000/ReportUnit</f>
        <v>1744.855</v>
      </c>
      <c r="G14" s="22">
        <f>G10+G12+G11</f>
        <v>2173.3695125740946</v>
      </c>
      <c r="H14" s="22">
        <f ca="1">H10+H12+H11</f>
        <v>2583.9054254599337</v>
      </c>
      <c r="I14" s="22">
        <f ca="1">I10+I12+I11</f>
        <v>3042.7367491563346</v>
      </c>
      <c r="J14" s="22">
        <f ca="1">J10+J12+J11</f>
        <v>3535.4324349663998</v>
      </c>
      <c r="K14" s="22">
        <f ca="1">K10+K12+K11</f>
        <v>4058.9090003948231</v>
      </c>
    </row>
    <row r="15" spans="1:11" ht="15.6" customHeight="1" x14ac:dyDescent="0.25">
      <c r="A15" s="24" t="s">
        <v>77</v>
      </c>
      <c r="B15" s="25">
        <f>-44759000/ReportUnit</f>
        <v>-44.759</v>
      </c>
      <c r="C15" s="25">
        <f>-71274000/ReportUnit</f>
        <v>-71.274000000000001</v>
      </c>
      <c r="D15" s="25">
        <f>-100139000/ReportUnit</f>
        <v>-100.139</v>
      </c>
      <c r="E15" s="25">
        <f>-177426000/ReportUnit</f>
        <v>-177.42599999999999</v>
      </c>
      <c r="F15" s="25">
        <f>-263751000/ReportUnit</f>
        <v>-263.75099999999998</v>
      </c>
      <c r="G15" s="26">
        <f>Tax!G6</f>
        <v>-300.23424559230273</v>
      </c>
      <c r="H15" s="26">
        <f ca="1">Tax!H6</f>
        <v>-356.94661750178267</v>
      </c>
      <c r="I15" s="26">
        <f ca="1">Tax!I6</f>
        <v>-420.33062814843527</v>
      </c>
      <c r="J15" s="26">
        <f ca="1">Tax!J6</f>
        <v>-488.39273939088514</v>
      </c>
      <c r="K15" s="26">
        <f ca="1">Tax!K6</f>
        <v>-560.70699189022594</v>
      </c>
    </row>
    <row r="16" spans="1:11" ht="15.6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6" customHeight="1" x14ac:dyDescent="0.25">
      <c r="A17" s="27" t="s">
        <v>78</v>
      </c>
      <c r="B17" s="28">
        <f>427974000/ReportUnit</f>
        <v>427.97399999999999</v>
      </c>
      <c r="C17" s="28">
        <f>511160000/ReportUnit</f>
        <v>511.16</v>
      </c>
      <c r="D17" s="28">
        <f>760593000/ReportUnit</f>
        <v>760.59299999999996</v>
      </c>
      <c r="E17" s="28">
        <f>1030162000/ReportUnit</f>
        <v>1030.162</v>
      </c>
      <c r="F17" s="28">
        <f>1481104000/ReportUnit</f>
        <v>1481.104</v>
      </c>
      <c r="G17" s="27">
        <f>G14+G15</f>
        <v>1873.135266981792</v>
      </c>
      <c r="H17" s="27">
        <f ca="1">H14+H15</f>
        <v>2226.9588079581508</v>
      </c>
      <c r="I17" s="27">
        <f ca="1">I14+I15</f>
        <v>2622.4061210078994</v>
      </c>
      <c r="J17" s="27">
        <f ca="1">J14+J15</f>
        <v>3047.0396955755145</v>
      </c>
      <c r="K17" s="27">
        <f ca="1">K14+K15</f>
        <v>3498.202008504597</v>
      </c>
    </row>
    <row r="18" spans="1:11" ht="15.6" customHeight="1" x14ac:dyDescent="0.25">
      <c r="A18" s="24" t="s">
        <v>79</v>
      </c>
      <c r="B18" s="25">
        <f>268084000/ReportUnit</f>
        <v>268.084</v>
      </c>
      <c r="C18" s="25">
        <f>323797000/ReportUnit</f>
        <v>323.79700000000003</v>
      </c>
      <c r="D18" s="25">
        <f>521233000/ReportUnit</f>
        <v>521.23299999999995</v>
      </c>
      <c r="E18" s="25">
        <f>705612000/ReportUnit</f>
        <v>705.61199999999997</v>
      </c>
      <c r="F18" s="25">
        <f>1058246000/ReportUnit</f>
        <v>1058.2460000000001</v>
      </c>
      <c r="G18" s="2">
        <f>G17-G19</f>
        <v>1450.2772669817921</v>
      </c>
      <c r="H18" s="2">
        <f ca="1">H17-H19</f>
        <v>1804.1008079581509</v>
      </c>
      <c r="I18" s="2">
        <f ca="1">I17-I19</f>
        <v>2199.5481210078992</v>
      </c>
      <c r="J18" s="2">
        <f ca="1">J17-J19</f>
        <v>2624.1816955755144</v>
      </c>
      <c r="K18" s="2">
        <f ca="1">K17-K19</f>
        <v>3075.3440085045968</v>
      </c>
    </row>
    <row r="19" spans="1:11" ht="15.6" customHeight="1" x14ac:dyDescent="0.25">
      <c r="A19" s="24" t="s">
        <v>80</v>
      </c>
      <c r="B19" s="25">
        <f>159890000/ReportUnit</f>
        <v>159.88999999999999</v>
      </c>
      <c r="C19" s="25">
        <f>187363000/ReportUnit</f>
        <v>187.363</v>
      </c>
      <c r="D19" s="25">
        <f>239360000/ReportUnit</f>
        <v>239.36</v>
      </c>
      <c r="E19" s="25">
        <f>324550000/ReportUnit</f>
        <v>324.55</v>
      </c>
      <c r="F19" s="25">
        <f>422858000/ReportUnit</f>
        <v>422.858</v>
      </c>
      <c r="G19" s="2">
        <f>F19</f>
        <v>422.858</v>
      </c>
      <c r="H19" s="2">
        <f>G19</f>
        <v>422.858</v>
      </c>
      <c r="I19" s="2">
        <f>H19</f>
        <v>422.858</v>
      </c>
      <c r="J19" s="2">
        <f>I19</f>
        <v>422.858</v>
      </c>
      <c r="K19" s="2">
        <f>J19</f>
        <v>422.858</v>
      </c>
    </row>
    <row r="20" spans="1:11" ht="15.6" customHeight="1" x14ac:dyDescent="0.25">
      <c r="A20" s="24" t="s">
        <v>81</v>
      </c>
      <c r="B20" s="29">
        <v>0.27</v>
      </c>
      <c r="C20" s="29">
        <v>0.33</v>
      </c>
      <c r="D20" s="29">
        <v>0.53</v>
      </c>
      <c r="E20" s="29">
        <v>0.71</v>
      </c>
      <c r="F20" s="29">
        <v>1.07</v>
      </c>
      <c r="G20" s="17">
        <f>IFERROR(G18/G22,0)</f>
        <v>1.0477297176096463</v>
      </c>
      <c r="H20" s="17">
        <f ca="1">IFERROR(H18/H22,0)</f>
        <v>1.3033439005736407</v>
      </c>
      <c r="I20" s="17">
        <f ca="1">IFERROR(I18/I22,0)</f>
        <v>1.5890285148635426</v>
      </c>
      <c r="J20" s="17">
        <f ca="1">IFERROR(J18/J22,0)</f>
        <v>1.8957982790309125</v>
      </c>
      <c r="K20" s="17">
        <f ca="1">IFERROR(K18/K22,0)</f>
        <v>2.22173330778927</v>
      </c>
    </row>
    <row r="21" spans="1:11" ht="15.6" customHeight="1" x14ac:dyDescent="0.25">
      <c r="A21" s="24" t="s">
        <v>82</v>
      </c>
      <c r="B21" s="29">
        <v>0.27</v>
      </c>
      <c r="C21" s="29">
        <v>0.33</v>
      </c>
      <c r="D21" s="29">
        <v>0.53</v>
      </c>
      <c r="E21" s="29">
        <v>0.71</v>
      </c>
      <c r="F21" s="29">
        <v>1.07</v>
      </c>
      <c r="G21" s="17">
        <f>IFERROR(G18/G23,0)</f>
        <v>1.0477297176096463</v>
      </c>
      <c r="H21" s="17">
        <f ca="1">IFERROR(H18/H23,0)</f>
        <v>1.3033439005736407</v>
      </c>
      <c r="I21" s="17">
        <f ca="1">IFERROR(I18/I23,0)</f>
        <v>1.5890285148635426</v>
      </c>
      <c r="J21" s="17">
        <f ca="1">IFERROR(J18/J23,0)</f>
        <v>1.8957982790309125</v>
      </c>
      <c r="K21" s="17">
        <f ca="1">IFERROR(K18/K23,0)</f>
        <v>2.22173330778927</v>
      </c>
    </row>
    <row r="22" spans="1:11" ht="15.6" customHeight="1" x14ac:dyDescent="0.25">
      <c r="A22" s="24" t="s">
        <v>57</v>
      </c>
      <c r="B22" s="2">
        <f>IFERROR(B17/B20,0)</f>
        <v>1585.0888888888887</v>
      </c>
      <c r="C22" s="2">
        <f>IFERROR(C17/C20,0)</f>
        <v>1548.969696969697</v>
      </c>
      <c r="D22" s="2">
        <f>IFERROR(D17/D20,0)</f>
        <v>1435.0811320754715</v>
      </c>
      <c r="E22" s="2">
        <f>IFERROR(E17/E20,0)</f>
        <v>1450.9323943661973</v>
      </c>
      <c r="F22" s="2">
        <f>IFERROR(F17/F20,0)</f>
        <v>1384.2093457943924</v>
      </c>
      <c r="G22" s="2">
        <f>F22+IFERROR((Cash!G26/Cash!G25)+(Cash!G27/Cash!G25),0)</f>
        <v>1384.2093457943924</v>
      </c>
      <c r="H22" s="2">
        <f>G22+IFERROR((Cash!H26/Cash!H25)+(Cash!H27/Cash!H25),0)</f>
        <v>1384.2093457943924</v>
      </c>
      <c r="I22" s="2">
        <f>H22+IFERROR((Cash!I26/Cash!I25)+(Cash!I27/Cash!I25),0)</f>
        <v>1384.2093457943924</v>
      </c>
      <c r="J22" s="2">
        <f>I22+IFERROR((Cash!J26/Cash!J25)+(Cash!J27/Cash!J25),0)</f>
        <v>1384.2093457943924</v>
      </c>
      <c r="K22" s="2">
        <f>J22+IFERROR((Cash!K26/Cash!K25)+(Cash!K27/Cash!K25),0)</f>
        <v>1384.2093457943924</v>
      </c>
    </row>
    <row r="23" spans="1:11" ht="15.6" customHeight="1" x14ac:dyDescent="0.25">
      <c r="A23" s="24" t="s">
        <v>83</v>
      </c>
      <c r="B23" s="2">
        <f>IFERROR(B17/B21,0)</f>
        <v>1585.0888888888887</v>
      </c>
      <c r="C23" s="2">
        <f>IFERROR(C17/C21,0)</f>
        <v>1548.969696969697</v>
      </c>
      <c r="D23" s="2">
        <f>IFERROR(D17/D21,0)</f>
        <v>1435.0811320754715</v>
      </c>
      <c r="E23" s="2">
        <f>IFERROR(E17/E21,0)</f>
        <v>1450.9323943661973</v>
      </c>
      <c r="F23" s="2">
        <f>IFERROR(F17/F21,0)</f>
        <v>1384.2093457943924</v>
      </c>
      <c r="G23" s="2">
        <f>F23+IFERROR((Cash!G26/Cash!G25)+(Cash!G27/Cash!G25),0)</f>
        <v>1384.2093457943924</v>
      </c>
      <c r="H23" s="2">
        <f>G23+IFERROR((Cash!H26/Cash!H25)+(Cash!H27/Cash!H25),0)</f>
        <v>1384.2093457943924</v>
      </c>
      <c r="I23" s="2">
        <f>H23+IFERROR((Cash!I26/Cash!I25)+(Cash!I27/Cash!I25),0)</f>
        <v>1384.2093457943924</v>
      </c>
      <c r="J23" s="2">
        <f>I23+IFERROR((Cash!J26/Cash!J25)+(Cash!J27/Cash!J25),0)</f>
        <v>1384.2093457943924</v>
      </c>
      <c r="K23" s="2">
        <f>J23+IFERROR((Cash!K26/Cash!K25)+(Cash!K27/Cash!K25),0)</f>
        <v>1384.2093457943924</v>
      </c>
    </row>
    <row r="24" spans="1:11" ht="15.6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6" customHeight="1" x14ac:dyDescent="0.25">
      <c r="A25" s="18" t="s">
        <v>84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ht="15.6" customHeight="1" x14ac:dyDescent="0.25">
      <c r="A26" s="24" t="s">
        <v>85</v>
      </c>
      <c r="B26" s="30">
        <f>Revenue!B3</f>
        <v>0</v>
      </c>
      <c r="C26" s="30">
        <f>Revenue!C3</f>
        <v>0.27557124503513797</v>
      </c>
      <c r="D26" s="30">
        <f>Revenue!D3</f>
        <v>0.23846741818941886</v>
      </c>
      <c r="E26" s="30">
        <f>Revenue!E3</f>
        <v>0.20190486512364658</v>
      </c>
      <c r="F26" s="30">
        <f>Revenue!F3</f>
        <v>0.15567918512630197</v>
      </c>
      <c r="G26" s="30">
        <f>Revenue!G3</f>
        <v>0.22510060281778255</v>
      </c>
      <c r="H26" s="30">
        <f>Revenue!H3</f>
        <v>0.19174888737601847</v>
      </c>
      <c r="I26" s="30">
        <f>Revenue!I3</f>
        <v>0.17138741167533494</v>
      </c>
      <c r="J26" s="30">
        <f>Revenue!J3</f>
        <v>0.15351625771599792</v>
      </c>
      <c r="K26" s="30">
        <f>Revenue!K3</f>
        <v>0.13788351874134097</v>
      </c>
    </row>
    <row r="27" spans="1:11" ht="15.6" customHeight="1" x14ac:dyDescent="0.25">
      <c r="A27" s="24" t="s">
        <v>86</v>
      </c>
      <c r="B27" s="30">
        <f>IFERROR(B52/B3,0)</f>
        <v>0.32647521261176243</v>
      </c>
      <c r="C27" s="30">
        <f>IFERROR(C52/C3,0)</f>
        <v>0.32945276547667596</v>
      </c>
      <c r="D27" s="30">
        <f>IFERROR(D52/D3,0)</f>
        <v>0.35585413784811165</v>
      </c>
      <c r="E27" s="30">
        <f>IFERROR(E52/E3,0)</f>
        <v>0.34820440814768144</v>
      </c>
      <c r="F27" s="30">
        <f>IFERROR(F52/F3,0)</f>
        <v>0.35706666732846748</v>
      </c>
      <c r="G27" s="31">
        <f>IFERROR(AVERAGEIF(D27:F27,"&lt;&gt;0"),0)</f>
        <v>0.35370840444142021</v>
      </c>
      <c r="H27" s="31">
        <f t="shared" ref="H27:K31" si="0">G27</f>
        <v>0.35370840444142021</v>
      </c>
      <c r="I27" s="31">
        <f t="shared" si="0"/>
        <v>0.35370840444142021</v>
      </c>
      <c r="J27" s="31">
        <f t="shared" si="0"/>
        <v>0.35370840444142021</v>
      </c>
      <c r="K27" s="31">
        <f t="shared" si="0"/>
        <v>0.35370840444142021</v>
      </c>
    </row>
    <row r="28" spans="1:11" ht="15.6" customHeight="1" x14ac:dyDescent="0.25">
      <c r="A28" s="24" t="s">
        <v>87</v>
      </c>
      <c r="B28" s="30">
        <f>IFERROR(B5/B3*-1,0)</f>
        <v>9.2463081292386756E-2</v>
      </c>
      <c r="C28" s="30">
        <f>IFERROR(C5/C3*-1,0)</f>
        <v>9.8609696569785674E-2</v>
      </c>
      <c r="D28" s="30">
        <f>IFERROR(D5/D3*-1,0)</f>
        <v>9.3953315595443745E-2</v>
      </c>
      <c r="E28" s="30">
        <f>IFERROR(E5/E3*-1,0)</f>
        <v>8.3795165995318568E-2</v>
      </c>
      <c r="F28" s="30">
        <f>IFERROR(F5/F3*-1,0)</f>
        <v>7.2881836298614444E-2</v>
      </c>
      <c r="G28" s="31">
        <f>IFERROR(AVERAGEIF(D28:F28,"&lt;&gt;0"),0)</f>
        <v>8.354343929645891E-2</v>
      </c>
      <c r="H28" s="31">
        <f t="shared" si="0"/>
        <v>8.354343929645891E-2</v>
      </c>
      <c r="I28" s="31">
        <f t="shared" si="0"/>
        <v>8.354343929645891E-2</v>
      </c>
      <c r="J28" s="31">
        <f t="shared" si="0"/>
        <v>8.354343929645891E-2</v>
      </c>
      <c r="K28" s="31">
        <f t="shared" si="0"/>
        <v>8.354343929645891E-2</v>
      </c>
    </row>
    <row r="29" spans="1:11" ht="15.6" customHeight="1" x14ac:dyDescent="0.25">
      <c r="A29" s="24" t="s">
        <v>88</v>
      </c>
      <c r="B29" s="30">
        <f>IFERROR(B6/B3*-1,0)</f>
        <v>3.8644347060466218E-2</v>
      </c>
      <c r="C29" s="30">
        <f>IFERROR(C6/C3*-1,0)</f>
        <v>3.6826800713953445E-2</v>
      </c>
      <c r="D29" s="30">
        <f>IFERROR(D6/D3*-1,0)</f>
        <v>4.5138682057153955E-2</v>
      </c>
      <c r="E29" s="30">
        <f>IFERROR(E6/E3*-1,0)</f>
        <v>4.2195178110215968E-2</v>
      </c>
      <c r="F29" s="30">
        <f>IFERROR(F6/F3*-1,0)</f>
        <v>4.1018610665084963E-2</v>
      </c>
      <c r="G29" s="31">
        <f>IFERROR(AVERAGEIF(D29:F29,"&lt;&gt;0"),0)</f>
        <v>4.2784156944151629E-2</v>
      </c>
      <c r="H29" s="31">
        <f t="shared" si="0"/>
        <v>4.2784156944151629E-2</v>
      </c>
      <c r="I29" s="31">
        <f t="shared" si="0"/>
        <v>4.2784156944151629E-2</v>
      </c>
      <c r="J29" s="31">
        <f t="shared" si="0"/>
        <v>4.2784156944151629E-2</v>
      </c>
      <c r="K29" s="31">
        <f t="shared" si="0"/>
        <v>4.2784156944151629E-2</v>
      </c>
    </row>
    <row r="30" spans="1:11" ht="15.6" customHeight="1" x14ac:dyDescent="0.25">
      <c r="A30" s="24" t="s">
        <v>89</v>
      </c>
      <c r="B30" s="30">
        <f>IFERROR(B7/B3*-1,0)</f>
        <v>9.5345391462245271E-2</v>
      </c>
      <c r="C30" s="30">
        <f>IFERROR(C7/C3*-1,0)</f>
        <v>8.7590106567046522E-2</v>
      </c>
      <c r="D30" s="30">
        <f>IFERROR(D7/D3*-1,0)</f>
        <v>8.9555245583728807E-2</v>
      </c>
      <c r="E30" s="30">
        <f>IFERROR(E7/E3*-1,0)</f>
        <v>8.4625655979820441E-2</v>
      </c>
      <c r="F30" s="30">
        <f>IFERROR(F7/F3*-1,0)</f>
        <v>7.8315187583293838E-2</v>
      </c>
      <c r="G30" s="31">
        <f>IFERROR(AVERAGEIF(D30:F30,"&lt;&gt;0"),0)</f>
        <v>8.4165363048947686E-2</v>
      </c>
      <c r="H30" s="31">
        <f t="shared" si="0"/>
        <v>8.4165363048947686E-2</v>
      </c>
      <c r="I30" s="31">
        <f t="shared" si="0"/>
        <v>8.4165363048947686E-2</v>
      </c>
      <c r="J30" s="31">
        <f t="shared" si="0"/>
        <v>8.4165363048947686E-2</v>
      </c>
      <c r="K30" s="31">
        <f t="shared" si="0"/>
        <v>8.4165363048947686E-2</v>
      </c>
    </row>
    <row r="31" spans="1:11" ht="15.6" customHeight="1" x14ac:dyDescent="0.25">
      <c r="A31" s="24" t="s">
        <v>90</v>
      </c>
      <c r="B31" s="30">
        <f>IFERROR(B8/B3*-1,0)</f>
        <v>-5.4893936997823023E-2</v>
      </c>
      <c r="C31" s="30">
        <f>IFERROR(C8/C3*-1,0)</f>
        <v>-4.3864898040316645E-2</v>
      </c>
      <c r="D31" s="30">
        <f>IFERROR(D8/D3*-1,0)</f>
        <v>-2.9783907718850037E-2</v>
      </c>
      <c r="E31" s="30">
        <f>IFERROR(E8/E3*-1,0)</f>
        <v>-3.8127280075892493E-2</v>
      </c>
      <c r="F31" s="30">
        <f>IFERROR(F8/F3*-1,0)</f>
        <v>-2.367294467428234E-2</v>
      </c>
      <c r="G31" s="31">
        <f>IFERROR(AVERAGEIF(D31:F31,"&lt;&gt;0"),0)</f>
        <v>-3.0528044156341624E-2</v>
      </c>
      <c r="H31" s="31">
        <f t="shared" si="0"/>
        <v>-3.0528044156341624E-2</v>
      </c>
      <c r="I31" s="31">
        <f t="shared" si="0"/>
        <v>-3.0528044156341624E-2</v>
      </c>
      <c r="J31" s="31">
        <f t="shared" si="0"/>
        <v>-3.0528044156341624E-2</v>
      </c>
      <c r="K31" s="31">
        <f t="shared" si="0"/>
        <v>-3.0528044156341624E-2</v>
      </c>
    </row>
    <row r="32" spans="1:11" ht="15.6" customHeight="1" x14ac:dyDescent="0.25">
      <c r="A32" s="24" t="s">
        <v>91</v>
      </c>
      <c r="B32" s="25">
        <f>219222000/ReportUnit</f>
        <v>219.22200000000001</v>
      </c>
      <c r="C32" s="25">
        <f>266999000/ReportUnit</f>
        <v>266.99900000000002</v>
      </c>
      <c r="D32" s="25">
        <f>276812000/ReportUnit</f>
        <v>276.81200000000001</v>
      </c>
      <c r="E32" s="25">
        <v>316</v>
      </c>
      <c r="F32" s="25">
        <v>353</v>
      </c>
      <c r="G32" s="26">
        <f>CFS!G4</f>
        <v>238.69434551407204</v>
      </c>
      <c r="H32" s="26">
        <f>CFS!H4</f>
        <v>353.19131658540152</v>
      </c>
      <c r="I32" s="26">
        <f>CFS!I4</f>
        <v>487.31162717331188</v>
      </c>
      <c r="J32" s="26">
        <f>CFS!J4</f>
        <v>642.02158592638557</v>
      </c>
      <c r="K32" s="26">
        <f>CFS!K4</f>
        <v>818.06349817666069</v>
      </c>
    </row>
    <row r="33" spans="1:11" ht="15.6" customHeight="1" x14ac:dyDescent="0.25">
      <c r="A33" s="24" t="s">
        <v>92</v>
      </c>
      <c r="B33" s="30">
        <f t="shared" ref="B33:K33" si="1">IFERROR(B32/B3,0)</f>
        <v>4.7752856715290407E-2</v>
      </c>
      <c r="C33" s="30">
        <f t="shared" si="1"/>
        <v>4.5595306159112163E-2</v>
      </c>
      <c r="D33" s="30">
        <f t="shared" si="1"/>
        <v>3.8169004141047111E-2</v>
      </c>
      <c r="E33" s="30">
        <f t="shared" si="1"/>
        <v>3.6252912709296044E-2</v>
      </c>
      <c r="F33" s="30">
        <f t="shared" si="1"/>
        <v>3.5042351113438445E-2</v>
      </c>
      <c r="G33" s="30">
        <f t="shared" si="1"/>
        <v>1.9341444633276243E-2</v>
      </c>
      <c r="H33" s="30">
        <f t="shared" si="1"/>
        <v>2.4014416594623497E-2</v>
      </c>
      <c r="I33" s="30">
        <f t="shared" si="1"/>
        <v>2.8285785512136438E-2</v>
      </c>
      <c r="J33" s="30">
        <f t="shared" si="1"/>
        <v>3.23063118050144E-2</v>
      </c>
      <c r="K33" s="30">
        <f t="shared" si="1"/>
        <v>3.6176534208849975E-2</v>
      </c>
    </row>
    <row r="34" spans="1:11" ht="15.6" customHeight="1" x14ac:dyDescent="0.25">
      <c r="A34" s="24" t="s">
        <v>93</v>
      </c>
      <c r="B34" s="2">
        <f t="shared" ref="B34:K34" si="2">B10+B32-B12</f>
        <v>1069.5899999999999</v>
      </c>
      <c r="C34" s="2">
        <f t="shared" si="2"/>
        <v>1332.2269999999999</v>
      </c>
      <c r="D34" s="2">
        <f t="shared" si="2"/>
        <v>1561.6299999999999</v>
      </c>
      <c r="E34" s="2">
        <f t="shared" si="2"/>
        <v>2046.15</v>
      </c>
      <c r="F34" s="2">
        <f t="shared" si="2"/>
        <v>2299.7440000000001</v>
      </c>
      <c r="G34" s="2">
        <f t="shared" si="2"/>
        <v>2382.8769158481668</v>
      </c>
      <c r="H34" s="2">
        <f t="shared" si="2"/>
        <v>2908.5185091121107</v>
      </c>
      <c r="I34" s="2">
        <f t="shared" si="2"/>
        <v>3480.5897332107734</v>
      </c>
      <c r="J34" s="2">
        <f t="shared" si="2"/>
        <v>4094.8165451059476</v>
      </c>
      <c r="K34" s="2">
        <f t="shared" si="2"/>
        <v>4746.9419758202675</v>
      </c>
    </row>
    <row r="35" spans="1:11" ht="15.6" customHeight="1" x14ac:dyDescent="0.25">
      <c r="A35" s="24" t="s">
        <v>94</v>
      </c>
      <c r="B35" s="30">
        <f t="shared" ref="B35:K35" si="3">IFERROR(B34/B3,0)</f>
        <v>0.23298746482610075</v>
      </c>
      <c r="C35" s="30">
        <f t="shared" si="3"/>
        <v>0.22750384060777573</v>
      </c>
      <c r="D35" s="30">
        <f t="shared" si="3"/>
        <v>0.21532976148715877</v>
      </c>
      <c r="E35" s="30">
        <f t="shared" si="3"/>
        <v>0.23474334601305727</v>
      </c>
      <c r="F35" s="30">
        <f t="shared" si="3"/>
        <v>0.22829585472811159</v>
      </c>
      <c r="G35" s="30">
        <f t="shared" si="3"/>
        <v>0.19308493394147988</v>
      </c>
      <c r="H35" s="30">
        <f t="shared" si="3"/>
        <v>0.19775790590282713</v>
      </c>
      <c r="I35" s="30">
        <f t="shared" si="3"/>
        <v>0.20202927482034005</v>
      </c>
      <c r="J35" s="30">
        <f t="shared" si="3"/>
        <v>0.206049801113218</v>
      </c>
      <c r="K35" s="30">
        <f t="shared" si="3"/>
        <v>0.20992002351705366</v>
      </c>
    </row>
    <row r="36" spans="1:11" ht="15.6" customHeight="1" x14ac:dyDescent="0.25">
      <c r="A36" s="24" t="s">
        <v>95</v>
      </c>
      <c r="B36" s="30">
        <f t="shared" ref="B36:K36" si="4">IFERROR(B10/B3,0)</f>
        <v>0.15491632979448727</v>
      </c>
      <c r="C36" s="30">
        <f t="shared" si="4"/>
        <v>0.15029105966620696</v>
      </c>
      <c r="D36" s="30">
        <f t="shared" si="4"/>
        <v>0.15699080233063514</v>
      </c>
      <c r="E36" s="30">
        <f t="shared" si="4"/>
        <v>0.17571568813821906</v>
      </c>
      <c r="F36" s="30">
        <f t="shared" si="4"/>
        <v>0.18852397745575658</v>
      </c>
      <c r="G36" s="30">
        <f t="shared" si="4"/>
        <v>0.1737434893082036</v>
      </c>
      <c r="H36" s="30">
        <f t="shared" si="4"/>
        <v>0.17374348930820363</v>
      </c>
      <c r="I36" s="30">
        <f t="shared" si="4"/>
        <v>0.17374348930820363</v>
      </c>
      <c r="J36" s="30">
        <f t="shared" si="4"/>
        <v>0.1737434893082036</v>
      </c>
      <c r="K36" s="30">
        <f t="shared" si="4"/>
        <v>0.17374348930820369</v>
      </c>
    </row>
    <row r="37" spans="1:11" ht="15.6" customHeight="1" x14ac:dyDescent="0.25">
      <c r="A37" s="24" t="s">
        <v>96</v>
      </c>
      <c r="B37" s="30">
        <f t="shared" ref="B37:K37" si="5">IFERROR(B14/B3,0)</f>
        <v>0.10297484382766957</v>
      </c>
      <c r="C37" s="30">
        <f t="shared" si="5"/>
        <v>9.9462007526156776E-2</v>
      </c>
      <c r="D37" s="30">
        <f t="shared" si="5"/>
        <v>0.11868446191758941</v>
      </c>
      <c r="E37" s="30">
        <f t="shared" si="5"/>
        <v>0.13853981757213096</v>
      </c>
      <c r="F37" s="30">
        <f t="shared" si="5"/>
        <v>0.17321195907093098</v>
      </c>
      <c r="G37" s="30">
        <f t="shared" si="5"/>
        <v>0.17610851235109889</v>
      </c>
      <c r="H37" s="30">
        <f t="shared" ca="1" si="5"/>
        <v>0.17568659934225425</v>
      </c>
      <c r="I37" s="30">
        <f t="shared" ca="1" si="5"/>
        <v>0.17661429413405319</v>
      </c>
      <c r="J37" s="30">
        <f t="shared" ca="1" si="5"/>
        <v>0.17790177949356664</v>
      </c>
      <c r="K37" s="30">
        <f t="shared" ca="1" si="5"/>
        <v>0.17949371977929626</v>
      </c>
    </row>
    <row r="38" spans="1:11" ht="15.6" customHeight="1" x14ac:dyDescent="0.25">
      <c r="A38" s="24" t="s">
        <v>97</v>
      </c>
      <c r="B38" s="30">
        <f t="shared" ref="B38:K38" si="6">IFERROR(B17/B3,0)</f>
        <v>9.322504629950322E-2</v>
      </c>
      <c r="C38" s="30">
        <f t="shared" si="6"/>
        <v>8.7290576729844582E-2</v>
      </c>
      <c r="D38" s="30">
        <f t="shared" si="6"/>
        <v>0.1048765131809728</v>
      </c>
      <c r="E38" s="30">
        <f t="shared" si="6"/>
        <v>0.11818472488111971</v>
      </c>
      <c r="F38" s="30">
        <f t="shared" si="6"/>
        <v>0.14702936658220436</v>
      </c>
      <c r="G38" s="30">
        <f t="shared" si="6"/>
        <v>0.15178047883346102</v>
      </c>
      <c r="H38" s="30">
        <f t="shared" ca="1" si="6"/>
        <v>0.15141684985463666</v>
      </c>
      <c r="I38" s="30">
        <f t="shared" ca="1" si="6"/>
        <v>0.15221639076172144</v>
      </c>
      <c r="J38" s="30">
        <f t="shared" ca="1" si="6"/>
        <v>0.15332601994289602</v>
      </c>
      <c r="K38" s="30">
        <f t="shared" ca="1" si="6"/>
        <v>0.15469804594900186</v>
      </c>
    </row>
    <row r="39" spans="1:11" ht="15.6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5.6" customHeight="1" x14ac:dyDescent="0.25">
      <c r="A40" s="18" t="s">
        <v>98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15.6" customHeight="1" x14ac:dyDescent="0.25">
      <c r="A41" s="24" t="s">
        <v>99</v>
      </c>
      <c r="B41" s="30">
        <f>IFERROR(B11/BS!B65,0)</f>
        <v>0.61823175516609952</v>
      </c>
      <c r="C41" s="30">
        <f>IFERROR(C11/BS!C65,0)</f>
        <v>0.56626566668344402</v>
      </c>
      <c r="D41" s="30">
        <f>IFERROR(D11/BS!D65,0)</f>
        <v>0.13005440274643887</v>
      </c>
      <c r="E41" s="30">
        <f>IFERROR(E11/BS!E65,0)</f>
        <v>0.16352222559470378</v>
      </c>
      <c r="F41" s="30">
        <f>IFERROR(F11/BS!F65,0)</f>
        <v>0.11278675967256784</v>
      </c>
      <c r="G41" s="30">
        <f ca="1">IFERROR(G11/BS!G65,0)</f>
        <v>-3.1537736377093312E-2</v>
      </c>
      <c r="H41" s="30">
        <f ca="1">IFERROR(H11/BS!H65,0)</f>
        <v>-1.7843106428474063E-2</v>
      </c>
      <c r="I41" s="30">
        <f ca="1">IFERROR(I11/BS!I65,0)</f>
        <v>-1.8481722547411938E-2</v>
      </c>
      <c r="J41" s="30">
        <f ca="1">IFERROR(J11/BS!J65,0)</f>
        <v>-1.9624971109128923E-2</v>
      </c>
      <c r="K41" s="30">
        <f ca="1">IFERROR(K11/BS!K65,0)</f>
        <v>-2.0116093896915474E-2</v>
      </c>
    </row>
    <row r="42" spans="1:11" ht="15.6" customHeight="1" x14ac:dyDescent="0.25">
      <c r="A42" s="24" t="s">
        <v>100</v>
      </c>
      <c r="B42" s="30">
        <f>IFERROR(B15/B14*-1,0)</f>
        <v>9.4681352898993723E-2</v>
      </c>
      <c r="C42" s="30">
        <f>IFERROR(C15/C14*-1,0)</f>
        <v>0.1223726636837822</v>
      </c>
      <c r="D42" s="30">
        <f>IFERROR(D15/D14*-1,0)</f>
        <v>0.11634167197222829</v>
      </c>
      <c r="E42" s="30">
        <f>IFERROR(E15/E14*-1,0)</f>
        <v>0.14692593831671066</v>
      </c>
      <c r="F42" s="30">
        <f>IFERROR(F15/F14*-1,0)</f>
        <v>0.15115926538308339</v>
      </c>
      <c r="G42" s="30">
        <f>IFERROR(G15/-IF(G14&gt;0,G14,0),0)</f>
        <v>0.13814229189067412</v>
      </c>
      <c r="H42" s="30">
        <f ca="1">IFERROR(H15/-IF(H14&gt;0,H14,0),0)</f>
        <v>0.13814229189067412</v>
      </c>
      <c r="I42" s="30">
        <f ca="1">IFERROR(I15/-IF(I14&gt;0,I14,0),0)</f>
        <v>0.13814229189067412</v>
      </c>
      <c r="J42" s="30">
        <f ca="1">IFERROR(J15/-IF(J14&gt;0,J14,0),0)</f>
        <v>0.13814229189067412</v>
      </c>
      <c r="K42" s="30">
        <f ca="1">IFERROR(K15/-IF(K14&gt;0,K14,0),0)</f>
        <v>0.13814229189067412</v>
      </c>
    </row>
    <row r="43" spans="1:11" ht="15.6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5.6" customHeight="1" x14ac:dyDescent="0.25">
      <c r="A44" s="18" t="s">
        <v>101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1:11" ht="15.6" customHeight="1" x14ac:dyDescent="0.25">
      <c r="A45" s="24" t="s">
        <v>102</v>
      </c>
      <c r="B45" s="30">
        <f>IFERROR(B17/BS!B40,0)</f>
        <v>9.2396553830954978E-2</v>
      </c>
      <c r="C45" s="30">
        <f>IFERROR(C17/BS!C40,0)</f>
        <v>0.10978748702722392</v>
      </c>
      <c r="D45" s="30">
        <f>IFERROR(D17/BS!D40,0)</f>
        <v>0.14721242216405411</v>
      </c>
      <c r="E45" s="30">
        <f>IFERROR(E17/BS!E40,0)</f>
        <v>0.18962571745020393</v>
      </c>
      <c r="F45" s="30">
        <f>IFERROR(F17/BS!F40,0)</f>
        <v>0.23751787673607605</v>
      </c>
      <c r="G45" s="30">
        <f>IFERROR(G17/BS!G40,0)</f>
        <v>0.25192540177859296</v>
      </c>
      <c r="H45" s="30">
        <f ca="1">IFERROR(H17/BS!H40,0)</f>
        <v>0.25131064642446016</v>
      </c>
      <c r="I45" s="30">
        <f ca="1">IFERROR(I17/BS!I40,0)</f>
        <v>0.24878821783554836</v>
      </c>
      <c r="J45" s="30">
        <f ca="1">IFERROR(J17/BS!J40,0)</f>
        <v>0.24391963944666403</v>
      </c>
      <c r="K45" s="30">
        <f ca="1">IFERROR(K17/BS!K40,0)</f>
        <v>0.2374533956651462</v>
      </c>
    </row>
    <row r="46" spans="1:11" ht="15.6" customHeight="1" x14ac:dyDescent="0.25">
      <c r="A46" s="24" t="s">
        <v>103</v>
      </c>
      <c r="B46" s="32">
        <f>IFERROR(B3/BS!B17,0)</f>
        <v>0.36227206788056854</v>
      </c>
      <c r="C46" s="32">
        <f>IFERROR(C3/BS!C17,0)</f>
        <v>0.44954853944651701</v>
      </c>
      <c r="D46" s="32">
        <f>IFERROR(D3/BS!D17,0)</f>
        <v>0.52249350311766052</v>
      </c>
      <c r="E46" s="32">
        <f>IFERROR(E3/BS!E17,0)</f>
        <v>0.55424413638341141</v>
      </c>
      <c r="F46" s="32">
        <f>IFERROR(F3/BS!F17,0)</f>
        <v>0.57291562398765339</v>
      </c>
      <c r="G46" s="32">
        <f ca="1">IFERROR(G3/BS!G17,0)</f>
        <v>0.62009006736111338</v>
      </c>
      <c r="H46" s="32">
        <f ca="1">IFERROR(H3/BS!H17,0)</f>
        <v>0.64101542576771386</v>
      </c>
      <c r="I46" s="32">
        <f ca="1">IFERROR(I3/BS!I17,0)</f>
        <v>0.65443389597676105</v>
      </c>
      <c r="J46" s="32">
        <f ca="1">IFERROR(J3/BS!J17,0)</f>
        <v>0.66141314596117962</v>
      </c>
      <c r="K46" s="32">
        <f ca="1">IFERROR(K3/BS!K17,0)</f>
        <v>0.65912077598149554</v>
      </c>
    </row>
    <row r="47" spans="1:11" ht="15.6" customHeight="1" x14ac:dyDescent="0.25">
      <c r="A47" s="24" t="s">
        <v>104</v>
      </c>
      <c r="B47" s="32">
        <f>IFERROR(BS!B17/BS!B40,0)</f>
        <v>2.7358250110213329</v>
      </c>
      <c r="C47" s="32">
        <f>IFERROR(BS!C17/BS!C40,0)</f>
        <v>2.7977499106510786</v>
      </c>
      <c r="D47" s="32">
        <f>IFERROR(BS!D17/BS!D40,0)</f>
        <v>2.6864905907828613</v>
      </c>
      <c r="E47" s="32">
        <f>IFERROR(BS!E17/BS!E40,0)</f>
        <v>2.8949080984507067</v>
      </c>
      <c r="F47" s="32">
        <f>IFERROR(BS!F17/BS!F40,0)</f>
        <v>2.8196912067466378</v>
      </c>
      <c r="G47" s="32">
        <f ca="1">IFERROR(BS!G17/BS!G40,0)</f>
        <v>2.6767096609919561</v>
      </c>
      <c r="H47" s="32">
        <f ca="1">IFERROR(BS!H17/BS!H40,0)</f>
        <v>2.589215509657576</v>
      </c>
      <c r="I47" s="32">
        <f ca="1">IFERROR(BS!I17/BS!I40,0)</f>
        <v>2.497483362593659</v>
      </c>
      <c r="J47" s="32">
        <f ca="1">IFERROR(BS!J17/BS!J40,0)</f>
        <v>2.405238154833333</v>
      </c>
      <c r="K47" s="32">
        <f ca="1">IFERROR(BS!K17/BS!K40,0)</f>
        <v>2.3287804973058535</v>
      </c>
    </row>
    <row r="48" spans="1:11" ht="15.6" customHeight="1" x14ac:dyDescent="0.25">
      <c r="A48" s="24" t="s">
        <v>105</v>
      </c>
      <c r="B48" s="30">
        <f>IFERROR(B17/BS!B17,0)</f>
        <v>3.3772830301182777E-2</v>
      </c>
      <c r="C48" s="30">
        <f>IFERROR(C17/BS!C17,0)</f>
        <v>3.9241351276345753E-2</v>
      </c>
      <c r="D48" s="30">
        <f>IFERROR(D17/BS!D17,0)</f>
        <v>5.4797296766691983E-2</v>
      </c>
      <c r="E48" s="30">
        <f>IFERROR(E17/BS!E17,0)</f>
        <v>6.5503190775447265E-2</v>
      </c>
      <c r="F48" s="30">
        <f>IFERROR(F17/BS!F17,0)</f>
        <v>8.4235421299953053E-2</v>
      </c>
      <c r="G48" s="30">
        <f ca="1">IFERROR(G17/BS!G17,0)</f>
        <v>9.4117567343942901E-2</v>
      </c>
      <c r="H48" s="30">
        <f ca="1">IFERROR(H17/BS!H17,0)</f>
        <v>9.7060536477975912E-2</v>
      </c>
      <c r="I48" s="30">
        <f ca="1">IFERROR(I17/BS!I17,0)</f>
        <v>9.9615565637714412E-2</v>
      </c>
      <c r="J48" s="30">
        <f ca="1">IFERROR(J17/BS!J17,0)</f>
        <v>0.10141184520813741</v>
      </c>
      <c r="K48" s="30">
        <f ca="1">IFERROR(K17/BS!K17,0)</f>
        <v>0.10196469608872714</v>
      </c>
    </row>
    <row r="49" spans="1:11" ht="15.6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5.6" customHeight="1" x14ac:dyDescent="0.25">
      <c r="A50" s="18" t="s">
        <v>106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</row>
    <row r="51" spans="1:11" ht="15.6" customHeight="1" x14ac:dyDescent="0.25">
      <c r="A51" s="24" t="s">
        <v>107</v>
      </c>
      <c r="B51" s="2">
        <f t="shared" ref="B51:K51" si="7">B4+B5+B6+B7+B8</f>
        <v>-3879.5780000000004</v>
      </c>
      <c r="C51" s="2">
        <f t="shared" si="7"/>
        <v>-4975.7629999999999</v>
      </c>
      <c r="D51" s="2">
        <f t="shared" si="7"/>
        <v>-6113.732</v>
      </c>
      <c r="E51" s="2">
        <f t="shared" si="7"/>
        <v>-7184.9080000000013</v>
      </c>
      <c r="F51" s="2">
        <f t="shared" si="7"/>
        <v>-8174.424</v>
      </c>
      <c r="G51" s="2">
        <f t="shared" si="7"/>
        <v>-10196.89897966591</v>
      </c>
      <c r="H51" s="2">
        <f t="shared" si="7"/>
        <v>-12152.143013702505</v>
      </c>
      <c r="I51" s="2">
        <f t="shared" si="7"/>
        <v>-14234.867351129482</v>
      </c>
      <c r="J51" s="2">
        <f t="shared" si="7"/>
        <v>-16420.150915958518</v>
      </c>
      <c r="K51" s="2">
        <f t="shared" si="7"/>
        <v>-18684.219102514737</v>
      </c>
    </row>
    <row r="52" spans="1:11" ht="15.6" customHeight="1" x14ac:dyDescent="0.25">
      <c r="A52" s="24" t="s">
        <v>108</v>
      </c>
      <c r="B52" s="2">
        <f>B3+B4</f>
        <v>1498.7699999999995</v>
      </c>
      <c r="C52" s="2">
        <f>C3+C4</f>
        <v>1929.2240000000002</v>
      </c>
      <c r="D52" s="2">
        <f>D3+D4</f>
        <v>2580.7510000000002</v>
      </c>
      <c r="E52" s="2">
        <f>E3+E4</f>
        <v>3035.137999999999</v>
      </c>
      <c r="F52" s="2">
        <f>F3+F4</f>
        <v>3596.92</v>
      </c>
      <c r="G52" s="2">
        <f>G3*G27</f>
        <v>4365.1442641319509</v>
      </c>
      <c r="H52" s="2">
        <f>H3*H27</f>
        <v>5202.1558200150612</v>
      </c>
      <c r="I52" s="2">
        <f>I3*I27</f>
        <v>6093.7398411392214</v>
      </c>
      <c r="J52" s="2">
        <f>J3*J27</f>
        <v>7029.2279770457935</v>
      </c>
      <c r="K52" s="2">
        <f>K3*K27</f>
        <v>7998.4426645559461</v>
      </c>
    </row>
    <row r="53" spans="1:11" x14ac:dyDescent="0.25">
      <c r="A53" s="24" t="s">
        <v>301</v>
      </c>
      <c r="C53" s="71">
        <f>(C17-B17)/B17</f>
        <v>0.19437162070593081</v>
      </c>
      <c r="D53" s="71">
        <f t="shared" ref="D53:K53" si="8">(D17-C17)/C17</f>
        <v>0.48797441114328177</v>
      </c>
      <c r="E53" s="71">
        <f t="shared" si="8"/>
        <v>0.35441951214381423</v>
      </c>
      <c r="F53" s="71">
        <f t="shared" si="8"/>
        <v>0.43773891873317011</v>
      </c>
      <c r="G53" s="71">
        <f t="shared" si="8"/>
        <v>0.26468854785470297</v>
      </c>
      <c r="H53" s="71">
        <f t="shared" ca="1" si="8"/>
        <v>0.1888937479387057</v>
      </c>
      <c r="I53" s="71">
        <f t="shared" ca="1" si="8"/>
        <v>0.17757280091423219</v>
      </c>
      <c r="J53" s="71">
        <f t="shared" ca="1" si="8"/>
        <v>0.16192517671687362</v>
      </c>
      <c r="K53" s="71">
        <f t="shared" ca="1" si="8"/>
        <v>0.14806578121847158</v>
      </c>
    </row>
    <row r="54" spans="1:11" x14ac:dyDescent="0.25">
      <c r="A54" s="24" t="s">
        <v>302</v>
      </c>
      <c r="B54" s="72">
        <f>B34-B32</f>
        <v>850.36799999999994</v>
      </c>
      <c r="C54" s="72">
        <f t="shared" ref="C54:K54" si="9">C34-C32</f>
        <v>1065.2279999999998</v>
      </c>
      <c r="D54" s="72">
        <f t="shared" si="9"/>
        <v>1284.8179999999998</v>
      </c>
      <c r="E54" s="72">
        <f t="shared" si="9"/>
        <v>1730.15</v>
      </c>
      <c r="F54" s="72">
        <f t="shared" si="9"/>
        <v>1946.7440000000001</v>
      </c>
      <c r="G54" s="72">
        <f t="shared" si="9"/>
        <v>2144.1825703340946</v>
      </c>
      <c r="H54" s="72">
        <f t="shared" si="9"/>
        <v>2555.327192526709</v>
      </c>
      <c r="I54" s="72">
        <f t="shared" si="9"/>
        <v>2993.2781060374614</v>
      </c>
      <c r="J54" s="72">
        <f t="shared" si="9"/>
        <v>3452.7949591795623</v>
      </c>
      <c r="K54" s="72">
        <f t="shared" si="9"/>
        <v>3928.8784776436069</v>
      </c>
    </row>
  </sheetData>
  <phoneticPr fontId="11" type="noConversion"/>
  <pageMargins left="0.75" right="0.75" top="1" bottom="1" header="0.5" footer="0.5"/>
  <pageSetup paperSize="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65"/>
  <sheetViews>
    <sheetView workbookViewId="0">
      <pane xSplit="1" ySplit="1" topLeftCell="B28" activePane="bottomRight" state="frozen"/>
      <selection pane="topRight"/>
      <selection pane="bottomLeft"/>
      <selection pane="bottomRight" activeCell="K49" sqref="K49"/>
    </sheetView>
  </sheetViews>
  <sheetFormatPr defaultRowHeight="14.4" x14ac:dyDescent="0.25"/>
  <cols>
    <col min="1" max="1" width="45" customWidth="1"/>
    <col min="2" max="11" width="14" customWidth="1"/>
  </cols>
  <sheetData>
    <row r="1" spans="1:11" ht="15.6" customHeight="1" x14ac:dyDescent="0.25">
      <c r="A1" s="1" t="str">
        <f>"03393.HK in "&amp;IF(ReportUnit&lt;1000, "", IF(ReportUnit&lt;1000000, "Thousands", IF(ReportUnit&lt;1000000000, "Millions", "Billions")))&amp;" CNY"</f>
        <v>03393.HK in Millions CNY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 ht="15.6" customHeight="1" x14ac:dyDescent="0.25">
      <c r="A2" s="18" t="s">
        <v>109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5.6" customHeight="1" x14ac:dyDescent="0.25">
      <c r="A3" s="24" t="s">
        <v>110</v>
      </c>
      <c r="B3" s="25">
        <f>2578946000/ReportUnit</f>
        <v>2578.9459999999999</v>
      </c>
      <c r="C3" s="25">
        <f>2027928000/ReportUnit</f>
        <v>2027.9280000000001</v>
      </c>
      <c r="D3" s="25">
        <f>2644896000/ReportUnit</f>
        <v>2644.8960000000002</v>
      </c>
      <c r="E3" s="25">
        <f>2790300000/ReportUnit</f>
        <v>2790.3</v>
      </c>
      <c r="F3" s="25">
        <f>3015242000/ReportUnit</f>
        <v>3015.2420000000002</v>
      </c>
      <c r="G3" s="26">
        <f ca="1">F3+CFS!G33</f>
        <v>2995.5299110500159</v>
      </c>
      <c r="H3" s="26">
        <f ca="1">G3+CFS!H33</f>
        <v>3671.7089973728398</v>
      </c>
      <c r="I3" s="26">
        <f ca="1">H3+CFS!I33</f>
        <v>4746.1530604545906</v>
      </c>
      <c r="J3" s="26">
        <f ca="1">I3+CFS!J33</f>
        <v>6280.9019906481954</v>
      </c>
      <c r="K3" s="26">
        <f ca="1">J3+CFS!K33</f>
        <v>8534.0735635874989</v>
      </c>
    </row>
    <row r="4" spans="1:11" ht="15.6" customHeight="1" x14ac:dyDescent="0.25">
      <c r="A4" s="24" t="s">
        <v>111</v>
      </c>
      <c r="B4" s="25">
        <f>418521000/ReportUnit</f>
        <v>418.52100000000002</v>
      </c>
      <c r="C4" s="25">
        <f>832384000/ReportUnit</f>
        <v>832.38400000000001</v>
      </c>
      <c r="D4" s="25">
        <f>880896000/ReportUnit</f>
        <v>880.89599999999996</v>
      </c>
      <c r="E4" s="25">
        <f>564547000/ReportUnit</f>
        <v>564.54700000000003</v>
      </c>
      <c r="F4" s="25">
        <f>416832000/ReportUnit</f>
        <v>416.83199999999999</v>
      </c>
      <c r="G4" s="26">
        <f>Cash!G10</f>
        <v>416.83199999999999</v>
      </c>
      <c r="H4" s="26">
        <f>Cash!H10</f>
        <v>416.83199999999999</v>
      </c>
      <c r="I4" s="26">
        <f>Cash!I10</f>
        <v>416.83199999999999</v>
      </c>
      <c r="J4" s="26">
        <f>Cash!J10</f>
        <v>416.83199999999999</v>
      </c>
      <c r="K4" s="26">
        <f>Cash!K10</f>
        <v>416.83199999999999</v>
      </c>
    </row>
    <row r="5" spans="1:11" ht="15.6" customHeight="1" x14ac:dyDescent="0.25">
      <c r="A5" s="24" t="s">
        <v>112</v>
      </c>
      <c r="B5" s="25">
        <f>5032803000/ReportUnit</f>
        <v>5032.8029999999999</v>
      </c>
      <c r="C5" s="25">
        <f>5302441000/ReportUnit</f>
        <v>5302.4409999999998</v>
      </c>
      <c r="D5" s="25">
        <f>5352833000/ReportUnit</f>
        <v>5352.8329999999996</v>
      </c>
      <c r="E5" s="25">
        <f>6681631000/ReportUnit</f>
        <v>6681.6310000000003</v>
      </c>
      <c r="F5" s="25">
        <f>8023896000/ReportUnit</f>
        <v>8023.8959999999997</v>
      </c>
      <c r="G5" s="26">
        <f>IFERROR(G46/365*IS!G3,0)</f>
        <v>9007.8749962265902</v>
      </c>
      <c r="H5" s="26">
        <f>IFERROR(H46/365*IS!H3,0)</f>
        <v>9929.2362259517759</v>
      </c>
      <c r="I5" s="26">
        <f>IFERROR(I46/365*IS!I3,0)</f>
        <v>10686.974352374898</v>
      </c>
      <c r="J5" s="26">
        <f>IFERROR(J46/365*IS!J3,0)</f>
        <v>11238.670120154886</v>
      </c>
      <c r="K5" s="26">
        <f>IFERROR(K46/365*IS!K3,0)</f>
        <v>11549.223662286335</v>
      </c>
    </row>
    <row r="6" spans="1:11" ht="15.6" customHeight="1" x14ac:dyDescent="0.25">
      <c r="A6" s="24" t="s">
        <v>113</v>
      </c>
      <c r="B6" s="25">
        <f>990758000/ReportUnit</f>
        <v>990.75800000000004</v>
      </c>
      <c r="C6" s="25">
        <f>1080835000/ReportUnit</f>
        <v>1080.835</v>
      </c>
      <c r="D6" s="25">
        <f>1205919000/ReportUnit</f>
        <v>1205.9190000000001</v>
      </c>
      <c r="E6" s="25">
        <f>1264093000/ReportUnit</f>
        <v>1264.0930000000001</v>
      </c>
      <c r="F6" s="25">
        <f>1437888000/ReportUnit</f>
        <v>1437.8879999999999</v>
      </c>
      <c r="G6" s="26">
        <f>IFERROR(G47/365*IS!G4*-1,0)</f>
        <v>1783.2259625045458</v>
      </c>
      <c r="H6" s="26">
        <f>IFERROR(H47/365*IS!H4*-1,0)</f>
        <v>2125.1575567548221</v>
      </c>
      <c r="I6" s="26">
        <f>IFERROR(I47/365*IS!I4*-1,0)</f>
        <v>2489.3828098093095</v>
      </c>
      <c r="J6" s="26">
        <f>IFERROR(J47/365*IS!J4*-1,0)</f>
        <v>2871.5435427937705</v>
      </c>
      <c r="K6" s="26">
        <f>IFERROR(K47/365*IS!K4*-1,0)</f>
        <v>3267.4820706931519</v>
      </c>
    </row>
    <row r="7" spans="1:11" ht="15.6" customHeight="1" x14ac:dyDescent="0.25">
      <c r="A7" s="24" t="s">
        <v>114</v>
      </c>
      <c r="B7" s="25">
        <f>567313000/ReportUnit</f>
        <v>567.31299999999999</v>
      </c>
      <c r="C7" s="25">
        <f>552693000/ReportUnit</f>
        <v>552.69299999999998</v>
      </c>
      <c r="D7" s="25">
        <f>404953000/ReportUnit</f>
        <v>404.95299999999997</v>
      </c>
      <c r="E7" s="25">
        <f>473495000/ReportUnit</f>
        <v>473.495</v>
      </c>
      <c r="F7" s="25">
        <f>424959000/ReportUnit</f>
        <v>424.959</v>
      </c>
      <c r="G7" s="26">
        <f>IS!G3*G57</f>
        <v>626.70171951613236</v>
      </c>
      <c r="H7" s="26">
        <f>IS!H3*H57</f>
        <v>746.87107694998826</v>
      </c>
      <c r="I7" s="26">
        <f>IS!I3*I57</f>
        <v>874.87537768361665</v>
      </c>
      <c r="J7" s="26">
        <f>IS!J3*J57</f>
        <v>1009.1829716334757</v>
      </c>
      <c r="K7" s="26">
        <f>IS!K3*K57</f>
        <v>1148.3326708161421</v>
      </c>
    </row>
    <row r="8" spans="1:11" ht="15.6" customHeight="1" x14ac:dyDescent="0.25">
      <c r="A8" s="33" t="s">
        <v>115</v>
      </c>
      <c r="B8" s="34">
        <f>9588341000/ReportUnit</f>
        <v>9588.3410000000003</v>
      </c>
      <c r="C8" s="34">
        <f>9796281000/ReportUnit</f>
        <v>9796.2810000000009</v>
      </c>
      <c r="D8" s="34">
        <f>10489497000/ReportUnit</f>
        <v>10489.496999999999</v>
      </c>
      <c r="E8" s="34">
        <f>11774066000/ReportUnit</f>
        <v>11774.066000000001</v>
      </c>
      <c r="F8" s="34">
        <f>13318817000/ReportUnit</f>
        <v>13318.816999999999</v>
      </c>
      <c r="G8" s="33">
        <f ca="1">G3+G4+G5+G6+G7</f>
        <v>14830.164589297283</v>
      </c>
      <c r="H8" s="33">
        <f ca="1">H3+H4+H5+H6+H7</f>
        <v>16889.805857029427</v>
      </c>
      <c r="I8" s="33">
        <f ca="1">I3+I4+I5+I6+I7</f>
        <v>19214.217600322416</v>
      </c>
      <c r="J8" s="33">
        <f ca="1">J3+J4+J5+J6+J7</f>
        <v>21817.130625230326</v>
      </c>
      <c r="K8" s="33">
        <f ca="1">K3+K4+K5+K6+K7</f>
        <v>24915.943967383129</v>
      </c>
    </row>
    <row r="9" spans="1:11" ht="15.6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6" customHeight="1" x14ac:dyDescent="0.25">
      <c r="A10" s="24" t="s">
        <v>116</v>
      </c>
      <c r="B10" s="25">
        <f>1472208000/ReportUnit</f>
        <v>1472.2080000000001</v>
      </c>
      <c r="C10" s="25">
        <f>1615569000/ReportUnit</f>
        <v>1615.569</v>
      </c>
      <c r="D10" s="25">
        <f>1958179000/ReportUnit</f>
        <v>1958.1790000000001</v>
      </c>
      <c r="E10" s="25">
        <f>2167583000/ReportUnit</f>
        <v>2167.5830000000001</v>
      </c>
      <c r="F10" s="25">
        <f>2333133000/ReportUnit</f>
        <v>2333.1329999999998</v>
      </c>
      <c r="G10" s="26">
        <f>'D&amp;A'!G5</f>
        <v>2899.9813919199305</v>
      </c>
      <c r="H10" s="26">
        <f>'D&amp;A'!H5</f>
        <v>3521.9461104861361</v>
      </c>
      <c r="I10" s="26">
        <f>'D&amp;A'!I5</f>
        <v>4193.0098765943003</v>
      </c>
      <c r="J10" s="26">
        <f>'D&amp;A'!J5</f>
        <v>4904.5354799849456</v>
      </c>
      <c r="K10" s="26">
        <f>'D&amp;A'!K5</f>
        <v>5645.5282364352715</v>
      </c>
    </row>
    <row r="11" spans="1:11" ht="15.6" customHeight="1" x14ac:dyDescent="0.25">
      <c r="A11" s="24" t="s">
        <v>117</v>
      </c>
      <c r="B11" s="25">
        <f>338317000/ReportUnit</f>
        <v>338.31700000000001</v>
      </c>
      <c r="C11" s="25">
        <f>330636000/ReportUnit</f>
        <v>330.63600000000002</v>
      </c>
      <c r="D11" s="25">
        <f>330636000/ReportUnit</f>
        <v>330.63600000000002</v>
      </c>
      <c r="E11" s="25">
        <f>330636000/ReportUnit</f>
        <v>330.63600000000002</v>
      </c>
      <c r="F11" s="25">
        <f>330636000/ReportUnit</f>
        <v>330.63600000000002</v>
      </c>
      <c r="G11" s="2">
        <f>F11</f>
        <v>330.63600000000002</v>
      </c>
      <c r="H11" s="2">
        <f>G11</f>
        <v>330.63600000000002</v>
      </c>
      <c r="I11" s="2">
        <f>H11</f>
        <v>330.63600000000002</v>
      </c>
      <c r="J11" s="2">
        <f>I11</f>
        <v>330.63600000000002</v>
      </c>
      <c r="K11" s="2">
        <f>J11</f>
        <v>330.63600000000002</v>
      </c>
    </row>
    <row r="12" spans="1:11" ht="15.6" customHeight="1" x14ac:dyDescent="0.25">
      <c r="A12" s="24" t="s">
        <v>118</v>
      </c>
      <c r="B12" s="25">
        <f>568210000/ReportUnit</f>
        <v>568.21</v>
      </c>
      <c r="C12" s="25">
        <f>546483000/ReportUnit</f>
        <v>546.48299999999995</v>
      </c>
      <c r="D12" s="25">
        <f>523826000/ReportUnit</f>
        <v>523.82600000000002</v>
      </c>
      <c r="E12" s="25">
        <f>511578000/ReportUnit</f>
        <v>511.57799999999997</v>
      </c>
      <c r="F12" s="25">
        <f>519259000/ReportUnit</f>
        <v>519.25900000000001</v>
      </c>
      <c r="G12" s="26">
        <f>'D&amp;A'!G27</f>
        <v>674.46371770671806</v>
      </c>
      <c r="H12" s="26">
        <f>'D&amp;A'!H27</f>
        <v>844.27739326840549</v>
      </c>
      <c r="I12" s="26">
        <f>'D&amp;A'!I27</f>
        <v>1027.1051058660332</v>
      </c>
      <c r="J12" s="26">
        <f>'D&amp;A'!J27</f>
        <v>1220.6575040797393</v>
      </c>
      <c r="K12" s="26">
        <f>'D&amp;A'!K27</f>
        <v>1422.0203719555036</v>
      </c>
    </row>
    <row r="13" spans="1:11" ht="15.6" customHeight="1" x14ac:dyDescent="0.25">
      <c r="A13" s="24" t="s">
        <v>119</v>
      </c>
      <c r="B13" s="25">
        <f>0/ReportUnit</f>
        <v>0</v>
      </c>
      <c r="C13" s="25">
        <f>8395000/ReportUnit</f>
        <v>8.3949999999999996</v>
      </c>
      <c r="D13" s="25">
        <f>9151000/ReportUnit</f>
        <v>9.1509999999999998</v>
      </c>
      <c r="E13" s="25">
        <f>9426000/ReportUnit</f>
        <v>9.4260000000000002</v>
      </c>
      <c r="F13" s="25">
        <f>10373000/ReportUnit</f>
        <v>10.372999999999999</v>
      </c>
      <c r="G13" s="26">
        <f>Cash!G12</f>
        <v>10.372999999999999</v>
      </c>
      <c r="H13" s="26">
        <f>Cash!H12</f>
        <v>10.372999999999999</v>
      </c>
      <c r="I13" s="26">
        <f>Cash!I12</f>
        <v>10.372999999999999</v>
      </c>
      <c r="J13" s="26">
        <f>Cash!J12</f>
        <v>10.372999999999999</v>
      </c>
      <c r="K13" s="26">
        <f>Cash!K12</f>
        <v>10.372999999999999</v>
      </c>
    </row>
    <row r="14" spans="1:11" ht="15.6" customHeight="1" x14ac:dyDescent="0.25">
      <c r="A14" s="24" t="s">
        <v>120</v>
      </c>
      <c r="B14" s="25">
        <f>62143000/ReportUnit</f>
        <v>62.143000000000001</v>
      </c>
      <c r="C14" s="25">
        <f>91464000/ReportUnit</f>
        <v>91.463999999999999</v>
      </c>
      <c r="D14" s="25">
        <f>119564000/ReportUnit</f>
        <v>119.56399999999999</v>
      </c>
      <c r="E14" s="25">
        <f>153786000/ReportUnit</f>
        <v>153.786</v>
      </c>
      <c r="F14" s="25">
        <f>162867000/ReportUnit</f>
        <v>162.86699999999999</v>
      </c>
      <c r="G14" s="26">
        <f>Tax!G17</f>
        <v>162.86699999999999</v>
      </c>
      <c r="H14" s="26">
        <f ca="1">Tax!H17</f>
        <v>162.86699999999999</v>
      </c>
      <c r="I14" s="26">
        <f ca="1">Tax!I17</f>
        <v>162.86699999999999</v>
      </c>
      <c r="J14" s="26">
        <f ca="1">Tax!J17</f>
        <v>162.86699999999999</v>
      </c>
      <c r="K14" s="26">
        <f ca="1">Tax!K17</f>
        <v>162.86699999999999</v>
      </c>
    </row>
    <row r="15" spans="1:11" ht="15.6" customHeight="1" x14ac:dyDescent="0.25">
      <c r="A15" s="24" t="s">
        <v>121</v>
      </c>
      <c r="B15" s="25">
        <f>642920000/ReportUnit</f>
        <v>642.91999999999996</v>
      </c>
      <c r="C15" s="25">
        <f>637227000/ReportUnit</f>
        <v>637.22699999999998</v>
      </c>
      <c r="D15" s="25">
        <f>449266000/ReportUnit</f>
        <v>449.26600000000002</v>
      </c>
      <c r="E15" s="25">
        <f>779823000/ReportUnit</f>
        <v>779.82299999999998</v>
      </c>
      <c r="F15" s="25">
        <f>907827000/ReportUnit</f>
        <v>907.827</v>
      </c>
      <c r="G15" s="26">
        <f>IS!G3*G58</f>
        <v>993.59336923359012</v>
      </c>
      <c r="H15" s="26">
        <f>IS!H3*H58</f>
        <v>1184.1137922883204</v>
      </c>
      <c r="I15" s="26">
        <f>IS!I3*I58</f>
        <v>1387.0559902776806</v>
      </c>
      <c r="J15" s="26">
        <f>IS!J3*J58</f>
        <v>1599.9916351476679</v>
      </c>
      <c r="K15" s="26">
        <f>IS!K3*K58</f>
        <v>1820.6041117585401</v>
      </c>
    </row>
    <row r="16" spans="1:11" ht="15.6" customHeight="1" x14ac:dyDescent="0.25">
      <c r="A16" s="33" t="s">
        <v>122</v>
      </c>
      <c r="B16" s="34">
        <f>3083798000/ReportUnit</f>
        <v>3083.7979999999998</v>
      </c>
      <c r="C16" s="34">
        <f>3229774000/ReportUnit</f>
        <v>3229.7739999999999</v>
      </c>
      <c r="D16" s="34">
        <f>3390622000/ReportUnit</f>
        <v>3390.6219999999998</v>
      </c>
      <c r="E16" s="34">
        <f>3952832000/ReportUnit</f>
        <v>3952.8319999999999</v>
      </c>
      <c r="F16" s="34">
        <f>4264095000/ReportUnit</f>
        <v>4264.0950000000003</v>
      </c>
      <c r="G16" s="33">
        <f>G10+G11+G12+G13+G14+G15</f>
        <v>5071.9144788602389</v>
      </c>
      <c r="H16" s="33">
        <f ca="1">H10+H11+H12+H13+H14+H15</f>
        <v>6054.2132960428626</v>
      </c>
      <c r="I16" s="33">
        <f ca="1">I10+I11+I12+I13+I14+I15</f>
        <v>7111.0469727380141</v>
      </c>
      <c r="J16" s="33">
        <f ca="1">J10+J11+J12+J13+J14+J15</f>
        <v>8229.0606192123523</v>
      </c>
      <c r="K16" s="33">
        <f ca="1">K10+K11+K12+K13+K14+K15</f>
        <v>9392.0287201493156</v>
      </c>
    </row>
    <row r="17" spans="1:11" ht="15.6" customHeight="1" x14ac:dyDescent="0.25">
      <c r="A17" s="27" t="s">
        <v>123</v>
      </c>
      <c r="B17" s="28">
        <f>12672139000/ReportUnit</f>
        <v>12672.138999999999</v>
      </c>
      <c r="C17" s="28">
        <f>13026055000/ReportUnit</f>
        <v>13026.055</v>
      </c>
      <c r="D17" s="28">
        <f>13880119000/ReportUnit</f>
        <v>13880.119000000001</v>
      </c>
      <c r="E17" s="28">
        <f>15726898000/ReportUnit</f>
        <v>15726.897999999999</v>
      </c>
      <c r="F17" s="28">
        <f>17582912000/ReportUnit</f>
        <v>17582.912</v>
      </c>
      <c r="G17" s="27">
        <f ca="1">G8+G16</f>
        <v>19902.079068157524</v>
      </c>
      <c r="H17" s="27">
        <f ca="1">H8+H16</f>
        <v>22944.019153072288</v>
      </c>
      <c r="I17" s="27">
        <f ca="1">I8+I16</f>
        <v>26325.264573060431</v>
      </c>
      <c r="J17" s="27">
        <f ca="1">J8+J16</f>
        <v>30046.191244442678</v>
      </c>
      <c r="K17" s="27">
        <f ca="1">K8+K16</f>
        <v>34307.972687532441</v>
      </c>
    </row>
    <row r="18" spans="1:11" ht="15.6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6" customHeight="1" x14ac:dyDescent="0.25">
      <c r="A19" s="24" t="s">
        <v>124</v>
      </c>
      <c r="B19" s="25">
        <f>3629591000/ReportUnit</f>
        <v>3629.5909999999999</v>
      </c>
      <c r="C19" s="25">
        <f>4050619000/ReportUnit</f>
        <v>4050.6190000000001</v>
      </c>
      <c r="D19" s="25">
        <f>4391674000/ReportUnit</f>
        <v>4391.674</v>
      </c>
      <c r="E19" s="25">
        <f>5619291000/ReportUnit</f>
        <v>5619.2910000000002</v>
      </c>
      <c r="F19" s="25">
        <f>6548212000/ReportUnit</f>
        <v>6548.2120000000004</v>
      </c>
      <c r="G19" s="26">
        <f>IFERROR(G48/365*IS!G4*-1,0)</f>
        <v>7242.0538634264167</v>
      </c>
      <c r="H19" s="26">
        <f>IFERROR(H48/365*IS!H4*-1,0)</f>
        <v>8370.290061830583</v>
      </c>
      <c r="I19" s="26">
        <f>IFERROR(I48/365*IS!I4*-1,0)</f>
        <v>9499.8002018412117</v>
      </c>
      <c r="J19" s="26">
        <f>IFERROR(J48/365*IS!J4*-1,0)</f>
        <v>10606.291295738041</v>
      </c>
      <c r="K19" s="26">
        <f>IFERROR(K48/365*IS!K4*-1,0)</f>
        <v>11868.52330812153</v>
      </c>
    </row>
    <row r="20" spans="1:11" ht="15.6" customHeight="1" x14ac:dyDescent="0.25">
      <c r="A20" s="24" t="s">
        <v>125</v>
      </c>
      <c r="B20" s="25">
        <f>2046566000/ReportUnit</f>
        <v>2046.566</v>
      </c>
      <c r="C20" s="25">
        <f>1714799000/ReportUnit</f>
        <v>1714.799</v>
      </c>
      <c r="D20" s="25">
        <f>1679302000/ReportUnit</f>
        <v>1679.3019999999999</v>
      </c>
      <c r="E20" s="25">
        <f>1615723000/ReportUnit</f>
        <v>1615.723</v>
      </c>
      <c r="F20" s="25">
        <f>1400820000/ReportUnit</f>
        <v>1400.82</v>
      </c>
      <c r="G20" s="26">
        <f>Cash!G16</f>
        <v>1400.82</v>
      </c>
      <c r="H20" s="26">
        <f>Cash!H16</f>
        <v>1400.82</v>
      </c>
      <c r="I20" s="26">
        <f>Cash!I16</f>
        <v>1400.82</v>
      </c>
      <c r="J20" s="26">
        <f>Cash!J16</f>
        <v>1400.82</v>
      </c>
      <c r="K20" s="26">
        <f>Cash!K16</f>
        <v>1400.82</v>
      </c>
    </row>
    <row r="21" spans="1:11" ht="15.6" customHeight="1" x14ac:dyDescent="0.25">
      <c r="A21" s="24" t="s">
        <v>126</v>
      </c>
      <c r="B21" s="25">
        <f>74530000/ReportUnit</f>
        <v>74.53</v>
      </c>
      <c r="C21" s="25">
        <f>100053000/ReportUnit</f>
        <v>100.053</v>
      </c>
      <c r="D21" s="25">
        <f>101575000/ReportUnit</f>
        <v>101.575</v>
      </c>
      <c r="E21" s="25">
        <f>110795000/ReportUnit</f>
        <v>110.795</v>
      </c>
      <c r="F21" s="25">
        <f>137103000/ReportUnit</f>
        <v>137.10300000000001</v>
      </c>
      <c r="G21" s="2">
        <f>F21</f>
        <v>137.10300000000001</v>
      </c>
      <c r="H21" s="2">
        <f>G21</f>
        <v>137.10300000000001</v>
      </c>
      <c r="I21" s="2">
        <f>H21</f>
        <v>137.10300000000001</v>
      </c>
      <c r="J21" s="2">
        <f>I21</f>
        <v>137.10300000000001</v>
      </c>
      <c r="K21" s="2">
        <f>J21</f>
        <v>137.10300000000001</v>
      </c>
    </row>
    <row r="22" spans="1:11" ht="15.6" customHeight="1" x14ac:dyDescent="0.25">
      <c r="A22" s="24" t="s">
        <v>127</v>
      </c>
      <c r="B22" s="25">
        <f>0/ReportUnit</f>
        <v>0</v>
      </c>
      <c r="C22" s="25">
        <f>0/ReportUnit</f>
        <v>0</v>
      </c>
      <c r="D22" s="25">
        <f>0/ReportUnit</f>
        <v>0</v>
      </c>
      <c r="E22" s="25">
        <f>0/ReportUnit</f>
        <v>0</v>
      </c>
      <c r="F22" s="25">
        <f>0/ReportUnit</f>
        <v>0</v>
      </c>
      <c r="G22" s="26">
        <f>IS!G3*G55</f>
        <v>0</v>
      </c>
      <c r="H22" s="26">
        <f>IS!H3*H55</f>
        <v>0</v>
      </c>
      <c r="I22" s="26">
        <f>IS!I3*I55</f>
        <v>0</v>
      </c>
      <c r="J22" s="26">
        <f>IS!J3*J55</f>
        <v>0</v>
      </c>
      <c r="K22" s="26">
        <f>IS!K3*K55</f>
        <v>0</v>
      </c>
    </row>
    <row r="23" spans="1:11" ht="15.6" customHeight="1" x14ac:dyDescent="0.25">
      <c r="A23" s="24" t="s">
        <v>128</v>
      </c>
      <c r="B23" s="25">
        <f>7891000/ReportUnit</f>
        <v>7.891</v>
      </c>
      <c r="C23" s="25">
        <f>47231000/ReportUnit</f>
        <v>47.231000000000002</v>
      </c>
      <c r="D23" s="25">
        <f>55160000/ReportUnit</f>
        <v>55.16</v>
      </c>
      <c r="E23" s="25">
        <f>30301000/ReportUnit</f>
        <v>30.300999999999998</v>
      </c>
      <c r="F23" s="25">
        <f>9257000/ReportUnit</f>
        <v>9.2569999999999997</v>
      </c>
      <c r="G23" s="26">
        <f>IS!G51*G59*-1</f>
        <v>48.85014492939127</v>
      </c>
      <c r="H23" s="26">
        <f>IS!H51*H59*-1</f>
        <v>58.217105867759294</v>
      </c>
      <c r="I23" s="26">
        <f>IS!I51*I59*-1</f>
        <v>68.194784957663515</v>
      </c>
      <c r="J23" s="26">
        <f>IS!J51*J59*-1</f>
        <v>78.663793140111224</v>
      </c>
      <c r="K23" s="26">
        <f>IS!K51*K59*-1</f>
        <v>89.510233735810743</v>
      </c>
    </row>
    <row r="24" spans="1:11" ht="15.6" customHeight="1" x14ac:dyDescent="0.25">
      <c r="A24" s="33" t="s">
        <v>129</v>
      </c>
      <c r="B24" s="34">
        <f>5758578000/ReportUnit</f>
        <v>5758.5780000000004</v>
      </c>
      <c r="C24" s="34">
        <f>5912702000/ReportUnit</f>
        <v>5912.7020000000002</v>
      </c>
      <c r="D24" s="34">
        <f>6227711000/ReportUnit</f>
        <v>6227.7110000000002</v>
      </c>
      <c r="E24" s="34">
        <f>7376110000/ReportUnit</f>
        <v>7376.11</v>
      </c>
      <c r="F24" s="34">
        <f>8095392000/ReportUnit</f>
        <v>8095.3919999999998</v>
      </c>
      <c r="G24" s="33">
        <f>G19+G20+G21+G22+G23</f>
        <v>8828.8270083558073</v>
      </c>
      <c r="H24" s="33">
        <f>H19+H20+H21+H22+H23</f>
        <v>9966.4301676983414</v>
      </c>
      <c r="I24" s="33">
        <f>I19+I20+I21+I22+I23</f>
        <v>11105.917986798873</v>
      </c>
      <c r="J24" s="33">
        <f>J19+J20+J21+J22+J23</f>
        <v>12222.878088878151</v>
      </c>
      <c r="K24" s="33">
        <f>K19+K20+K21+K22+K23</f>
        <v>13495.95654185734</v>
      </c>
    </row>
    <row r="25" spans="1:11" ht="15.6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6" customHeight="1" x14ac:dyDescent="0.25">
      <c r="A26" s="24" t="s">
        <v>130</v>
      </c>
      <c r="B26" s="25">
        <f>790335000/ReportUnit</f>
        <v>790.33500000000004</v>
      </c>
      <c r="C26" s="25">
        <f>946843000/ReportUnit</f>
        <v>946.84299999999996</v>
      </c>
      <c r="D26" s="25">
        <f>835144000/ReportUnit</f>
        <v>835.14400000000001</v>
      </c>
      <c r="E26" s="25">
        <f>971473000/ReportUnit</f>
        <v>971.47299999999996</v>
      </c>
      <c r="F26" s="25">
        <f>1086081000/ReportUnit</f>
        <v>1086.0809999999999</v>
      </c>
      <c r="G26" s="26">
        <f>Cash!G18</f>
        <v>1086.0809999999999</v>
      </c>
      <c r="H26" s="26">
        <f>Cash!H18</f>
        <v>1086.0809999999999</v>
      </c>
      <c r="I26" s="26">
        <f>Cash!I18</f>
        <v>1086.0809999999999</v>
      </c>
      <c r="J26" s="26">
        <f>Cash!J18</f>
        <v>1086.0809999999999</v>
      </c>
      <c r="K26" s="26">
        <f>Cash!K18</f>
        <v>1086.0809999999999</v>
      </c>
    </row>
    <row r="27" spans="1:11" ht="15.6" customHeight="1" x14ac:dyDescent="0.25">
      <c r="A27" s="24" t="s">
        <v>131</v>
      </c>
      <c r="B27" s="25">
        <f>0/ReportUnit</f>
        <v>0</v>
      </c>
      <c r="C27" s="25">
        <f>0/ReportUnit</f>
        <v>0</v>
      </c>
      <c r="D27" s="25">
        <f>0/ReportUnit</f>
        <v>0</v>
      </c>
      <c r="E27" s="25">
        <f>0/ReportUnit</f>
        <v>0</v>
      </c>
      <c r="F27" s="25">
        <f>0/ReportUnit</f>
        <v>0</v>
      </c>
      <c r="G27" s="2">
        <f>F27</f>
        <v>0</v>
      </c>
      <c r="H27" s="2">
        <f>G27</f>
        <v>0</v>
      </c>
      <c r="I27" s="2">
        <f>H27</f>
        <v>0</v>
      </c>
      <c r="J27" s="2">
        <f>I27</f>
        <v>0</v>
      </c>
      <c r="K27" s="2">
        <f>J27</f>
        <v>0</v>
      </c>
    </row>
    <row r="28" spans="1:11" ht="15.6" customHeight="1" x14ac:dyDescent="0.25">
      <c r="A28" s="24" t="s">
        <v>132</v>
      </c>
      <c r="B28" s="25">
        <f>34466000/ReportUnit</f>
        <v>34.466000000000001</v>
      </c>
      <c r="C28" s="25">
        <f>33499000/ReportUnit</f>
        <v>33.499000000000002</v>
      </c>
      <c r="D28" s="25">
        <f>36848000/ReportUnit</f>
        <v>36.847999999999999</v>
      </c>
      <c r="E28" s="25">
        <f>38872000/ReportUnit</f>
        <v>38.872</v>
      </c>
      <c r="F28" s="25">
        <f>45686000/ReportUnit</f>
        <v>45.686</v>
      </c>
      <c r="G28" s="26">
        <f>Tax!G19</f>
        <v>45.686</v>
      </c>
      <c r="H28" s="26">
        <f>Tax!H19</f>
        <v>45.686</v>
      </c>
      <c r="I28" s="26">
        <f>Tax!I19</f>
        <v>45.686</v>
      </c>
      <c r="J28" s="26">
        <f>Tax!J19</f>
        <v>45.686</v>
      </c>
      <c r="K28" s="26">
        <f>Tax!K19</f>
        <v>45.686</v>
      </c>
    </row>
    <row r="29" spans="1:11" ht="15.6" customHeight="1" x14ac:dyDescent="0.25">
      <c r="A29" s="24" t="s">
        <v>133</v>
      </c>
      <c r="B29" s="25">
        <f>8898000/ReportUnit</f>
        <v>8.8979999999999997</v>
      </c>
      <c r="C29" s="25">
        <f>4535000/ReportUnit</f>
        <v>4.5350000000000001</v>
      </c>
      <c r="D29" s="25">
        <f>3795000/ReportUnit</f>
        <v>3.7949999999999999</v>
      </c>
      <c r="E29" s="25">
        <f>19515000/ReportUnit</f>
        <v>19.515000000000001</v>
      </c>
      <c r="F29" s="25">
        <f>12816000/ReportUnit</f>
        <v>12.816000000000001</v>
      </c>
      <c r="G29" s="2">
        <f>F29</f>
        <v>12.816000000000001</v>
      </c>
      <c r="H29" s="2">
        <f>G29</f>
        <v>12.816000000000001</v>
      </c>
      <c r="I29" s="2">
        <f>H29</f>
        <v>12.816000000000001</v>
      </c>
      <c r="J29" s="2">
        <f>I29</f>
        <v>12.816000000000001</v>
      </c>
      <c r="K29" s="2">
        <f>J29</f>
        <v>12.816000000000001</v>
      </c>
    </row>
    <row r="30" spans="1:11" ht="15.6" customHeight="1" x14ac:dyDescent="0.25">
      <c r="A30" s="24" t="s">
        <v>134</v>
      </c>
      <c r="B30" s="25">
        <f>0/ReportUnit</f>
        <v>0</v>
      </c>
      <c r="C30" s="25">
        <f>0/ReportUnit</f>
        <v>0</v>
      </c>
      <c r="D30" s="25">
        <f>0/ReportUnit</f>
        <v>0</v>
      </c>
      <c r="E30" s="25">
        <f>0/ReportUnit</f>
        <v>0</v>
      </c>
      <c r="F30" s="25">
        <f>27448000/ReportUnit</f>
        <v>27.448</v>
      </c>
      <c r="G30" s="26">
        <f>IS!G51*G60*-1</f>
        <v>34.239046469068633</v>
      </c>
      <c r="H30" s="26">
        <f>IS!H51*H60*-1</f>
        <v>40.804345534328334</v>
      </c>
      <c r="I30" s="26">
        <f>IS!I51*I60*-1</f>
        <v>47.797696700562881</v>
      </c>
      <c r="J30" s="26">
        <f>IS!J51*J60*-1</f>
        <v>55.135420225477588</v>
      </c>
      <c r="K30" s="26">
        <f>IS!K51*K60*-1</f>
        <v>62.737685973448954</v>
      </c>
    </row>
    <row r="31" spans="1:11" ht="15.6" customHeight="1" x14ac:dyDescent="0.25">
      <c r="A31" s="9" t="s">
        <v>135</v>
      </c>
      <c r="B31" s="34">
        <f>833699000/ReportUnit</f>
        <v>833.69899999999996</v>
      </c>
      <c r="C31" s="34">
        <f>984877000/ReportUnit</f>
        <v>984.87699999999995</v>
      </c>
      <c r="D31" s="34">
        <f>875787000/ReportUnit</f>
        <v>875.78700000000003</v>
      </c>
      <c r="E31" s="34">
        <f>1029860000/ReportUnit</f>
        <v>1029.8599999999999</v>
      </c>
      <c r="F31" s="34">
        <f>1172031000/ReportUnit</f>
        <v>1172.0309999999999</v>
      </c>
      <c r="G31" s="33">
        <f>G26+G27+G28+G29+G30</f>
        <v>1178.8220464690685</v>
      </c>
      <c r="H31" s="33">
        <f>H26+H27+H28+H29+H30</f>
        <v>1185.3873455343282</v>
      </c>
      <c r="I31" s="33">
        <f>I26+I27+I28+I29+I30</f>
        <v>1192.3806967005628</v>
      </c>
      <c r="J31" s="33">
        <f>J26+J27+J28+J29+J30</f>
        <v>1199.7184202254775</v>
      </c>
      <c r="K31" s="33">
        <f>K26+K27+K28+K29+K30</f>
        <v>1207.3206859734489</v>
      </c>
    </row>
    <row r="32" spans="1:11" ht="15.6" customHeight="1" x14ac:dyDescent="0.25">
      <c r="A32" s="27" t="s">
        <v>136</v>
      </c>
      <c r="B32" s="28">
        <f>6592277000/ReportUnit</f>
        <v>6592.277</v>
      </c>
      <c r="C32" s="28">
        <f>6897579000/ReportUnit</f>
        <v>6897.5789999999997</v>
      </c>
      <c r="D32" s="28">
        <f>7103498000/ReportUnit</f>
        <v>7103.4979999999996</v>
      </c>
      <c r="E32" s="28">
        <f>8405970000/ReportUnit</f>
        <v>8405.9699999999993</v>
      </c>
      <c r="F32" s="28">
        <f>9267423000/ReportUnit</f>
        <v>9267.4230000000007</v>
      </c>
      <c r="G32" s="27">
        <f>G24+G31</f>
        <v>10007.649054824877</v>
      </c>
      <c r="H32" s="27">
        <f>H24+H31</f>
        <v>11151.817513232669</v>
      </c>
      <c r="I32" s="27">
        <f>I24+I31</f>
        <v>12298.298683499435</v>
      </c>
      <c r="J32" s="27">
        <f>J24+J31</f>
        <v>13422.596509103629</v>
      </c>
      <c r="K32" s="27">
        <f>K24+K31</f>
        <v>14703.277227830789</v>
      </c>
    </row>
    <row r="33" spans="1:11" ht="15.6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5.6" customHeight="1" x14ac:dyDescent="0.25">
      <c r="A34" s="24" t="s">
        <v>137</v>
      </c>
      <c r="B34" s="25">
        <f>9906000/ReportUnit</f>
        <v>9.9060000000000006</v>
      </c>
      <c r="C34" s="25">
        <f>9906000/ReportUnit</f>
        <v>9.9060000000000006</v>
      </c>
      <c r="D34" s="25">
        <f>9906000/ReportUnit</f>
        <v>9.9060000000000006</v>
      </c>
      <c r="E34" s="25">
        <f>9906000/ReportUnit</f>
        <v>9.9060000000000006</v>
      </c>
      <c r="F34" s="25">
        <f>9906000/ReportUnit</f>
        <v>9.9060000000000006</v>
      </c>
      <c r="G34" s="26">
        <f>Cash!G28</f>
        <v>9.9060000000000006</v>
      </c>
      <c r="H34" s="26">
        <f>Cash!H28</f>
        <v>9.9060000000000006</v>
      </c>
      <c r="I34" s="26">
        <f>Cash!I28</f>
        <v>9.9060000000000006</v>
      </c>
      <c r="J34" s="26">
        <f>Cash!J28</f>
        <v>9.9060000000000006</v>
      </c>
      <c r="K34" s="26">
        <f>Cash!K28</f>
        <v>9.9060000000000006</v>
      </c>
    </row>
    <row r="35" spans="1:11" ht="15.6" customHeight="1" x14ac:dyDescent="0.25">
      <c r="A35" s="24" t="s">
        <v>138</v>
      </c>
      <c r="B35" s="25">
        <f t="shared" ref="B35:F37" si="0">0/ReportUnit</f>
        <v>0</v>
      </c>
      <c r="C35" s="25">
        <f t="shared" si="0"/>
        <v>0</v>
      </c>
      <c r="D35" s="25">
        <f t="shared" si="0"/>
        <v>0</v>
      </c>
      <c r="E35" s="25">
        <f t="shared" si="0"/>
        <v>0</v>
      </c>
      <c r="F35" s="25">
        <f t="shared" si="0"/>
        <v>0</v>
      </c>
      <c r="G35" s="26">
        <f>Cash!G29</f>
        <v>0</v>
      </c>
      <c r="H35" s="26">
        <f>Cash!H29</f>
        <v>0</v>
      </c>
      <c r="I35" s="26">
        <f>Cash!I29</f>
        <v>0</v>
      </c>
      <c r="J35" s="26">
        <f>Cash!J29</f>
        <v>0</v>
      </c>
      <c r="K35" s="26">
        <f>Cash!K29</f>
        <v>0</v>
      </c>
    </row>
    <row r="36" spans="1:11" ht="15.6" customHeight="1" x14ac:dyDescent="0.25">
      <c r="A36" s="24" t="s">
        <v>139</v>
      </c>
      <c r="B36" s="25">
        <f t="shared" si="0"/>
        <v>0</v>
      </c>
      <c r="C36" s="25">
        <f t="shared" si="0"/>
        <v>0</v>
      </c>
      <c r="D36" s="25">
        <f t="shared" si="0"/>
        <v>0</v>
      </c>
      <c r="E36" s="25">
        <f t="shared" si="0"/>
        <v>0</v>
      </c>
      <c r="F36" s="25">
        <f t="shared" si="0"/>
        <v>0</v>
      </c>
      <c r="G36" s="2">
        <f>F36</f>
        <v>0</v>
      </c>
      <c r="H36" s="2">
        <f>G36</f>
        <v>0</v>
      </c>
      <c r="I36" s="2">
        <f>H36</f>
        <v>0</v>
      </c>
      <c r="J36" s="2">
        <f>I36</f>
        <v>0</v>
      </c>
      <c r="K36" s="2">
        <f>J36</f>
        <v>0</v>
      </c>
    </row>
    <row r="37" spans="1:11" ht="15.6" customHeight="1" x14ac:dyDescent="0.25">
      <c r="A37" s="24" t="s">
        <v>140</v>
      </c>
      <c r="B37" s="25">
        <f t="shared" si="0"/>
        <v>0</v>
      </c>
      <c r="C37" s="25">
        <f t="shared" si="0"/>
        <v>0</v>
      </c>
      <c r="D37" s="25">
        <f t="shared" si="0"/>
        <v>0</v>
      </c>
      <c r="E37" s="25">
        <f t="shared" si="0"/>
        <v>0</v>
      </c>
      <c r="F37" s="25">
        <f t="shared" si="0"/>
        <v>0</v>
      </c>
      <c r="G37" s="26">
        <f>F37+IS!G17+CFS!G28</f>
        <v>1199.5194819746625</v>
      </c>
      <c r="H37" s="26">
        <f ca="1">G37+IS!H17+CFS!H28</f>
        <v>2625.6206946250136</v>
      </c>
      <c r="I37" s="26">
        <f ca="1">H37+IS!I17+CFS!I28</f>
        <v>4304.9586939928704</v>
      </c>
      <c r="J37" s="26">
        <f ca="1">I37+IS!J17+CFS!J28</f>
        <v>6256.223795675729</v>
      </c>
      <c r="K37" s="26">
        <f ca="1">J37+IS!K17+CFS!K28</f>
        <v>8496.4044890036002</v>
      </c>
    </row>
    <row r="38" spans="1:11" ht="15.6" customHeight="1" x14ac:dyDescent="0.25">
      <c r="A38" s="24" t="s">
        <v>141</v>
      </c>
      <c r="B38" s="25">
        <f>4622020000/ReportUnit</f>
        <v>4622.0200000000004</v>
      </c>
      <c r="C38" s="25">
        <f>4645998000/ReportUnit</f>
        <v>4645.9979999999996</v>
      </c>
      <c r="D38" s="25">
        <f>5156730000/ReportUnit</f>
        <v>5156.7299999999996</v>
      </c>
      <c r="E38" s="25">
        <f>5422701000/ReportUnit</f>
        <v>5422.701</v>
      </c>
      <c r="F38" s="25">
        <f>6225852000/ReportUnit</f>
        <v>6225.8519999999999</v>
      </c>
      <c r="G38" s="2">
        <f t="shared" ref="G38:K39" si="1">F38</f>
        <v>6225.8519999999999</v>
      </c>
      <c r="H38" s="2">
        <f t="shared" si="1"/>
        <v>6225.8519999999999</v>
      </c>
      <c r="I38" s="2">
        <f t="shared" si="1"/>
        <v>6225.8519999999999</v>
      </c>
      <c r="J38" s="2">
        <f t="shared" si="1"/>
        <v>6225.8519999999999</v>
      </c>
      <c r="K38" s="2">
        <f t="shared" si="1"/>
        <v>6225.8519999999999</v>
      </c>
    </row>
    <row r="39" spans="1:11" ht="15.6" customHeight="1" x14ac:dyDescent="0.25">
      <c r="A39" s="24" t="s">
        <v>142</v>
      </c>
      <c r="B39" s="25">
        <f>0/ReportUnit</f>
        <v>0</v>
      </c>
      <c r="C39" s="25">
        <f>0/ReportUnit</f>
        <v>0</v>
      </c>
      <c r="D39" s="25">
        <f>0/ReportUnit</f>
        <v>0</v>
      </c>
      <c r="E39" s="25">
        <f>0/ReportUnit</f>
        <v>0</v>
      </c>
      <c r="F39" s="25">
        <f>0/ReportUnit</f>
        <v>0</v>
      </c>
      <c r="G39" s="2">
        <f t="shared" si="1"/>
        <v>0</v>
      </c>
      <c r="H39" s="2">
        <f t="shared" si="1"/>
        <v>0</v>
      </c>
      <c r="I39" s="2">
        <f t="shared" si="1"/>
        <v>0</v>
      </c>
      <c r="J39" s="2">
        <f t="shared" si="1"/>
        <v>0</v>
      </c>
      <c r="K39" s="2">
        <f t="shared" si="1"/>
        <v>0</v>
      </c>
    </row>
    <row r="40" spans="1:11" ht="15.6" customHeight="1" x14ac:dyDescent="0.25">
      <c r="A40" s="33" t="s">
        <v>143</v>
      </c>
      <c r="B40" s="34">
        <f>4631926000/ReportUnit</f>
        <v>4631.9260000000004</v>
      </c>
      <c r="C40" s="34">
        <f>4655904000/ReportUnit</f>
        <v>4655.9040000000005</v>
      </c>
      <c r="D40" s="34">
        <f>5166636000/ReportUnit</f>
        <v>5166.6360000000004</v>
      </c>
      <c r="E40" s="34">
        <f>5432607000/ReportUnit</f>
        <v>5432.607</v>
      </c>
      <c r="F40" s="34">
        <f>6235758000/ReportUnit</f>
        <v>6235.7579999999998</v>
      </c>
      <c r="G40" s="33">
        <f>G34+G35+G36+G37+G38+G39</f>
        <v>7435.2774819746628</v>
      </c>
      <c r="H40" s="33">
        <f ca="1">H34+H35+H36+H37+H38+H39</f>
        <v>8861.3786946250129</v>
      </c>
      <c r="I40" s="33">
        <f ca="1">I34+I35+I36+I37+I38+I39</f>
        <v>10540.71669399287</v>
      </c>
      <c r="J40" s="33">
        <f ca="1">J34+J35+J36+J37+J38+J39</f>
        <v>12491.981795675729</v>
      </c>
      <c r="K40" s="33">
        <f ca="1">K34+K35+K36+K37+K38+K39</f>
        <v>14732.1624890036</v>
      </c>
    </row>
    <row r="41" spans="1:11" ht="15.6" customHeight="1" x14ac:dyDescent="0.25">
      <c r="A41" s="24" t="s">
        <v>144</v>
      </c>
      <c r="B41" s="25">
        <f>1447936000/ReportUnit</f>
        <v>1447.9359999999999</v>
      </c>
      <c r="C41" s="25">
        <f>1472572000/ReportUnit</f>
        <v>1472.5719999999999</v>
      </c>
      <c r="D41" s="25">
        <f>1609985000/ReportUnit</f>
        <v>1609.9849999999999</v>
      </c>
      <c r="E41" s="25">
        <f>1888321000/ReportUnit</f>
        <v>1888.3209999999999</v>
      </c>
      <c r="F41" s="25">
        <f>2079731000/ReportUnit</f>
        <v>2079.7310000000002</v>
      </c>
      <c r="G41" s="2">
        <f ca="1">IF(F40&lt;0,F41,G42*G56)</f>
        <v>2459.1525313579841</v>
      </c>
      <c r="H41" s="2">
        <f ca="1">IF(F40&lt;0,G41,H42*H56)</f>
        <v>2930.8229452146043</v>
      </c>
      <c r="I41" s="2">
        <f ca="1">IF(F40&lt;0,H41,I42*I56)</f>
        <v>3486.2491955681203</v>
      </c>
      <c r="J41" s="2">
        <f ca="1">IF(F40&lt;0,I41,J42*J56)</f>
        <v>4131.6129396633196</v>
      </c>
      <c r="K41" s="2">
        <f ca="1">IF(F40&lt;0,J41,K42*K56)</f>
        <v>4872.5329706980528</v>
      </c>
    </row>
    <row r="42" spans="1:11" ht="15.6" customHeight="1" x14ac:dyDescent="0.25">
      <c r="A42" s="27" t="s">
        <v>145</v>
      </c>
      <c r="B42" s="27">
        <f t="shared" ref="B42:K42" si="2">B40+B41</f>
        <v>6079.8620000000001</v>
      </c>
      <c r="C42" s="27">
        <f t="shared" si="2"/>
        <v>6128.4760000000006</v>
      </c>
      <c r="D42" s="27">
        <f t="shared" si="2"/>
        <v>6776.6210000000001</v>
      </c>
      <c r="E42" s="27">
        <f t="shared" si="2"/>
        <v>7320.9279999999999</v>
      </c>
      <c r="F42" s="27">
        <f t="shared" si="2"/>
        <v>8315.4889999999996</v>
      </c>
      <c r="G42" s="27">
        <f t="shared" ca="1" si="2"/>
        <v>9894.4300133326469</v>
      </c>
      <c r="H42" s="27">
        <f t="shared" ca="1" si="2"/>
        <v>11792.201639839617</v>
      </c>
      <c r="I42" s="27">
        <f t="shared" ca="1" si="2"/>
        <v>14026.96588956099</v>
      </c>
      <c r="J42" s="27">
        <f t="shared" ca="1" si="2"/>
        <v>16623.594735339047</v>
      </c>
      <c r="K42" s="27">
        <f t="shared" ca="1" si="2"/>
        <v>19604.695459701652</v>
      </c>
    </row>
    <row r="43" spans="1:11" ht="15.6" customHeight="1" x14ac:dyDescent="0.25">
      <c r="A43" s="27" t="s">
        <v>146</v>
      </c>
      <c r="B43" s="27">
        <f t="shared" ref="B43:K43" si="3">B32+B42</f>
        <v>12672.138999999999</v>
      </c>
      <c r="C43" s="27">
        <f t="shared" si="3"/>
        <v>13026.055</v>
      </c>
      <c r="D43" s="27">
        <f t="shared" si="3"/>
        <v>13880.118999999999</v>
      </c>
      <c r="E43" s="27">
        <f t="shared" si="3"/>
        <v>15726.897999999999</v>
      </c>
      <c r="F43" s="27">
        <f t="shared" si="3"/>
        <v>17582.912</v>
      </c>
      <c r="G43" s="27">
        <f t="shared" ca="1" si="3"/>
        <v>19902.079068157524</v>
      </c>
      <c r="H43" s="27">
        <f t="shared" ca="1" si="3"/>
        <v>22944.019153072288</v>
      </c>
      <c r="I43" s="27">
        <f t="shared" ca="1" si="3"/>
        <v>26325.264573060427</v>
      </c>
      <c r="J43" s="27">
        <f t="shared" ca="1" si="3"/>
        <v>30046.191244442678</v>
      </c>
      <c r="K43" s="27">
        <f t="shared" ca="1" si="3"/>
        <v>34307.972687532441</v>
      </c>
    </row>
    <row r="44" spans="1:11" ht="15.6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5.6" customHeight="1" x14ac:dyDescent="0.25">
      <c r="A45" s="18" t="s">
        <v>103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spans="1:11" ht="15.6" customHeight="1" x14ac:dyDescent="0.25">
      <c r="A46" s="24" t="s">
        <v>147</v>
      </c>
      <c r="B46" s="32"/>
      <c r="C46" s="32">
        <f>IFERROR((C5+B5)/2/IS!C3*365,0)</f>
        <v>322.10250648753617</v>
      </c>
      <c r="D46" s="32">
        <f>IFERROR((D5+C5)/2/IS!D3*365,0)</f>
        <v>268.13493826486371</v>
      </c>
      <c r="E46" s="32">
        <f>IFERROR((E5+D5)/2/IS!E3*365,0)</f>
        <v>251.96803181445486</v>
      </c>
      <c r="F46" s="32">
        <f>IFERROR((F5+E5)/2/IS!F3*365,0)</f>
        <v>266.41703648921305</v>
      </c>
      <c r="G46" s="35">
        <f>F46</f>
        <v>266.41703648921305</v>
      </c>
      <c r="H46" s="35">
        <f>G46-20</f>
        <v>246.41703648921305</v>
      </c>
      <c r="I46" s="35">
        <f t="shared" ref="I46:K46" si="4">H46-20</f>
        <v>226.41703648921305</v>
      </c>
      <c r="J46" s="35">
        <f t="shared" si="4"/>
        <v>206.41703648921305</v>
      </c>
      <c r="K46" s="35">
        <f t="shared" si="4"/>
        <v>186.41703648921305</v>
      </c>
    </row>
    <row r="47" spans="1:11" ht="15.6" customHeight="1" x14ac:dyDescent="0.25">
      <c r="A47" s="24" t="s">
        <v>148</v>
      </c>
      <c r="B47" s="32"/>
      <c r="C47" s="32">
        <f>IFERROR((C6+B6)/2/IS!C4*365*-1,0)</f>
        <v>96.282737443399157</v>
      </c>
      <c r="D47" s="32">
        <f>IFERROR((D6+C6)/2/IS!D4*365*-1,0)</f>
        <v>89.335487307024849</v>
      </c>
      <c r="E47" s="32">
        <f>IFERROR((E6+D6)/2/IS!E4*365*-1,0)</f>
        <v>79.34258316123676</v>
      </c>
      <c r="F47" s="32">
        <f>IFERROR((F6+E6)/2/IS!F4*365*-1,0)</f>
        <v>76.137348580004485</v>
      </c>
      <c r="G47" s="35">
        <f>IFERROR(AVERAGEIF(D47:F47,"&lt;&gt;0"),0)</f>
        <v>81.605139682755365</v>
      </c>
      <c r="H47" s="35">
        <f>G47</f>
        <v>81.605139682755365</v>
      </c>
      <c r="I47" s="35">
        <f t="shared" ref="I47:K47" si="5">H47</f>
        <v>81.605139682755365</v>
      </c>
      <c r="J47" s="35">
        <f t="shared" si="5"/>
        <v>81.605139682755365</v>
      </c>
      <c r="K47" s="35">
        <f t="shared" si="5"/>
        <v>81.605139682755365</v>
      </c>
    </row>
    <row r="48" spans="1:11" ht="15.6" customHeight="1" x14ac:dyDescent="0.25">
      <c r="A48" s="24" t="s">
        <v>149</v>
      </c>
      <c r="B48" s="32"/>
      <c r="C48" s="32">
        <f>IFERROR((C19+B19)/2/IS!C4*365*-1,0)</f>
        <v>356.95797530700708</v>
      </c>
      <c r="D48" s="32">
        <f>IFERROR((D19+C19)/2/IS!D4*365*-1,0)</f>
        <v>329.81088439932091</v>
      </c>
      <c r="E48" s="32">
        <f>IFERROR((E19+D19)/2/IS!E4*365*-1,0)</f>
        <v>321.57569397911044</v>
      </c>
      <c r="F48" s="32">
        <f>IFERROR((F19+E19)/2/IS!F4*365*-1,0)</f>
        <v>342.86007831263453</v>
      </c>
      <c r="G48" s="35">
        <f>IFERROR(AVERAGEIF(D48:F48,"&lt;&gt;0"),0)</f>
        <v>331.41555223035527</v>
      </c>
      <c r="H48" s="35">
        <f>G48-10</f>
        <v>321.41555223035527</v>
      </c>
      <c r="I48" s="35">
        <f t="shared" ref="I48:K48" si="6">H48-10</f>
        <v>311.41555223035527</v>
      </c>
      <c r="J48" s="35">
        <f t="shared" si="6"/>
        <v>301.41555223035527</v>
      </c>
      <c r="K48" s="35">
        <f>J48-5</f>
        <v>296.41555223035527</v>
      </c>
    </row>
    <row r="49" spans="1:11" ht="15.6" customHeight="1" x14ac:dyDescent="0.25">
      <c r="A49" s="24" t="s">
        <v>150</v>
      </c>
      <c r="B49" s="32"/>
      <c r="C49" s="32">
        <f t="shared" ref="C49:K49" si="7">C46+C47-C48</f>
        <v>61.427268623928228</v>
      </c>
      <c r="D49" s="32">
        <f t="shared" si="7"/>
        <v>27.659541172567629</v>
      </c>
      <c r="E49" s="32">
        <f t="shared" si="7"/>
        <v>9.7349209965811951</v>
      </c>
      <c r="F49" s="32">
        <f t="shared" si="7"/>
        <v>-0.30569324341701076</v>
      </c>
      <c r="G49" s="32">
        <f t="shared" si="7"/>
        <v>16.606623941613122</v>
      </c>
      <c r="H49" s="32">
        <f t="shared" si="7"/>
        <v>6.6066239416131225</v>
      </c>
      <c r="I49" s="32">
        <f t="shared" si="7"/>
        <v>-3.3933760583868775</v>
      </c>
      <c r="J49" s="32">
        <f t="shared" si="7"/>
        <v>-13.393376058386878</v>
      </c>
      <c r="K49" s="32">
        <f t="shared" si="7"/>
        <v>-28.393376058386878</v>
      </c>
    </row>
    <row r="50" spans="1:11" ht="15.6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5.6" customHeight="1" x14ac:dyDescent="0.25">
      <c r="A51" s="18" t="s">
        <v>151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</row>
    <row r="52" spans="1:11" ht="15.6" customHeight="1" x14ac:dyDescent="0.25">
      <c r="A52" s="24" t="s">
        <v>152</v>
      </c>
      <c r="B52" s="30">
        <f>IFERROR(B12/IS!B3,0)</f>
        <v>0.12377248047274071</v>
      </c>
      <c r="C52" s="30">
        <f>IFERROR(C12/IS!C3,0)</f>
        <v>9.3322670480975922E-2</v>
      </c>
      <c r="D52" s="30">
        <f>IFERROR(D12/IS!D3,0)</f>
        <v>7.2229226923645445E-2</v>
      </c>
      <c r="E52" s="30">
        <f>IFERROR(E12/IS!E3,0)</f>
        <v>5.8690482841760282E-2</v>
      </c>
      <c r="F52" s="30">
        <f>IFERROR(F12/IS!F3,0)</f>
        <v>5.1546901407402076E-2</v>
      </c>
      <c r="G52" s="30">
        <f>IFERROR(G12/IS!G3,0)</f>
        <v>5.4651913203402971E-2</v>
      </c>
      <c r="H52" s="30">
        <f>IFERROR(H12/IS!H3,0)</f>
        <v>5.7404664529649672E-2</v>
      </c>
      <c r="I52" s="30">
        <f>IFERROR(I12/IS!I3,0)</f>
        <v>5.9617856629992375E-2</v>
      </c>
      <c r="J52" s="30">
        <f>IFERROR(J12/IS!J3,0)</f>
        <v>6.1423077974908334E-2</v>
      </c>
      <c r="K52" s="30">
        <f>IFERROR(K12/IS!K3,0)</f>
        <v>6.2884811199118637E-2</v>
      </c>
    </row>
    <row r="53" spans="1:11" ht="15.6" customHeight="1" x14ac:dyDescent="0.25">
      <c r="A53" s="24" t="s">
        <v>153</v>
      </c>
      <c r="B53" s="30">
        <f>IFERROR(B13/IS!B3,0)</f>
        <v>0</v>
      </c>
      <c r="C53" s="30">
        <f>IFERROR(C13/IS!C3,0)</f>
        <v>1.4336105948177581E-3</v>
      </c>
      <c r="D53" s="30">
        <f>IFERROR(D13/IS!D3,0)</f>
        <v>1.2618114709431747E-3</v>
      </c>
      <c r="E53" s="30">
        <f>IFERROR(E13/IS!E3,0)</f>
        <v>1.0813922632842547E-3</v>
      </c>
      <c r="F53" s="30">
        <f>IFERROR(F13/IS!F3,0)</f>
        <v>1.0297289181294533E-3</v>
      </c>
      <c r="G53" s="30">
        <f>IFERROR(G13/IS!G3,0)</f>
        <v>8.4052600722016909E-4</v>
      </c>
      <c r="H53" s="30">
        <f>IFERROR(H13/IS!H3,0)</f>
        <v>7.0528784723334747E-4</v>
      </c>
      <c r="I53" s="30">
        <f>IFERROR(I13/IS!I3,0)</f>
        <v>6.0209614701649803E-4</v>
      </c>
      <c r="J53" s="30">
        <f>IFERROR(J13/IS!J3,0)</f>
        <v>5.2196589600624196E-4</v>
      </c>
      <c r="K53" s="30">
        <f>IFERROR(K13/IS!K3,0)</f>
        <v>4.5871645683348116E-4</v>
      </c>
    </row>
    <row r="54" spans="1:11" ht="15.6" customHeight="1" x14ac:dyDescent="0.25">
      <c r="A54" s="24" t="s">
        <v>154</v>
      </c>
      <c r="B54" s="30">
        <f>IFERROR(B26/IS!B3,0)</f>
        <v>0.17215769408215892</v>
      </c>
      <c r="C54" s="30">
        <f>IFERROR(C26/IS!C3,0)</f>
        <v>0.16169197813329725</v>
      </c>
      <c r="D54" s="30">
        <f>IFERROR(D26/IS!D3,0)</f>
        <v>0.11515618829519908</v>
      </c>
      <c r="E54" s="30">
        <f>IFERROR(E26/IS!E3,0)</f>
        <v>0.11145166414062643</v>
      </c>
      <c r="F54" s="30">
        <f>IFERROR(F26/IS!F3,0)</f>
        <v>0.10781538736440321</v>
      </c>
      <c r="G54" s="30">
        <f>IFERROR(G26/IS!G3,0)</f>
        <v>8.800533369783943E-2</v>
      </c>
      <c r="H54" s="30">
        <f>IFERROR(H26/IS!H3,0)</f>
        <v>7.3845534600505275E-2</v>
      </c>
      <c r="I54" s="30">
        <f>IFERROR(I26/IS!I3,0)</f>
        <v>6.3041086035652671E-2</v>
      </c>
      <c r="J54" s="30">
        <f>IFERROR(J26/IS!J3,0)</f>
        <v>5.4651233230536521E-2</v>
      </c>
      <c r="K54" s="30">
        <f>IFERROR(K26/IS!K3,0)</f>
        <v>4.8028846828705681E-2</v>
      </c>
    </row>
    <row r="55" spans="1:11" ht="15.6" customHeight="1" x14ac:dyDescent="0.25">
      <c r="A55" s="24" t="s">
        <v>155</v>
      </c>
      <c r="B55" s="30">
        <f>IFERROR(B22/IS!B3,0)</f>
        <v>0</v>
      </c>
      <c r="C55" s="30">
        <f>IFERROR(C22/IS!C3,0)</f>
        <v>0</v>
      </c>
      <c r="D55" s="30">
        <f>IFERROR(D22/IS!D3,0)</f>
        <v>0</v>
      </c>
      <c r="E55" s="30">
        <f>IFERROR(E22/IS!E3,0)</f>
        <v>0</v>
      </c>
      <c r="F55" s="30">
        <f>IFERROR(F22/IS!F3,0)</f>
        <v>0</v>
      </c>
      <c r="G55" s="31">
        <f t="shared" ref="G55:G60" si="8">IFERROR(AVERAGEIF(D55:F55,"&lt;&gt;0"),0)</f>
        <v>0</v>
      </c>
      <c r="H55" s="31">
        <f t="shared" ref="H55:K60" si="9">G55</f>
        <v>0</v>
      </c>
      <c r="I55" s="31">
        <f t="shared" si="9"/>
        <v>0</v>
      </c>
      <c r="J55" s="31">
        <f t="shared" si="9"/>
        <v>0</v>
      </c>
      <c r="K55" s="31">
        <f t="shared" si="9"/>
        <v>0</v>
      </c>
    </row>
    <row r="56" spans="1:11" ht="15.6" customHeight="1" x14ac:dyDescent="0.25">
      <c r="A56" s="24" t="s">
        <v>156</v>
      </c>
      <c r="B56" s="30">
        <f>IFERROR(B41/B42,0)</f>
        <v>0.23815277386230146</v>
      </c>
      <c r="C56" s="30">
        <f>IFERROR(C41/C42,0)</f>
        <v>0.24028355499801252</v>
      </c>
      <c r="D56" s="30">
        <f>IFERROR(D41/D42,0)</f>
        <v>0.23757931866043561</v>
      </c>
      <c r="E56" s="30">
        <f>IFERROR(E41/E42,0)</f>
        <v>0.25793464981488684</v>
      </c>
      <c r="F56" s="30">
        <f>IFERROR(F41/F42,0)</f>
        <v>0.25010327113655018</v>
      </c>
      <c r="G56" s="31">
        <f t="shared" si="8"/>
        <v>0.24853907987062421</v>
      </c>
      <c r="H56" s="31">
        <f t="shared" si="9"/>
        <v>0.24853907987062421</v>
      </c>
      <c r="I56" s="31">
        <f t="shared" si="9"/>
        <v>0.24853907987062421</v>
      </c>
      <c r="J56" s="31">
        <f t="shared" si="9"/>
        <v>0.24853907987062421</v>
      </c>
      <c r="K56" s="31">
        <f t="shared" si="9"/>
        <v>0.24853907987062421</v>
      </c>
    </row>
    <row r="57" spans="1:11" ht="15.6" customHeight="1" x14ac:dyDescent="0.25">
      <c r="A57" s="24" t="s">
        <v>157</v>
      </c>
      <c r="B57" s="30">
        <f>IFERROR(B7/IS!B3,0)</f>
        <v>0.12357708807383176</v>
      </c>
      <c r="C57" s="30">
        <f>IFERROR(C7/IS!C3,0)</f>
        <v>9.4383149551115084E-2</v>
      </c>
      <c r="D57" s="30">
        <f>IFERROR(D7/IS!D3,0)</f>
        <v>5.5838087705480433E-2</v>
      </c>
      <c r="E57" s="30">
        <f>IFERROR(E7/IS!E3,0)</f>
        <v>5.4321433238253572E-2</v>
      </c>
      <c r="F57" s="30">
        <f>IFERROR(F7/IS!F3,0)</f>
        <v>4.2185729424407049E-2</v>
      </c>
      <c r="G57" s="31">
        <f t="shared" si="8"/>
        <v>5.0781750122713687E-2</v>
      </c>
      <c r="H57" s="31">
        <f t="shared" si="9"/>
        <v>5.0781750122713687E-2</v>
      </c>
      <c r="I57" s="31">
        <f t="shared" si="9"/>
        <v>5.0781750122713687E-2</v>
      </c>
      <c r="J57" s="31">
        <f t="shared" si="9"/>
        <v>5.0781750122713687E-2</v>
      </c>
      <c r="K57" s="31">
        <f t="shared" si="9"/>
        <v>5.0781750122713687E-2</v>
      </c>
    </row>
    <row r="58" spans="1:11" ht="15.6" customHeight="1" x14ac:dyDescent="0.25">
      <c r="A58" s="24" t="s">
        <v>158</v>
      </c>
      <c r="B58" s="30">
        <f>IFERROR(B15/IS!B3,0)</f>
        <v>0.14004646723136593</v>
      </c>
      <c r="C58" s="30">
        <f>IFERROR(C15/IS!C3,0)</f>
        <v>0.10881898493197564</v>
      </c>
      <c r="D58" s="30">
        <f>IFERROR(D15/IS!D3,0)</f>
        <v>6.1948310819009547E-2</v>
      </c>
      <c r="E58" s="30">
        <f>IFERROR(E15/IS!E3,0)</f>
        <v>8.9464731480067616E-2</v>
      </c>
      <c r="F58" s="30">
        <f>IFERROR(F15/IS!F3,0)</f>
        <v>9.0120092023397963E-2</v>
      </c>
      <c r="G58" s="31">
        <f t="shared" si="8"/>
        <v>8.0511044774158366E-2</v>
      </c>
      <c r="H58" s="31">
        <f t="shared" si="9"/>
        <v>8.0511044774158366E-2</v>
      </c>
      <c r="I58" s="31">
        <f t="shared" si="9"/>
        <v>8.0511044774158366E-2</v>
      </c>
      <c r="J58" s="31">
        <f t="shared" si="9"/>
        <v>8.0511044774158366E-2</v>
      </c>
      <c r="K58" s="31">
        <f t="shared" si="9"/>
        <v>8.0511044774158366E-2</v>
      </c>
    </row>
    <row r="59" spans="1:11" ht="15.6" customHeight="1" x14ac:dyDescent="0.25">
      <c r="A59" s="24" t="s">
        <v>159</v>
      </c>
      <c r="B59" s="30">
        <f>IFERROR(B23/IS!B51*-1,0)</f>
        <v>2.0339841085808817E-3</v>
      </c>
      <c r="C59" s="30">
        <f>IFERROR(C23/IS!C51*-1,0)</f>
        <v>9.4922125511203003E-3</v>
      </c>
      <c r="D59" s="30">
        <f>IFERROR(D23/IS!D51*-1,0)</f>
        <v>9.0223123944588989E-3</v>
      </c>
      <c r="E59" s="30">
        <f>IFERROR(E23/IS!E51*-1,0)</f>
        <v>4.2173121771357401E-3</v>
      </c>
      <c r="F59" s="30">
        <f>IFERROR(F23/IS!F51*-1,0)</f>
        <v>1.1324345299436388E-3</v>
      </c>
      <c r="G59" s="31">
        <f t="shared" si="8"/>
        <v>4.7906863671794255E-3</v>
      </c>
      <c r="H59" s="31">
        <f t="shared" si="9"/>
        <v>4.7906863671794255E-3</v>
      </c>
      <c r="I59" s="31">
        <f t="shared" si="9"/>
        <v>4.7906863671794255E-3</v>
      </c>
      <c r="J59" s="31">
        <f t="shared" si="9"/>
        <v>4.7906863671794255E-3</v>
      </c>
      <c r="K59" s="31">
        <f t="shared" si="9"/>
        <v>4.7906863671794255E-3</v>
      </c>
    </row>
    <row r="60" spans="1:11" ht="15.6" customHeight="1" x14ac:dyDescent="0.25">
      <c r="A60" s="24" t="s">
        <v>160</v>
      </c>
      <c r="B60" s="30">
        <f>IFERROR(B30/IS!B51*-1,0)</f>
        <v>0</v>
      </c>
      <c r="C60" s="30">
        <f>IFERROR(C30/IS!C51*-1,0)</f>
        <v>0</v>
      </c>
      <c r="D60" s="30">
        <f>IFERROR(D30/IS!D51*-1,0)</f>
        <v>0</v>
      </c>
      <c r="E60" s="30">
        <f>IFERROR(E30/IS!E51*-1,0)</f>
        <v>0</v>
      </c>
      <c r="F60" s="30">
        <f>IFERROR(F30/IS!F51*-1,0)</f>
        <v>3.3577901023974289E-3</v>
      </c>
      <c r="G60" s="31">
        <f t="shared" si="8"/>
        <v>3.3577901023974289E-3</v>
      </c>
      <c r="H60" s="31">
        <f t="shared" si="9"/>
        <v>3.3577901023974289E-3</v>
      </c>
      <c r="I60" s="31">
        <f t="shared" si="9"/>
        <v>3.3577901023974289E-3</v>
      </c>
      <c r="J60" s="31">
        <f t="shared" si="9"/>
        <v>3.3577901023974289E-3</v>
      </c>
      <c r="K60" s="31">
        <f t="shared" si="9"/>
        <v>3.3577901023974289E-3</v>
      </c>
    </row>
    <row r="61" spans="1:11" ht="15.6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5.6" customHeight="1" x14ac:dyDescent="0.25">
      <c r="A62" s="18" t="s">
        <v>106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</row>
    <row r="63" spans="1:11" ht="15.6" customHeight="1" x14ac:dyDescent="0.25">
      <c r="A63" s="24" t="s">
        <v>161</v>
      </c>
      <c r="B63" s="2">
        <f t="shared" ref="B63:K63" si="10">B4+B13</f>
        <v>418.52100000000002</v>
      </c>
      <c r="C63" s="2">
        <f t="shared" si="10"/>
        <v>840.779</v>
      </c>
      <c r="D63" s="2">
        <f t="shared" si="10"/>
        <v>890.04699999999991</v>
      </c>
      <c r="E63" s="2">
        <f t="shared" si="10"/>
        <v>573.97300000000007</v>
      </c>
      <c r="F63" s="2">
        <f t="shared" si="10"/>
        <v>427.20499999999998</v>
      </c>
      <c r="G63" s="2">
        <f t="shared" si="10"/>
        <v>427.20499999999998</v>
      </c>
      <c r="H63" s="2">
        <f t="shared" si="10"/>
        <v>427.20499999999998</v>
      </c>
      <c r="I63" s="2">
        <f t="shared" si="10"/>
        <v>427.20499999999998</v>
      </c>
      <c r="J63" s="2">
        <f t="shared" si="10"/>
        <v>427.20499999999998</v>
      </c>
      <c r="K63" s="2">
        <f t="shared" si="10"/>
        <v>427.20499999999998</v>
      </c>
    </row>
    <row r="64" spans="1:11" ht="15.6" customHeight="1" x14ac:dyDescent="0.25">
      <c r="A64" s="24" t="s">
        <v>162</v>
      </c>
      <c r="B64" s="2">
        <f t="shared" ref="B64:K64" si="11">B20+B26</f>
        <v>2836.9009999999998</v>
      </c>
      <c r="C64" s="2">
        <f t="shared" si="11"/>
        <v>2661.6419999999998</v>
      </c>
      <c r="D64" s="2">
        <f t="shared" si="11"/>
        <v>2514.4459999999999</v>
      </c>
      <c r="E64" s="2">
        <f t="shared" si="11"/>
        <v>2587.1959999999999</v>
      </c>
      <c r="F64" s="2">
        <f t="shared" si="11"/>
        <v>2486.9009999999998</v>
      </c>
      <c r="G64" s="2">
        <f t="shared" si="11"/>
        <v>2486.9009999999998</v>
      </c>
      <c r="H64" s="2">
        <f t="shared" si="11"/>
        <v>2486.9009999999998</v>
      </c>
      <c r="I64" s="2">
        <f t="shared" si="11"/>
        <v>2486.9009999999998</v>
      </c>
      <c r="J64" s="2">
        <f t="shared" si="11"/>
        <v>2486.9009999999998</v>
      </c>
      <c r="K64" s="2">
        <f t="shared" si="11"/>
        <v>2486.9009999999998</v>
      </c>
    </row>
    <row r="65" spans="1:11" ht="15.6" customHeight="1" x14ac:dyDescent="0.25">
      <c r="A65" s="24" t="s">
        <v>163</v>
      </c>
      <c r="B65" s="2">
        <f t="shared" ref="B65:K65" si="12">B64-B3-B4</f>
        <v>-160.56600000000009</v>
      </c>
      <c r="C65" s="2">
        <f t="shared" si="12"/>
        <v>-198.6700000000003</v>
      </c>
      <c r="D65" s="2">
        <f t="shared" si="12"/>
        <v>-1011.3460000000002</v>
      </c>
      <c r="E65" s="2">
        <f t="shared" si="12"/>
        <v>-767.65100000000029</v>
      </c>
      <c r="F65" s="2">
        <f t="shared" si="12"/>
        <v>-945.17300000000034</v>
      </c>
      <c r="G65" s="2">
        <f t="shared" ca="1" si="12"/>
        <v>-925.46091105001608</v>
      </c>
      <c r="H65" s="2">
        <f t="shared" ca="1" si="12"/>
        <v>-1601.6399973728398</v>
      </c>
      <c r="I65" s="2">
        <f t="shared" ca="1" si="12"/>
        <v>-2676.0840604545906</v>
      </c>
      <c r="J65" s="2">
        <f t="shared" ca="1" si="12"/>
        <v>-4210.8329906481958</v>
      </c>
      <c r="K65" s="2">
        <f t="shared" ca="1" si="12"/>
        <v>-6464.0045635874994</v>
      </c>
    </row>
  </sheetData>
  <phoneticPr fontId="11" type="noConversion"/>
  <pageMargins left="0.75" right="0.75" top="1" bottom="1" header="0.5" footer="0.5"/>
  <pageSetup paperSize="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42"/>
  <sheetViews>
    <sheetView workbookViewId="0">
      <pane xSplit="1" ySplit="1" topLeftCell="B4" activePane="bottomRight" state="frozen"/>
      <selection pane="topRight"/>
      <selection pane="bottomLeft"/>
      <selection pane="bottomRight" activeCell="H6" sqref="H6"/>
    </sheetView>
  </sheetViews>
  <sheetFormatPr defaultRowHeight="14.4" x14ac:dyDescent="0.25"/>
  <cols>
    <col min="1" max="1" width="45" customWidth="1"/>
    <col min="2" max="11" width="14" customWidth="1"/>
  </cols>
  <sheetData>
    <row r="1" spans="1:11" ht="15.6" customHeight="1" x14ac:dyDescent="0.25">
      <c r="A1" s="1" t="str">
        <f>"03393.HK in "&amp;IF(ReportUnit&lt;1000, "", IF(ReportUnit&lt;1000000, "Thousands", IF(ReportUnit&lt;1000000000, "Millions", "Billions")))&amp;" CNY"</f>
        <v>03393.HK in Millions CNY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 ht="15.6" customHeight="1" x14ac:dyDescent="0.25">
      <c r="A2" s="18" t="s">
        <v>164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5.6" customHeight="1" x14ac:dyDescent="0.25">
      <c r="A3" s="24" t="s">
        <v>78</v>
      </c>
      <c r="B3" s="25">
        <f>427974000/ReportUnit</f>
        <v>427.97399999999999</v>
      </c>
      <c r="C3" s="25">
        <f>511160000/ReportUnit</f>
        <v>511.16</v>
      </c>
      <c r="D3" s="25">
        <f>760593000/ReportUnit</f>
        <v>760.59299999999996</v>
      </c>
      <c r="E3" s="25">
        <f>1030162000/ReportUnit</f>
        <v>1030.162</v>
      </c>
      <c r="F3" s="25">
        <f>1481104000/ReportUnit</f>
        <v>1481.104</v>
      </c>
      <c r="G3" s="26">
        <f>IS!G17</f>
        <v>1873.135266981792</v>
      </c>
      <c r="H3" s="26">
        <f ca="1">IS!H17</f>
        <v>2226.9588079581508</v>
      </c>
      <c r="I3" s="26">
        <f ca="1">IS!I17</f>
        <v>2622.4061210078994</v>
      </c>
      <c r="J3" s="26">
        <f ca="1">IS!J17</f>
        <v>3047.0396955755145</v>
      </c>
      <c r="K3" s="26">
        <f ca="1">IS!K17</f>
        <v>3498.202008504597</v>
      </c>
    </row>
    <row r="4" spans="1:11" ht="15.6" customHeight="1" x14ac:dyDescent="0.25">
      <c r="A4" s="24" t="s">
        <v>91</v>
      </c>
      <c r="B4" s="26">
        <f>IS!B32</f>
        <v>219.22200000000001</v>
      </c>
      <c r="C4" s="26">
        <f>IS!C32</f>
        <v>266.99900000000002</v>
      </c>
      <c r="D4" s="26">
        <f>IS!D32</f>
        <v>276.81200000000001</v>
      </c>
      <c r="E4" s="26">
        <f>IS!E32</f>
        <v>316</v>
      </c>
      <c r="F4" s="26">
        <f>IS!F32</f>
        <v>353</v>
      </c>
      <c r="G4" s="26">
        <f>-'D&amp;A'!G25-'D&amp;A'!G47</f>
        <v>238.69434551407204</v>
      </c>
      <c r="H4" s="26">
        <f>-'D&amp;A'!H25-'D&amp;A'!H47</f>
        <v>353.19131658540152</v>
      </c>
      <c r="I4" s="26">
        <f>-'D&amp;A'!I25-'D&amp;A'!I47</f>
        <v>487.31162717331188</v>
      </c>
      <c r="J4" s="26">
        <f>-'D&amp;A'!J25-'D&amp;A'!J47</f>
        <v>642.02158592638557</v>
      </c>
      <c r="K4" s="26">
        <f>-'D&amp;A'!K25-'D&amp;A'!K47</f>
        <v>818.06349817666069</v>
      </c>
    </row>
    <row r="5" spans="1:11" ht="15.6" customHeight="1" x14ac:dyDescent="0.25">
      <c r="A5" s="24" t="s">
        <v>77</v>
      </c>
      <c r="B5" s="25">
        <f>44759000/ReportUnit</f>
        <v>44.759</v>
      </c>
      <c r="C5" s="25">
        <f>71274000/ReportUnit</f>
        <v>71.274000000000001</v>
      </c>
      <c r="D5" s="25">
        <f>100139000/ReportUnit</f>
        <v>100.139</v>
      </c>
      <c r="E5" s="25">
        <f t="shared" ref="E5:F11" si="0">0/ReportUnit</f>
        <v>0</v>
      </c>
      <c r="F5" s="25">
        <f t="shared" si="0"/>
        <v>0</v>
      </c>
      <c r="G5" s="26">
        <f>-Tax!G6</f>
        <v>300.23424559230273</v>
      </c>
      <c r="H5" s="26">
        <f ca="1">-Tax!H6</f>
        <v>356.94661750178267</v>
      </c>
      <c r="I5" s="26">
        <f ca="1">-Tax!I6</f>
        <v>420.33062814843527</v>
      </c>
      <c r="J5" s="26">
        <f ca="1">-Tax!J6</f>
        <v>488.39273939088514</v>
      </c>
      <c r="K5" s="26">
        <f ca="1">-Tax!K6</f>
        <v>560.70699189022594</v>
      </c>
    </row>
    <row r="6" spans="1:11" ht="15.6" customHeight="1" x14ac:dyDescent="0.25">
      <c r="A6" s="24" t="s">
        <v>165</v>
      </c>
      <c r="B6" s="25">
        <f>-235266000/ReportUnit</f>
        <v>-235.26599999999999</v>
      </c>
      <c r="C6" s="25">
        <f>-450818000/ReportUnit</f>
        <v>-450.81799999999998</v>
      </c>
      <c r="D6" s="25">
        <f>-198186000/ReportUnit</f>
        <v>-198.18600000000001</v>
      </c>
      <c r="E6" s="25">
        <f t="shared" si="0"/>
        <v>0</v>
      </c>
      <c r="F6" s="25">
        <f t="shared" si="0"/>
        <v>0</v>
      </c>
      <c r="G6" s="26">
        <f>+(BS!F5-BS!G5)</f>
        <v>-983.97899622659043</v>
      </c>
      <c r="H6" s="26">
        <f>+(BS!G5-BS!H5)</f>
        <v>-921.36122972518569</v>
      </c>
      <c r="I6" s="26">
        <f>+(BS!H5-BS!I5)</f>
        <v>-757.73812642312259</v>
      </c>
      <c r="J6" s="26">
        <f>+(BS!I5-BS!J5)</f>
        <v>-551.69576777998736</v>
      </c>
      <c r="K6" s="26">
        <f>+(BS!J5-BS!K5)</f>
        <v>-310.55354213144892</v>
      </c>
    </row>
    <row r="7" spans="1:11" ht="15.6" customHeight="1" x14ac:dyDescent="0.25">
      <c r="A7" s="24" t="s">
        <v>166</v>
      </c>
      <c r="B7" s="25">
        <f>-488616000/ReportUnit</f>
        <v>-488.61599999999999</v>
      </c>
      <c r="C7" s="25">
        <f>-109740000/ReportUnit</f>
        <v>-109.74</v>
      </c>
      <c r="D7" s="25">
        <f>-117801000/ReportUnit</f>
        <v>-117.801</v>
      </c>
      <c r="E7" s="25">
        <f t="shared" si="0"/>
        <v>0</v>
      </c>
      <c r="F7" s="25">
        <f t="shared" si="0"/>
        <v>0</v>
      </c>
      <c r="G7" s="26">
        <f>+(BS!F6-BS!G6)</f>
        <v>-345.33796250454589</v>
      </c>
      <c r="H7" s="26">
        <f>+(BS!G6-BS!H6)</f>
        <v>-341.93159425027625</v>
      </c>
      <c r="I7" s="26">
        <f>+(BS!H6-BS!I6)</f>
        <v>-364.22525305448744</v>
      </c>
      <c r="J7" s="26">
        <f>+(BS!I6-BS!J6)</f>
        <v>-382.16073298446099</v>
      </c>
      <c r="K7" s="26">
        <f>+(BS!J6-BS!K6)</f>
        <v>-395.93852789938137</v>
      </c>
    </row>
    <row r="8" spans="1:11" ht="15.6" customHeight="1" x14ac:dyDescent="0.25">
      <c r="A8" s="24" t="s">
        <v>167</v>
      </c>
      <c r="B8" s="25">
        <f>266913000/ReportUnit</f>
        <v>266.91300000000001</v>
      </c>
      <c r="C8" s="25">
        <f>328915000/ReportUnit</f>
        <v>328.91500000000002</v>
      </c>
      <c r="D8" s="25">
        <f>277420000/ReportUnit</f>
        <v>277.42</v>
      </c>
      <c r="E8" s="25">
        <f t="shared" si="0"/>
        <v>0</v>
      </c>
      <c r="F8" s="25">
        <f t="shared" si="0"/>
        <v>0</v>
      </c>
      <c r="G8" s="26">
        <f>-(BS!F19-BS!G19)</f>
        <v>693.84186342641624</v>
      </c>
      <c r="H8" s="26">
        <f>-(BS!G19-BS!H19)</f>
        <v>1128.2361984041663</v>
      </c>
      <c r="I8" s="26">
        <f>-(BS!H19-BS!I19)</f>
        <v>1129.5101400106287</v>
      </c>
      <c r="J8" s="26">
        <f>-(BS!I19-BS!J19)</f>
        <v>1106.4910938968296</v>
      </c>
      <c r="K8" s="26">
        <f>-(BS!J19-BS!K19)</f>
        <v>1262.2320123834888</v>
      </c>
    </row>
    <row r="9" spans="1:11" ht="15.6" customHeight="1" x14ac:dyDescent="0.25">
      <c r="A9" s="24" t="s">
        <v>168</v>
      </c>
      <c r="B9" s="25">
        <f>-127886000/ReportUnit</f>
        <v>-127.886</v>
      </c>
      <c r="C9" s="25">
        <f>100147000/ReportUnit</f>
        <v>100.14700000000001</v>
      </c>
      <c r="D9" s="25">
        <f>149214000/ReportUnit</f>
        <v>149.214</v>
      </c>
      <c r="E9" s="25">
        <f t="shared" si="0"/>
        <v>0</v>
      </c>
      <c r="F9" s="25">
        <f t="shared" si="0"/>
        <v>0</v>
      </c>
      <c r="G9" s="26">
        <f>-(BS!F22-BS!G22)-(BS!F27-BS!G27)</f>
        <v>0</v>
      </c>
      <c r="H9" s="26">
        <f>-(BS!G22-BS!H22)-(BS!G27-BS!H27)</f>
        <v>0</v>
      </c>
      <c r="I9" s="26">
        <f>-(BS!H22-BS!I22)-(BS!H27-BS!I27)</f>
        <v>0</v>
      </c>
      <c r="J9" s="26">
        <f>-(BS!I22-BS!J22)-(BS!I27-BS!J27)</f>
        <v>0</v>
      </c>
      <c r="K9" s="26">
        <f>-(BS!J22-BS!K22)-(BS!J27-BS!K27)</f>
        <v>0</v>
      </c>
    </row>
    <row r="10" spans="1:11" ht="15.6" customHeight="1" x14ac:dyDescent="0.25">
      <c r="A10" s="24" t="s">
        <v>169</v>
      </c>
      <c r="B10" s="25">
        <f>190647000/ReportUnit</f>
        <v>190.64699999999999</v>
      </c>
      <c r="C10" s="25">
        <f>220350000/ReportUnit</f>
        <v>220.35</v>
      </c>
      <c r="D10" s="25">
        <f>372134000/ReportUnit</f>
        <v>372.13400000000001</v>
      </c>
      <c r="E10" s="25">
        <f t="shared" si="0"/>
        <v>0</v>
      </c>
      <c r="F10" s="25">
        <f t="shared" si="0"/>
        <v>0</v>
      </c>
      <c r="G10" s="26">
        <f>+(BS!F11-BS!G11)+(BS!F15-BS!G15)+(BS!F14-BS!G14)-(BS!F21-BS!G21)-(BS!F27-BS!G27)-(BS!F30-BS!G30)+(BS!F7-BS!G7)-(BS!F23-BS!G23)-'D&amp;A'!G12-'D&amp;A'!G34</f>
        <v>-241.12489735126258</v>
      </c>
      <c r="H10" s="26">
        <f ca="1">+(BS!G11-BS!H11)+(BS!G15-BS!H15)+(BS!G14-BS!H14)-(BS!G21-BS!H21)-(BS!G27-BS!H27)-(BS!G30-BS!H30)+(BS!G7-BS!H7)-(BS!G23-BS!H23)-'D&amp;A'!H12-'D&amp;A'!H34</f>
        <v>-294.75752048495843</v>
      </c>
      <c r="I10" s="26">
        <f ca="1">+(BS!H11-BS!I11)+(BS!H15-BS!I15)+(BS!H14-BS!I14)-(BS!H21-BS!I21)-(BS!H27-BS!I27)-(BS!H30-BS!I30)+(BS!H7-BS!I7)-(BS!H23-BS!I23)-'D&amp;A'!I12-'D&amp;A'!I34</f>
        <v>-313.97546846684986</v>
      </c>
      <c r="J10" s="26">
        <f ca="1">+(BS!I11-BS!J11)+(BS!I15-BS!J15)+(BS!I14-BS!J14)-(BS!I21-BS!J21)-(BS!I27-BS!J27)-(BS!I30-BS!J30)+(BS!I7-BS!J7)-(BS!I23-BS!J23)-'D&amp;A'!J12-'D&amp;A'!J34</f>
        <v>-329.43650711248392</v>
      </c>
      <c r="K10" s="26">
        <f ca="1">+(BS!J11-BS!K11)+(BS!J15-BS!K15)+(BS!J14-BS!K14)-(BS!J21-BS!K21)-(BS!J27-BS!K27)-(BS!J30-BS!K30)+(BS!J7-BS!K7)-(BS!J23-BS!K23)-'D&amp;A'!K12-'D&amp;A'!K34</f>
        <v>-341.31346944986763</v>
      </c>
    </row>
    <row r="11" spans="1:11" ht="15.6" customHeight="1" x14ac:dyDescent="0.25">
      <c r="A11" s="24" t="s">
        <v>170</v>
      </c>
      <c r="B11" s="25">
        <f>-46124000/ReportUnit</f>
        <v>-46.124000000000002</v>
      </c>
      <c r="C11" s="25">
        <f>-75057000/ReportUnit</f>
        <v>-75.057000000000002</v>
      </c>
      <c r="D11" s="25">
        <f>-123730000/ReportUnit</f>
        <v>-123.73</v>
      </c>
      <c r="E11" s="25">
        <f t="shared" si="0"/>
        <v>0</v>
      </c>
      <c r="F11" s="25">
        <f t="shared" si="0"/>
        <v>0</v>
      </c>
      <c r="G11" s="26">
        <f>Tax!G21</f>
        <v>-300.23424559230273</v>
      </c>
      <c r="H11" s="26">
        <f ca="1">Tax!H21</f>
        <v>-356.94661750178267</v>
      </c>
      <c r="I11" s="26">
        <f ca="1">Tax!I21</f>
        <v>-420.33062814843527</v>
      </c>
      <c r="J11" s="26">
        <f ca="1">Tax!J21</f>
        <v>-488.39273939088514</v>
      </c>
      <c r="K11" s="26">
        <f ca="1">Tax!K21</f>
        <v>-560.70699189022594</v>
      </c>
    </row>
    <row r="12" spans="1:11" ht="15.6" customHeight="1" x14ac:dyDescent="0.25">
      <c r="A12" s="33" t="s">
        <v>171</v>
      </c>
      <c r="B12" s="34">
        <f>251623000/ReportUnit</f>
        <v>251.62299999999999</v>
      </c>
      <c r="C12" s="34">
        <f>863230000/ReportUnit</f>
        <v>863.23</v>
      </c>
      <c r="D12" s="34">
        <f>1496595000/ReportUnit</f>
        <v>1496.595</v>
      </c>
      <c r="E12" s="34">
        <v>927</v>
      </c>
      <c r="F12" s="34">
        <v>1835</v>
      </c>
      <c r="G12" s="33">
        <f>G3+G4+G5+G6+G7+G8+G9+G11+G10</f>
        <v>1235.2296198398817</v>
      </c>
      <c r="H12" s="33">
        <f ca="1">H3+H4+H5+H6+H7+H8+H9+H11+H10</f>
        <v>2150.3359784872982</v>
      </c>
      <c r="I12" s="33">
        <f ca="1">I3+I4+I5+I6+I7+I8+I9+I11+I10</f>
        <v>2803.2890402473804</v>
      </c>
      <c r="J12" s="33">
        <f ca="1">J3+J4+J5+J6+J7+J8+J9+J11+J10</f>
        <v>3532.2593675217977</v>
      </c>
      <c r="K12" s="33">
        <f ca="1">K3+K4+K5+K6+K7+K8+K9+K11+K10</f>
        <v>4530.6919795840486</v>
      </c>
    </row>
    <row r="13" spans="1:11" ht="15.6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6" customHeight="1" x14ac:dyDescent="0.25">
      <c r="A14" s="24" t="s">
        <v>172</v>
      </c>
      <c r="B14" s="25">
        <f>0/ReportUnit</f>
        <v>0</v>
      </c>
      <c r="C14" s="25">
        <f>-29898000/ReportUnit</f>
        <v>-29.898</v>
      </c>
      <c r="D14" s="25">
        <f>-33267000/ReportUnit</f>
        <v>-33.267000000000003</v>
      </c>
      <c r="E14" s="25">
        <f t="shared" ref="E14:F21" si="1">0/ReportUnit</f>
        <v>0</v>
      </c>
      <c r="F14" s="25">
        <f t="shared" si="1"/>
        <v>0</v>
      </c>
      <c r="G14" s="26">
        <f>+IF((BS!F4-BS!G4)&gt;0,0,(BS!F4-BS!G4))</f>
        <v>0</v>
      </c>
      <c r="H14" s="26">
        <f>+IF((BS!G4-BS!H4)&gt;0,0,(BS!G4-BS!H4))</f>
        <v>0</v>
      </c>
      <c r="I14" s="26">
        <f>+IF((BS!H4-BS!I4)&gt;0,0,(BS!H4-BS!I4))</f>
        <v>0</v>
      </c>
      <c r="J14" s="26">
        <f>+IF((BS!I4-BS!J4)&gt;0,0,(BS!I4-BS!J4))</f>
        <v>0</v>
      </c>
      <c r="K14" s="26">
        <f>+IF((BS!J4-BS!K4)&gt;0,0,(BS!J4-BS!K4))</f>
        <v>0</v>
      </c>
    </row>
    <row r="15" spans="1:11" ht="15.6" customHeight="1" x14ac:dyDescent="0.25">
      <c r="A15" s="24" t="s">
        <v>173</v>
      </c>
      <c r="B15" s="25">
        <f>3060000/ReportUnit</f>
        <v>3.06</v>
      </c>
      <c r="C15" s="25">
        <f>0/ReportUnit</f>
        <v>0</v>
      </c>
      <c r="D15" s="25">
        <f>0/ReportUnit</f>
        <v>0</v>
      </c>
      <c r="E15" s="25">
        <f t="shared" si="1"/>
        <v>0</v>
      </c>
      <c r="F15" s="25">
        <f t="shared" si="1"/>
        <v>0</v>
      </c>
      <c r="G15" s="26">
        <f>+IF((BS!F4-BS!G4)&lt;0,0,(BS!F4-BS!G4))</f>
        <v>0</v>
      </c>
      <c r="H15" s="26">
        <f>+IF((BS!G4-BS!H4)&lt;0,0,(BS!G4-BS!H4))</f>
        <v>0</v>
      </c>
      <c r="I15" s="26">
        <f>+IF((BS!H4-BS!I4)&lt;0,0,(BS!H4-BS!I4))</f>
        <v>0</v>
      </c>
      <c r="J15" s="26">
        <f>+IF((BS!I4-BS!J4)&lt;0,0,(BS!I4-BS!J4))</f>
        <v>0</v>
      </c>
      <c r="K15" s="26">
        <f>+IF((BS!J4-BS!K4)&lt;0,0,(BS!J4-BS!K4))</f>
        <v>0</v>
      </c>
    </row>
    <row r="16" spans="1:11" ht="15.6" customHeight="1" x14ac:dyDescent="0.25">
      <c r="A16" s="24" t="s">
        <v>174</v>
      </c>
      <c r="B16" s="25">
        <f>-216651000/ReportUnit</f>
        <v>-216.65100000000001</v>
      </c>
      <c r="C16" s="25">
        <f>-246336000/ReportUnit</f>
        <v>-246.33600000000001</v>
      </c>
      <c r="D16" s="25">
        <f>-446293000/ReportUnit</f>
        <v>-446.29300000000001</v>
      </c>
      <c r="E16" s="25">
        <f t="shared" si="1"/>
        <v>0</v>
      </c>
      <c r="F16" s="25">
        <f t="shared" si="1"/>
        <v>0</v>
      </c>
      <c r="G16" s="26">
        <f>-'D&amp;A'!G15</f>
        <v>-759.45004657770039</v>
      </c>
      <c r="H16" s="26">
        <f>-'D&amp;A'!H15</f>
        <v>-905.07374802663981</v>
      </c>
      <c r="I16" s="26">
        <f>-'D&amp;A'!I15</f>
        <v>-1060.1919950762199</v>
      </c>
      <c r="J16" s="26">
        <f>-'D&amp;A'!J15</f>
        <v>-1222.9487026207787</v>
      </c>
      <c r="K16" s="26">
        <f>-'D&amp;A'!K15</f>
        <v>-1391.5731729782894</v>
      </c>
    </row>
    <row r="17" spans="1:11" ht="15.6" customHeight="1" x14ac:dyDescent="0.25">
      <c r="A17" s="24" t="s">
        <v>175</v>
      </c>
      <c r="B17" s="25">
        <f>6246000/ReportUnit</f>
        <v>6.2460000000000004</v>
      </c>
      <c r="C17" s="25">
        <f>20072000/ReportUnit</f>
        <v>20.071999999999999</v>
      </c>
      <c r="D17" s="25">
        <f>6466000/ReportUnit</f>
        <v>6.4660000000000002</v>
      </c>
      <c r="E17" s="25">
        <f t="shared" si="1"/>
        <v>0</v>
      </c>
      <c r="F17" s="25">
        <f t="shared" si="1"/>
        <v>0</v>
      </c>
      <c r="G17" s="2">
        <f>'D&amp;A'!G10</f>
        <v>0</v>
      </c>
      <c r="H17" s="2">
        <f>'D&amp;A'!H10</f>
        <v>0</v>
      </c>
      <c r="I17" s="2">
        <f>'D&amp;A'!I10</f>
        <v>0</v>
      </c>
      <c r="J17" s="2">
        <f>'D&amp;A'!J10</f>
        <v>0</v>
      </c>
      <c r="K17" s="2">
        <f>'D&amp;A'!K10</f>
        <v>0</v>
      </c>
    </row>
    <row r="18" spans="1:11" ht="15.6" customHeight="1" x14ac:dyDescent="0.25">
      <c r="A18" s="24" t="s">
        <v>176</v>
      </c>
      <c r="B18" s="25">
        <f>-162782000/ReportUnit</f>
        <v>-162.78200000000001</v>
      </c>
      <c r="C18" s="25">
        <f>-143404000/ReportUnit</f>
        <v>-143.404</v>
      </c>
      <c r="D18" s="25">
        <f>-118293000/ReportUnit</f>
        <v>-118.29300000000001</v>
      </c>
      <c r="E18" s="25">
        <f t="shared" si="1"/>
        <v>0</v>
      </c>
      <c r="F18" s="25">
        <f t="shared" si="1"/>
        <v>0</v>
      </c>
      <c r="G18" s="26">
        <f>-'D&amp;A'!G37</f>
        <v>-201.29740856302004</v>
      </c>
      <c r="H18" s="26">
        <f>-'D&amp;A'!H37</f>
        <v>-239.89596268665494</v>
      </c>
      <c r="I18" s="26">
        <f>-'D&amp;A'!I37</f>
        <v>-281.01111080288342</v>
      </c>
      <c r="J18" s="26">
        <f>-'D&amp;A'!J37</f>
        <v>-324.15088490995771</v>
      </c>
      <c r="K18" s="26">
        <f>-'D&amp;A'!K37</f>
        <v>-368.84594952446213</v>
      </c>
    </row>
    <row r="19" spans="1:11" ht="15.6" customHeight="1" x14ac:dyDescent="0.25">
      <c r="A19" s="24" t="s">
        <v>177</v>
      </c>
      <c r="B19" s="25">
        <f>0/ReportUnit</f>
        <v>0</v>
      </c>
      <c r="C19" s="25">
        <f>0/ReportUnit</f>
        <v>0</v>
      </c>
      <c r="D19" s="25">
        <f>0/ReportUnit</f>
        <v>0</v>
      </c>
      <c r="E19" s="25">
        <f t="shared" si="1"/>
        <v>0</v>
      </c>
      <c r="F19" s="25">
        <f t="shared" si="1"/>
        <v>0</v>
      </c>
      <c r="G19" s="2">
        <f>'D&amp;A'!G32</f>
        <v>0</v>
      </c>
      <c r="H19" s="2">
        <f>'D&amp;A'!H32</f>
        <v>0</v>
      </c>
      <c r="I19" s="2">
        <f>'D&amp;A'!I32</f>
        <v>0</v>
      </c>
      <c r="J19" s="2">
        <f>'D&amp;A'!J32</f>
        <v>0</v>
      </c>
      <c r="K19" s="2">
        <f>'D&amp;A'!K32</f>
        <v>0</v>
      </c>
    </row>
    <row r="20" spans="1:11" ht="15.6" customHeight="1" x14ac:dyDescent="0.25">
      <c r="A20" s="24" t="s">
        <v>178</v>
      </c>
      <c r="B20" s="25">
        <f>-44483000/ReportUnit</f>
        <v>-44.482999999999997</v>
      </c>
      <c r="C20" s="25">
        <f>-5160000/ReportUnit</f>
        <v>-5.16</v>
      </c>
      <c r="D20" s="25">
        <f>-37970000/ReportUnit</f>
        <v>-37.97</v>
      </c>
      <c r="E20" s="25">
        <f t="shared" si="1"/>
        <v>0</v>
      </c>
      <c r="F20" s="25">
        <f t="shared" si="1"/>
        <v>0</v>
      </c>
      <c r="G20" s="26">
        <f>+(BS!F13-BS!G13)</f>
        <v>0</v>
      </c>
      <c r="H20" s="26">
        <f>+(BS!G13-BS!H13)</f>
        <v>0</v>
      </c>
      <c r="I20" s="26">
        <f>+(BS!H13-BS!I13)</f>
        <v>0</v>
      </c>
      <c r="J20" s="26">
        <f>+(BS!I13-BS!J13)</f>
        <v>0</v>
      </c>
      <c r="K20" s="26">
        <f>+(BS!J13-BS!K13)</f>
        <v>0</v>
      </c>
    </row>
    <row r="21" spans="1:11" ht="15.6" customHeight="1" x14ac:dyDescent="0.25">
      <c r="A21" s="24" t="s">
        <v>179</v>
      </c>
      <c r="B21" s="25">
        <f>-47961000/ReportUnit</f>
        <v>-47.960999999999999</v>
      </c>
      <c r="C21" s="25">
        <f>-273467000/ReportUnit</f>
        <v>-273.46699999999998</v>
      </c>
      <c r="D21" s="25">
        <f>113562000/ReportUnit</f>
        <v>113.562</v>
      </c>
      <c r="E21" s="25">
        <f t="shared" si="1"/>
        <v>0</v>
      </c>
      <c r="F21" s="25">
        <f t="shared" si="1"/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</row>
    <row r="22" spans="1:11" ht="15.6" customHeight="1" x14ac:dyDescent="0.25">
      <c r="A22" s="33" t="s">
        <v>180</v>
      </c>
      <c r="B22" s="34">
        <f>-462571000/ReportUnit</f>
        <v>-462.57100000000003</v>
      </c>
      <c r="C22" s="34">
        <f>-678193000/ReportUnit</f>
        <v>-678.19299999999998</v>
      </c>
      <c r="D22" s="34">
        <f>-515795000/ReportUnit</f>
        <v>-515.79499999999996</v>
      </c>
      <c r="E22" s="34">
        <v>-171</v>
      </c>
      <c r="F22" s="34">
        <v>-605</v>
      </c>
      <c r="G22" s="33">
        <f>G14+G15+G16+G17+G18+G19+G20+G21</f>
        <v>-960.74745514072038</v>
      </c>
      <c r="H22" s="33">
        <f>H14+H15+H16+H17+H18+H19+H20+H21</f>
        <v>-1144.9697107132947</v>
      </c>
      <c r="I22" s="33">
        <f>I14+I15+I16+I17+I18+I19+I20+I21</f>
        <v>-1341.2031058791033</v>
      </c>
      <c r="J22" s="33">
        <f>J14+J15+J16+J17+J18+J19+J20+J21</f>
        <v>-1547.0995875307365</v>
      </c>
      <c r="K22" s="33">
        <f>K14+K15+K16+K17+K18+K19+K20+K21</f>
        <v>-1760.4191225027516</v>
      </c>
    </row>
    <row r="23" spans="1:11" ht="15.6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6" customHeight="1" x14ac:dyDescent="0.25">
      <c r="A24" s="24" t="s">
        <v>181</v>
      </c>
      <c r="B24" s="25">
        <f>2569618000/ReportUnit</f>
        <v>2569.6179999999999</v>
      </c>
      <c r="C24" s="25">
        <f>2629438000/ReportUnit</f>
        <v>2629.4380000000001</v>
      </c>
      <c r="D24" s="25">
        <f>2510487000/ReportUnit</f>
        <v>2510.4870000000001</v>
      </c>
      <c r="E24" s="25">
        <f t="shared" ref="E24:F29" si="2">0/ReportUnit</f>
        <v>0</v>
      </c>
      <c r="F24" s="25">
        <f t="shared" si="2"/>
        <v>0</v>
      </c>
      <c r="G24" s="26">
        <f>-IF((BS!F20-BS!G20)&gt;0,0,(BS!F20-BS!G20))-IF((BS!F26-BS!G26)&gt;0,0,(BS!F26-BS!G26))</f>
        <v>0</v>
      </c>
      <c r="H24" s="26">
        <f>-IF((BS!G20-BS!H20)&gt;0,0,(BS!G20-BS!H20))-IF((BS!G26-BS!H26)&gt;0,0,(BS!G26-BS!H26))</f>
        <v>0</v>
      </c>
      <c r="I24" s="26">
        <f>-IF((BS!H20-BS!I20)&gt;0,0,(BS!H20-BS!I20))-IF((BS!H26-BS!I26)&gt;0,0,(BS!H26-BS!I26))</f>
        <v>0</v>
      </c>
      <c r="J24" s="26">
        <f>-IF((BS!I20-BS!J20)&gt;0,0,(BS!I20-BS!J20))-IF((BS!I26-BS!J26)&gt;0,0,(BS!I26-BS!J26))</f>
        <v>0</v>
      </c>
      <c r="K24" s="26">
        <f>-IF((BS!J20-BS!K20)&gt;0,0,(BS!J20-BS!K20))-IF((BS!J26-BS!K26)&gt;0,0,(BS!J26-BS!K26))</f>
        <v>0</v>
      </c>
    </row>
    <row r="25" spans="1:11" ht="15.6" customHeight="1" x14ac:dyDescent="0.25">
      <c r="A25" s="24" t="s">
        <v>182</v>
      </c>
      <c r="B25" s="25">
        <f>-2003256000/ReportUnit</f>
        <v>-2003.2560000000001</v>
      </c>
      <c r="C25" s="25">
        <f>-2793940000/ReportUnit</f>
        <v>-2793.94</v>
      </c>
      <c r="D25" s="25">
        <f>-2674924000/ReportUnit</f>
        <v>-2674.924</v>
      </c>
      <c r="E25" s="25">
        <f t="shared" si="2"/>
        <v>0</v>
      </c>
      <c r="F25" s="25">
        <f t="shared" si="2"/>
        <v>0</v>
      </c>
      <c r="G25" s="26">
        <f>-IF((BS!F20-BS!G20)&lt;0,0,(BS!F20-BS!G20))-IF((BS!F26-BS!G26)&lt;0,0,(BS!F26-BS!G26))</f>
        <v>0</v>
      </c>
      <c r="H25" s="26">
        <f>-IF((BS!G20-BS!H20)&lt;0,0,(BS!G20-BS!H20))-IF((BS!G26-BS!H26)&lt;0,0,(BS!G26-BS!H26))</f>
        <v>0</v>
      </c>
      <c r="I25" s="26">
        <f>-IF((BS!H20-BS!I20)&lt;0,0,(BS!H20-BS!I20))-IF((BS!H26-BS!I26)&lt;0,0,(BS!H26-BS!I26))</f>
        <v>0</v>
      </c>
      <c r="J25" s="26">
        <f>-IF((BS!I20-BS!J20)&lt;0,0,(BS!I20-BS!J20))-IF((BS!I26-BS!J26)&lt;0,0,(BS!I26-BS!J26))</f>
        <v>0</v>
      </c>
      <c r="K25" s="26">
        <f>-IF((BS!J20-BS!K20)&lt;0,0,(BS!J20-BS!K20))-IF((BS!J26-BS!K26)&lt;0,0,(BS!J26-BS!K26))</f>
        <v>0</v>
      </c>
    </row>
    <row r="26" spans="1:11" ht="15.6" customHeight="1" x14ac:dyDescent="0.25">
      <c r="A26" s="24" t="s">
        <v>183</v>
      </c>
      <c r="B26" s="25">
        <f t="shared" ref="B26:D27" si="3">0/ReportUnit</f>
        <v>0</v>
      </c>
      <c r="C26" s="25">
        <f t="shared" si="3"/>
        <v>0</v>
      </c>
      <c r="D26" s="25">
        <f t="shared" si="3"/>
        <v>0</v>
      </c>
      <c r="E26" s="25">
        <f t="shared" si="2"/>
        <v>0</v>
      </c>
      <c r="F26" s="25">
        <f t="shared" si="2"/>
        <v>0</v>
      </c>
      <c r="G26" s="2">
        <f>Cash!G26</f>
        <v>0</v>
      </c>
      <c r="H26" s="2">
        <f>Cash!H26</f>
        <v>0</v>
      </c>
      <c r="I26" s="2">
        <f>Cash!I26</f>
        <v>0</v>
      </c>
      <c r="J26" s="2">
        <f>Cash!J26</f>
        <v>0</v>
      </c>
      <c r="K26" s="2">
        <f>Cash!K26</f>
        <v>0</v>
      </c>
    </row>
    <row r="27" spans="1:11" ht="15.6" customHeight="1" x14ac:dyDescent="0.25">
      <c r="A27" s="24" t="s">
        <v>184</v>
      </c>
      <c r="B27" s="25">
        <f t="shared" si="3"/>
        <v>0</v>
      </c>
      <c r="C27" s="25">
        <f t="shared" si="3"/>
        <v>0</v>
      </c>
      <c r="D27" s="25">
        <f t="shared" si="3"/>
        <v>0</v>
      </c>
      <c r="E27" s="25">
        <f t="shared" si="2"/>
        <v>0</v>
      </c>
      <c r="F27" s="25">
        <f t="shared" si="2"/>
        <v>0</v>
      </c>
      <c r="G27" s="2">
        <f>Cash!G27</f>
        <v>0</v>
      </c>
      <c r="H27" s="2">
        <f>Cash!H27</f>
        <v>0</v>
      </c>
      <c r="I27" s="2">
        <f>Cash!I27</f>
        <v>0</v>
      </c>
      <c r="J27" s="2">
        <f>Cash!J27</f>
        <v>0</v>
      </c>
      <c r="K27" s="2">
        <f>Cash!K27</f>
        <v>0</v>
      </c>
    </row>
    <row r="28" spans="1:11" ht="15.6" customHeight="1" x14ac:dyDescent="0.25">
      <c r="A28" s="24" t="s">
        <v>185</v>
      </c>
      <c r="B28" s="25">
        <f>-211539000/ReportUnit</f>
        <v>-211.53899999999999</v>
      </c>
      <c r="C28" s="25">
        <f>-222458000/ReportUnit</f>
        <v>-222.458</v>
      </c>
      <c r="D28" s="25">
        <f>-273524000/ReportUnit</f>
        <v>-273.524</v>
      </c>
      <c r="E28" s="25">
        <f t="shared" si="2"/>
        <v>0</v>
      </c>
      <c r="F28" s="25">
        <f t="shared" si="2"/>
        <v>0</v>
      </c>
      <c r="G28" s="26">
        <f>Cash!G22</f>
        <v>-673.6157850071296</v>
      </c>
      <c r="H28" s="26">
        <f ca="1">Cash!H22</f>
        <v>-800.85759530779967</v>
      </c>
      <c r="I28" s="26">
        <f ca="1">Cash!I22</f>
        <v>-943.06812164004236</v>
      </c>
      <c r="J28" s="26">
        <f ca="1">Cash!J22</f>
        <v>-1095.7745938926562</v>
      </c>
      <c r="K28" s="26">
        <f ca="1">Cash!K22</f>
        <v>-1258.0213151767259</v>
      </c>
    </row>
    <row r="29" spans="1:11" ht="15.6" customHeight="1" x14ac:dyDescent="0.25">
      <c r="A29" s="24" t="s">
        <v>186</v>
      </c>
      <c r="B29" s="25">
        <f>89034000/ReportUnit</f>
        <v>89.034000000000006</v>
      </c>
      <c r="C29" s="25">
        <f>-331807000/ReportUnit</f>
        <v>-331.80700000000002</v>
      </c>
      <c r="D29" s="25">
        <f>-42050000/ReportUnit</f>
        <v>-42.05</v>
      </c>
      <c r="E29" s="25">
        <f t="shared" si="2"/>
        <v>0</v>
      </c>
      <c r="F29" s="25">
        <f t="shared" si="2"/>
        <v>0</v>
      </c>
      <c r="G29" s="26">
        <f ca="1">-(BS!F38-BS!G38)-(BS!F41-BS!G41)</f>
        <v>379.42153135798389</v>
      </c>
      <c r="H29" s="26">
        <f ca="1">-(BS!G38-BS!H38)-(BS!G41-BS!H41)</f>
        <v>471.67041385662014</v>
      </c>
      <c r="I29" s="26">
        <f ca="1">-(BS!H38-BS!I38)-(BS!H41-BS!I41)</f>
        <v>555.42625035351602</v>
      </c>
      <c r="J29" s="26">
        <f ca="1">-(BS!I38-BS!J38)-(BS!I41-BS!J41)</f>
        <v>645.36374409519931</v>
      </c>
      <c r="K29" s="26">
        <f ca="1">-(BS!J38-BS!K38)-(BS!J41-BS!K41)</f>
        <v>740.92003103473326</v>
      </c>
    </row>
    <row r="30" spans="1:11" ht="15.6" customHeight="1" x14ac:dyDescent="0.25">
      <c r="A30" s="33" t="s">
        <v>187</v>
      </c>
      <c r="B30" s="34">
        <f>443857000/ReportUnit</f>
        <v>443.85700000000003</v>
      </c>
      <c r="C30" s="34">
        <f>-718767000/ReportUnit</f>
        <v>-718.76700000000005</v>
      </c>
      <c r="D30" s="34">
        <f>-480011000/ReportUnit</f>
        <v>-480.01100000000002</v>
      </c>
      <c r="E30" s="34">
        <v>-534</v>
      </c>
      <c r="F30" s="34">
        <v>-640</v>
      </c>
      <c r="G30" s="33">
        <f ca="1">G24+G25+G26+G27+G28+G29</f>
        <v>-294.19425364914571</v>
      </c>
      <c r="H30" s="33">
        <f ca="1">H24+H25+H26+H27+H28+H29</f>
        <v>-329.18718145117953</v>
      </c>
      <c r="I30" s="33">
        <f ca="1">I24+I25+I26+I27+I28+I29</f>
        <v>-387.64187128652634</v>
      </c>
      <c r="J30" s="33">
        <f ca="1">J24+J25+J26+J27+J28+J29</f>
        <v>-450.41084979745688</v>
      </c>
      <c r="K30" s="33">
        <f ca="1">K24+K25+K26+K27+K28+K29</f>
        <v>-517.10128414199266</v>
      </c>
    </row>
    <row r="31" spans="1:11" ht="15.6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5.6" customHeight="1" x14ac:dyDescent="0.25">
      <c r="A32" s="24" t="s">
        <v>188</v>
      </c>
      <c r="B32" s="25">
        <f>-7436000/ReportUnit</f>
        <v>-7.4359999999999999</v>
      </c>
      <c r="C32" s="25">
        <f>22712000/ReportUnit</f>
        <v>22.712</v>
      </c>
      <c r="D32" s="25">
        <f>6179000/ReportUnit</f>
        <v>6.1790000000000003</v>
      </c>
      <c r="E32" s="25">
        <f t="shared" ref="E32:F32" si="4">0/ReportUnit</f>
        <v>0</v>
      </c>
      <c r="F32" s="25">
        <f t="shared" si="4"/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</row>
    <row r="33" spans="1:11" ht="15.6" customHeight="1" x14ac:dyDescent="0.25">
      <c r="A33" s="24" t="s">
        <v>189</v>
      </c>
      <c r="B33" s="25">
        <f>232909000/ReportUnit</f>
        <v>232.90899999999999</v>
      </c>
      <c r="C33" s="25">
        <f>-533730000/ReportUnit</f>
        <v>-533.73</v>
      </c>
      <c r="D33" s="25">
        <f>500789000/ReportUnit</f>
        <v>500.78899999999999</v>
      </c>
      <c r="E33" s="25">
        <v>222</v>
      </c>
      <c r="F33" s="25">
        <f>F12+F22+F30</f>
        <v>590</v>
      </c>
      <c r="G33" s="2">
        <f ca="1">G12+G30+G22+G32</f>
        <v>-19.712088949984377</v>
      </c>
      <c r="H33" s="2">
        <f ca="1">H12+H30+H22+H32</f>
        <v>676.17908632282388</v>
      </c>
      <c r="I33" s="2">
        <f ca="1">I12+I30+I22+I32</f>
        <v>1074.444063081751</v>
      </c>
      <c r="J33" s="2">
        <f ca="1">J12+J30+J22+J32</f>
        <v>1534.7489301936046</v>
      </c>
      <c r="K33" s="2">
        <f ca="1">K12+K30+K22+K32</f>
        <v>2253.1715729393045</v>
      </c>
    </row>
    <row r="34" spans="1:11" ht="15.6" customHeight="1" x14ac:dyDescent="0.25">
      <c r="A34" s="24" t="s">
        <v>190</v>
      </c>
      <c r="B34" s="25">
        <f>2208946000/ReportUnit</f>
        <v>2208.9459999999999</v>
      </c>
      <c r="C34" s="25">
        <f>1697928000/ReportUnit</f>
        <v>1697.9280000000001</v>
      </c>
      <c r="D34" s="25">
        <f>2204896000/ReportUnit</f>
        <v>2204.8960000000002</v>
      </c>
      <c r="E34" s="25">
        <v>2427</v>
      </c>
      <c r="F34" s="25">
        <f t="shared" ref="F34:K34" si="5">F35+F33</f>
        <v>3017</v>
      </c>
      <c r="G34" s="2">
        <f t="shared" ca="1" si="5"/>
        <v>2997.2879110500157</v>
      </c>
      <c r="H34" s="2">
        <f t="shared" ca="1" si="5"/>
        <v>3673.4669973728396</v>
      </c>
      <c r="I34" s="2">
        <f t="shared" ca="1" si="5"/>
        <v>4747.9110604545904</v>
      </c>
      <c r="J34" s="2">
        <f t="shared" ca="1" si="5"/>
        <v>6282.6599906481952</v>
      </c>
      <c r="K34" s="2">
        <f t="shared" ca="1" si="5"/>
        <v>8535.8315635875006</v>
      </c>
    </row>
    <row r="35" spans="1:11" ht="15.6" customHeight="1" x14ac:dyDescent="0.25">
      <c r="A35" s="24" t="s">
        <v>191</v>
      </c>
      <c r="B35" s="25">
        <f>1983473000/ReportUnit</f>
        <v>1983.473</v>
      </c>
      <c r="C35" s="25">
        <f>2208946000/ReportUnit</f>
        <v>2208.9459999999999</v>
      </c>
      <c r="D35" s="25">
        <f>1697928000/ReportUnit</f>
        <v>1697.9280000000001</v>
      </c>
      <c r="E35" s="25">
        <v>2205</v>
      </c>
      <c r="F35" s="25">
        <v>2427</v>
      </c>
      <c r="G35" s="2">
        <f>F34</f>
        <v>3017</v>
      </c>
      <c r="H35" s="2">
        <f ca="1">G34</f>
        <v>2997.2879110500157</v>
      </c>
      <c r="I35" s="2">
        <f ca="1">H34</f>
        <v>3673.4669973728396</v>
      </c>
      <c r="J35" s="2">
        <f ca="1">I34</f>
        <v>4747.9110604545904</v>
      </c>
      <c r="K35" s="2">
        <f ca="1">J34</f>
        <v>6282.6599906481952</v>
      </c>
    </row>
    <row r="36" spans="1:11" ht="15.6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6" customHeight="1" x14ac:dyDescent="0.25">
      <c r="A37" s="27" t="s">
        <v>41</v>
      </c>
      <c r="B37" s="27">
        <f t="shared" ref="B37:K37" si="6">B3+B4+B5+B16+B18+B6+B7+B8+B9+B11</f>
        <v>-318.45699999999988</v>
      </c>
      <c r="C37" s="27">
        <f t="shared" si="6"/>
        <v>253.1400000000001</v>
      </c>
      <c r="D37" s="27">
        <f t="shared" si="6"/>
        <v>559.87499999999977</v>
      </c>
      <c r="E37" s="27">
        <f t="shared" si="6"/>
        <v>1346.162</v>
      </c>
      <c r="F37" s="27">
        <f t="shared" si="6"/>
        <v>1834.104</v>
      </c>
      <c r="G37" s="27">
        <f t="shared" si="6"/>
        <v>515.60706205042345</v>
      </c>
      <c r="H37" s="27">
        <f t="shared" ca="1" si="6"/>
        <v>1300.1237882589623</v>
      </c>
      <c r="I37" s="27">
        <f t="shared" ca="1" si="6"/>
        <v>1776.061402835127</v>
      </c>
      <c r="J37" s="27">
        <f t="shared" ca="1" si="6"/>
        <v>2314.5962871035449</v>
      </c>
      <c r="K37" s="27">
        <f t="shared" ca="1" si="6"/>
        <v>3111.5863265311655</v>
      </c>
    </row>
    <row r="38" spans="1:11" ht="15.6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.6" customHeight="1" x14ac:dyDescent="0.25">
      <c r="A39" s="18" t="s">
        <v>192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spans="1:11" ht="15.6" customHeight="1" x14ac:dyDescent="0.25">
      <c r="A40" s="24" t="s">
        <v>193</v>
      </c>
      <c r="B40" s="30">
        <f>IFERROR(B28/IS!B17,0)</f>
        <v>-0.49428002635674129</v>
      </c>
      <c r="C40" s="30">
        <f>IFERROR(C28/IS!C17,0)</f>
        <v>-0.43520228499882618</v>
      </c>
      <c r="D40" s="30">
        <f>IFERROR(D28/IS!D17,0)</f>
        <v>-0.35961940222957617</v>
      </c>
      <c r="E40" s="30">
        <f>IFERROR(E28/IS!E17,0)</f>
        <v>0</v>
      </c>
      <c r="F40" s="30">
        <f>IFERROR(F28/IS!F17,0)</f>
        <v>0</v>
      </c>
      <c r="G40" s="30">
        <f>IFERROR(G28/IS!G17,0)</f>
        <v>-0.35961940222957617</v>
      </c>
      <c r="H40" s="30">
        <f ca="1">IFERROR(H28/IS!H17,0)</f>
        <v>-0.35961940222957617</v>
      </c>
      <c r="I40" s="30">
        <f ca="1">IFERROR(I28/IS!I17,0)</f>
        <v>-0.35961940222957617</v>
      </c>
      <c r="J40" s="30">
        <f ca="1">IFERROR(J28/IS!J17,0)</f>
        <v>-0.35961940222957611</v>
      </c>
      <c r="K40" s="30">
        <f ca="1">IFERROR(K28/IS!K17,0)</f>
        <v>-0.35961940222957617</v>
      </c>
    </row>
    <row r="41" spans="1:11" ht="15.6" customHeight="1" x14ac:dyDescent="0.25">
      <c r="A41" s="24" t="s">
        <v>194</v>
      </c>
      <c r="B41" s="30">
        <f>IFERROR(B16/IS!B3,0)</f>
        <v>-4.7192818969922647E-2</v>
      </c>
      <c r="C41" s="30">
        <f>IFERROR(C16/IS!C3,0)</f>
        <v>-4.2066694399645894E-2</v>
      </c>
      <c r="D41" s="30">
        <f>IFERROR(D16/IS!D3,0)</f>
        <v>-6.1538370320363057E-2</v>
      </c>
      <c r="E41" s="30">
        <f>IFERROR(E16/IS!E3,0)</f>
        <v>0</v>
      </c>
      <c r="F41" s="30">
        <f>IFERROR(F16/IS!F3,0)</f>
        <v>0</v>
      </c>
      <c r="G41" s="30">
        <f>IFERROR(G16/IS!G3,0)</f>
        <v>-6.1538370320363057E-2</v>
      </c>
      <c r="H41" s="30">
        <f>IFERROR(H16/IS!H3,0)</f>
        <v>-6.1538370320363057E-2</v>
      </c>
      <c r="I41" s="30">
        <f>IFERROR(I16/IS!I3,0)</f>
        <v>-6.1538370320363064E-2</v>
      </c>
      <c r="J41" s="30">
        <f>IFERROR(J16/IS!J3,0)</f>
        <v>-6.1538370320363057E-2</v>
      </c>
      <c r="K41" s="30">
        <f>IFERROR(K16/IS!K3,0)</f>
        <v>-6.1538370320363057E-2</v>
      </c>
    </row>
    <row r="42" spans="1:11" ht="15.6" customHeight="1" x14ac:dyDescent="0.25">
      <c r="A42" s="24" t="s">
        <v>195</v>
      </c>
      <c r="B42" s="30">
        <f>IFERROR(B18/IS!B3,0)</f>
        <v>-3.5458601426081336E-2</v>
      </c>
      <c r="C42" s="30">
        <f>IFERROR(C18/IS!C3,0)</f>
        <v>-2.4489040350118615E-2</v>
      </c>
      <c r="D42" s="30">
        <f>IFERROR(D18/IS!D3,0)</f>
        <v>-1.6311164280655772E-2</v>
      </c>
      <c r="E42" s="30">
        <f>IFERROR(E18/IS!E3,0)</f>
        <v>0</v>
      </c>
      <c r="F42" s="30">
        <f>IFERROR(F18/IS!F3,0)</f>
        <v>0</v>
      </c>
      <c r="G42" s="30">
        <f>IFERROR(G18/IS!G3,0)</f>
        <v>-1.6311164280655772E-2</v>
      </c>
      <c r="H42" s="30">
        <f>IFERROR(H18/IS!H3,0)</f>
        <v>-1.6311164280655772E-2</v>
      </c>
      <c r="I42" s="30">
        <f>IFERROR(I18/IS!I3,0)</f>
        <v>-1.6311164280655772E-2</v>
      </c>
      <c r="J42" s="30">
        <f>IFERROR(J18/IS!J3,0)</f>
        <v>-1.6311164280655772E-2</v>
      </c>
      <c r="K42" s="30">
        <f>IFERROR(K18/IS!K3,0)</f>
        <v>-1.6311164280655772E-2</v>
      </c>
    </row>
  </sheetData>
  <phoneticPr fontId="11" type="noConversion"/>
  <pageMargins left="0.75" right="0.75" top="1" bottom="1" header="0.5" footer="0.5"/>
  <pageSetup paperSize="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E78"/>
  </sheetPr>
  <dimension ref="A1"/>
  <sheetViews>
    <sheetView workbookViewId="0"/>
  </sheetViews>
  <sheetFormatPr defaultRowHeight="14.4" x14ac:dyDescent="0.25"/>
  <sheetData/>
  <phoneticPr fontId="1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1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P29" sqref="P29"/>
    </sheetView>
  </sheetViews>
  <sheetFormatPr defaultRowHeight="14.4" x14ac:dyDescent="0.25"/>
  <cols>
    <col min="1" max="1" width="45" customWidth="1"/>
    <col min="2" max="11" width="14" customWidth="1"/>
  </cols>
  <sheetData>
    <row r="1" spans="1:11" ht="15.6" customHeight="1" x14ac:dyDescent="0.25">
      <c r="A1" s="1" t="str">
        <f>"03393.HK in "&amp;IF(ReportUnit&lt;1000, "", IF(ReportUnit&lt;1000000, "Thousands", IF(ReportUnit&lt;1000000000, "Millions", "Billions")))&amp;" CNY"</f>
        <v>03393.HK in Millions CNY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 ht="15.6" customHeight="1" x14ac:dyDescent="0.25">
      <c r="A2" s="2" t="s">
        <v>67</v>
      </c>
      <c r="B2" s="26">
        <f>IS!B3</f>
        <v>4590.7619999999997</v>
      </c>
      <c r="C2" s="26">
        <f>IS!C3</f>
        <v>5855.8440000000001</v>
      </c>
      <c r="D2" s="26">
        <f>IS!D3</f>
        <v>7252.2719999999999</v>
      </c>
      <c r="E2" s="26">
        <f>IS!E3</f>
        <v>8716.5409999999993</v>
      </c>
      <c r="F2" s="26">
        <f>IS!F3</f>
        <v>10073.525</v>
      </c>
      <c r="G2" s="2">
        <f>G5+G7+G9+G11+G12+G13</f>
        <v>12341.081550000003</v>
      </c>
      <c r="H2" s="2">
        <f>H5+H7+H9+H11+H12+H13</f>
        <v>14707.470206229213</v>
      </c>
      <c r="I2" s="2">
        <f>I5+I7+I9+I11+I12+I13</f>
        <v>17228.145457166942</v>
      </c>
      <c r="J2" s="2">
        <f>J5+J7+J9+J11+J12+J13</f>
        <v>19872.945875138081</v>
      </c>
      <c r="K2" s="2">
        <f>K5+K7+K9+K11+K12+K13</f>
        <v>22613.097580158337</v>
      </c>
    </row>
    <row r="3" spans="1:11" ht="15.6" customHeight="1" x14ac:dyDescent="0.25">
      <c r="A3" s="24" t="s">
        <v>85</v>
      </c>
      <c r="B3" s="36"/>
      <c r="C3" s="30">
        <f>(C2/B2)-1</f>
        <v>0.27557124503513797</v>
      </c>
      <c r="D3" s="30">
        <f>(D2/C2)-1</f>
        <v>0.23846741818941886</v>
      </c>
      <c r="E3" s="30">
        <f>(E2/D2)-1</f>
        <v>0.20190486512364658</v>
      </c>
      <c r="F3" s="30">
        <f>(F2/E2)-1</f>
        <v>0.15567918512630197</v>
      </c>
      <c r="G3" s="30">
        <f>(G2-F2)/F2</f>
        <v>0.22510060281778255</v>
      </c>
      <c r="H3" s="30">
        <f>(H2-G2)/G2</f>
        <v>0.19174888737601847</v>
      </c>
      <c r="I3" s="30">
        <f>(I2-H2)/H2</f>
        <v>0.17138741167533494</v>
      </c>
      <c r="J3" s="30">
        <f>(J2-I2)/I2</f>
        <v>0.15351625771599792</v>
      </c>
      <c r="K3" s="30">
        <f>(K2-J2)/J2</f>
        <v>0.13788351874134097</v>
      </c>
    </row>
    <row r="4" spans="1:11" ht="15.6" customHeight="1" x14ac:dyDescent="0.25">
      <c r="A4" s="2"/>
      <c r="B4" s="37"/>
      <c r="C4" s="37"/>
      <c r="D4" s="37"/>
      <c r="E4" s="37"/>
      <c r="F4" s="37"/>
      <c r="G4" s="37"/>
      <c r="H4" s="37"/>
      <c r="I4" s="37"/>
      <c r="J4" s="37"/>
      <c r="K4" s="37"/>
    </row>
    <row r="5" spans="1:11" ht="15.6" customHeight="1" x14ac:dyDescent="0.25">
      <c r="A5" s="2" t="s">
        <v>248</v>
      </c>
      <c r="B5" s="25">
        <f>1719375000/ReportUnit</f>
        <v>1719.375</v>
      </c>
      <c r="C5" s="25">
        <f>1901852000/ReportUnit</f>
        <v>1901.8520000000001</v>
      </c>
      <c r="D5" s="25">
        <f>2116982000/ReportUnit</f>
        <v>2116.982</v>
      </c>
      <c r="E5" s="25">
        <f>2614796000/ReportUnit</f>
        <v>2614.7959999999998</v>
      </c>
      <c r="F5" s="25">
        <f>2857127000/ReportUnit</f>
        <v>2857.127</v>
      </c>
      <c r="G5" s="2">
        <f>IF(F5="",0,F5*(1+G6))</f>
        <v>3295.5912402909862</v>
      </c>
      <c r="H5" s="2">
        <f>IF(G5="",0,G5*(1+H6))</f>
        <v>3747.0872402108512</v>
      </c>
      <c r="I5" s="2">
        <f>IF(H5="",0,H5*(1+I6))</f>
        <v>4249.1969303991045</v>
      </c>
      <c r="J5" s="2">
        <f>IF(I5="",0,I5*(1+J6))</f>
        <v>4771.8481528381944</v>
      </c>
      <c r="K5" s="2">
        <f>IF(J5="",0,J5*(1+K6))</f>
        <v>5339.6980830259399</v>
      </c>
    </row>
    <row r="6" spans="1:11" ht="15.6" customHeight="1" x14ac:dyDescent="0.25">
      <c r="A6" s="24" t="s">
        <v>249</v>
      </c>
      <c r="B6" s="36"/>
      <c r="C6" s="30">
        <f>IF(C5="","",(C5/B5)-1)</f>
        <v>0.10612984369320255</v>
      </c>
      <c r="D6" s="30">
        <f>IF(D5="","",(D5/C5)-1)</f>
        <v>0.11311605740089137</v>
      </c>
      <c r="E6" s="30">
        <f>IF(E5="","",(E5/D5)-1)</f>
        <v>0.23515268434025405</v>
      </c>
      <c r="F6" s="30">
        <f>IFERROR(IF(F5="","",(F5/E5)-1),"")</f>
        <v>9.2676828326186955E-2</v>
      </c>
      <c r="G6" s="31">
        <v>0.153463335823359</v>
      </c>
      <c r="H6" s="31">
        <v>0.13700000000000001</v>
      </c>
      <c r="I6" s="31">
        <v>0.13400000000000001</v>
      </c>
      <c r="J6" s="31">
        <v>0.123</v>
      </c>
      <c r="K6" s="31">
        <v>0.11899999999999999</v>
      </c>
    </row>
    <row r="7" spans="1:11" ht="15.6" customHeight="1" x14ac:dyDescent="0.25">
      <c r="A7" s="43"/>
      <c r="B7" s="25"/>
      <c r="C7" s="25"/>
      <c r="D7" s="25"/>
      <c r="E7" s="25"/>
      <c r="F7" s="37"/>
      <c r="G7" s="2"/>
      <c r="H7" s="2"/>
      <c r="I7" s="2"/>
      <c r="J7" s="2"/>
      <c r="K7" s="2"/>
    </row>
    <row r="8" spans="1:11" ht="15.6" customHeight="1" x14ac:dyDescent="0.25">
      <c r="A8" s="24"/>
      <c r="B8" s="36"/>
      <c r="C8" s="30"/>
      <c r="D8" s="30"/>
      <c r="E8" s="30"/>
      <c r="F8" s="30"/>
      <c r="G8" s="42"/>
      <c r="H8" s="42"/>
      <c r="I8" s="42"/>
      <c r="J8" s="42"/>
      <c r="K8" s="42"/>
    </row>
    <row r="9" spans="1:11" ht="15.6" customHeight="1" x14ac:dyDescent="0.25">
      <c r="A9" s="2" t="s">
        <v>250</v>
      </c>
      <c r="B9" s="25">
        <f>1714446000/ReportUnit</f>
        <v>1714.4459999999999</v>
      </c>
      <c r="C9" s="25">
        <f>2059254000/ReportUnit</f>
        <v>2059.2539999999999</v>
      </c>
      <c r="D9" s="25">
        <f>2650357000/ReportUnit</f>
        <v>2650.357</v>
      </c>
      <c r="E9" s="25">
        <f>3198759000/ReportUnit</f>
        <v>3198.759</v>
      </c>
      <c r="F9" s="25">
        <f>3652098000/ReportUnit</f>
        <v>3652.098</v>
      </c>
      <c r="G9" s="2">
        <f>IF(F9="",0,F9*(1+G10))</f>
        <v>4577.7709418338172</v>
      </c>
      <c r="H9" s="2">
        <f>IF(G9="",0,G9*(1+H10))</f>
        <v>5433.8141079567413</v>
      </c>
      <c r="I9" s="2">
        <f>IF(H9="",0,H9*(1+I10))</f>
        <v>6324.9596216616465</v>
      </c>
      <c r="J9" s="2">
        <f>IF(I9="",0,I9*(1+J10))</f>
        <v>7229.4288475592621</v>
      </c>
      <c r="K9" s="2">
        <f>IF(J9="",0,J9*(1+K10))</f>
        <v>8118.6485958090516</v>
      </c>
    </row>
    <row r="10" spans="1:11" ht="15.6" customHeight="1" x14ac:dyDescent="0.25">
      <c r="A10" s="24" t="s">
        <v>251</v>
      </c>
      <c r="B10" s="36"/>
      <c r="C10" s="30">
        <f>IF(C9="","",(C9/B9)-1)</f>
        <v>0.20111919535523426</v>
      </c>
      <c r="D10" s="30">
        <f>IF(D9="","",(D9/C9)-1)</f>
        <v>0.28704715396935021</v>
      </c>
      <c r="E10" s="30">
        <f>IF(E9="","",(E9/D9)-1)</f>
        <v>0.20691627580737237</v>
      </c>
      <c r="F10" s="30">
        <f>IFERROR(IF(F9="","",(F9/E9)-1),"")</f>
        <v>0.14172339960590974</v>
      </c>
      <c r="G10" s="31">
        <v>0.253463335823359</v>
      </c>
      <c r="H10" s="31">
        <v>0.187</v>
      </c>
      <c r="I10" s="31">
        <v>0.16400000000000001</v>
      </c>
      <c r="J10" s="31">
        <v>0.14299999999999999</v>
      </c>
      <c r="K10" s="31">
        <v>0.123</v>
      </c>
    </row>
    <row r="11" spans="1:11" ht="15.6" customHeight="1" x14ac:dyDescent="0.25">
      <c r="A11" s="2"/>
      <c r="B11" s="25"/>
      <c r="C11" s="25"/>
      <c r="D11" s="25"/>
      <c r="E11" s="25"/>
      <c r="F11" s="37"/>
      <c r="G11" s="2"/>
      <c r="H11" s="2"/>
      <c r="I11" s="2"/>
      <c r="J11" s="2"/>
      <c r="K11" s="2"/>
    </row>
    <row r="12" spans="1:11" ht="15.6" customHeight="1" x14ac:dyDescent="0.25">
      <c r="A12" s="2"/>
      <c r="B12" s="25"/>
      <c r="C12" s="25"/>
      <c r="D12" s="25"/>
      <c r="E12" s="25"/>
      <c r="F12" s="37"/>
      <c r="G12" s="2"/>
      <c r="H12" s="2"/>
      <c r="I12" s="2"/>
      <c r="J12" s="2"/>
      <c r="K12" s="2"/>
    </row>
    <row r="13" spans="1:11" ht="15.6" customHeight="1" x14ac:dyDescent="0.25">
      <c r="A13" s="2" t="s">
        <v>252</v>
      </c>
      <c r="B13" s="25">
        <f>1156941000/ReportUnit</f>
        <v>1156.941</v>
      </c>
      <c r="C13" s="25">
        <f>1894738000/ReportUnit</f>
        <v>1894.7380000000001</v>
      </c>
      <c r="D13" s="25">
        <f>2484933000/ReportUnit</f>
        <v>2484.933</v>
      </c>
      <c r="E13" s="25">
        <f>2902986000/ReportUnit</f>
        <v>2902.9859999999999</v>
      </c>
      <c r="F13" s="25">
        <f>3564300000/ReportUnit</f>
        <v>3564.3</v>
      </c>
      <c r="G13" s="2">
        <f>IF(F13="",0,F13*(1+G14))</f>
        <v>4467.7193678751983</v>
      </c>
      <c r="H13" s="2">
        <f>IF(G13="",0,G13*(1+H14))</f>
        <v>5526.5688580616206</v>
      </c>
      <c r="I13" s="2">
        <f>IF(H13="",0,H13*(1+I14))</f>
        <v>6653.9889051061909</v>
      </c>
      <c r="J13" s="2">
        <f>IF(I13="",0,I13*(1+J14))</f>
        <v>7871.6688747406242</v>
      </c>
      <c r="K13" s="2">
        <f>IF(J13="",0,J13*(1+K14))</f>
        <v>9154.7509013233466</v>
      </c>
    </row>
    <row r="14" spans="1:11" ht="15.6" customHeight="1" x14ac:dyDescent="0.25">
      <c r="A14" s="24" t="s">
        <v>247</v>
      </c>
      <c r="B14" s="36"/>
      <c r="C14" s="30">
        <f>IF(C13="","",(C13/B13)-1)</f>
        <v>0.63771359127215654</v>
      </c>
      <c r="D14" s="30">
        <f>IF(D13="","",(D13/C13)-1)</f>
        <v>0.31149161519956836</v>
      </c>
      <c r="E14" s="30">
        <f>IF(E13="","",(E13/D13)-1)</f>
        <v>0.16823511941770652</v>
      </c>
      <c r="F14" s="30">
        <f>IFERROR(IF(F13="","",(F13/E13)-1),"")</f>
        <v>0.2278047500056839</v>
      </c>
      <c r="G14" s="31">
        <v>0.253463335823359</v>
      </c>
      <c r="H14" s="31">
        <v>0.23699999999999999</v>
      </c>
      <c r="I14" s="31">
        <v>0.20399999999999999</v>
      </c>
      <c r="J14" s="31">
        <v>0.183</v>
      </c>
      <c r="K14" s="31">
        <v>0.16300000000000001</v>
      </c>
    </row>
  </sheetData>
  <phoneticPr fontId="11" type="noConversion"/>
  <pageMargins left="0.75" right="0.75" top="1" bottom="1" header="0.5" footer="0.5"/>
  <pageSetup paperSize="3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30"/>
  <sheetViews>
    <sheetView workbookViewId="0">
      <pane xSplit="1" ySplit="6" topLeftCell="B7" activePane="bottomRight" state="frozen"/>
      <selection pane="topRight"/>
      <selection pane="bottomLeft"/>
      <selection pane="bottomRight" activeCell="L29" sqref="L29"/>
    </sheetView>
  </sheetViews>
  <sheetFormatPr defaultRowHeight="14.4" x14ac:dyDescent="0.25"/>
  <cols>
    <col min="1" max="1" width="45" customWidth="1"/>
    <col min="2" max="11" width="14" customWidth="1"/>
  </cols>
  <sheetData>
    <row r="1" spans="1:11" ht="15.6" customHeight="1" x14ac:dyDescent="0.25">
      <c r="A1" s="2" t="s">
        <v>21</v>
      </c>
      <c r="B1" s="30">
        <f>RiskFreeRate</f>
        <v>3.0880000000000001E-2</v>
      </c>
      <c r="C1" s="38" t="s">
        <v>196</v>
      </c>
      <c r="D1" s="2"/>
      <c r="E1" s="2"/>
      <c r="F1" s="2"/>
      <c r="G1" s="2"/>
      <c r="H1" s="2"/>
      <c r="I1" s="2"/>
      <c r="J1" s="2"/>
    </row>
    <row r="2" spans="1:11" ht="15.6" customHeight="1" x14ac:dyDescent="0.25">
      <c r="A2" s="2" t="s">
        <v>22</v>
      </c>
      <c r="B2" s="30">
        <f>SpreadOverRiskFreeRate</f>
        <v>0</v>
      </c>
      <c r="C2" s="2"/>
      <c r="D2" s="2"/>
      <c r="E2" s="2"/>
      <c r="F2" s="2"/>
      <c r="G2" s="2"/>
      <c r="H2" s="2"/>
      <c r="I2" s="2"/>
      <c r="J2" s="2"/>
    </row>
    <row r="3" spans="1:11" ht="15.6" customHeight="1" x14ac:dyDescent="0.25">
      <c r="A3" s="2" t="s">
        <v>197</v>
      </c>
      <c r="B3" s="30">
        <f>B1+B2</f>
        <v>3.0880000000000001E-2</v>
      </c>
      <c r="C3" s="2"/>
      <c r="D3" s="2"/>
      <c r="E3" s="2"/>
      <c r="F3" s="2"/>
      <c r="G3" s="2"/>
      <c r="H3" s="2"/>
      <c r="I3" s="2"/>
      <c r="J3" s="2"/>
    </row>
    <row r="4" spans="1:11" ht="15.6" customHeight="1" x14ac:dyDescent="0.25">
      <c r="A4" s="2" t="s">
        <v>198</v>
      </c>
      <c r="B4" s="30">
        <f>RiskFreeRate</f>
        <v>3.0880000000000001E-2</v>
      </c>
      <c r="C4" s="2"/>
      <c r="D4" s="2"/>
      <c r="E4" s="2"/>
      <c r="F4" s="2"/>
      <c r="G4" s="2"/>
      <c r="H4" s="2"/>
      <c r="I4" s="2"/>
      <c r="J4" s="2"/>
    </row>
    <row r="5" spans="1:11" ht="15.6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1" ht="15.6" customHeight="1" x14ac:dyDescent="0.25">
      <c r="A6" s="1" t="str">
        <f>IS!A1</f>
        <v>03393.HK in Millions CNY</v>
      </c>
      <c r="B6" s="1" t="str">
        <f>IS!B1</f>
        <v>FY2021A</v>
      </c>
      <c r="C6" s="1" t="str">
        <f>IS!C1</f>
        <v>FY2022A</v>
      </c>
      <c r="D6" s="1" t="str">
        <f>IS!D1</f>
        <v>FY2023A</v>
      </c>
      <c r="E6" s="1" t="str">
        <f>IS!E1</f>
        <v>FY2024A</v>
      </c>
      <c r="F6" s="1" t="str">
        <f>IS!F1</f>
        <v>FY2025A</v>
      </c>
      <c r="G6" s="1" t="str">
        <f>IS!G1</f>
        <v>FY2026E</v>
      </c>
      <c r="H6" s="1" t="str">
        <f>IS!H1</f>
        <v>FY2027E</v>
      </c>
      <c r="I6" s="1" t="str">
        <f>IS!I1</f>
        <v>FY2028E</v>
      </c>
      <c r="J6" s="1" t="str">
        <f>IS!J1</f>
        <v>FY2029E</v>
      </c>
      <c r="K6" s="1" t="str">
        <f>IS!K1</f>
        <v>FY2030E</v>
      </c>
    </row>
    <row r="7" spans="1:11" ht="15.6" customHeight="1" x14ac:dyDescent="0.25">
      <c r="A7" s="2" t="s">
        <v>110</v>
      </c>
      <c r="B7" s="26">
        <f>BS!B3</f>
        <v>2578.9459999999999</v>
      </c>
      <c r="C7" s="26">
        <f>BS!C3</f>
        <v>2027.9280000000001</v>
      </c>
      <c r="D7" s="26">
        <f>BS!D3</f>
        <v>2644.8960000000002</v>
      </c>
      <c r="E7" s="26">
        <f>BS!E3</f>
        <v>2790.3</v>
      </c>
      <c r="F7" s="26">
        <f>BS!F3</f>
        <v>3015.2420000000002</v>
      </c>
      <c r="G7" s="26">
        <f ca="1">BS!G3</f>
        <v>2995.5299110500159</v>
      </c>
      <c r="H7" s="26">
        <f ca="1">BS!H3</f>
        <v>3671.7089973728398</v>
      </c>
      <c r="I7" s="26">
        <f ca="1">BS!I3</f>
        <v>4746.1530604545906</v>
      </c>
      <c r="J7" s="26">
        <f ca="1">BS!J3</f>
        <v>6280.9019906481954</v>
      </c>
      <c r="K7" s="26">
        <f ca="1">BS!K3</f>
        <v>8534.0735635874989</v>
      </c>
    </row>
    <row r="8" spans="1:11" ht="15.6" customHeight="1" x14ac:dyDescent="0.25">
      <c r="A8" s="2" t="s">
        <v>199</v>
      </c>
      <c r="B8" s="26">
        <f>IFERROR(MAX((-IS!B51-CFS!B4)/365*BS!B49,0),0)</f>
        <v>0</v>
      </c>
      <c r="C8" s="26">
        <f>IFERROR(MAX((-IS!C51-CFS!C4)/365*BS!C49,0),0)</f>
        <v>792.45619483474741</v>
      </c>
      <c r="D8" s="26">
        <f>IFERROR(MAX((-IS!D51-CFS!D4)/365*BS!D49,0),0)</f>
        <v>442.31925770132449</v>
      </c>
      <c r="E8" s="26">
        <f>IFERROR(MAX((-IS!E51-CFS!E4)/365*BS!E49,0),0)</f>
        <v>183.20075811721796</v>
      </c>
      <c r="F8" s="26">
        <f>IFERROR(MAX((-IS!F51-CFS!F4)/365*BS!F49,0),0)</f>
        <v>0</v>
      </c>
      <c r="G8" s="26">
        <f>IFERROR(MAX((-IS!G51-CFS!G4)/365*BS!G49,0),0)</f>
        <v>453.07440956983197</v>
      </c>
      <c r="H8" s="26">
        <f>IFERROR(MAX((-IS!H51-CFS!H4)/365*BS!H49,0),0)</f>
        <v>213.565032241399</v>
      </c>
      <c r="I8" s="26">
        <f>IFERROR(MAX((-IS!I51-CFS!I4)/365*BS!I49,0),0)</f>
        <v>0</v>
      </c>
      <c r="J8" s="26">
        <f>IFERROR(MAX((-IS!J51-CFS!J4)/365*BS!J49,0),0)</f>
        <v>0</v>
      </c>
      <c r="K8" s="26">
        <f>IFERROR(MAX((-IS!K51-CFS!K4)/365*BS!K49,0),0)</f>
        <v>0</v>
      </c>
    </row>
    <row r="9" spans="1:11" ht="15.6" customHeight="1" x14ac:dyDescent="0.25"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6" customHeight="1" x14ac:dyDescent="0.25">
      <c r="A10" s="2" t="s">
        <v>111</v>
      </c>
      <c r="B10" s="26">
        <f>BS!B4</f>
        <v>418.52100000000002</v>
      </c>
      <c r="C10" s="26">
        <f>BS!C4</f>
        <v>832.38400000000001</v>
      </c>
      <c r="D10" s="26">
        <f>BS!D4</f>
        <v>880.89599999999996</v>
      </c>
      <c r="E10" s="26">
        <f>BS!E4</f>
        <v>564.54700000000003</v>
      </c>
      <c r="F10" s="26">
        <f>BS!F4</f>
        <v>416.83199999999999</v>
      </c>
      <c r="G10" s="2">
        <f>F10+G11</f>
        <v>416.83199999999999</v>
      </c>
      <c r="H10" s="2">
        <f>G10+H11</f>
        <v>416.83199999999999</v>
      </c>
      <c r="I10" s="2">
        <f>H10+I11</f>
        <v>416.83199999999999</v>
      </c>
      <c r="J10" s="2">
        <f>I10+J11</f>
        <v>416.83199999999999</v>
      </c>
      <c r="K10" s="2">
        <f>J10+K11</f>
        <v>416.83199999999999</v>
      </c>
    </row>
    <row r="11" spans="1:11" ht="15.6" customHeight="1" x14ac:dyDescent="0.25">
      <c r="A11" s="24" t="s">
        <v>200</v>
      </c>
      <c r="B11" s="37"/>
      <c r="C11" s="37"/>
      <c r="D11" s="37"/>
      <c r="E11" s="37"/>
      <c r="F11" s="37"/>
      <c r="G11" s="39">
        <v>0</v>
      </c>
      <c r="H11" s="39">
        <v>0</v>
      </c>
      <c r="I11" s="39">
        <v>0</v>
      </c>
      <c r="J11" s="39">
        <v>0</v>
      </c>
      <c r="K11" s="39">
        <v>0</v>
      </c>
    </row>
    <row r="12" spans="1:11" ht="15.6" customHeight="1" x14ac:dyDescent="0.25">
      <c r="A12" s="2" t="s">
        <v>119</v>
      </c>
      <c r="B12" s="26">
        <f>BS!B13</f>
        <v>0</v>
      </c>
      <c r="C12" s="26">
        <f>BS!C13</f>
        <v>8.3949999999999996</v>
      </c>
      <c r="D12" s="26">
        <f>BS!D13</f>
        <v>9.1509999999999998</v>
      </c>
      <c r="E12" s="26">
        <f>BS!E13</f>
        <v>9.4260000000000002</v>
      </c>
      <c r="F12" s="26">
        <f>BS!F13</f>
        <v>10.372999999999999</v>
      </c>
      <c r="G12" s="2">
        <f>F12+G13</f>
        <v>10.372999999999999</v>
      </c>
      <c r="H12" s="2">
        <f>G12+H13</f>
        <v>10.372999999999999</v>
      </c>
      <c r="I12" s="2">
        <f>H12+I13</f>
        <v>10.372999999999999</v>
      </c>
      <c r="J12" s="2">
        <f>I12+J13</f>
        <v>10.372999999999999</v>
      </c>
      <c r="K12" s="2">
        <f>J12+K13</f>
        <v>10.372999999999999</v>
      </c>
    </row>
    <row r="13" spans="1:11" ht="15.6" customHeight="1" x14ac:dyDescent="0.25">
      <c r="A13" s="24" t="s">
        <v>201</v>
      </c>
      <c r="B13" s="37"/>
      <c r="C13" s="37"/>
      <c r="D13" s="37"/>
      <c r="E13" s="37"/>
      <c r="F13" s="37"/>
      <c r="G13" s="39">
        <v>0</v>
      </c>
      <c r="H13" s="39">
        <v>0</v>
      </c>
      <c r="I13" s="39">
        <v>0</v>
      </c>
      <c r="J13" s="39">
        <v>0</v>
      </c>
      <c r="K13" s="39">
        <v>0</v>
      </c>
    </row>
    <row r="14" spans="1:11" ht="15.6" customHeight="1" x14ac:dyDescent="0.25">
      <c r="A14" s="2" t="s">
        <v>202</v>
      </c>
      <c r="B14" s="37"/>
      <c r="C14" s="37"/>
      <c r="D14" s="37"/>
      <c r="E14" s="37"/>
      <c r="F14" s="37"/>
      <c r="G14" s="2">
        <f>(F10+F7)*$B$4</f>
        <v>105.98244512000001</v>
      </c>
      <c r="H14" s="2">
        <f ca="1">(G10+G7)*$B$4</f>
        <v>105.3737358132245</v>
      </c>
      <c r="I14" s="2">
        <f ca="1">(H10+H7)*$B$4</f>
        <v>126.2541459988733</v>
      </c>
      <c r="J14" s="2">
        <f ca="1">(I10+I7)*$B$4</f>
        <v>159.43297866683778</v>
      </c>
      <c r="K14" s="2">
        <f ca="1">(J10+J7)*$B$4</f>
        <v>206.82602563121628</v>
      </c>
    </row>
    <row r="15" spans="1:11" ht="15.6" customHeight="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6" customHeight="1" x14ac:dyDescent="0.25">
      <c r="A16" s="2" t="s">
        <v>125</v>
      </c>
      <c r="B16" s="26">
        <f>BS!B20</f>
        <v>2046.566</v>
      </c>
      <c r="C16" s="26">
        <f>BS!C20</f>
        <v>1714.799</v>
      </c>
      <c r="D16" s="26">
        <f>BS!D20</f>
        <v>1679.3019999999999</v>
      </c>
      <c r="E16" s="26">
        <f>BS!E20</f>
        <v>1615.723</v>
      </c>
      <c r="F16" s="26">
        <f>BS!F20</f>
        <v>1400.82</v>
      </c>
      <c r="G16" s="2">
        <f>F16+G17</f>
        <v>1400.82</v>
      </c>
      <c r="H16" s="2">
        <f>G16+H17</f>
        <v>1400.82</v>
      </c>
      <c r="I16" s="2">
        <f>H16+I17</f>
        <v>1400.82</v>
      </c>
      <c r="J16" s="2">
        <f>I16+J17</f>
        <v>1400.82</v>
      </c>
      <c r="K16" s="2">
        <f>J16+K17</f>
        <v>1400.82</v>
      </c>
    </row>
    <row r="17" spans="1:11" ht="15.6" customHeight="1" x14ac:dyDescent="0.25">
      <c r="A17" s="24" t="s">
        <v>203</v>
      </c>
      <c r="B17" s="37"/>
      <c r="C17" s="37"/>
      <c r="D17" s="37"/>
      <c r="E17" s="37"/>
      <c r="F17" s="37"/>
      <c r="G17" s="39">
        <v>0</v>
      </c>
      <c r="H17" s="39">
        <v>0</v>
      </c>
      <c r="I17" s="39">
        <v>0</v>
      </c>
      <c r="J17" s="39">
        <v>0</v>
      </c>
      <c r="K17" s="39">
        <v>0</v>
      </c>
    </row>
    <row r="18" spans="1:11" ht="15.6" customHeight="1" x14ac:dyDescent="0.25">
      <c r="A18" s="2" t="s">
        <v>130</v>
      </c>
      <c r="B18" s="26">
        <f>BS!B26</f>
        <v>790.33500000000004</v>
      </c>
      <c r="C18" s="26">
        <f>BS!C26</f>
        <v>946.84299999999996</v>
      </c>
      <c r="D18" s="26">
        <f>BS!D26</f>
        <v>835.14400000000001</v>
      </c>
      <c r="E18" s="26">
        <f>BS!E26</f>
        <v>971.47299999999996</v>
      </c>
      <c r="F18" s="26">
        <f>BS!F26</f>
        <v>1086.0809999999999</v>
      </c>
      <c r="G18" s="2">
        <f>F18+G19</f>
        <v>1086.0809999999999</v>
      </c>
      <c r="H18" s="2">
        <f>G18+H19</f>
        <v>1086.0809999999999</v>
      </c>
      <c r="I18" s="2">
        <f>H18+I19</f>
        <v>1086.0809999999999</v>
      </c>
      <c r="J18" s="2">
        <f>I18+J19</f>
        <v>1086.0809999999999</v>
      </c>
      <c r="K18" s="2">
        <f>J18+K19</f>
        <v>1086.0809999999999</v>
      </c>
    </row>
    <row r="19" spans="1:11" ht="15.6" customHeight="1" x14ac:dyDescent="0.25">
      <c r="A19" s="24" t="s">
        <v>204</v>
      </c>
      <c r="B19" s="37"/>
      <c r="C19" s="37"/>
      <c r="D19" s="37"/>
      <c r="E19" s="37"/>
      <c r="F19" s="37"/>
      <c r="G19" s="39">
        <v>0</v>
      </c>
      <c r="H19" s="39">
        <v>0</v>
      </c>
      <c r="I19" s="39">
        <v>0</v>
      </c>
      <c r="J19" s="39">
        <v>0</v>
      </c>
      <c r="K19" s="39">
        <v>0</v>
      </c>
    </row>
    <row r="20" spans="1:11" ht="15.6" customHeight="1" x14ac:dyDescent="0.25">
      <c r="A20" s="2" t="s">
        <v>205</v>
      </c>
      <c r="B20" s="37"/>
      <c r="C20" s="37"/>
      <c r="D20" s="37"/>
      <c r="E20" s="37"/>
      <c r="F20" s="37"/>
      <c r="G20" s="2">
        <f>-(F16+F18)*$B$3</f>
        <v>-76.795502880000001</v>
      </c>
      <c r="H20" s="2">
        <f>-(G16+G18)*$B$3</f>
        <v>-76.795502880000001</v>
      </c>
      <c r="I20" s="2">
        <f>-(H16+H18)*$B$3</f>
        <v>-76.795502880000001</v>
      </c>
      <c r="J20" s="2">
        <f>-(I16+I18)*$B$3</f>
        <v>-76.795502880000001</v>
      </c>
      <c r="K20" s="2">
        <f>-(J16+J18)*$B$3</f>
        <v>-76.795502880000001</v>
      </c>
    </row>
    <row r="21" spans="1:11" ht="15.6" customHeight="1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6" customHeight="1" x14ac:dyDescent="0.25">
      <c r="A22" s="2" t="s">
        <v>185</v>
      </c>
      <c r="B22" s="26">
        <f>CFS!B28</f>
        <v>-211.53899999999999</v>
      </c>
      <c r="C22" s="26">
        <f>CFS!C28</f>
        <v>-222.458</v>
      </c>
      <c r="D22" s="26">
        <f>CFS!D28</f>
        <v>-273.524</v>
      </c>
      <c r="E22" s="26">
        <f>CFS!E28</f>
        <v>0</v>
      </c>
      <c r="F22" s="26">
        <f>CFS!F28</f>
        <v>0</v>
      </c>
      <c r="G22" s="26">
        <f>-IF(IS!G17&gt;0, G23*IS!G17, 0)</f>
        <v>-673.6157850071296</v>
      </c>
      <c r="H22" s="26">
        <f ca="1">-IF(IS!H17&gt;0, H23*IS!H17, 0)</f>
        <v>-800.85759530779967</v>
      </c>
      <c r="I22" s="26">
        <f ca="1">-IF(IS!I17&gt;0, I23*IS!I17, 0)</f>
        <v>-943.06812164004236</v>
      </c>
      <c r="J22" s="26">
        <f ca="1">-IF(IS!J17&gt;0, J23*IS!J17, 0)</f>
        <v>-1095.7745938926562</v>
      </c>
      <c r="K22" s="26">
        <f ca="1">-IF(IS!K17&gt;0, K23*IS!K17, 0)</f>
        <v>-1258.0213151767259</v>
      </c>
    </row>
    <row r="23" spans="1:11" ht="15.6" customHeight="1" x14ac:dyDescent="0.25">
      <c r="A23" s="24" t="s">
        <v>193</v>
      </c>
      <c r="B23" s="30">
        <f>IFERROR(-B22/IS!B17,0)</f>
        <v>0.49428002635674129</v>
      </c>
      <c r="C23" s="30">
        <f>IFERROR(-C22/IS!C17,0)</f>
        <v>0.43520228499882618</v>
      </c>
      <c r="D23" s="30">
        <f>IFERROR(-D22/IS!D17,0)</f>
        <v>0.35961940222957617</v>
      </c>
      <c r="E23" s="30">
        <f>IFERROR(-E22/IS!E17,0)</f>
        <v>0</v>
      </c>
      <c r="F23" s="30">
        <f>IFERROR(-F22/IS!F17,0)</f>
        <v>0</v>
      </c>
      <c r="G23" s="31">
        <f>IFERROR(AVERAGEIF(D23:F23,"&lt;&gt;0"),0)</f>
        <v>0.35961940222957617</v>
      </c>
      <c r="H23" s="31">
        <f>G23</f>
        <v>0.35961940222957617</v>
      </c>
      <c r="I23" s="31">
        <f>H23</f>
        <v>0.35961940222957617</v>
      </c>
      <c r="J23" s="31">
        <f>I23</f>
        <v>0.35961940222957617</v>
      </c>
      <c r="K23" s="31">
        <f>J23</f>
        <v>0.35961940222957617</v>
      </c>
    </row>
    <row r="24" spans="1:11" ht="15.6" customHeight="1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6" customHeight="1" x14ac:dyDescent="0.25">
      <c r="A25" s="2" t="s">
        <v>206</v>
      </c>
      <c r="B25" s="37"/>
      <c r="C25" s="37"/>
      <c r="D25" s="37"/>
      <c r="E25" s="37"/>
      <c r="F25" s="37"/>
      <c r="G25" s="26">
        <f>'DCF Summary'!B19/'DCF Summary'!B7</f>
        <v>25.042987522596004</v>
      </c>
      <c r="H25" s="26">
        <f>'DCF Summary'!B19/'DCF Summary'!B7</f>
        <v>25.042987522596004</v>
      </c>
      <c r="I25" s="26">
        <f>'DCF Summary'!B19/'DCF Summary'!B7</f>
        <v>25.042987522596004</v>
      </c>
      <c r="J25" s="26">
        <f>'DCF Summary'!B19/'DCF Summary'!B7</f>
        <v>25.042987522596004</v>
      </c>
      <c r="K25" s="26">
        <f>'DCF Summary'!B19/'DCF Summary'!B7</f>
        <v>25.042987522596004</v>
      </c>
    </row>
    <row r="26" spans="1:11" ht="15.6" customHeight="1" x14ac:dyDescent="0.25">
      <c r="A26" s="24" t="s">
        <v>183</v>
      </c>
      <c r="B26" s="26">
        <f>CFS!B26</f>
        <v>0</v>
      </c>
      <c r="C26" s="26">
        <f>CFS!C26</f>
        <v>0</v>
      </c>
      <c r="D26" s="26">
        <f>CFS!D26</f>
        <v>0</v>
      </c>
      <c r="E26" s="26">
        <f>CFS!E26</f>
        <v>0</v>
      </c>
      <c r="F26" s="26">
        <f>CFS!F26</f>
        <v>0</v>
      </c>
      <c r="G26" s="39">
        <v>0</v>
      </c>
      <c r="H26" s="39">
        <v>0</v>
      </c>
      <c r="I26" s="39">
        <v>0</v>
      </c>
      <c r="J26" s="39">
        <v>0</v>
      </c>
      <c r="K26" s="39">
        <v>0</v>
      </c>
    </row>
    <row r="27" spans="1:11" ht="15.6" customHeight="1" x14ac:dyDescent="0.25">
      <c r="A27" s="24" t="s">
        <v>184</v>
      </c>
      <c r="B27" s="26">
        <f>CFS!B27</f>
        <v>0</v>
      </c>
      <c r="C27" s="26">
        <f>CFS!C27</f>
        <v>0</v>
      </c>
      <c r="D27" s="26">
        <f>CFS!D27</f>
        <v>0</v>
      </c>
      <c r="E27" s="26">
        <f>CFS!E27</f>
        <v>0</v>
      </c>
      <c r="F27" s="26">
        <f>CFS!F27</f>
        <v>0</v>
      </c>
      <c r="G27" s="39">
        <v>0</v>
      </c>
      <c r="H27" s="39">
        <v>0</v>
      </c>
      <c r="I27" s="39">
        <v>0</v>
      </c>
      <c r="J27" s="39">
        <v>0</v>
      </c>
      <c r="K27" s="39">
        <v>0</v>
      </c>
    </row>
    <row r="28" spans="1:11" ht="15.6" customHeight="1" x14ac:dyDescent="0.25">
      <c r="A28" s="2" t="s">
        <v>137</v>
      </c>
      <c r="B28" s="26">
        <f>BS!B34</f>
        <v>9.9060000000000006</v>
      </c>
      <c r="C28" s="26">
        <f>BS!C34</f>
        <v>9.9060000000000006</v>
      </c>
      <c r="D28" s="26">
        <f>BS!D34</f>
        <v>9.9060000000000006</v>
      </c>
      <c r="E28" s="26">
        <f>BS!E34</f>
        <v>9.9060000000000006</v>
      </c>
      <c r="F28" s="26">
        <f>BS!F34</f>
        <v>9.9060000000000006</v>
      </c>
      <c r="G28" s="2">
        <f>F28+IFERROR(G27/G25,0)+IFERROR(G26/G25,0)</f>
        <v>9.9060000000000006</v>
      </c>
      <c r="H28" s="2">
        <f>G28+IFERROR(H27/H25,0)+IFERROR(H26/H25,0)</f>
        <v>9.9060000000000006</v>
      </c>
      <c r="I28" s="2">
        <f>H28+IFERROR(I27/I25,0)+IFERROR(I26/I25,0)</f>
        <v>9.9060000000000006</v>
      </c>
      <c r="J28" s="2">
        <f>I28+IFERROR(J27/J25,0)+IFERROR(J26/J25,0)</f>
        <v>9.9060000000000006</v>
      </c>
      <c r="K28" s="2">
        <f>J28+IFERROR(K27/K25,0)+IFERROR(K26/K25,0)</f>
        <v>9.9060000000000006</v>
      </c>
    </row>
    <row r="29" spans="1:11" ht="15.6" customHeight="1" x14ac:dyDescent="0.25">
      <c r="A29" s="2" t="s">
        <v>138</v>
      </c>
      <c r="B29" s="26">
        <f>BS!B35</f>
        <v>0</v>
      </c>
      <c r="C29" s="26">
        <f>BS!C35</f>
        <v>0</v>
      </c>
      <c r="D29" s="26">
        <f>BS!D35</f>
        <v>0</v>
      </c>
      <c r="E29" s="26">
        <f>BS!E35</f>
        <v>0</v>
      </c>
      <c r="F29" s="26">
        <f>BS!F35</f>
        <v>0</v>
      </c>
      <c r="G29" s="2">
        <f>F29+(G26-IFERROR(G26/G25,0))+(G27-IFERROR(G27/G25,0))</f>
        <v>0</v>
      </c>
      <c r="H29" s="2">
        <f>G29+(H26-IFERROR(H26/H25,0))+(H27-IFERROR(H27/H25,0))</f>
        <v>0</v>
      </c>
      <c r="I29" s="2">
        <f>H29+(I26-IFERROR(I26/I25,0))+(I27-IFERROR(I27/I25,0))</f>
        <v>0</v>
      </c>
      <c r="J29" s="2">
        <f>I29+(J26-IFERROR(J26/J25,0))+(J27-IFERROR(J27/J25,0))</f>
        <v>0</v>
      </c>
      <c r="K29" s="2">
        <f>J29+(K26-IFERROR(K26/K25,0))+(K27-IFERROR(K27/K25,0))</f>
        <v>0</v>
      </c>
    </row>
    <row r="30" spans="1:11" ht="15.6" customHeight="1" x14ac:dyDescent="0.25">
      <c r="A30" s="2" t="s">
        <v>207</v>
      </c>
      <c r="B30" s="30">
        <f>IFERROR((BS!B64)/BS!B40,0)</f>
        <v>0.6124668226564931</v>
      </c>
      <c r="C30" s="30">
        <f>IFERROR((BS!C64)/BS!C40,0)</f>
        <v>0.57167029217097254</v>
      </c>
      <c r="D30" s="30">
        <f>IFERROR((BS!D64)/BS!D40,0)</f>
        <v>0.48666985636301835</v>
      </c>
      <c r="E30" s="30">
        <f>IFERROR((BS!E64)/BS!E40,0)</f>
        <v>0.47623470646781552</v>
      </c>
      <c r="F30" s="30">
        <f>IFERROR((BS!F64)/BS!F40,0)</f>
        <v>0.39881294302954023</v>
      </c>
      <c r="G30" s="30">
        <f>IFERROR((BS!G64)/BS!G40,0)</f>
        <v>0.33447319296811612</v>
      </c>
      <c r="H30" s="30">
        <f ca="1">IFERROR((BS!H64)/BS!H40,0)</f>
        <v>0.28064492960993337</v>
      </c>
      <c r="I30" s="30">
        <f ca="1">IFERROR((BS!I64)/BS!I40,0)</f>
        <v>0.23593281863056606</v>
      </c>
      <c r="J30" s="30">
        <f ca="1">IFERROR((BS!J64)/BS!J40,0)</f>
        <v>0.19907978098886397</v>
      </c>
      <c r="K30" s="30">
        <f ca="1">IFERROR((BS!K64)/BS!K40,0)</f>
        <v>0.16880760050374652</v>
      </c>
    </row>
  </sheetData>
  <phoneticPr fontId="11" type="noConversion"/>
  <hyperlinks>
    <hyperlink ref="C1" location="RiskFreeRate" display="Revise in Key Info &amp; Assumptions sheet-&gt;" xr:uid="{00000000-0004-0000-0800-000000000000}"/>
  </hyperlinks>
  <pageMargins left="0.75" right="0.75" top="1" bottom="1" header="0.5" footer="0.5"/>
  <pageSetup paperSize="3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47"/>
  <sheetViews>
    <sheetView workbookViewId="0">
      <pane xSplit="1" ySplit="1" topLeftCell="B18" activePane="bottomRight" state="frozen"/>
      <selection pane="topRight"/>
      <selection pane="bottomLeft"/>
      <selection pane="bottomRight" activeCell="G5" sqref="G5"/>
    </sheetView>
  </sheetViews>
  <sheetFormatPr defaultRowHeight="14.4" x14ac:dyDescent="0.25"/>
  <cols>
    <col min="1" max="1" width="45" customWidth="1"/>
    <col min="2" max="11" width="14" customWidth="1"/>
  </cols>
  <sheetData>
    <row r="1" spans="1:11" ht="15.6" customHeight="1" x14ac:dyDescent="0.25">
      <c r="A1" s="1" t="str">
        <f>IS!A1</f>
        <v>03393.HK in Millions CNY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 ht="15.6" customHeight="1" x14ac:dyDescent="0.25">
      <c r="A2" s="2" t="s">
        <v>67</v>
      </c>
      <c r="B2" s="26">
        <f>IS!B3</f>
        <v>4590.7619999999997</v>
      </c>
      <c r="C2" s="26">
        <f>IS!C3</f>
        <v>5855.8440000000001</v>
      </c>
      <c r="D2" s="26">
        <f>IS!D3</f>
        <v>7252.2719999999999</v>
      </c>
      <c r="E2" s="26">
        <f>IS!E3</f>
        <v>8716.5409999999993</v>
      </c>
      <c r="F2" s="26">
        <f>IS!F3</f>
        <v>10073.525</v>
      </c>
      <c r="G2" s="26">
        <f>IS!G3</f>
        <v>12341.081550000004</v>
      </c>
      <c r="H2" s="26">
        <f>IS!H3</f>
        <v>14707.470206229214</v>
      </c>
      <c r="I2" s="26">
        <f>IS!I3</f>
        <v>17228.145457166942</v>
      </c>
      <c r="J2" s="26">
        <f>IS!J3</f>
        <v>19872.945875138081</v>
      </c>
      <c r="K2" s="26">
        <f>IS!K3</f>
        <v>22613.097580158337</v>
      </c>
    </row>
    <row r="3" spans="1:11" ht="15.6" customHeight="1" x14ac:dyDescent="0.25">
      <c r="A3" s="2" t="s">
        <v>85</v>
      </c>
      <c r="B3" s="40">
        <f>IS!B26</f>
        <v>0</v>
      </c>
      <c r="C3" s="40">
        <f>IS!C26</f>
        <v>0.27557124503513797</v>
      </c>
      <c r="D3" s="40">
        <f>IS!D26</f>
        <v>0.23846741818941886</v>
      </c>
      <c r="E3" s="40">
        <f>IS!E26</f>
        <v>0.20190486512364658</v>
      </c>
      <c r="F3" s="40">
        <f>IS!F26</f>
        <v>0.15567918512630197</v>
      </c>
      <c r="G3" s="40">
        <f>IS!G26</f>
        <v>0.22510060281778255</v>
      </c>
      <c r="H3" s="40">
        <f>IS!H26</f>
        <v>0.19174888737601847</v>
      </c>
      <c r="I3" s="40">
        <f>IS!I26</f>
        <v>0.17138741167533494</v>
      </c>
      <c r="J3" s="40">
        <f>IS!J26</f>
        <v>0.15351625771599792</v>
      </c>
      <c r="K3" s="40">
        <f>IS!K26</f>
        <v>0.13788351874134097</v>
      </c>
    </row>
    <row r="4" spans="1:11" ht="15.6" customHeight="1" x14ac:dyDescent="0.25">
      <c r="A4" s="2"/>
      <c r="B4" s="37"/>
      <c r="C4" s="37"/>
      <c r="D4" s="37"/>
      <c r="E4" s="37"/>
      <c r="F4" s="37"/>
      <c r="G4" s="37"/>
      <c r="H4" s="37"/>
      <c r="I4" s="37"/>
      <c r="J4" s="37"/>
      <c r="K4" s="37"/>
    </row>
    <row r="5" spans="1:11" ht="15.6" customHeight="1" x14ac:dyDescent="0.25">
      <c r="A5" s="22" t="s">
        <v>116</v>
      </c>
      <c r="B5" s="26">
        <f>BS!B10</f>
        <v>1472.2080000000001</v>
      </c>
      <c r="C5" s="26">
        <f>BS!C10</f>
        <v>1615.569</v>
      </c>
      <c r="D5" s="26">
        <f>BS!D10</f>
        <v>1958.1790000000001</v>
      </c>
      <c r="E5" s="26">
        <f>BS!E10</f>
        <v>2167.5830000000001</v>
      </c>
      <c r="F5" s="26">
        <f>BS!F10</f>
        <v>2333.1329999999998</v>
      </c>
      <c r="G5" s="2">
        <f>F5+G15+G25-G11</f>
        <v>2899.9813919199305</v>
      </c>
      <c r="H5" s="2">
        <f>G5+H15+H25-H11</f>
        <v>3521.9461104861361</v>
      </c>
      <c r="I5" s="2">
        <f>H5+I15+I25-I11</f>
        <v>4193.0098765943003</v>
      </c>
      <c r="J5" s="2">
        <f>I5+J15+J25-J11</f>
        <v>4904.5354799849456</v>
      </c>
      <c r="K5" s="2">
        <f>J5+K15+K25-K11</f>
        <v>5645.5282364352715</v>
      </c>
    </row>
    <row r="6" spans="1:11" ht="15.6" customHeight="1" x14ac:dyDescent="0.25">
      <c r="A6" s="2"/>
      <c r="B6" s="37"/>
      <c r="C6" s="37"/>
      <c r="D6" s="37"/>
      <c r="E6" s="37"/>
      <c r="F6" s="37"/>
      <c r="G6" s="37"/>
      <c r="H6" s="37"/>
      <c r="I6" s="37"/>
      <c r="J6" s="37"/>
      <c r="K6" s="37"/>
    </row>
    <row r="7" spans="1:11" ht="15.6" customHeight="1" x14ac:dyDescent="0.25">
      <c r="A7" s="2" t="s">
        <v>208</v>
      </c>
      <c r="B7" s="37"/>
      <c r="C7" s="37"/>
      <c r="D7" s="37"/>
      <c r="E7" s="37"/>
      <c r="F7" s="37"/>
      <c r="G7" s="39">
        <v>20</v>
      </c>
      <c r="H7" s="37"/>
      <c r="I7" s="37"/>
      <c r="J7" s="37"/>
      <c r="K7" s="37"/>
    </row>
    <row r="8" spans="1:11" ht="15.6" customHeight="1" x14ac:dyDescent="0.25">
      <c r="A8" s="2" t="s">
        <v>209</v>
      </c>
      <c r="B8" s="36"/>
      <c r="C8" s="36"/>
      <c r="D8" s="36"/>
      <c r="E8" s="36"/>
      <c r="F8" s="36"/>
      <c r="G8" s="30">
        <f>IF(COLUMN(G8)-COLUMN(G7)+1&gt;G7,0,1/(G7-COLUMN(G8)+COLUMN(G7)))</f>
        <v>0.05</v>
      </c>
      <c r="H8" s="30">
        <f>IF(COLUMN(H8)-COLUMN(G7)+1&gt;G7,0,1/(G7-COLUMN(H8)+COLUMN(G7)))</f>
        <v>5.2631578947368418E-2</v>
      </c>
      <c r="I8" s="30">
        <f>IF(COLUMN(I8)-COLUMN(G7)+1&gt;G7,0,1/(G7-COLUMN(I8)+COLUMN(G7)))</f>
        <v>5.5555555555555552E-2</v>
      </c>
      <c r="J8" s="30">
        <f>IF(COLUMN(J8)-COLUMN(G7)+1&gt;G7,0,1/(G7-COLUMN(J8)+COLUMN(G7)))</f>
        <v>5.8823529411764705E-2</v>
      </c>
      <c r="K8" s="30">
        <f>IF(COLUMN(K8)-COLUMN(G7)+1&gt;G7,0,1/(G7-COLUMN(K8)+COLUMN(G7)))</f>
        <v>6.25E-2</v>
      </c>
    </row>
    <row r="9" spans="1:11" ht="15.6" customHeight="1" x14ac:dyDescent="0.25">
      <c r="A9" s="2" t="s">
        <v>210</v>
      </c>
      <c r="B9" s="2">
        <f>B5</f>
        <v>1472.2080000000001</v>
      </c>
      <c r="C9" s="2">
        <f>C5</f>
        <v>1615.569</v>
      </c>
      <c r="D9" s="2">
        <f>D5</f>
        <v>1958.1790000000001</v>
      </c>
      <c r="E9" s="2">
        <f>E5</f>
        <v>2167.5830000000001</v>
      </c>
      <c r="F9" s="2">
        <f>F5</f>
        <v>2333.1329999999998</v>
      </c>
      <c r="G9" s="2">
        <f>F9+G13-G11</f>
        <v>2216.4763499999999</v>
      </c>
      <c r="H9" s="2">
        <f>G9+H13-H11</f>
        <v>2099.8197</v>
      </c>
      <c r="I9" s="2">
        <f>H9+I13-I11</f>
        <v>1983.1630500000001</v>
      </c>
      <c r="J9" s="2">
        <f>I9+J13-J11</f>
        <v>1866.5064000000002</v>
      </c>
      <c r="K9" s="2">
        <f>J9+K13-K11</f>
        <v>1749.8497500000003</v>
      </c>
    </row>
    <row r="10" spans="1:11" ht="15.6" customHeight="1" x14ac:dyDescent="0.25">
      <c r="A10" s="2" t="s">
        <v>211</v>
      </c>
      <c r="B10" s="26">
        <f>CFS!B17</f>
        <v>6.2460000000000004</v>
      </c>
      <c r="C10" s="26">
        <f>CFS!C17</f>
        <v>20.071999999999999</v>
      </c>
      <c r="D10" s="26">
        <f>CFS!D17</f>
        <v>6.4660000000000002</v>
      </c>
      <c r="E10" s="26">
        <f>CFS!E17</f>
        <v>0</v>
      </c>
      <c r="F10" s="26">
        <f>CFS!F17</f>
        <v>0</v>
      </c>
      <c r="G10" s="39">
        <v>0</v>
      </c>
      <c r="H10" s="39">
        <v>0</v>
      </c>
      <c r="I10" s="39">
        <v>0</v>
      </c>
      <c r="J10" s="39">
        <v>0</v>
      </c>
      <c r="K10" s="39">
        <v>0</v>
      </c>
    </row>
    <row r="11" spans="1:11" ht="15.6" customHeight="1" x14ac:dyDescent="0.25">
      <c r="A11" s="2" t="s">
        <v>212</v>
      </c>
      <c r="B11" s="37"/>
      <c r="C11" s="37"/>
      <c r="D11" s="37"/>
      <c r="E11" s="37"/>
      <c r="F11" s="37"/>
      <c r="G11" s="39">
        <v>0</v>
      </c>
      <c r="H11" s="39">
        <v>0</v>
      </c>
      <c r="I11" s="39">
        <v>0</v>
      </c>
      <c r="J11" s="39">
        <v>0</v>
      </c>
      <c r="K11" s="39">
        <v>0</v>
      </c>
    </row>
    <row r="12" spans="1:11" ht="15.6" customHeight="1" x14ac:dyDescent="0.25">
      <c r="A12" s="2" t="s">
        <v>213</v>
      </c>
      <c r="B12" s="37"/>
      <c r="C12" s="37"/>
      <c r="D12" s="37"/>
      <c r="E12" s="37"/>
      <c r="F12" s="37"/>
      <c r="G12" s="2">
        <f>G10-G11</f>
        <v>0</v>
      </c>
      <c r="H12" s="2">
        <f>H10-H11</f>
        <v>0</v>
      </c>
      <c r="I12" s="2">
        <f>I10-I11</f>
        <v>0</v>
      </c>
      <c r="J12" s="2">
        <f>J10-J11</f>
        <v>0</v>
      </c>
      <c r="K12" s="2">
        <f>K10-K11</f>
        <v>0</v>
      </c>
    </row>
    <row r="13" spans="1:11" ht="15.6" customHeight="1" x14ac:dyDescent="0.25">
      <c r="A13" s="2" t="s">
        <v>214</v>
      </c>
      <c r="B13" s="37"/>
      <c r="C13" s="37"/>
      <c r="D13" s="37"/>
      <c r="E13" s="37"/>
      <c r="F13" s="37"/>
      <c r="G13" s="26">
        <f>-(F9+G11)*'D&amp;A'!G8</f>
        <v>-116.65665</v>
      </c>
      <c r="H13" s="26">
        <f>-(G9+H11)*'D&amp;A'!H8</f>
        <v>-116.65664999999998</v>
      </c>
      <c r="I13" s="26">
        <f>-(H9+I11)*'D&amp;A'!I8</f>
        <v>-116.65665</v>
      </c>
      <c r="J13" s="26">
        <f>-(I9+J11)*'D&amp;A'!J8</f>
        <v>-116.65665</v>
      </c>
      <c r="K13" s="26">
        <f>-(J9+K11)*'D&amp;A'!K8</f>
        <v>-116.65665000000001</v>
      </c>
    </row>
    <row r="14" spans="1:11" ht="15.6" customHeight="1" x14ac:dyDescent="0.25">
      <c r="A14" s="2"/>
      <c r="B14" s="37"/>
      <c r="C14" s="37"/>
      <c r="D14" s="37"/>
      <c r="E14" s="37"/>
      <c r="F14" s="37"/>
      <c r="G14" s="37"/>
      <c r="H14" s="37"/>
      <c r="I14" s="37"/>
      <c r="J14" s="37"/>
      <c r="K14" s="37"/>
    </row>
    <row r="15" spans="1:11" ht="15.6" customHeight="1" x14ac:dyDescent="0.25">
      <c r="A15" s="2" t="s">
        <v>174</v>
      </c>
      <c r="B15" s="26">
        <f>-CFS!B16</f>
        <v>216.65100000000001</v>
      </c>
      <c r="C15" s="26">
        <f>-CFS!C16</f>
        <v>246.33600000000001</v>
      </c>
      <c r="D15" s="26">
        <f>-CFS!D16</f>
        <v>446.29300000000001</v>
      </c>
      <c r="E15" s="26">
        <f>-CFS!E16</f>
        <v>0</v>
      </c>
      <c r="F15" s="26">
        <f>-CFS!F16</f>
        <v>0</v>
      </c>
      <c r="G15" s="2">
        <f>G2 * G16</f>
        <v>759.45004657770039</v>
      </c>
      <c r="H15" s="2">
        <f>H2 * H16</f>
        <v>905.07374802663981</v>
      </c>
      <c r="I15" s="2">
        <f>I2 * I16</f>
        <v>1060.1919950762199</v>
      </c>
      <c r="J15" s="2">
        <f>J2 * J16</f>
        <v>1222.9487026207787</v>
      </c>
      <c r="K15" s="2">
        <f>K2 * K16</f>
        <v>1391.5731729782894</v>
      </c>
    </row>
    <row r="16" spans="1:11" ht="15.6" customHeight="1" x14ac:dyDescent="0.25">
      <c r="A16" s="2" t="s">
        <v>194</v>
      </c>
      <c r="B16" s="30">
        <f>B15/B2</f>
        <v>4.7192818969922647E-2</v>
      </c>
      <c r="C16" s="30">
        <f>C15/C2</f>
        <v>4.2066694399645894E-2</v>
      </c>
      <c r="D16" s="30">
        <f>D15/D2</f>
        <v>6.1538370320363057E-2</v>
      </c>
      <c r="E16" s="30">
        <f>E15/E2</f>
        <v>0</v>
      </c>
      <c r="F16" s="30">
        <f>F15/F2</f>
        <v>0</v>
      </c>
      <c r="G16" s="31">
        <f>IFERROR(AVERAGEIF(D16:F16,"&lt;&gt;0"),0)</f>
        <v>6.1538370320363057E-2</v>
      </c>
      <c r="H16" s="31">
        <f>G16</f>
        <v>6.1538370320363057E-2</v>
      </c>
      <c r="I16" s="31">
        <f>H16</f>
        <v>6.1538370320363057E-2</v>
      </c>
      <c r="J16" s="31">
        <f>I16</f>
        <v>6.1538370320363057E-2</v>
      </c>
      <c r="K16" s="31">
        <f>J16</f>
        <v>6.1538370320363057E-2</v>
      </c>
    </row>
    <row r="17" spans="1:11" ht="15.6" customHeight="1" x14ac:dyDescent="0.25">
      <c r="A17" s="2"/>
      <c r="B17" s="37"/>
      <c r="C17" s="37"/>
      <c r="D17" s="37"/>
      <c r="E17" s="37"/>
      <c r="F17" s="37"/>
      <c r="G17" s="37"/>
      <c r="H17" s="37"/>
      <c r="I17" s="37"/>
      <c r="J17" s="37"/>
      <c r="K17" s="37"/>
    </row>
    <row r="18" spans="1:11" ht="15.6" customHeight="1" x14ac:dyDescent="0.25">
      <c r="A18" s="2" t="s">
        <v>215</v>
      </c>
      <c r="B18" s="37"/>
      <c r="C18" s="37"/>
      <c r="D18" s="37"/>
      <c r="E18" s="37"/>
      <c r="F18" s="37"/>
      <c r="G18" s="39">
        <v>10</v>
      </c>
      <c r="H18" s="37"/>
      <c r="I18" s="37"/>
      <c r="J18" s="37"/>
      <c r="K18" s="37"/>
    </row>
    <row r="19" spans="1:11" ht="15.6" customHeight="1" x14ac:dyDescent="0.25">
      <c r="A19" s="2" t="s">
        <v>216</v>
      </c>
      <c r="B19" s="36"/>
      <c r="C19" s="36"/>
      <c r="D19" s="36"/>
      <c r="E19" s="36"/>
      <c r="F19" s="36"/>
      <c r="G19" s="30">
        <f>1/G18</f>
        <v>0.1</v>
      </c>
      <c r="H19" s="30">
        <f>G19</f>
        <v>0.1</v>
      </c>
      <c r="I19" s="30">
        <f>H19</f>
        <v>0.1</v>
      </c>
      <c r="J19" s="30">
        <f>I19</f>
        <v>0.1</v>
      </c>
      <c r="K19" s="30">
        <f>J19</f>
        <v>0.1</v>
      </c>
    </row>
    <row r="20" spans="1:11" ht="15.6" customHeight="1" x14ac:dyDescent="0.25">
      <c r="A20" s="2" t="s">
        <v>217</v>
      </c>
      <c r="B20" s="37"/>
      <c r="C20" s="37"/>
      <c r="D20" s="37"/>
      <c r="E20" s="37"/>
      <c r="F20" s="37"/>
      <c r="G20" s="2">
        <f>-IF(COLUMN(G20)-COLUMN(G15)+1&gt;G18,0,G15*G19)</f>
        <v>-75.945004657770042</v>
      </c>
      <c r="H20" s="2">
        <f>-IF(COLUMN(H20)-COLUMN(G15)+1&gt;G18,0,G15*H19)</f>
        <v>-75.945004657770042</v>
      </c>
      <c r="I20" s="2">
        <f>-IF(COLUMN(I20)-COLUMN(G15)+1&gt;G18,0,G15*I19)</f>
        <v>-75.945004657770042</v>
      </c>
      <c r="J20" s="2">
        <f>-IF(COLUMN(J20)-COLUMN(G15)+1&gt;G18,0,G15*J19)</f>
        <v>-75.945004657770042</v>
      </c>
      <c r="K20" s="2">
        <f>-IF(COLUMN(K20)-COLUMN(G15)+1&gt;G18,0,G15*K19)</f>
        <v>-75.945004657770042</v>
      </c>
    </row>
    <row r="21" spans="1:11" ht="15.6" customHeight="1" x14ac:dyDescent="0.25">
      <c r="A21" s="2" t="s">
        <v>218</v>
      </c>
      <c r="B21" s="37"/>
      <c r="C21" s="37"/>
      <c r="D21" s="37"/>
      <c r="E21" s="37"/>
      <c r="F21" s="37"/>
      <c r="G21" s="37"/>
      <c r="H21" s="2">
        <f>-IF(COLUMN(H21)-COLUMN(H15)+1&gt;G18,0,H15*H19)</f>
        <v>-90.507374802663989</v>
      </c>
      <c r="I21" s="2">
        <f>-IF(COLUMN(I21)-COLUMN(H15)+1&gt;G18,0,H15*I19)</f>
        <v>-90.507374802663989</v>
      </c>
      <c r="J21" s="2">
        <f>-IF(COLUMN(J21)-COLUMN(H15)+1&gt;G18,0,H15*J19)</f>
        <v>-90.507374802663989</v>
      </c>
      <c r="K21" s="2">
        <f>-IF(COLUMN(K21)-COLUMN(H15)+1&gt;G18,0,H15*K19)</f>
        <v>-90.507374802663989</v>
      </c>
    </row>
    <row r="22" spans="1:11" ht="15.6" customHeight="1" x14ac:dyDescent="0.25">
      <c r="A22" s="2" t="s">
        <v>219</v>
      </c>
      <c r="B22" s="37"/>
      <c r="C22" s="37"/>
      <c r="D22" s="37"/>
      <c r="E22" s="37"/>
      <c r="F22" s="37"/>
      <c r="G22" s="37"/>
      <c r="H22" s="37"/>
      <c r="I22" s="2">
        <f>-IF(COLUMN(I22)-COLUMN(I15)+1&gt;G18,0,I15*I19)</f>
        <v>-106.01919950762199</v>
      </c>
      <c r="J22" s="2">
        <f>-IF(COLUMN(J22)-COLUMN(I15)+1&gt;G18,0,I15*J19)</f>
        <v>-106.01919950762199</v>
      </c>
      <c r="K22" s="2">
        <f>-IF(COLUMN(K22)-COLUMN(I15)+1&gt;G18,0,I15*K19)</f>
        <v>-106.01919950762199</v>
      </c>
    </row>
    <row r="23" spans="1:11" ht="15.6" customHeight="1" x14ac:dyDescent="0.25">
      <c r="A23" s="2" t="s">
        <v>220</v>
      </c>
      <c r="B23" s="37"/>
      <c r="C23" s="37"/>
      <c r="D23" s="37"/>
      <c r="E23" s="37"/>
      <c r="F23" s="37"/>
      <c r="G23" s="37"/>
      <c r="H23" s="37"/>
      <c r="I23" s="37"/>
      <c r="J23" s="2">
        <f>-IF(COLUMN(J23)-COLUMN(J15)+1&gt;G18,0,J15*J19)</f>
        <v>-122.29487026207788</v>
      </c>
      <c r="K23" s="2">
        <f>-IF(COLUMN(K23)-COLUMN(J15)+1&gt;G18,0,J15*K19)</f>
        <v>-122.29487026207788</v>
      </c>
    </row>
    <row r="24" spans="1:11" ht="15.6" customHeight="1" x14ac:dyDescent="0.25">
      <c r="A24" s="2" t="s">
        <v>221</v>
      </c>
      <c r="B24" s="37"/>
      <c r="C24" s="37"/>
      <c r="D24" s="37"/>
      <c r="E24" s="37"/>
      <c r="F24" s="37"/>
      <c r="G24" s="37"/>
      <c r="H24" s="37"/>
      <c r="I24" s="37"/>
      <c r="J24" s="37"/>
      <c r="K24" s="2">
        <f>-IF(COLUMN(K24)-COLUMN(K15)+1&gt;G18,0,K15*K19)</f>
        <v>-139.15731729782894</v>
      </c>
    </row>
    <row r="25" spans="1:11" ht="15.6" customHeight="1" x14ac:dyDescent="0.25">
      <c r="A25" s="33" t="s">
        <v>222</v>
      </c>
      <c r="B25" s="33"/>
      <c r="C25" s="33"/>
      <c r="D25" s="33"/>
      <c r="E25" s="33"/>
      <c r="F25" s="33"/>
      <c r="G25" s="33">
        <f>G13+SUM(G20:G24)</f>
        <v>-192.60165465777004</v>
      </c>
      <c r="H25" s="33">
        <f>H13+SUM(H20:H24)</f>
        <v>-283.10902946043404</v>
      </c>
      <c r="I25" s="33">
        <f>I13+SUM(I20:I24)</f>
        <v>-389.12822896805602</v>
      </c>
      <c r="J25" s="33">
        <f>J13+SUM(J20:J24)</f>
        <v>-511.42309923013391</v>
      </c>
      <c r="K25" s="33">
        <f>K13+SUM(K20:K24)</f>
        <v>-650.58041652796283</v>
      </c>
    </row>
    <row r="26" spans="1:11" ht="15.6" customHeight="1" x14ac:dyDescent="0.25">
      <c r="A26" s="2"/>
      <c r="B26" s="37"/>
      <c r="C26" s="37"/>
      <c r="D26" s="37"/>
      <c r="E26" s="37"/>
      <c r="F26" s="37"/>
      <c r="G26" s="37"/>
      <c r="H26" s="37"/>
      <c r="I26" s="37"/>
      <c r="J26" s="37"/>
      <c r="K26" s="37"/>
    </row>
    <row r="27" spans="1:11" ht="15.6" customHeight="1" x14ac:dyDescent="0.25">
      <c r="A27" s="22" t="s">
        <v>118</v>
      </c>
      <c r="B27" s="26">
        <f>BS!B12</f>
        <v>568.21</v>
      </c>
      <c r="C27" s="26">
        <f>BS!C12</f>
        <v>546.48299999999995</v>
      </c>
      <c r="D27" s="26">
        <f>BS!D12</f>
        <v>523.82600000000002</v>
      </c>
      <c r="E27" s="26">
        <f>BS!E12</f>
        <v>511.57799999999997</v>
      </c>
      <c r="F27" s="26">
        <f>BS!F12</f>
        <v>519.25900000000001</v>
      </c>
      <c r="G27" s="2">
        <f>F27+G37+G47-G33</f>
        <v>674.46371770671806</v>
      </c>
      <c r="H27" s="2">
        <f>G27+H37+H47-H33</f>
        <v>844.27739326840549</v>
      </c>
      <c r="I27" s="2">
        <f>H27+I37+I47-I33</f>
        <v>1027.1051058660332</v>
      </c>
      <c r="J27" s="2">
        <f>I27+J37+J47-J33</f>
        <v>1220.6575040797393</v>
      </c>
      <c r="K27" s="2">
        <f>J27+K37+K47-K33</f>
        <v>1422.0203719555036</v>
      </c>
    </row>
    <row r="28" spans="1:11" ht="15.6" customHeight="1" x14ac:dyDescent="0.25">
      <c r="A28" s="2"/>
      <c r="B28" s="37"/>
      <c r="C28" s="37"/>
      <c r="D28" s="37"/>
      <c r="E28" s="37"/>
      <c r="F28" s="37"/>
      <c r="G28" s="37"/>
      <c r="H28" s="37"/>
      <c r="I28" s="37"/>
      <c r="J28" s="37"/>
      <c r="K28" s="37"/>
    </row>
    <row r="29" spans="1:11" ht="15.6" customHeight="1" x14ac:dyDescent="0.25">
      <c r="A29" s="2" t="s">
        <v>223</v>
      </c>
      <c r="B29" s="37"/>
      <c r="C29" s="37"/>
      <c r="D29" s="37"/>
      <c r="E29" s="37"/>
      <c r="F29" s="37"/>
      <c r="G29" s="39">
        <v>20</v>
      </c>
      <c r="H29" s="37"/>
      <c r="I29" s="37"/>
      <c r="J29" s="37"/>
      <c r="K29" s="37"/>
    </row>
    <row r="30" spans="1:11" ht="15.6" customHeight="1" x14ac:dyDescent="0.25">
      <c r="A30" s="2" t="s">
        <v>224</v>
      </c>
      <c r="B30" s="36"/>
      <c r="C30" s="36"/>
      <c r="D30" s="36"/>
      <c r="E30" s="36"/>
      <c r="F30" s="36"/>
      <c r="G30" s="30">
        <f>IF(COLUMN(G30)-COLUMN(G29)+1&gt;G29,0,1/(G29-COLUMN(G30)+COLUMN(G29)))</f>
        <v>0.05</v>
      </c>
      <c r="H30" s="30">
        <f>IF(COLUMN(H30)-COLUMN(G29)+1&gt;G29,0,1/(G29-COLUMN(H30)+COLUMN(G29)))</f>
        <v>5.2631578947368418E-2</v>
      </c>
      <c r="I30" s="30">
        <f>IF(COLUMN(I30)-COLUMN(G29)+1&gt;G29,0,1/(G29-COLUMN(I30)+COLUMN(G29)))</f>
        <v>5.5555555555555552E-2</v>
      </c>
      <c r="J30" s="30">
        <f>IF(COLUMN(J30)-COLUMN(G29)+1&gt;G29,0,1/(G29-COLUMN(J30)+COLUMN(G29)))</f>
        <v>5.8823529411764705E-2</v>
      </c>
      <c r="K30" s="30">
        <f>IF(COLUMN(K30)-COLUMN(G29)+1&gt;G29,0,1/(G29-COLUMN(K30)+COLUMN(G29)))</f>
        <v>6.25E-2</v>
      </c>
    </row>
    <row r="31" spans="1:11" ht="15.6" customHeight="1" x14ac:dyDescent="0.25">
      <c r="A31" s="2" t="s">
        <v>225</v>
      </c>
      <c r="B31" s="2">
        <f>B27</f>
        <v>568.21</v>
      </c>
      <c r="C31" s="2">
        <f>C27</f>
        <v>546.48299999999995</v>
      </c>
      <c r="D31" s="2">
        <f>D27</f>
        <v>523.82600000000002</v>
      </c>
      <c r="E31" s="2">
        <f>E27</f>
        <v>511.57799999999997</v>
      </c>
      <c r="F31" s="2">
        <f>F27</f>
        <v>519.25900000000001</v>
      </c>
      <c r="G31" s="2">
        <f>F31+G35-G33</f>
        <v>493.29605000000004</v>
      </c>
      <c r="H31" s="2">
        <f>G31+H35-H33</f>
        <v>467.33310000000006</v>
      </c>
      <c r="I31" s="2">
        <f>H31+I35-I33</f>
        <v>441.37015000000008</v>
      </c>
      <c r="J31" s="2">
        <f>I31+J35-J33</f>
        <v>415.4072000000001</v>
      </c>
      <c r="K31" s="2">
        <f>J31+K35-K33</f>
        <v>389.44425000000012</v>
      </c>
    </row>
    <row r="32" spans="1:11" ht="15.6" customHeight="1" x14ac:dyDescent="0.25">
      <c r="A32" s="2" t="s">
        <v>226</v>
      </c>
      <c r="B32" s="26">
        <f>CFS!B19</f>
        <v>0</v>
      </c>
      <c r="C32" s="26">
        <f>CFS!C19</f>
        <v>0</v>
      </c>
      <c r="D32" s="26">
        <f>CFS!D19</f>
        <v>0</v>
      </c>
      <c r="E32" s="26">
        <f>CFS!E19</f>
        <v>0</v>
      </c>
      <c r="F32" s="26">
        <f>CFS!F19</f>
        <v>0</v>
      </c>
      <c r="G32" s="39">
        <v>0</v>
      </c>
      <c r="H32" s="39">
        <v>0</v>
      </c>
      <c r="I32" s="39">
        <v>0</v>
      </c>
      <c r="J32" s="39">
        <v>0</v>
      </c>
      <c r="K32" s="39">
        <v>0</v>
      </c>
    </row>
    <row r="33" spans="1:11" ht="15.6" customHeight="1" x14ac:dyDescent="0.25">
      <c r="A33" s="2" t="s">
        <v>227</v>
      </c>
      <c r="B33" s="37"/>
      <c r="C33" s="37"/>
      <c r="D33" s="37"/>
      <c r="E33" s="37"/>
      <c r="F33" s="37"/>
      <c r="G33" s="39">
        <v>0</v>
      </c>
      <c r="H33" s="39">
        <v>0</v>
      </c>
      <c r="I33" s="39">
        <v>0</v>
      </c>
      <c r="J33" s="39">
        <v>0</v>
      </c>
      <c r="K33" s="39">
        <v>0</v>
      </c>
    </row>
    <row r="34" spans="1:11" ht="15.6" customHeight="1" x14ac:dyDescent="0.25">
      <c r="A34" s="2" t="s">
        <v>228</v>
      </c>
      <c r="B34" s="37"/>
      <c r="C34" s="37"/>
      <c r="D34" s="37"/>
      <c r="E34" s="37"/>
      <c r="F34" s="37"/>
      <c r="G34" s="2">
        <f>G32-G33</f>
        <v>0</v>
      </c>
      <c r="H34" s="2">
        <f>H32-H33</f>
        <v>0</v>
      </c>
      <c r="I34" s="2">
        <f>I32-I33</f>
        <v>0</v>
      </c>
      <c r="J34" s="2">
        <f>J32-J33</f>
        <v>0</v>
      </c>
      <c r="K34" s="2">
        <f>K32-K33</f>
        <v>0</v>
      </c>
    </row>
    <row r="35" spans="1:11" ht="15.6" customHeight="1" x14ac:dyDescent="0.25">
      <c r="A35" s="2" t="s">
        <v>229</v>
      </c>
      <c r="B35" s="37"/>
      <c r="C35" s="37"/>
      <c r="D35" s="37"/>
      <c r="E35" s="37"/>
      <c r="F35" s="37"/>
      <c r="G35" s="26">
        <f>-(F31+G33)*'D&amp;A'!G30</f>
        <v>-25.962950000000003</v>
      </c>
      <c r="H35" s="26">
        <f>-(G31+H33)*'D&amp;A'!H30</f>
        <v>-25.962949999999999</v>
      </c>
      <c r="I35" s="26">
        <f>-(H31+I33)*'D&amp;A'!I30</f>
        <v>-25.962950000000003</v>
      </c>
      <c r="J35" s="26">
        <f>-(I31+J33)*'D&amp;A'!J30</f>
        <v>-25.962950000000003</v>
      </c>
      <c r="K35" s="26">
        <f>-(J31+K33)*'D&amp;A'!K30</f>
        <v>-25.962950000000006</v>
      </c>
    </row>
    <row r="36" spans="1:11" ht="15.6" customHeight="1" x14ac:dyDescent="0.25">
      <c r="A36" s="2"/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7" spans="1:11" ht="15.6" customHeight="1" x14ac:dyDescent="0.25">
      <c r="A37" s="2" t="s">
        <v>176</v>
      </c>
      <c r="B37" s="26">
        <f>-CFS!B18</f>
        <v>162.78200000000001</v>
      </c>
      <c r="C37" s="26">
        <f>-CFS!C18</f>
        <v>143.404</v>
      </c>
      <c r="D37" s="26">
        <f>-CFS!D18</f>
        <v>118.29300000000001</v>
      </c>
      <c r="E37" s="26">
        <f>-CFS!E18</f>
        <v>0</v>
      </c>
      <c r="F37" s="26">
        <f>-CFS!F18</f>
        <v>0</v>
      </c>
      <c r="G37" s="2">
        <f>G2 * G38</f>
        <v>201.29740856302004</v>
      </c>
      <c r="H37" s="2">
        <f>H2 * H38</f>
        <v>239.89596268665494</v>
      </c>
      <c r="I37" s="2">
        <f>I2 * I38</f>
        <v>281.01111080288342</v>
      </c>
      <c r="J37" s="2">
        <f>J2 * J38</f>
        <v>324.15088490995771</v>
      </c>
      <c r="K37" s="2">
        <f>K2 * K38</f>
        <v>368.84594952446213</v>
      </c>
    </row>
    <row r="38" spans="1:11" ht="15.6" customHeight="1" x14ac:dyDescent="0.25">
      <c r="A38" s="2" t="s">
        <v>195</v>
      </c>
      <c r="B38" s="30">
        <f>B37/B2</f>
        <v>3.5458601426081336E-2</v>
      </c>
      <c r="C38" s="30">
        <f>C37/C2</f>
        <v>2.4489040350118615E-2</v>
      </c>
      <c r="D38" s="30">
        <f>D37/D2</f>
        <v>1.6311164280655772E-2</v>
      </c>
      <c r="E38" s="30">
        <f>E37/E2</f>
        <v>0</v>
      </c>
      <c r="F38" s="30">
        <f>F37/F2</f>
        <v>0</v>
      </c>
      <c r="G38" s="31">
        <f>IFERROR(AVERAGEIF(D38:F38,"&lt;&gt;0"),0)</f>
        <v>1.6311164280655772E-2</v>
      </c>
      <c r="H38" s="31">
        <f>G38</f>
        <v>1.6311164280655772E-2</v>
      </c>
      <c r="I38" s="31">
        <f>H38</f>
        <v>1.6311164280655772E-2</v>
      </c>
      <c r="J38" s="31">
        <f>I38</f>
        <v>1.6311164280655772E-2</v>
      </c>
      <c r="K38" s="31">
        <f>J38</f>
        <v>1.6311164280655772E-2</v>
      </c>
    </row>
    <row r="39" spans="1:11" ht="15.6" customHeight="1" x14ac:dyDescent="0.25">
      <c r="A39" s="2"/>
      <c r="B39" s="37"/>
      <c r="C39" s="37"/>
      <c r="D39" s="37"/>
      <c r="E39" s="37"/>
      <c r="F39" s="37"/>
      <c r="G39" s="37"/>
      <c r="H39" s="37"/>
      <c r="I39" s="37"/>
      <c r="J39" s="37"/>
      <c r="K39" s="37"/>
    </row>
    <row r="40" spans="1:11" ht="15.6" customHeight="1" x14ac:dyDescent="0.25">
      <c r="A40" s="2" t="s">
        <v>230</v>
      </c>
      <c r="B40" s="37"/>
      <c r="C40" s="37"/>
      <c r="D40" s="37"/>
      <c r="E40" s="37"/>
      <c r="F40" s="37"/>
      <c r="G40" s="39">
        <v>10</v>
      </c>
      <c r="H40" s="37"/>
      <c r="I40" s="37"/>
      <c r="J40" s="37"/>
      <c r="K40" s="37"/>
    </row>
    <row r="41" spans="1:11" ht="15.6" customHeight="1" x14ac:dyDescent="0.25">
      <c r="A41" s="2" t="s">
        <v>231</v>
      </c>
      <c r="B41" s="36"/>
      <c r="C41" s="36"/>
      <c r="D41" s="36"/>
      <c r="E41" s="36"/>
      <c r="F41" s="36"/>
      <c r="G41" s="30">
        <f>1/G40</f>
        <v>0.1</v>
      </c>
      <c r="H41" s="30">
        <f>G41</f>
        <v>0.1</v>
      </c>
      <c r="I41" s="30">
        <f>H41</f>
        <v>0.1</v>
      </c>
      <c r="J41" s="30">
        <f>I41</f>
        <v>0.1</v>
      </c>
      <c r="K41" s="30">
        <f>J41</f>
        <v>0.1</v>
      </c>
    </row>
    <row r="42" spans="1:11" ht="15.6" customHeight="1" x14ac:dyDescent="0.25">
      <c r="A42" s="2" t="s">
        <v>232</v>
      </c>
      <c r="B42" s="37"/>
      <c r="C42" s="37"/>
      <c r="D42" s="37"/>
      <c r="E42" s="37"/>
      <c r="F42" s="37"/>
      <c r="G42" s="2">
        <f>-IF(COLUMN(G42)-COLUMN(G37)+1&gt;G40,0,G37*G41)</f>
        <v>-20.129740856302007</v>
      </c>
      <c r="H42" s="2">
        <f>-IF(COLUMN(H42)-COLUMN(G37)+1&gt;G40,0,G37*H41)</f>
        <v>-20.129740856302007</v>
      </c>
      <c r="I42" s="2">
        <f>-IF(COLUMN(I42)-COLUMN(G37)+1&gt;G40,0,G37*I41)</f>
        <v>-20.129740856302007</v>
      </c>
      <c r="J42" s="2">
        <f>-IF(COLUMN(J42)-COLUMN(G37)+1&gt;G40,0,G37*J41)</f>
        <v>-20.129740856302007</v>
      </c>
      <c r="K42" s="2">
        <f>-IF(COLUMN(K42)-COLUMN(G37)+1&gt;G40,0,G37*K41)</f>
        <v>-20.129740856302007</v>
      </c>
    </row>
    <row r="43" spans="1:11" ht="15.6" customHeight="1" x14ac:dyDescent="0.25">
      <c r="A43" s="2" t="s">
        <v>233</v>
      </c>
      <c r="B43" s="37"/>
      <c r="C43" s="37"/>
      <c r="D43" s="37"/>
      <c r="E43" s="37"/>
      <c r="F43" s="37"/>
      <c r="G43" s="37"/>
      <c r="H43" s="2">
        <f>-IF(COLUMN(H43)-COLUMN(H37)+1&gt;G40,0,H37*H41)</f>
        <v>-23.989596268665494</v>
      </c>
      <c r="I43" s="2">
        <f>-IF(COLUMN(I43)-COLUMN(H37)+1&gt;G40,0,H37*I41)</f>
        <v>-23.989596268665494</v>
      </c>
      <c r="J43" s="2">
        <f>-IF(COLUMN(J43)-COLUMN(H37)+1&gt;G40,0,H37*J41)</f>
        <v>-23.989596268665494</v>
      </c>
      <c r="K43" s="2">
        <f>-IF(COLUMN(K43)-COLUMN(H37)+1&gt;G40,0,H37*K41)</f>
        <v>-23.989596268665494</v>
      </c>
    </row>
    <row r="44" spans="1:11" ht="15.6" customHeight="1" x14ac:dyDescent="0.25">
      <c r="A44" s="2" t="s">
        <v>234</v>
      </c>
      <c r="B44" s="37"/>
      <c r="C44" s="37"/>
      <c r="D44" s="37"/>
      <c r="E44" s="37"/>
      <c r="F44" s="37"/>
      <c r="G44" s="37"/>
      <c r="H44" s="37"/>
      <c r="I44" s="2">
        <f>-IF(COLUMN(I44)-COLUMN(I37)+1&gt;G40,0,I37*I41)</f>
        <v>-28.101111080288344</v>
      </c>
      <c r="J44" s="2">
        <f>-IF(COLUMN(J44)-COLUMN(I37)+1&gt;G40,0,I37*J41)</f>
        <v>-28.101111080288344</v>
      </c>
      <c r="K44" s="2">
        <f>-IF(COLUMN(K44)-COLUMN(I37)+1&gt;G40,0,I37*K41)</f>
        <v>-28.101111080288344</v>
      </c>
    </row>
    <row r="45" spans="1:11" ht="15.6" customHeight="1" x14ac:dyDescent="0.25">
      <c r="A45" s="2" t="s">
        <v>235</v>
      </c>
      <c r="B45" s="37"/>
      <c r="C45" s="37"/>
      <c r="D45" s="37"/>
      <c r="E45" s="37"/>
      <c r="F45" s="37"/>
      <c r="G45" s="37"/>
      <c r="H45" s="37"/>
      <c r="I45" s="37"/>
      <c r="J45" s="2">
        <f>-IF(COLUMN(J45)-COLUMN(J37)+1&gt;G40,0,J37*J41)</f>
        <v>-32.415088490995771</v>
      </c>
      <c r="K45" s="2">
        <f>-IF(COLUMN(K45)-COLUMN(J37)+1&gt;G40,0,J37*K41)</f>
        <v>-32.415088490995771</v>
      </c>
    </row>
    <row r="46" spans="1:11" ht="15.6" customHeight="1" x14ac:dyDescent="0.25">
      <c r="A46" s="2" t="s">
        <v>236</v>
      </c>
      <c r="B46" s="37"/>
      <c r="C46" s="37"/>
      <c r="D46" s="37"/>
      <c r="E46" s="37"/>
      <c r="F46" s="37"/>
      <c r="G46" s="37"/>
      <c r="H46" s="37"/>
      <c r="I46" s="37"/>
      <c r="J46" s="37"/>
      <c r="K46" s="2">
        <f>-IF(COLUMN(K46)-COLUMN(K37)+1&gt;G40,0,K37*K41)</f>
        <v>-36.884594952446214</v>
      </c>
    </row>
    <row r="47" spans="1:11" ht="15.6" customHeight="1" x14ac:dyDescent="0.25">
      <c r="A47" s="33" t="s">
        <v>237</v>
      </c>
      <c r="B47" s="33"/>
      <c r="C47" s="33"/>
      <c r="D47" s="33"/>
      <c r="E47" s="33"/>
      <c r="F47" s="33"/>
      <c r="G47" s="33">
        <f>G35+SUM(G42:G46)</f>
        <v>-46.092690856302013</v>
      </c>
      <c r="H47" s="33">
        <f>H35+SUM(H42:H46)</f>
        <v>-70.082287124967507</v>
      </c>
      <c r="I47" s="33">
        <f>I35+SUM(I42:I46)</f>
        <v>-98.183398205255855</v>
      </c>
      <c r="J47" s="33">
        <f>J35+SUM(J42:J46)</f>
        <v>-130.59848669625163</v>
      </c>
      <c r="K47" s="33">
        <f>K35+SUM(K42:K46)</f>
        <v>-167.48308164869783</v>
      </c>
    </row>
  </sheetData>
  <phoneticPr fontId="11" type="noConversion"/>
  <pageMargins left="0.75" right="0.75" top="1" bottom="1" header="0.5" footer="0.5"/>
  <pageSetup paperSize="3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K28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25"/>
  <cols>
    <col min="1" max="1" width="45" customWidth="1"/>
    <col min="2" max="11" width="14" customWidth="1"/>
  </cols>
  <sheetData>
    <row r="1" spans="1:11" ht="15.6" customHeight="1" x14ac:dyDescent="0.25">
      <c r="A1" s="2" t="s">
        <v>24</v>
      </c>
      <c r="B1" s="30">
        <f>MarginalTaxRate</f>
        <v>0.16500000000000001</v>
      </c>
      <c r="C1" s="2"/>
      <c r="D1" s="2"/>
      <c r="E1" s="2"/>
      <c r="F1" s="2"/>
      <c r="G1" s="2"/>
      <c r="H1" s="2"/>
      <c r="I1" s="2"/>
      <c r="J1" s="2"/>
    </row>
    <row r="2" spans="1:11" ht="15.6" customHeight="1" x14ac:dyDescent="0.25">
      <c r="A2" s="2" t="s">
        <v>238</v>
      </c>
      <c r="B2" s="31">
        <v>1</v>
      </c>
      <c r="C2" s="2"/>
      <c r="D2" s="2"/>
      <c r="E2" s="2"/>
      <c r="F2" s="2"/>
      <c r="G2" s="2"/>
      <c r="H2" s="2"/>
      <c r="I2" s="2"/>
      <c r="J2" s="2"/>
    </row>
    <row r="3" spans="1:11" ht="15.6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1" ht="15.6" customHeight="1" x14ac:dyDescent="0.25">
      <c r="A4" s="1" t="str">
        <f>IS!A1</f>
        <v>03393.HK in Millions CNY</v>
      </c>
      <c r="B4" s="1" t="str">
        <f>IS!B1</f>
        <v>FY2021A</v>
      </c>
      <c r="C4" s="1" t="str">
        <f>IS!C1</f>
        <v>FY2022A</v>
      </c>
      <c r="D4" s="1" t="str">
        <f>IS!D1</f>
        <v>FY2023A</v>
      </c>
      <c r="E4" s="1" t="str">
        <f>IS!E1</f>
        <v>FY2024A</v>
      </c>
      <c r="F4" s="1" t="str">
        <f>IS!F1</f>
        <v>FY2025A</v>
      </c>
      <c r="G4" s="1" t="str">
        <f>IS!G1</f>
        <v>FY2026E</v>
      </c>
      <c r="H4" s="1" t="str">
        <f>IS!H1</f>
        <v>FY2027E</v>
      </c>
      <c r="I4" s="1" t="str">
        <f>IS!I1</f>
        <v>FY2028E</v>
      </c>
      <c r="J4" s="1" t="str">
        <f>IS!J1</f>
        <v>FY2029E</v>
      </c>
      <c r="K4" s="1" t="str">
        <f>IS!K1</f>
        <v>FY2030E</v>
      </c>
    </row>
    <row r="5" spans="1:11" ht="15.6" customHeight="1" x14ac:dyDescent="0.25">
      <c r="A5" s="2" t="s">
        <v>76</v>
      </c>
      <c r="B5" s="26">
        <f>IS!B14</f>
        <v>472.733</v>
      </c>
      <c r="C5" s="26">
        <f>IS!C14</f>
        <v>582.43399999999997</v>
      </c>
      <c r="D5" s="26">
        <f>IS!D14</f>
        <v>860.73199999999997</v>
      </c>
      <c r="E5" s="26">
        <f>IS!E14</f>
        <v>1207.588</v>
      </c>
      <c r="F5" s="26">
        <f>IS!F14</f>
        <v>1744.855</v>
      </c>
      <c r="G5" s="26">
        <f>IS!G14</f>
        <v>2173.3695125740946</v>
      </c>
      <c r="H5" s="26">
        <f ca="1">IS!H14</f>
        <v>2583.9054254599337</v>
      </c>
      <c r="I5" s="26">
        <f ca="1">IS!I14</f>
        <v>3042.7367491563346</v>
      </c>
      <c r="J5" s="26">
        <f ca="1">IS!J14</f>
        <v>3535.4324349663998</v>
      </c>
      <c r="K5" s="26">
        <f ca="1">IS!K14</f>
        <v>4058.9090003948231</v>
      </c>
    </row>
    <row r="6" spans="1:11" ht="15.6" customHeight="1" x14ac:dyDescent="0.25">
      <c r="A6" s="2" t="s">
        <v>77</v>
      </c>
      <c r="B6" s="26">
        <f>IS!B15</f>
        <v>-44.759</v>
      </c>
      <c r="C6" s="26">
        <f>IS!C15</f>
        <v>-71.274000000000001</v>
      </c>
      <c r="D6" s="26">
        <f>IS!D15</f>
        <v>-100.139</v>
      </c>
      <c r="E6" s="26">
        <f>IS!E15</f>
        <v>-177.42599999999999</v>
      </c>
      <c r="F6" s="26">
        <f>IS!F15</f>
        <v>-263.75099999999998</v>
      </c>
      <c r="G6" s="2">
        <f>-IF(G5&lt;0,0,G5)*G7</f>
        <v>-300.23424559230273</v>
      </c>
      <c r="H6" s="2">
        <f ca="1">-IF(H5&lt;0,0,H5)*H7</f>
        <v>-356.94661750178267</v>
      </c>
      <c r="I6" s="2">
        <f ca="1">-IF(I5&lt;0,0,I5)*I7</f>
        <v>-420.33062814843527</v>
      </c>
      <c r="J6" s="2">
        <f ca="1">-IF(J5&lt;0,0,J5)*J7</f>
        <v>-488.39273939088514</v>
      </c>
      <c r="K6" s="2">
        <f ca="1">-IF(K5&lt;0,0,K5)*K7</f>
        <v>-560.70699189022594</v>
      </c>
    </row>
    <row r="7" spans="1:11" ht="15.6" customHeight="1" x14ac:dyDescent="0.25">
      <c r="A7" s="2" t="s">
        <v>100</v>
      </c>
      <c r="B7" s="30">
        <f>IFERROR(-B6/B5,0)</f>
        <v>9.4681352898993723E-2</v>
      </c>
      <c r="C7" s="30">
        <f>IFERROR(-C6/C5,0)</f>
        <v>0.1223726636837822</v>
      </c>
      <c r="D7" s="30">
        <f>IFERROR(-D6/D5,0)</f>
        <v>0.11634167197222829</v>
      </c>
      <c r="E7" s="30">
        <f>IFERROR(-E6/E5,0)</f>
        <v>0.14692593831671066</v>
      </c>
      <c r="F7" s="30">
        <f>IFERROR(-F6/F5,0)</f>
        <v>0.15115926538308339</v>
      </c>
      <c r="G7" s="31">
        <f>IFERROR(IF(G5&gt;0,MAX(MIN(AVERAGEIF(D7:F7,"&lt;&gt;0"),$B$1),0),$B$1),0)</f>
        <v>0.13814229189067412</v>
      </c>
      <c r="H7" s="31">
        <f ca="1">IFERROR(IF(H5&gt;0,MAX(MIN(AVERAGEIF(D7:F7,"&lt;&gt;0"),$B$1),0),$B$1),0)</f>
        <v>0.13814229189067412</v>
      </c>
      <c r="I7" s="31">
        <f ca="1">IFERROR(IF(I5&gt;0,MAX(MIN(AVERAGEIF(D7:F7,"&lt;&gt;0"),$B$1),0),$B$1),0)</f>
        <v>0.13814229189067412</v>
      </c>
      <c r="J7" s="31">
        <f ca="1">IFERROR(IF(J5&gt;0,MAX(MIN(AVERAGEIF(D7:F7,"&lt;&gt;0"),$B$1),0),$B$1),0)</f>
        <v>0.13814229189067412</v>
      </c>
      <c r="K7" s="31">
        <f ca="1">IFERROR(IF(K5&gt;0,MAX(MIN(AVERAGEIF(D7:F7,"&lt;&gt;0"),$B$1),0),$B$1),0)</f>
        <v>0.13814229189067412</v>
      </c>
    </row>
    <row r="8" spans="1:11" ht="15.6" customHeight="1" x14ac:dyDescent="0.25">
      <c r="A8" s="2"/>
      <c r="B8" s="37"/>
      <c r="C8" s="37"/>
      <c r="D8" s="37"/>
      <c r="E8" s="37"/>
      <c r="F8" s="37"/>
      <c r="G8" s="37"/>
      <c r="H8" s="37"/>
      <c r="I8" s="37"/>
      <c r="J8" s="37"/>
      <c r="K8" s="37"/>
    </row>
    <row r="9" spans="1:11" ht="15.6" customHeight="1" x14ac:dyDescent="0.25">
      <c r="A9" s="2" t="s">
        <v>239</v>
      </c>
      <c r="B9" s="37"/>
      <c r="C9" s="37"/>
      <c r="D9" s="37"/>
      <c r="E9" s="37"/>
      <c r="F9" s="37"/>
      <c r="G9" s="2">
        <f>F12</f>
        <v>0</v>
      </c>
      <c r="H9" s="2">
        <f>G12</f>
        <v>0</v>
      </c>
      <c r="I9" s="2">
        <f ca="1">H12</f>
        <v>0</v>
      </c>
      <c r="J9" s="2">
        <f ca="1">I12</f>
        <v>0</v>
      </c>
      <c r="K9" s="2">
        <f ca="1">J12</f>
        <v>0</v>
      </c>
    </row>
    <row r="10" spans="1:11" ht="15.6" customHeight="1" x14ac:dyDescent="0.25">
      <c r="A10" s="2" t="s">
        <v>240</v>
      </c>
      <c r="B10" s="37"/>
      <c r="C10" s="37"/>
      <c r="D10" s="37"/>
      <c r="E10" s="37"/>
      <c r="F10" s="37"/>
      <c r="G10" s="2">
        <f>MIN(0, G5*B2)</f>
        <v>0</v>
      </c>
      <c r="H10" s="2">
        <f ca="1">MIN(0, H5*B2)</f>
        <v>0</v>
      </c>
      <c r="I10" s="2">
        <f ca="1">MIN(0, I5*B2)</f>
        <v>0</v>
      </c>
      <c r="J10" s="2">
        <f ca="1">MIN(0, J5*B2)</f>
        <v>0</v>
      </c>
      <c r="K10" s="2">
        <f ca="1">MIN(0, K5*B2)</f>
        <v>0</v>
      </c>
    </row>
    <row r="11" spans="1:11" ht="15.6" customHeight="1" x14ac:dyDescent="0.25">
      <c r="A11" s="2" t="s">
        <v>241</v>
      </c>
      <c r="B11" s="37"/>
      <c r="C11" s="37"/>
      <c r="D11" s="37"/>
      <c r="E11" s="37"/>
      <c r="F11" s="37"/>
      <c r="G11" s="2">
        <f>IF(G5 &gt; 0, MIN(ABS(G5), ABS(G9)), 0)</f>
        <v>0</v>
      </c>
      <c r="H11" s="2">
        <f ca="1">IF(H5 &gt; 0, MIN(ABS(H5), ABS(H9)), 0)</f>
        <v>0</v>
      </c>
      <c r="I11" s="2">
        <f ca="1">IF(I5 &gt; 0, MIN(ABS(I5), ABS(I9)), 0)</f>
        <v>0</v>
      </c>
      <c r="J11" s="2">
        <f ca="1">IF(J5 &gt; 0, MIN(ABS(J5), ABS(J9)), 0)</f>
        <v>0</v>
      </c>
      <c r="K11" s="2">
        <f ca="1">IF(K5 &gt; 0, MIN(ABS(K5), ABS(K9)), 0)</f>
        <v>0</v>
      </c>
    </row>
    <row r="12" spans="1:11" ht="15.6" customHeight="1" x14ac:dyDescent="0.25">
      <c r="A12" s="33" t="s">
        <v>242</v>
      </c>
      <c r="B12" s="33"/>
      <c r="C12" s="33"/>
      <c r="D12" s="33"/>
      <c r="E12" s="33"/>
      <c r="F12" s="33">
        <v>0</v>
      </c>
      <c r="G12" s="33">
        <f>IF(SUM(G9:G11) &lt; 0, SUM(G9:G11), 0)</f>
        <v>0</v>
      </c>
      <c r="H12" s="33">
        <f ca="1">IF(SUM(H9:H11) &lt; 0, SUM(H9:H11), 0)</f>
        <v>0</v>
      </c>
      <c r="I12" s="33">
        <f ca="1">IF(SUM(I9:I11) &lt; 0, SUM(I9:I11), 0)</f>
        <v>0</v>
      </c>
      <c r="J12" s="33">
        <f ca="1">IF(SUM(J9:J11) &lt; 0, SUM(J9:J11), 0)</f>
        <v>0</v>
      </c>
      <c r="K12" s="33">
        <f ca="1">IF(SUM(K9:K11) &lt; 0, SUM(K9:K11), 0)</f>
        <v>0</v>
      </c>
    </row>
    <row r="13" spans="1:11" ht="15.6" customHeight="1" x14ac:dyDescent="0.25">
      <c r="A13" s="2"/>
      <c r="B13" s="37"/>
      <c r="C13" s="37"/>
      <c r="D13" s="37"/>
      <c r="E13" s="37"/>
      <c r="F13" s="37"/>
      <c r="G13" s="37"/>
      <c r="H13" s="37"/>
      <c r="I13" s="37"/>
      <c r="J13" s="37"/>
      <c r="K13" s="37"/>
    </row>
    <row r="14" spans="1:11" ht="15.6" customHeight="1" x14ac:dyDescent="0.25">
      <c r="A14" s="2" t="s">
        <v>243</v>
      </c>
      <c r="B14" s="37"/>
      <c r="C14" s="37"/>
      <c r="D14" s="37"/>
      <c r="E14" s="37"/>
      <c r="F14" s="37"/>
      <c r="G14" s="2">
        <f>IF(G5 &gt; 0, G5 - G11, 0)</f>
        <v>2173.3695125740946</v>
      </c>
      <c r="H14" s="2">
        <f ca="1">IF(H5 &gt; 0, H5 - H11, 0)</f>
        <v>2583.9054254599337</v>
      </c>
      <c r="I14" s="2">
        <f ca="1">IF(I5 &gt; 0, I5 - I11, 0)</f>
        <v>3042.7367491563346</v>
      </c>
      <c r="J14" s="2">
        <f ca="1">IF(J5 &gt; 0, J5 - J11, 0)</f>
        <v>3535.4324349663998</v>
      </c>
      <c r="K14" s="2">
        <f ca="1">IF(K5 &gt; 0, K5 - K11, 0)</f>
        <v>4058.9090003948231</v>
      </c>
    </row>
    <row r="15" spans="1:11" ht="15.6" customHeight="1" x14ac:dyDescent="0.25">
      <c r="A15" s="2" t="s">
        <v>244</v>
      </c>
      <c r="B15" s="37"/>
      <c r="C15" s="37"/>
      <c r="D15" s="37"/>
      <c r="E15" s="37"/>
      <c r="F15" s="37"/>
      <c r="G15" s="2">
        <f>-G14 * G7</f>
        <v>-300.23424559230273</v>
      </c>
      <c r="H15" s="2">
        <f ca="1">-H14 * H7</f>
        <v>-356.94661750178267</v>
      </c>
      <c r="I15" s="2">
        <f ca="1">-I14 * I7</f>
        <v>-420.33062814843527</v>
      </c>
      <c r="J15" s="2">
        <f ca="1">-J14 * J7</f>
        <v>-488.39273939088514</v>
      </c>
      <c r="K15" s="2">
        <f ca="1">-K14 * K7</f>
        <v>-560.70699189022594</v>
      </c>
    </row>
    <row r="16" spans="1:11" ht="15.6" customHeight="1" x14ac:dyDescent="0.25">
      <c r="A16" s="2"/>
      <c r="B16" s="37"/>
      <c r="C16" s="37"/>
      <c r="D16" s="37"/>
      <c r="E16" s="37"/>
      <c r="F16" s="37"/>
      <c r="G16" s="37"/>
      <c r="H16" s="37"/>
      <c r="I16" s="37"/>
      <c r="J16" s="37"/>
      <c r="K16" s="37"/>
    </row>
    <row r="17" spans="1:11" ht="15.6" customHeight="1" x14ac:dyDescent="0.25">
      <c r="A17" s="2" t="s">
        <v>120</v>
      </c>
      <c r="B17" s="26">
        <f>BS!B14</f>
        <v>62.143000000000001</v>
      </c>
      <c r="C17" s="26">
        <f>BS!C14</f>
        <v>91.463999999999999</v>
      </c>
      <c r="D17" s="26">
        <f>BS!D14</f>
        <v>119.56399999999999</v>
      </c>
      <c r="E17" s="26">
        <f>BS!E14</f>
        <v>153.786</v>
      </c>
      <c r="F17" s="26">
        <f>BS!F14</f>
        <v>162.86699999999999</v>
      </c>
      <c r="G17" s="2">
        <f>MAX(F17+G18,0)</f>
        <v>162.86699999999999</v>
      </c>
      <c r="H17" s="2">
        <f ca="1">MAX(G17+H18,0)</f>
        <v>162.86699999999999</v>
      </c>
      <c r="I17" s="2">
        <f ca="1">MAX(H17+I18,0)</f>
        <v>162.86699999999999</v>
      </c>
      <c r="J17" s="2">
        <f ca="1">MAX(I17+J18,0)</f>
        <v>162.86699999999999</v>
      </c>
      <c r="K17" s="2">
        <f ca="1">MAX(J17+K18,0)</f>
        <v>162.86699999999999</v>
      </c>
    </row>
    <row r="18" spans="1:11" ht="15.6" customHeight="1" x14ac:dyDescent="0.25">
      <c r="A18" s="2" t="s">
        <v>245</v>
      </c>
      <c r="B18" s="37"/>
      <c r="C18" s="37"/>
      <c r="D18" s="37"/>
      <c r="E18" s="37"/>
      <c r="F18" s="37"/>
      <c r="G18" s="2">
        <f>-MIN(SUM(G10:G11)*G7,F17)</f>
        <v>0</v>
      </c>
      <c r="H18" s="2">
        <f ca="1">-MIN(SUM(H10:H11)*H7,G17)</f>
        <v>0</v>
      </c>
      <c r="I18" s="2">
        <f ca="1">-MIN(SUM(I10:I11)*I7,H17)</f>
        <v>0</v>
      </c>
      <c r="J18" s="2">
        <f ca="1">-MIN(SUM(J10:J11)*J7,I17)</f>
        <v>0</v>
      </c>
      <c r="K18" s="2">
        <f ca="1">-MIN(SUM(K10:K11)*K7,J17)</f>
        <v>0</v>
      </c>
    </row>
    <row r="19" spans="1:11" ht="15.6" customHeight="1" x14ac:dyDescent="0.25">
      <c r="A19" s="2" t="s">
        <v>132</v>
      </c>
      <c r="B19" s="26">
        <f>BS!B28</f>
        <v>34.466000000000001</v>
      </c>
      <c r="C19" s="26">
        <f>BS!C28</f>
        <v>33.499000000000002</v>
      </c>
      <c r="D19" s="26">
        <f>BS!D28</f>
        <v>36.847999999999999</v>
      </c>
      <c r="E19" s="26">
        <f>BS!E28</f>
        <v>38.872</v>
      </c>
      <c r="F19" s="26">
        <f>BS!F28</f>
        <v>45.686</v>
      </c>
      <c r="G19" s="2">
        <f>F19+G20</f>
        <v>45.686</v>
      </c>
      <c r="H19" s="2">
        <f>G19+H20</f>
        <v>45.686</v>
      </c>
      <c r="I19" s="2">
        <f>H19+I20</f>
        <v>45.686</v>
      </c>
      <c r="J19" s="2">
        <f>I19+J20</f>
        <v>45.686</v>
      </c>
      <c r="K19" s="2">
        <f>J19+K20</f>
        <v>45.686</v>
      </c>
    </row>
    <row r="20" spans="1:11" ht="15.6" customHeight="1" x14ac:dyDescent="0.25">
      <c r="A20" s="2" t="s">
        <v>246</v>
      </c>
      <c r="B20" s="41"/>
      <c r="C20" s="41"/>
      <c r="D20" s="41"/>
      <c r="E20" s="41"/>
      <c r="F20" s="41"/>
      <c r="G20" s="39">
        <v>0</v>
      </c>
      <c r="H20" s="39">
        <v>0</v>
      </c>
      <c r="I20" s="39">
        <v>0</v>
      </c>
      <c r="J20" s="39">
        <v>0</v>
      </c>
      <c r="K20" s="39">
        <v>0</v>
      </c>
    </row>
    <row r="21" spans="1:11" ht="15.6" customHeight="1" x14ac:dyDescent="0.25">
      <c r="A21" s="2" t="s">
        <v>170</v>
      </c>
      <c r="B21" s="37"/>
      <c r="C21" s="37"/>
      <c r="D21" s="37"/>
      <c r="E21" s="37"/>
      <c r="F21" s="37"/>
      <c r="G21" s="2">
        <f>G15+G20</f>
        <v>-300.23424559230273</v>
      </c>
      <c r="H21" s="2">
        <f ca="1">H15+H20</f>
        <v>-356.94661750178267</v>
      </c>
      <c r="I21" s="2">
        <f ca="1">I15+I20</f>
        <v>-420.33062814843527</v>
      </c>
      <c r="J21" s="2">
        <f ca="1">J15+J20</f>
        <v>-488.39273939088514</v>
      </c>
      <c r="K21" s="2">
        <f ca="1">K15+K20</f>
        <v>-560.70699189022594</v>
      </c>
    </row>
    <row r="22" spans="1:11" ht="15.6" customHeight="1" x14ac:dyDescent="0.25">
      <c r="A22" s="2"/>
      <c r="B22" s="37"/>
      <c r="C22" s="37"/>
      <c r="D22" s="37"/>
      <c r="E22" s="37"/>
      <c r="F22" s="37"/>
      <c r="G22" s="37"/>
      <c r="H22" s="37"/>
      <c r="I22" s="37"/>
      <c r="J22" s="37"/>
      <c r="K22" s="37"/>
    </row>
    <row r="23" spans="1:11" ht="15.6" customHeight="1" x14ac:dyDescent="0.25">
      <c r="A23" s="2"/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spans="1:11" ht="15.6" customHeight="1" x14ac:dyDescent="0.25">
      <c r="A24" s="2"/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spans="1:11" ht="15.6" customHeight="1" x14ac:dyDescent="0.25">
      <c r="A25" s="2"/>
      <c r="B25" s="37"/>
      <c r="C25" s="37"/>
      <c r="D25" s="37"/>
      <c r="E25" s="37"/>
      <c r="F25" s="37"/>
      <c r="G25" s="37"/>
      <c r="H25" s="37"/>
      <c r="I25" s="37"/>
      <c r="J25" s="37"/>
      <c r="K25" s="37"/>
    </row>
    <row r="26" spans="1:11" ht="15.6" customHeight="1" x14ac:dyDescent="0.25">
      <c r="A26" s="2"/>
      <c r="B26" s="37"/>
      <c r="C26" s="37"/>
      <c r="D26" s="37"/>
      <c r="E26" s="37"/>
      <c r="F26" s="37"/>
      <c r="G26" s="37"/>
      <c r="H26" s="37"/>
      <c r="I26" s="37"/>
      <c r="J26" s="37"/>
      <c r="K26" s="37"/>
    </row>
    <row r="27" spans="1:11" ht="15.6" customHeight="1" x14ac:dyDescent="0.25">
      <c r="A27" s="2"/>
      <c r="B27" s="37"/>
      <c r="C27" s="37"/>
      <c r="D27" s="37"/>
      <c r="E27" s="37"/>
      <c r="F27" s="37"/>
      <c r="G27" s="37"/>
      <c r="H27" s="37"/>
      <c r="I27" s="37"/>
      <c r="J27" s="37"/>
      <c r="K27" s="37"/>
    </row>
    <row r="28" spans="1:11" ht="15.6" customHeight="1" x14ac:dyDescent="0.25">
      <c r="A28" s="2"/>
      <c r="B28" s="37"/>
      <c r="C28" s="37"/>
      <c r="D28" s="37"/>
      <c r="E28" s="37"/>
      <c r="F28" s="37"/>
      <c r="G28" s="37"/>
      <c r="H28" s="37"/>
      <c r="I28" s="37"/>
      <c r="J28" s="37"/>
      <c r="K28" s="37"/>
    </row>
  </sheetData>
  <phoneticPr fontId="11" type="noConversion"/>
  <pageMargins left="0.75" right="0.75" top="1" bottom="1" header="0.5" footer="0.5"/>
  <pageSetup paperSize="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命名范围</vt:lpstr>
      </vt:variant>
      <vt:variant>
        <vt:i4>29</vt:i4>
      </vt:variant>
    </vt:vector>
  </HeadingPairs>
  <TitlesOfParts>
    <vt:vector size="43" baseType="lpstr">
      <vt:lpstr>XN</vt:lpstr>
      <vt:lpstr>PL-CF-BS</vt:lpstr>
      <vt:lpstr>DCF Summary</vt:lpstr>
      <vt:lpstr>SumFS</vt:lpstr>
      <vt:lpstr>Key Info &amp; Assumptions</vt:lpstr>
      <vt:lpstr>Statements&gt;&gt;</vt:lpstr>
      <vt:lpstr>IS</vt:lpstr>
      <vt:lpstr>BS</vt:lpstr>
      <vt:lpstr>CFS</vt:lpstr>
      <vt:lpstr>Breakdown&gt;&gt;</vt:lpstr>
      <vt:lpstr>Revenue</vt:lpstr>
      <vt:lpstr>Cash</vt:lpstr>
      <vt:lpstr>D&amp;A</vt:lpstr>
      <vt:lpstr>Tax</vt:lpstr>
      <vt:lpstr>Beta</vt:lpstr>
      <vt:lpstr>CostOfDebtAfterTax</vt:lpstr>
      <vt:lpstr>CostOfDebtBeforeTax</vt:lpstr>
      <vt:lpstr>CostOfEquity</vt:lpstr>
      <vt:lpstr>CurrentTotalDebt</vt:lpstr>
      <vt:lpstr>EstimatedPeriods</vt:lpstr>
      <vt:lpstr>HistoricPeriods</vt:lpstr>
      <vt:lpstr>MarginalTaxRate</vt:lpstr>
      <vt:lpstr>MarketRiskPremium</vt:lpstr>
      <vt:lpstr>MarketValueOfEquity</vt:lpstr>
      <vt:lpstr>OtherRiskPremium</vt:lpstr>
      <vt:lpstr>BS!Print_Titles</vt:lpstr>
      <vt:lpstr>Cash!Print_Titles</vt:lpstr>
      <vt:lpstr>CFS!Print_Titles</vt:lpstr>
      <vt:lpstr>'D&amp;A'!Print_Titles</vt:lpstr>
      <vt:lpstr>'DCF Summary'!Print_Titles</vt:lpstr>
      <vt:lpstr>IS!Print_Titles</vt:lpstr>
      <vt:lpstr>'Key Info &amp; Assumptions'!Print_Titles</vt:lpstr>
      <vt:lpstr>Revenue!Print_Titles</vt:lpstr>
      <vt:lpstr>Tax!Print_Titles</vt:lpstr>
      <vt:lpstr>ReportUnit</vt:lpstr>
      <vt:lpstr>RiskFreeRate</vt:lpstr>
      <vt:lpstr>SpreadOverRiskFreeRate</vt:lpstr>
      <vt:lpstr>TerminalEbitdaMultiples</vt:lpstr>
      <vt:lpstr>TerminalGrowthRate</vt:lpstr>
      <vt:lpstr>TotalCapital</vt:lpstr>
      <vt:lpstr>WACC</vt:lpstr>
      <vt:lpstr>WeightOfDebt</vt:lpstr>
      <vt:lpstr>WeightOfEquity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FiMo Copilot - financialmodeling.tech</dc:creator>
  <dc:description>This file was generated at 2026-03-31 for 03393.HK. Please visit financialmodeling.tech for more information.</dc:description>
  <cp:lastModifiedBy>CHUAN SHEN TAI</cp:lastModifiedBy>
  <dcterms:created xsi:type="dcterms:W3CDTF">2026-03-31T07:23:53Z</dcterms:created>
  <dcterms:modified xsi:type="dcterms:W3CDTF">2026-04-02T11:30:31Z</dcterms:modified>
</cp:coreProperties>
</file>