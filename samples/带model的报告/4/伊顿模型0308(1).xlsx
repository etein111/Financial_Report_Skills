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XN" sheetId="1" r:id="rId1"/>
    <sheet name="PL-CF-BS" sheetId="2" r:id="rId2"/>
    <sheet name="DCF" sheetId="3" r:id="rId3"/>
    <sheet name="SumFS" sheetId="4" r:id="rId4"/>
    <sheet name="营收预测" sheetId="5" r:id="rId5"/>
    <sheet name="S&amp;C" sheetId="6" r:id="rId6"/>
    <sheet name="Other ASPT" sheetId="7" r:id="rId7"/>
    <sheet name="股权结构(草稿)" sheetId="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</externalReferences>
  <definedNames>
    <definedName name="___a1">{"PR1","pr1",TRUE,"Sch PR-1"}</definedName>
    <definedName name="___a11">{"PR1","pr1",TRUE,"Sch PR-1"}</definedName>
    <definedName name="___a16">{"PR1","pr1",TRUE,"Sch PR-1"}</definedName>
    <definedName name="___a17">{"PR1","pr1",TRUE,"Sch PR-1"}</definedName>
    <definedName name="___a18">{"PR1","pr1",TRUE,"Sch PR-1"}</definedName>
    <definedName name="___a19">{"PR1","pr1",TRUE,"Sch PR-1"}</definedName>
    <definedName name="___a2">{"PR1","pr1",TRUE,"Sch PR-1"}</definedName>
    <definedName name="___a21">{"PR1","pr1",TRUE,"Sch PR-1"}</definedName>
    <definedName name="___a4">{"PR1","pr1",TRUE,"Sch PR-1"}</definedName>
    <definedName name="___a5">{"PR1","pr1",TRUE,"Sch PR-1"}</definedName>
    <definedName name="___a6">{"PR1","pr1",TRUE,"Sch PR-1"}</definedName>
    <definedName name="___a7">{"PR1","pr1",TRUE,"Sch PR-1"}</definedName>
    <definedName name="___a8">{"PR1","pr1",TRUE,"Sch PR-1"}</definedName>
    <definedName name="__123Graph_A">[1]XOM!#REF!</definedName>
    <definedName name="__123Graph_AChart1">[2]P!#REF!</definedName>
    <definedName name="__123Graph_ACurrent">[2]P!#REF!</definedName>
    <definedName name="__123Graph_AGRAPH1" localSheetId="0">[3]A!#REF!</definedName>
    <definedName name="__123Graph_AGRAPH1">[4]A!#REF!</definedName>
    <definedName name="__123Graph_B">[1]XOM!#REF!</definedName>
    <definedName name="__123Graph_BGRAPH1" localSheetId="0">[3]A!#REF!</definedName>
    <definedName name="__123Graph_BGRAPH1">[4]A!#REF!</definedName>
    <definedName name="__123Graph_CGRAPH1" localSheetId="0">[3]A!#REF!</definedName>
    <definedName name="__123Graph_CGRAPH1">[4]A!#REF!</definedName>
    <definedName name="__123Graph_DGRAPH1" localSheetId="0">[3]A!#REF!</definedName>
    <definedName name="__123Graph_DGRAPH1">[4]A!#REF!</definedName>
    <definedName name="__123Graph_X">[1]XOM!#REF!</definedName>
    <definedName name="__123Graph_XGRAPH1" localSheetId="0">[3]A!#REF!</definedName>
    <definedName name="__123Graph_XGRAPH1">[4]A!#REF!</definedName>
    <definedName name="__a1">{"PR1","pr1",TRUE,"Sch PR-1"}</definedName>
    <definedName name="__a11">{"PR1","pr1",TRUE,"Sch PR-1"}</definedName>
    <definedName name="__a16">{"PR1","pr1",TRUE,"Sch PR-1"}</definedName>
    <definedName name="__a17">{"PR1","pr1",TRUE,"Sch PR-1"}</definedName>
    <definedName name="__a18">{"PR1","pr1",TRUE,"Sch PR-1"}</definedName>
    <definedName name="__a19">{"PR1","pr1",TRUE,"Sch PR-1"}</definedName>
    <definedName name="__a2">{"PR1","pr1",TRUE,"Sch PR-1"}</definedName>
    <definedName name="__a21">{"PR1","pr1",TRUE,"Sch PR-1"}</definedName>
    <definedName name="__a4">{"PR1","pr1",TRUE,"Sch PR-1"}</definedName>
    <definedName name="__a5">{"PR1","pr1",TRUE,"Sch PR-1"}</definedName>
    <definedName name="__a6">{"PR1","pr1",TRUE,"Sch PR-1"}</definedName>
    <definedName name="__a7">{"PR1","pr1",TRUE,"Sch PR-1"}</definedName>
    <definedName name="__a8">{"PR1","pr1",TRUE,"Sch PR-1"}</definedName>
    <definedName name="__FDS_HYPERLINK_TOGGLE_STATE__">"ON"</definedName>
    <definedName name="__FDS_UNIQUE_RANGE_ID_GENERATOR_COUNTER" localSheetId="0">28</definedName>
    <definedName name="__FDS_UNIQUE_RANGE_ID_GENERATOR_COUNTER">28</definedName>
    <definedName name="__FDS_USED_FOR_REUSING_RANGE_IDS_RECYCLE" localSheetId="0">{16,16,16,16,16,16,16,16,16,16,16}</definedName>
    <definedName name="__FDS_USED_FOR_REUSING_RANGE_IDS_RECYCLE">{16,16,16,16,16,16,16,16,16,16,16}</definedName>
    <definedName name="__IntlFixup">TRUE</definedName>
    <definedName name="_1__123Graph_AR_M_MARG">[2]P!#REF!</definedName>
    <definedName name="_1__FDSAUDITLINK__" localSheetId="0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0HS" localSheetId="0">[5]EPS!#REF!</definedName>
    <definedName name="_1_0HS">[6]EPS!#REF!</definedName>
    <definedName name="_10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 localSheetId="0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9__FDSAUDITLINK__" localSheetId="0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1__FDSAUDITLINK__">{"fdsup://IBCentral/FAT Viewer?action=UPDATE&amp;creator=factset&amp;DOC_NAME=fat:reuters_annual_source_window.fat&amp;display_string=Audit&amp;DYN_ARGS=TRUE&amp;VAR:ID1=B19DVX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192__FDSAUDITLINK__">{"fdsup://IBCentral/FAT Viewer?action=UPDATE&amp;creator=factset&amp;DOC_NAME=fat:reuters_annual_source_window.fat&amp;display_string=Audit&amp;DYN_ARGS=TRUE&amp;VAR:ID1=47836610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193__FDSAUDITLINK__">{"fdsup://IBCentral/FAT Viewer?action=UPDATE&amp;creator=factset&amp;DOC_NAME=fat:reuters_annual_source_window.fat&amp;display_string=Audit&amp;DYN_ARGS=TRUE&amp;VAR:ID1=77390310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194__FDSAUDITLINK__">{"fdsup://IBCentral/FAT Viewer?action=UPDATE&amp;creator=factset&amp;DOC_NAME=fat:reuters_annual_source_window.fat&amp;display_string=Audit&amp;DYN_ARGS=TRUE&amp;VAR:ID1=416279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195__FDSAUDITLINK__">{"fdsup://IBCentral/FAT Viewer?action=UPDATE&amp;creator=factset&amp;DOC_NAME=fat:reuters_annual_source_window.fat&amp;display_string=Audit&amp;DYN_ARGS=TRUE&amp;VAR:ID1=74018910&amp;VAR:RCODE=EBITDA&amp;VAR:SDATE=20080399&amp;VAR:FREQ=Y&amp;VAR:RELITEM=&amp;VAR:CURRENCY=&amp;VAR:CURRSOURCE=EXSHARE&amp;V","AR:NATFREQ=ANNUAL&amp;VAR:RFIELD=FINALIZED&amp;VAR:DB_TYPE=&amp;VAR:UNITS=M&amp;window=popup&amp;width=450&amp;height=300&amp;START_MAXIMIZED=FALSE"}</definedName>
    <definedName name="_196__FDSAUDITLINK__">{"fdsup://IBCentral/FAT Viewer?action=UPDATE&amp;creator=factset&amp;DOC_NAME=fat:reuters_annual_source_window.fat&amp;display_string=Audit&amp;DYN_ARGS=TRUE&amp;VAR:ID1=61539420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197__FDSAUDITLINK__">{"fdsup://IBCentral/FAT Viewer?action=UPDATE&amp;creator=factset&amp;DOC_NAME=fat:reuters_annual_source_window.fat&amp;display_string=Audit&amp;DYN_ARGS=TRUE&amp;VAR:ID1=77434110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198__FDSAUDITLINK__">{"fdsup://IBCentral/FAT Viewer?action=UPDATE&amp;creator=factset&amp;DOC_NAME=fat:reuters_annual_source_window.fat&amp;display_string=Audit&amp;DYN_ARGS=TRUE&amp;VAR:ID1=38238810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199__FDSAUDITLINK__">{"fdsup://IBCentral/FAT Viewer?action=UPDATE&amp;creator=factset&amp;DOC_NAME=fat:reuters_annual_source_window.fat&amp;display_string=Audit&amp;DYN_ARGS=TRUE&amp;VAR:ID1=78354910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99E" localSheetId="0">'[7]P&amp;L'!$Q$9:$Q$68</definedName>
    <definedName name="_1999E">'[8]P&amp;L'!$Q$9:$Q$68</definedName>
    <definedName name="_1H_96">"assumpt"</definedName>
    <definedName name="_1Q97A" localSheetId="0">'[7]P&amp;L'!$C$9:$C$68</definedName>
    <definedName name="_1Q97A">'[8]P&amp;L'!$C$9:$C$68</definedName>
    <definedName name="_1Q98A" localSheetId="0">'[7]P&amp;L'!$H$9:$H$68</definedName>
    <definedName name="_1Q98A">'[8]P&amp;L'!$H$9:$H$68</definedName>
    <definedName name="_1Q99A" localSheetId="0">'[7]P&amp;L'!$M$9:$M$68</definedName>
    <definedName name="_1Q99A">'[8]P&amp;L'!$M$9:$M$68</definedName>
    <definedName name="_2__123Graph_AR_M_MARG">[2]P!#REF!</definedName>
    <definedName name="_2__FDSAUDITLINK__" localSheetId="0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 localSheetId="0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0__FDSAUDITLINK__">{"fdsup://IBCentral/FAT Viewer?action=UPDATE&amp;creator=factset&amp;DOC_NAME=fat:reuters_annual_source_window.fat&amp;display_string=Audit&amp;DYN_ARGS=TRUE&amp;VAR:ID1=85747710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00E" localSheetId="0">'[7]P&amp;L'!$V$9:$V$68</definedName>
    <definedName name="_2000E">'[8]P&amp;L'!$V$9:$V$68</definedName>
    <definedName name="_2001E" localSheetId="0">'[7]P&amp;L'!$AA$9:$AA$68</definedName>
    <definedName name="_2001E">'[8]P&amp;L'!$AA$9:$AA$68</definedName>
    <definedName name="_2002E" localSheetId="0">'[7]P&amp;L'!$AB$9:$AB$68</definedName>
    <definedName name="_2002E">'[8]P&amp;L'!$AB$9:$AB$68</definedName>
    <definedName name="_2003E" localSheetId="0">'[7]P&amp;L'!$AC$9:$AC$68</definedName>
    <definedName name="_2003E">'[8]P&amp;L'!$AC$9:$AC$68</definedName>
    <definedName name="_2004E" localSheetId="0">'[7]P&amp;L'!$AD$9:$AD$68</definedName>
    <definedName name="_2004E">'[8]P&amp;L'!$AD$9:$AD$68</definedName>
    <definedName name="_2005E" localSheetId="0">'[7]P&amp;L'!$AE$9:$AE$68</definedName>
    <definedName name="_2005E">'[8]P&amp;L'!$AE$9:$AE$68</definedName>
    <definedName name="_2006E" localSheetId="0">'[7]P&amp;L'!$AF$9:$AF$68</definedName>
    <definedName name="_2006E">'[8]P&amp;L'!$AF$9:$AF$68</definedName>
    <definedName name="_2007E" localSheetId="0">'[7]P&amp;L'!$AG$9:$AG$68</definedName>
    <definedName name="_2007E">'[8]P&amp;L'!$AG$9:$AG$68</definedName>
    <definedName name="_2008E" localSheetId="0">'[7]P&amp;L'!$AH$9:$AH$68</definedName>
    <definedName name="_2008E">'[8]P&amp;L'!$AH$9:$AH$68</definedName>
    <definedName name="_201__FDSAUDITLINK__">{"fdsup://IBCentral/FAT Viewer?action=UPDATE&amp;creator=factset&amp;DOC_NAME=fat:reuters_annual_source_window.fat&amp;display_string=Audit&amp;DYN_ARGS=TRUE&amp;VAR:ID1=78442P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2__FDSAUDITLINK__">{"fdsup://IBCentral/FAT Viewer?action=UPDATE&amp;creator=factset&amp;DOC_NAME=fat:reuters_annual_source_window.fat&amp;display_string=Audit&amp;DYN_ARGS=TRUE&amp;VAR:ID1=61744644&amp;VAR:RCODE=EBIT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3__FDSAUDITLINK__">{"fdsup://IBCentral/FAT Viewer?action=UPDATE&amp;creator=factset&amp;DOC_NAME=fat:reuters_annual_source_window.fat&amp;display_string=Audit&amp;DYN_ARGS=TRUE&amp;VAR:ID1=38141G10&amp;VAR:RCODE=EBIT&amp;VAR:SDATE=20071199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4__FDSAUDITLINK__">{"fdsup://IBCentral/FAT Viewer?action=UPDATE&amp;creator=factset&amp;DOC_NAME=fat:reuters_annual_source_window.fat&amp;display_string=Audit&amp;DYN_ARGS=TRUE&amp;VAR:ID1=46625H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5__FDSAUDITLINK__">{"fdsup://IBCentral/FAT Viewer?action=UPDATE&amp;creator=factset&amp;DOC_NAME=fat:reuters_annual_source_window.fat&amp;display_string=Audit&amp;DYN_ARGS=TRUE&amp;VAR:ID1=17296710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6__FDSAUDITLINK__">{"fdsup://IBCentral/FAT Viewer?action=UPDATE&amp;creator=factset&amp;DOC_NAME=fat:reuters_annual_source_window.fat&amp;display_string=Audit&amp;DYN_ARGS=TRUE&amp;VAR:ID1=12558110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7__FDSAUDITLINK__">{"fdsup://IBCentral/FAT Viewer?action=UPDATE&amp;creator=factset&amp;DOC_NAME=fat:reuters_annual_source_window.fat&amp;display_string=Audit&amp;DYN_ARGS=TRUE&amp;VAR:ID1=14040H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8__FDSAUDITLINK__">{"fdsup://IBCentral/FAT Viewer?action=UPDATE&amp;creator=factset&amp;DOC_NAME=fat:reuters_annual_source_window.fat&amp;display_string=Audit&amp;DYN_ARGS=TRUE&amp;VAR:ID1=06050510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9__FDSAUDITLINK__">{"fdsup://IBCentral/FAT Viewer?action=UPDATE&amp;creator=factset&amp;DOC_NAME=fat:reuters_annual_source_window.fat&amp;display_string=Audit&amp;DYN_ARGS=TRUE&amp;VAR:ID1=02581610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" localSheetId="0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0__FDSAUDITLINK__">{"fdsup://IBCentral/FAT Viewer?action=UPDATE&amp;creator=factset&amp;DOC_NAME=fat:reuters_annual_source_window.fat&amp;display_string=Audit&amp;DYN_ARGS=TRUE&amp;VAR:ID1=01903Q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1__FDSAUDITLINK__">{"fdsup://IBCentral/FAT Viewer?action=UPDATE&amp;creator=factset&amp;DOC_NAME=fat:reuters_annual_source_window.fat&amp;display_string=Audit&amp;DYN_ARGS=TRUE&amp;VAR:ID1=98975W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212__FDSAUDITLINK__">{"fdsup://IBCentral/FAT Viewer?action=UPDATE&amp;creator=factset&amp;DOC_NAME=fat:reuters_annual_source_window.fat&amp;display_string=Audit&amp;DYN_ARGS=TRUE&amp;VAR:ID1=481835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13__FDSAUDITLINK__">{"fdsup://IBCentral/FAT Viewer?action=UPDATE&amp;creator=factset&amp;DOC_NAME=fat:reuters_annual_source_window.fat&amp;display_string=Audit&amp;DYN_ARGS=TRUE&amp;VAR:ID1=570379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14__FDSAUDITLINK__">{"fdsup://IBCentral/FAT Viewer?action=UPDATE&amp;creator=factset&amp;DOC_NAME=fat:reuters_annual_source_window.fat&amp;display_string=Audit&amp;DYN_ARGS=TRUE&amp;VAR:ID1=23282010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15__FDSAUDITLINK__">{"fdsup://IBCentral/FAT Viewer?action=UPDATE&amp;creator=factset&amp;DOC_NAME=fat:reuters_annual_source_window.fat&amp;display_string=Audit&amp;DYN_ARGS=TRUE&amp;VAR:ID1=689714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216__FDSAUDITLINK__">{"fdsup://IBCentral/FAT Viewer?action=UPDATE&amp;creator=factset&amp;DOC_NAME=fat:reuters_annual_source_window.fat&amp;display_string=Audit&amp;DYN_ARGS=TRUE&amp;VAR:ID1=98975W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217__FDSAUDITLINK__">{"fdsup://IBCentral/FAT Viewer?action=UPDATE&amp;creator=factset&amp;DOC_NAME=fat:reuters_annual_source_window.fat&amp;display_string=Audit&amp;DYN_ARGS=TRUE&amp;VAR:ID1=481835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18__FDSAUDITLINK__">{"fdsup://IBCentral/FAT Viewer?action=UPDATE&amp;creator=factset&amp;DOC_NAME=fat:reuters_annual_source_window.fat&amp;display_string=Audit&amp;DYN_ARGS=TRUE&amp;VAR:ID1=570379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19__FDSAUDITLINK__">{"fdsup://IBCentral/FAT Viewer?action=UPDATE&amp;creator=factset&amp;DOC_NAME=fat:reuters_annual_source_window.fat&amp;display_string=Audit&amp;DYN_ARGS=TRUE&amp;VAR:ID1=23282010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2__FDSAUDITLINK__" localSheetId="0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0__FDSAUDITLINK__">{"fdsup://IBCentral/FAT Viewer?action=UPDATE&amp;creator=factset&amp;DOC_NAME=fat:reuters_annual_source_window.fat&amp;display_string=Audit&amp;DYN_ARGS=TRUE&amp;VAR:ID1=689714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221__FDSAUDITLINK__">{"fdsup://IBCentral/FAT Viewer?action=UPDATE&amp;creator=factset&amp;DOC_NAME=fat:reuters_annual_source_window.fat&amp;display_string=Audit&amp;DYN_ARGS=TRUE&amp;VAR:ID1=B0DX8R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222__FDSAUDITLINK__">{"fdsup://IBCentral/FAT Viewer?action=UPDATE&amp;creator=factset&amp;DOC_NAME=fat:reuters_annual_source_window.fat&amp;display_string=Audit&amp;DYN_ARGS=TRUE&amp;VAR:ID1=B06CF7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23__FDSAUDITLINK__">{"fdsup://IBCentral/FAT Viewer?action=UPDATE&amp;creator=factset&amp;DOC_NAME=fat:reuters_annual_source_window.fat&amp;display_string=Audit&amp;DYN_ARGS=TRUE&amp;VAR:ID1=596465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24__FDSAUDITLINK__">{"fdsup://IBCentral/FAT Viewer?action=UPDATE&amp;creator=factset&amp;DOC_NAME=fat:reuters_annual_source_window.fat&amp;display_string=Audit&amp;DYN_ARGS=TRUE&amp;VAR:ID1=B01CP2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25__FDSAUDITLINK__">{"fdsup://IBCentral/FAT Viewer?action=UPDATE&amp;creator=factset&amp;DOC_NAME=fat:reuters_annual_source_window.fat&amp;display_string=Audit&amp;DYN_ARGS=TRUE&amp;VAR:ID1=74018910&amp;VAR:RCODE=EBITDA&amp;VAR:SDATE=20080399&amp;VAR:FREQ=Y&amp;VAR:RELITEM=&amp;VAR:CURRENCY=&amp;VAR:CURRSOURCE=EXSHARE&amp;V","AR:NATFREQ=ANNUAL&amp;VAR:RFIELD=FINALIZED&amp;VAR:DB_TYPE=&amp;VAR:UNITS=M&amp;window=popup&amp;width=450&amp;height=300&amp;START_MAXIMIZED=FALSE"}</definedName>
    <definedName name="_226__FDSAUDITLINK__">{"fdsup://IBCentral/FAT Viewer?action=UPDATE&amp;creator=factset&amp;DOC_NAME=fat:reuters_annual_source_window.fat&amp;display_string=Audit&amp;DYN_ARGS=TRUE&amp;VAR:ID1=61539420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227__FDSAUDITLINK__">{"fdsup://IBCentral/FAT Viewer?action=UPDATE&amp;creator=factset&amp;DOC_NAME=fat:reuters_annual_source_window.fat&amp;display_string=Audit&amp;DYN_ARGS=TRUE&amp;VAR:ID1=77434110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228__FDSAUDITLINK__">{"fdsup://IBCentral/FAT Viewer?action=UPDATE&amp;creator=factset&amp;DOC_NAME=fat:reuters_annual_source_window.fat&amp;display_string=Audit&amp;DYN_ARGS=TRUE&amp;VAR:ID1=07330210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29__FDSAUDITLINK__">{"fdsup://IBCentral/FAT Viewer?action=UPDATE&amp;creator=factset&amp;DOC_NAME=fat:reuters_annual_source_window.fat&amp;display_string=Audit&amp;DYN_ARGS=TRUE&amp;VAR:ID1=38238810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3__FDSAUDITLINK__" localSheetId="0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0__FDSAUDITLINK__">{"fdsup://IBCentral/FAT Viewer?action=UPDATE&amp;creator=factset&amp;DOC_NAME=fat:reuters_annual_source_window.fat&amp;display_string=Audit&amp;DYN_ARGS=TRUE&amp;VAR:ID1=26353410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1__FDSAUDITLINK__">{"fdsup://IBCentral/FAT Viewer?action=UPDATE&amp;creator=factset&amp;DOC_NAME=fat:reuters_annual_source_window.fat&amp;display_string=Audit&amp;DYN_ARGS=TRUE&amp;VAR:ID1=36955010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2__FDSAUDITLINK__">{"fdsup://IBCentral/FAT Viewer?action=UPDATE&amp;creator=factset&amp;DOC_NAME=fat:reuters_annual_source_window.fat&amp;display_string=Audit&amp;DYN_ARGS=TRUE&amp;VAR:ID1=66680710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">{"fdsup://IBCentral/FAT Viewer?action=UPDATE&amp;creator=factset&amp;DOC_NAME=fat:reuters_annual_source_window.fat&amp;display_string=Audit&amp;DYN_ARGS=TRUE&amp;VAR:ID1=676396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234__FDSAUDITLINK__">{"fdsup://IBCentral/FAT Viewer?action=UPDATE&amp;creator=factset&amp;DOC_NAME=fat:reuters_annual_source_window.fat&amp;display_string=Audit&amp;DYN_ARGS=TRUE&amp;VAR:ID1=34354P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5__FDSAUDITLINK__">{"fdsup://IBCentral/FAT Viewer?action=UPDATE&amp;creator=factset&amp;DOC_NAME=fat:reuters_annual_source_window.fat&amp;display_string=Audit&amp;DYN_ARGS=TRUE&amp;VAR:ID1=80413710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36__FDSAUDITLINK__">{"fdsup://IBCentral/FAT Viewer?action=UPDATE&amp;creator=factset&amp;DOC_NAME=fat:reuters_annual_source_window.fat&amp;display_string=Audit&amp;DYN_ARGS=TRUE&amp;VAR:ID1=96332010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37__FDSAUDITLINK__">{"fdsup://IBCentral/FAT Viewer?action=UPDATE&amp;creator=factset&amp;DOC_NAME=fat:reuters_annual_source_window.fat&amp;display_string=Audit&amp;DYN_ARGS=TRUE&amp;VAR:ID1=23156110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38__FDSAUDITLINK__">{"fdsup://IBCentral/FAT Viewer?action=UPDATE&amp;creator=factset&amp;DOC_NAME=fat:reuters_annual_source_window.fat&amp;display_string=Audit&amp;DYN_ARGS=TRUE&amp;VAR:ID1=86694210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39__FDSAUDITLINK__">{"fdsup://IBCentral/FAT Viewer?action=UPDATE&amp;creator=factset&amp;DOC_NAME=fat:reuters_annual_source_window.fat&amp;display_string=Audit&amp;DYN_ARGS=TRUE&amp;VAR:ID1=47836610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24__FDSAUDITLINK__" localSheetId="0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0__FDSAUDITLINK__">{"fdsup://IBCentral/FAT Viewer?action=UPDATE&amp;creator=factset&amp;DOC_NAME=fat:reuters_annual_source_window.fat&amp;display_string=Audit&amp;DYN_ARGS=TRUE&amp;VAR:ID1=38308210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41__FDSAUDITLINK__">{"fdsup://IBCentral/FAT Viewer?action=UPDATE&amp;creator=factset&amp;DOC_NAME=fat:reuters_annual_source_window.fat&amp;display_string=Audit&amp;DYN_ARGS=TRUE&amp;VAR:ID1=62985Q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42__FDSAUDITLINK__">{"fdsup://IBCentral/FAT Viewer?action=UPDATE&amp;creator=factset&amp;DOC_NAME=fat:reuters_annual_source_window.fat&amp;display_string=Audit&amp;DYN_ARGS=TRUE&amp;VAR:ID1=38410910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43__FDSAUDITLINK__">{"fdsup://IBCentral/FAT Viewer?action=UPDATE&amp;creator=factset&amp;DOC_NAME=fat:reuters_annual_source_window.fat&amp;display_string=Audit&amp;DYN_ARGS=TRUE&amp;VAR:ID1=45167R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44__FDSAUDITLINK__">{"fdsup://IBCentral/FAT Viewer?action=UPDATE&amp;creator=factset&amp;DOC_NAME=fat:reuters_annual_source_window.fat&amp;display_string=Audit&amp;DYN_ARGS=TRUE&amp;VAR:ID1=26054310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45__FDSAUDITLINK__">{"fdsup://IBCentral/FAT Viewer?action=UPDATE&amp;creator=factset&amp;DOC_NAME=fat:reuters_annual_source_window.fat&amp;display_string=Audit&amp;DYN_ARGS=TRUE&amp;VAR:ID1=47836610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46__FDSAUDITLINK__">{"fdsup://IBCentral/FAT Viewer?action=UPDATE&amp;creator=factset&amp;DOC_NAME=fat:reuters_annual_source_window.fat&amp;display_string=Audit&amp;DYN_ARGS=TRUE&amp;VAR:ID1=09972410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47__FDSAUDITLINK__">{"fdsup://IBCentral/FAT Viewer?action=UPDATE&amp;creator=factset&amp;DOC_NAME=fat:reuters_annual_source_window.fat&amp;display_string=Audit&amp;DYN_ARGS=TRUE&amp;VAR:ID1=710889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8__FDSAUDITLINK__">{"fdsup://IBCentral/FAT Viewer?action=UPDATE&amp;creator=factset&amp;DOC_NAME=fat:reuters_annual_source_window.fat&amp;display_string=Audit&amp;DYN_ARGS=TRUE&amp;VAR:ID1=045796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49__FDSAUDITLINK__">{"fdsup://IBCentral/FAT Viewer?action=UPDATE&amp;creator=factset&amp;DOC_NAME=fat:reuters_annual_source_window.fat&amp;display_string=Audit&amp;DYN_ARGS=TRUE&amp;VAR:ID1=G9143X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5__FDSAUDITLINK__" localSheetId="0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0__FDSAUDITLINK__">{"fdsup://IBCentral/FAT Viewer?action=UPDATE&amp;creator=factset&amp;DOC_NAME=fat:reuters_annual_source_window.fat&amp;display_string=Audit&amp;DYN_ARGS=TRUE&amp;VAR:ID1=98920710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51__FDSAUDITLINK__">{"fdsup://IBCentral/FAT Viewer?action=UPDATE&amp;creator=factset&amp;DOC_NAME=fat:reuters_annual_source_window.fat&amp;display_string=Audit&amp;DYN_ARGS=TRUE&amp;VAR:ID1=B01FLG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52__FDSAUDITLINK__">{"fdsup://IBCentral/FAT Viewer?action=UPDATE&amp;creator=factset&amp;DOC_NAME=fat:reuters_annual_source_window.fat&amp;display_string=Audit&amp;DYN_ARGS=TRUE&amp;VAR:ID1=85461610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53__FDSAUDITLINK__">{"fdsup://IBCentral/FAT Viewer?action=UPDATE&amp;creator=factset&amp;DOC_NAME=fat:reuters_annual_source_window.fat&amp;display_string=Audit&amp;DYN_ARGS=TRUE&amp;VAR:ID1=10969610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54__FDSAUDITLINK__">{"fdsup://IBCentral/FAT Viewer?action=UPDATE&amp;creator=factset&amp;DOC_NAME=fat:reuters_annual_source_window.fat&amp;display_string=Audit&amp;DYN_ARGS=TRUE&amp;VAR:ID1=G9143X20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255__FDSAUDITLINK__">{"fdsup://IBCentral/FAT Viewer?action=UPDATE&amp;creator=factset&amp;DOC_NAME=fat:reuters_annual_source_window.fat&amp;display_string=Audit&amp;DYN_ARGS=TRUE&amp;VAR:ID1=555404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56__FDSAUDITLINK__">{"fdsup://IBCentral/FAT Viewer?action=UPDATE&amp;creator=factset&amp;DOC_NAME=fat:reuters_annual_source_window.fat&amp;display_string=Audit&amp;DYN_ARGS=TRUE&amp;VAR:ID1=B1QGR4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57__FDSAUDITLINK__">{"fdsup://IBCentral/FAT Viewer?action=UPDATE&amp;creator=factset&amp;DOC_NAME=fat:reuters_annual_source_window.fat&amp;display_string=Audit&amp;DYN_ARGS=TRUE&amp;VAR:ID1=91301710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58__FDSAUDITLINK__">{"fdsup://IBCentral/FAT Viewer?action=UPDATE&amp;creator=factset&amp;DOC_NAME=fat:reuters_annual_source_window.fat&amp;display_string=Audit&amp;DYN_ARGS=TRUE&amp;VAR:ID1=47836610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259__FDSAUDITLINK__">{"fdsup://IBCentral/FAT Viewer?action=UPDATE&amp;creator=factset&amp;DOC_NAME=fat:reuters_annual_source_window.fat&amp;display_string=Audit&amp;DYN_ARGS=TRUE&amp;VAR:ID1=77019610&amp;VAR:RCODE=EBITDA&amp;VAR:SDATE=20080899&amp;VAR:FREQ=Y&amp;VAR:RELITEM=&amp;VAR:CURRENCY=&amp;VAR:CURRSOURCE=EXSHARE&amp;V","AR:NATFREQ=ANNUAL&amp;VAR:RFIELD=FINALIZED&amp;VAR:DB_TYPE=&amp;VAR:UNITS=M&amp;window=popup&amp;width=450&amp;height=300&amp;START_MAXIMIZED=FALSE"}</definedName>
    <definedName name="_26__FDSAUDITLINK__" localSheetId="0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0__FDSAUDITLINK__">{"fdsup://IBCentral/FAT Viewer?action=UPDATE&amp;creator=factset&amp;DOC_NAME=fat:reuters_annual_source_window.fat&amp;display_string=Audit&amp;DYN_ARGS=TRUE&amp;VAR:ID1=045796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61__FDSAUDITLINK__">{"fdsup://IBCentral/FAT Viewer?action=UPDATE&amp;creator=factset&amp;DOC_NAME=fat:reuters_annual_source_window.fat&amp;display_string=Audit&amp;DYN_ARGS=TRUE&amp;VAR:ID1=34354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62__FDSAUDITLINK__">{"fdsup://IBCentral/FAT Viewer?action=UPDATE&amp;creator=factset&amp;DOC_NAME=fat:reuters_annual_source_window.fat&amp;display_string=Audit&amp;DYN_ARGS=TRUE&amp;VAR:ID1=026349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63__FDSAUDITLINK__">{"fdsup://IBCentral/FAT Viewer?action=UPDATE&amp;creator=factset&amp;DOC_NAME=fat:reuters_annual_source_window.fat&amp;display_string=Audit&amp;DYN_ARGS=TRUE&amp;VAR:ID1=53983010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64__FDSAUDITLINK__">{"fdsup://IBCentral/FAT Viewer?action=UPDATE&amp;creator=factset&amp;DOC_NAME=fat:reuters_annual_source_window.fat&amp;display_string=Audit&amp;DYN_ARGS=TRUE&amp;VAR:ID1=75511150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65__FDSAUDITLINK__">{"fdsup://IBCentral/FAT Viewer?action=UPDATE&amp;creator=factset&amp;DOC_NAME=fat:reuters_annual_source_window.fat&amp;display_string=Audit&amp;DYN_ARGS=TRUE&amp;VAR:ID1=41387510&amp;VAR:RCODE=EBITDA&amp;VAR:SDATE=20080699&amp;VAR:FREQ=Y&amp;VAR:RELITEM=&amp;VAR:CURRENCY=&amp;VAR:CURRSOURCE=EXSHARE&amp;V","AR:NATFREQ=ANNUAL&amp;VAR:RFIELD=FINALIZED&amp;VAR:DB_TYPE=&amp;VAR:UNITS=M&amp;window=popup&amp;width=450&amp;height=300&amp;START_MAXIMIZED=FALSE"}</definedName>
    <definedName name="_266__FDSAUDITLINK__">{"fdsup://IBCentral/FAT Viewer?action=UPDATE&amp;creator=factset&amp;DOC_NAME=fat:reuters_annual_source_window.fat&amp;display_string=Audit&amp;DYN_ARGS=TRUE&amp;VAR:ID1=36955010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67__FDSAUDITLINK__">{"fdsup://IBCentral/FAT Viewer?action=UPDATE&amp;creator=factset&amp;DOC_NAME=fat:reuters_annual_source_window.fat&amp;display_string=Audit&amp;DYN_ARGS=TRUE&amp;VAR:ID1=66680710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268__FDSAUDITLINK__">{"fdsup://IBCentral/FAT Viewer?action=UPDATE&amp;creator=factset&amp;DOC_NAME=fat:reuters_annual_source_window.fat&amp;display_string=Audit&amp;DYN_ARGS=TRUE&amp;VAR:ID1=569878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69__FDSAUDITLINK__">{"fdsup://IBCentral/FAT Viewer?action=UPDATE&amp;creator=factset&amp;DOC_NAME=fat:reuters_annual_source_window.fat&amp;display_string=Audit&amp;DYN_ARGS=TRUE&amp;VAR:ID1=679159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__FDSAUDITLINK__" localSheetId="0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0__FDSAUDITLINK__">{"fdsup://IBCentral/FAT Viewer?action=UPDATE&amp;creator=factset&amp;DOC_NAME=fat:reuters_annual_source_window.fat&amp;display_string=Audit&amp;DYN_ARGS=TRUE&amp;VAR:ID1=B01FLG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1__FDSAUDITLINK__">{"fdsup://IBCentral/FAT Viewer?action=UPDATE&amp;creator=factset&amp;DOC_NAME=fat:reuters_annual_source_window.fat&amp;display_string=Audit&amp;DYN_ARGS=TRUE&amp;VAR:ID1=85461610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2__FDSAUDITLINK__">{"fdsup://IBCentral/FAT Viewer?action=UPDATE&amp;creator=factset&amp;DOC_NAME=fat:reuters_annual_source_window.fat&amp;display_string=Audit&amp;DYN_ARGS=TRUE&amp;VAR:ID1=10969610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3__FDSAUDITLINK__">{"fdsup://IBCentral/FAT Viewer?action=UPDATE&amp;creator=factset&amp;DOC_NAME=fat:reuters_annual_source_window.fat&amp;display_string=Audit&amp;DYN_ARGS=TRUE&amp;VAR:ID1=G9143X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4__FDSAUDITLINK__">{"fdsup://IBCentral/FAT Viewer?action=UPDATE&amp;creator=factset&amp;DOC_NAME=fat:reuters_annual_source_window.fat&amp;display_string=Audit&amp;DYN_ARGS=TRUE&amp;VAR:ID1=555404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5__FDSAUDITLINK__">{"fdsup://IBCentral/FAT Viewer?action=UPDATE&amp;creator=factset&amp;DOC_NAME=fat:reuters_annual_source_window.fat&amp;display_string=Audit&amp;DYN_ARGS=TRUE&amp;VAR:ID1=77390310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6__FDSAUDITLINK__">{"fdsup://IBCentral/FAT Viewer?action=UPDATE&amp;creator=factset&amp;DOC_NAME=fat:reuters_annual_source_window.fat&amp;display_string=Audit&amp;DYN_ARGS=TRUE&amp;VAR:ID1=36555810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7__FDSAUDITLINK__">{"fdsup://IBCentral/FAT Viewer?action=UPDATE&amp;creator=factset&amp;DOC_NAME=fat:reuters_annual_source_window.fat&amp;display_string=Audit&amp;DYN_ARGS=TRUE&amp;VAR:ID1=B1QGR4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8__FDSAUDITLINK__">{"fdsup://IBCentral/FAT Viewer?action=UPDATE&amp;creator=factset&amp;DOC_NAME=fat:reuters_annual_source_window.fat&amp;display_string=Audit&amp;DYN_ARGS=TRUE&amp;VAR:ID1=91301710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79__FDSAUDITLINK__">{"fdsup://IBCentral/FAT Viewer?action=UPDATE&amp;creator=factset&amp;DOC_NAME=fat:reuters_annual_source_window.fat&amp;display_string=Audit&amp;DYN_ARGS=TRUE&amp;VAR:ID1=47836610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0__FDSAUDITLINK__">{"fdsup://IBCentral/FAT Viewer?action=UPDATE&amp;creator=factset&amp;DOC_NAME=fat:reuters_annual_source_window.fat&amp;display_string=Audit&amp;DYN_ARGS=TRUE&amp;VAR:ID1=52610710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81__FDSAUDITLINK__">{"fdsup://IBCentral/FAT Viewer?action=UPDATE&amp;creator=factset&amp;DOC_NAME=fat:reuters_annual_source_window.fat&amp;display_string=Audit&amp;DYN_ARGS=TRUE&amp;VAR:ID1=569878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282__FDSAUDITLINK__">{"fdsup://IBCentral/FAT Viewer?action=UPDATE&amp;creator=factset&amp;DOC_NAME=fat:reuters_annual_source_window.fat&amp;display_string=Audit&amp;DYN_ARGS=TRUE&amp;VAR:ID1=679159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283__FDSAUDITLINK__">{"fdsup://IBCentral/FAT Viewer?action=UPDATE&amp;creator=factset&amp;DOC_NAME=fat:reuters_annual_source_window.fat&amp;display_string=Audit&amp;DYN_ARGS=TRUE&amp;VAR:ID1=481835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4__FDSAUDITLINK__">{"fdsup://IBCentral/FAT Viewer?action=UPDATE&amp;creator=factset&amp;DOC_NAME=fat:reuters_annual_source_window.fat&amp;display_string=Audit&amp;DYN_ARGS=TRUE&amp;VAR:ID1=570379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85__FDSAUDITLINK__">{"fdsup://IBCentral/FAT Viewer?action=UPDATE&amp;creator=factset&amp;DOC_NAME=fat:reuters_annual_source_window.fat&amp;display_string=Audit&amp;DYN_ARGS=TRUE&amp;VAR:ID1=55922240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86__FDSAUDITLINK__">{"fdsup://IBCentral/FAT Viewer?action=UPDATE&amp;creator=factset&amp;DOC_NAME=fat:reuters_annual_source_window.fat&amp;display_string=Audit&amp;DYN_ARGS=TRUE&amp;VAR:ID1=69371810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87__FDSAUDITLINK__">{"fdsup://IBCentral/FAT Viewer?action=UPDATE&amp;creator=factset&amp;DOC_NAME=fat:reuters_annual_source_window.fat&amp;display_string=Audit&amp;DYN_ARGS=TRUE&amp;VAR:ID1=63934E10&amp;VAR:RCODE=EBITDA&amp;VAR:SDATE=20071099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88__FDSAUDITLINK__">{"fdsup://IBCentral/FAT Viewer?action=UPDATE&amp;creator=factset&amp;DOC_NAME=fat:reuters_annual_source_window.fat&amp;display_string=Audit&amp;DYN_ARGS=TRUE&amp;VAR:ID1=04335310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89__FDSAUDITLINK__">{"fdsup://IBCentral/FAT Viewer?action=UPDATE&amp;creator=factset&amp;DOC_NAME=fat:reuters_annual_source_window.fat&amp;display_string=Audit&amp;DYN_ARGS=TRUE&amp;VAR:ID1=74018910&amp;VAR:RCODE=EBITDA&amp;VAR:SDATE=20080399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0__FDSAUDITLINK__">{"fdsup://IBCentral/FAT Viewer?action=UPDATE&amp;creator=factset&amp;DOC_NAME=fat:reuters_annual_source_window.fat&amp;display_string=Audit&amp;DYN_ARGS=TRUE&amp;VAR:ID1=61539420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1__FDSAUDITLINK__">{"fdsup://IBCentral/FAT Viewer?action=UPDATE&amp;creator=factset&amp;DOC_NAME=fat:reuters_annual_source_window.fat&amp;display_string=Audit&amp;DYN_ARGS=TRUE&amp;VAR:ID1=77434110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2__FDSAUDITLINK__">{"fdsup://IBCentral/FAT Viewer?action=UPDATE&amp;creator=factset&amp;DOC_NAME=fat:reuters_annual_source_window.fat&amp;display_string=Audit&amp;DYN_ARGS=TRUE&amp;VAR:ID1=07330210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3__FDSAUDITLINK__">{"fdsup://IBCentral/FAT Viewer?action=UPDATE&amp;creator=factset&amp;DOC_NAME=fat:reuters_annual_source_window.fat&amp;display_string=Audit&amp;DYN_ARGS=TRUE&amp;VAR:ID1=38238810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4__FDSAUDITLINK__">{"fdsup://IBCentral/FAT Viewer?action=UPDATE&amp;creator=factset&amp;DOC_NAME=fat:reuters_annual_source_window.fat&amp;display_string=Audit&amp;DYN_ARGS=TRUE&amp;VAR:ID1=86694210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5__FDSAUDITLINK__">{"fdsup://IBCentral/FAT Viewer?action=UPDATE&amp;creator=factset&amp;DOC_NAME=fat:reuters_annual_source_window.fat&amp;display_string=Audit&amp;DYN_ARGS=TRUE&amp;VAR:ID1=676396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>{"fdsup://IBCentral/FAT Viewer?action=UPDATE&amp;creator=factset&amp;DOC_NAME=fat:reuters_annual_source_window.fat&amp;display_string=Audit&amp;DYN_ARGS=TRUE&amp;VAR:ID1=69642930&amp;VAR:RCODE=EBITDA&amp;VAR:SDATE=20070799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7__FDSAUDITLINK__">{"fdsup://IBCentral/FAT Viewer?action=UPDATE&amp;creator=factset&amp;DOC_NAME=fat:reuters_annual_source_window.fat&amp;display_string=Audit&amp;DYN_ARGS=TRUE&amp;VAR:ID1=490238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8__FDSAUDITLINK__">{"fdsup://IBCentral/FAT Viewer?action=UPDATE&amp;creator=factset&amp;DOC_NAME=fat:reuters_annual_source_window.fat&amp;display_string=Audit&amp;DYN_ARGS=TRUE&amp;VAR:ID1=80413710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99__FDSAUDITLINK__">{"fdsup://IBCentral/FAT Viewer?action=UPDATE&amp;creator=factset&amp;DOC_NAME=fat:reuters_annual_source_window.fat&amp;display_string=Audit&amp;DYN_ARGS=TRUE&amp;VAR:ID1=29101110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Q97A" localSheetId="0">'[7]P&amp;L'!$D$9:$D$68</definedName>
    <definedName name="_2Q97A">'[8]P&amp;L'!$D$9:$D$68</definedName>
    <definedName name="_2Q98A" localSheetId="0">'[7]P&amp;L'!$I$9:$I$68</definedName>
    <definedName name="_2Q98A">'[8]P&amp;L'!$I$9:$I$68</definedName>
    <definedName name="_2Q99A" localSheetId="0">'[7]P&amp;L'!$N$9:$N$68</definedName>
    <definedName name="_2Q99A">'[8]P&amp;L'!$N$9:$N$68</definedName>
    <definedName name="_3__FDSAUDITLINK__" localSheetId="0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0__FDSAUDITLINK__">{"fdsup://IBCentral/FAT Viewer?action=UPDATE&amp;creator=factset&amp;DOC_NAME=fat:reuters_annual_source_window.fat&amp;display_string=Audit&amp;DYN_ARGS=TRUE&amp;VAR:ID1=483410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1__FDSAUDITLINK__">{"fdsup://IBCentral/FAT Viewer?action=UPDATE&amp;creator=factset&amp;DOC_NAME=fat:reuters_annual_source_window.fat&amp;display_string=Audit&amp;DYN_ARGS=TRUE&amp;VAR:ID1=B11ZRK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2__FDSAUDITLINK__">{"fdsup://IBCentral/FAT Viewer?action=UPDATE&amp;creator=factset&amp;DOC_NAME=fat:reuters_annual_source_window.fat&amp;display_string=Audit&amp;DYN_ARGS=TRUE&amp;VAR:ID1=44351020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03__FDSAUDITLINK__">{"fdsup://IBCentral/FAT Viewer?action=UPDATE&amp;creator=factset&amp;DOC_NAME=fat:reuters_annual_source_window.fat&amp;display_string=Audit&amp;DYN_ARGS=TRUE&amp;VAR:ID1=88431510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04__FDSAUDITLINK__">{"fdsup://IBCentral/FAT Viewer?action=UPDATE&amp;creator=factset&amp;DOC_NAME=fat:reuters_annual_source_window.fat&amp;display_string=Audit&amp;DYN_ARGS=TRUE&amp;VAR:ID1=G2418210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05__FDSAUDITLINK__">{"fdsup://IBCentral/FAT Viewer?action=UPDATE&amp;creator=factset&amp;DOC_NAME=fat:reuters_annual_source_window.fat&amp;display_string=Audit&amp;DYN_ARGS=TRUE&amp;VAR:ID1=019520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306__FDSAUDITLINK__">{"fdsup://IBCentral/FAT Viewer?action=UPDATE&amp;creator=factset&amp;DOC_NAME=fat:reuters_annual_source_window.fat&amp;display_string=Audit&amp;DYN_ARGS=TRUE&amp;VAR:ID1=87264S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07__FDSAUDITLINK__">{"fdsup://IBCentral/FAT Viewer?action=UPDATE&amp;creator=factset&amp;DOC_NAME=fat:reuters_annual_source_window.fat&amp;display_string=Audit&amp;DYN_ARGS=TRUE&amp;VAR:ID1=04335310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308__FDSAUDITLINK__">{"fdsup://IBCentral/FAT Viewer?action=UPDATE&amp;creator=factset&amp;DOC_NAME=fat:reuters_annual_source_window.fat&amp;display_string=Audit&amp;DYN_ARGS=TRUE&amp;VAR:ID1=47836610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309__FDSAUDITLINK__">{"fdsup://IBCentral/FAT Viewer?action=UPDATE&amp;creator=factset&amp;DOC_NAME=fat:reuters_annual_source_window.fat&amp;display_string=Audit&amp;DYN_ARGS=TRUE&amp;VAR:ID1=09972410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0__FDSAUDITLINK__">{"fdsup://IBCentral/FAT Viewer?action=UPDATE&amp;creator=factset&amp;DOC_NAME=fat:reuters_annual_source_window.fat&amp;display_string=Audit&amp;DYN_ARGS=TRUE&amp;VAR:ID1=55922240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11__FDSAUDITLINK__">{"fdsup://IBCentral/FAT Viewer?action=UPDATE&amp;creator=factset&amp;DOC_NAME=fat:reuters_annual_source_window.fat&amp;display_string=Audit&amp;DYN_ARGS=TRUE&amp;VAR:ID1=69371810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12__FDSAUDITLINK__">{"fdsup://IBCentral/FAT Viewer?action=UPDATE&amp;creator=factset&amp;DOC_NAME=fat:reuters_annual_source_window.fat&amp;display_string=Audit&amp;DYN_ARGS=TRUE&amp;VAR:ID1=63934E10&amp;VAR:RCODE=EBITDA&amp;VAR:SDATE=20071099&amp;VAR:FREQ=Y&amp;VAR:RELITEM=&amp;VAR:CURRENCY=&amp;VAR:CURRSOURCE=EXSHARE&amp;V","AR:NATFREQ=ANNUAL&amp;VAR:RFIELD=FINALIZED&amp;VAR:DB_TYPE=&amp;VAR:UNITS=M&amp;window=popup&amp;width=450&amp;height=300&amp;START_MAXIMIZED=FALSE"}</definedName>
    <definedName name="_313__FDSAUDITLINK__">{"fdsup://IBCentral/FAT Viewer?action=UPDATE&amp;creator=factset&amp;DOC_NAME=fat:reuters_annual_source_window.fat&amp;display_string=Audit&amp;DYN_ARGS=TRUE&amp;VAR:ID1=04335310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314__FDSAUDITLINK__">{"fdsup://IBCentral/FAT Viewer?action=UPDATE&amp;creator=factset&amp;DOC_NAME=fat:reuters_annual_source_window.fat&amp;display_string=Audit&amp;DYN_ARGS=TRUE&amp;VAR:ID1=74018910&amp;VAR:RCODE=EBITDA&amp;VAR:SDATE=20080399&amp;VAR:FREQ=Y&amp;VAR:RELITEM=&amp;VAR:CURRENCY=&amp;VAR:CURRSOURCE=EXSHARE&amp;V","AR:NATFREQ=ANNUAL&amp;VAR:RFIELD=FINALIZED&amp;VAR:DB_TYPE=&amp;VAR:UNITS=M&amp;window=popup&amp;width=450&amp;height=300&amp;START_MAXIMIZED=FALSE"}</definedName>
    <definedName name="_315__FDSAUDITLINK__">{"fdsup://IBCentral/FAT Viewer?action=UPDATE&amp;creator=factset&amp;DOC_NAME=fat:reuters_annual_source_window.fat&amp;display_string=Audit&amp;DYN_ARGS=TRUE&amp;VAR:ID1=61539420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316__FDSAUDITLINK__">{"fdsup://IBCentral/FAT Viewer?action=UPDATE&amp;creator=factset&amp;DOC_NAME=fat:reuters_annual_source_window.fat&amp;display_string=Audit&amp;DYN_ARGS=TRUE&amp;VAR:ID1=77434110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317__FDSAUDITLINK__">{"fdsup://IBCentral/FAT Viewer?action=UPDATE&amp;creator=factset&amp;DOC_NAME=fat:reuters_annual_source_window.fat&amp;display_string=Audit&amp;DYN_ARGS=TRUE&amp;VAR:ID1=07330210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18__FDSAUDITLINK__">{"fdsup://IBCentral/FAT Viewer?action=UPDATE&amp;creator=factset&amp;DOC_NAME=fat:reuters_annual_source_window.fat&amp;display_string=Audit&amp;DYN_ARGS=TRUE&amp;VAR:ID1=38238810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19__FDSAUDITLINK__">{"fdsup://IBCentral/FAT Viewer?action=UPDATE&amp;creator=factset&amp;DOC_NAME=fat:reuters_annual_source_window.fat&amp;display_string=Audit&amp;DYN_ARGS=TRUE&amp;VAR:ID1=86694210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0__FDSAUDITLINK__">{"fdsup://IBCentral/FAT Viewer?action=UPDATE&amp;creator=factset&amp;DOC_NAME=fat:reuters_annual_source_window.fat&amp;display_string=Audit&amp;DYN_ARGS=TRUE&amp;VAR:ID1=676396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321__FDSAUDITLINK__">{"fdsup://IBCentral/FAT Viewer?action=UPDATE&amp;creator=factset&amp;DOC_NAME=fat:reuters_annual_source_window.fat&amp;display_string=Audit&amp;DYN_ARGS=TRUE&amp;VAR:ID1=69642930&amp;VAR:RCODE=EBITDA&amp;VAR:SDATE=20080799&amp;VAR:FREQ=Y&amp;VAR:RELITEM=&amp;VAR:CURRENCY=&amp;VAR:CURRSOURCE=EXSHARE&amp;V","AR:NATFREQ=ANNUAL&amp;VAR:RFIELD=FINALIZED&amp;VAR:DB_TYPE=&amp;VAR:UNITS=M&amp;window=popup&amp;width=450&amp;height=300&amp;START_MAXIMIZED=FALSE"}</definedName>
    <definedName name="_322__FDSAUDITLINK__">{"fdsup://IBCentral/FAT Viewer?action=UPDATE&amp;creator=factset&amp;DOC_NAME=fat:reuters_annual_source_window.fat&amp;display_string=Audit&amp;DYN_ARGS=TRUE&amp;VAR:ID1=490238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323__FDSAUDITLINK__">{"fdsup://IBCentral/FAT Viewer?action=UPDATE&amp;creator=factset&amp;DOC_NAME=fat:reuters_annual_source_window.fat&amp;display_string=Audit&amp;DYN_ARGS=TRUE&amp;VAR:ID1=80413710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24__FDSAUDITLINK__">{"fdsup://IBCentral/FAT Viewer?action=UPDATE&amp;creator=factset&amp;DOC_NAME=fat:reuters_annual_source_window.fat&amp;display_string=Audit&amp;DYN_ARGS=TRUE&amp;VAR:ID1=29101110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325__FDSAUDITLINK__">{"fdsup://IBCentral/FAT Viewer?action=UPDATE&amp;creator=factset&amp;DOC_NAME=fat:reuters_annual_source_window.fat&amp;display_string=Audit&amp;DYN_ARGS=TRUE&amp;VAR:ID1=483410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326__FDSAUDITLINK__">{"fdsup://IBCentral/FAT Viewer?action=UPDATE&amp;creator=factset&amp;DOC_NAME=fat:reuters_annual_source_window.fat&amp;display_string=Audit&amp;DYN_ARGS=TRUE&amp;VAR:ID1=B11ZRK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327__FDSAUDITLINK__">{"fdsup://IBCentral/FAT Viewer?action=UPDATE&amp;creator=factset&amp;DOC_NAME=fat:reuters_annual_source_window.fat&amp;display_string=Audit&amp;DYN_ARGS=TRUE&amp;VAR:ID1=44351020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28__FDSAUDITLINK__">{"fdsup://IBCentral/FAT Viewer?action=UPDATE&amp;creator=factset&amp;DOC_NAME=fat:reuters_annual_source_window.fat&amp;display_string=Audit&amp;DYN_ARGS=TRUE&amp;VAR:ID1=88431510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29__FDSAUDITLINK__">{"fdsup://IBCentral/FAT Viewer?action=UPDATE&amp;creator=factset&amp;DOC_NAME=fat:reuters_annual_source_window.fat&amp;display_string=Audit&amp;DYN_ARGS=TRUE&amp;VAR:ID1=G2418210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0__FDSAUDITLINK__">{"fdsup://IBCentral/FAT Viewer?action=UPDATE&amp;creator=factset&amp;DOC_NAME=fat:reuters_annual_source_window.fat&amp;display_string=Audit&amp;DYN_ARGS=TRUE&amp;VAR:ID1=019520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331__FDSAUDITLINK__">{"fdsup://IBCentral/FAT Viewer?action=UPDATE&amp;creator=factset&amp;DOC_NAME=fat:reuters_annual_source_window.fat&amp;display_string=Audit&amp;DYN_ARGS=TRUE&amp;VAR:ID1=Y9369110&amp;VAR:RCODE=EBITDA&amp;VAR:SDATE=20071099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2__FDSAUDITLINK__">{"fdsup://IBCentral/FAT Viewer?action=UPDATE&amp;creator=factset&amp;DOC_NAME=fat:reuters_annual_source_window.fat&amp;display_string=Audit&amp;DYN_ARGS=TRUE&amp;VAR:ID1=27000610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3__FDSAUDITLINK__">{"fdsup://IBCentral/FAT Viewer?action=UPDATE&amp;creator=factset&amp;DOC_NAME=fat:reuters_annual_source_window.fat&amp;display_string=Audit&amp;DYN_ARGS=TRUE&amp;VAR:ID1=48248010&amp;VAR:RCODE=EBITDA&amp;VAR:SDATE=20070699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4__FDSAUDITLINK__">{"fdsup://IBCentral/FAT Viewer?action=UPDATE&amp;creator=factset&amp;DOC_NAME=fat:reuters_annual_source_window.fat&amp;display_string=Audit&amp;DYN_ARGS=TRUE&amp;VAR:ID1=04273510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5__FDSAUDITLINK__">{"fdsup://IBCentral/FAT Viewer?action=UPDATE&amp;creator=factset&amp;DOC_NAME=fat:reuters_annual_source_window.fat&amp;display_string=Audit&amp;DYN_ARGS=TRUE&amp;VAR:ID1=03209510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6__FDSAUDITLINK__">{"fdsup://IBCentral/FAT Viewer?action=UPDATE&amp;creator=factset&amp;DOC_NAME=fat:reuters_annual_source_window.fat&amp;display_string=Audit&amp;DYN_ARGS=TRUE&amp;VAR:ID1=38308210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7__FDSAUDITLINK__">{"fdsup://IBCentral/FAT Viewer?action=UPDATE&amp;creator=factset&amp;DOC_NAME=fat:reuters_annual_source_window.fat&amp;display_string=Audit&amp;DYN_ARGS=TRUE&amp;VAR:ID1=13342B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8__FDSAUDITLINK__">{"fdsup://IBCentral/FAT Viewer?action=UPDATE&amp;creator=factset&amp;DOC_NAME=fat:reuters_annual_source_window.fat&amp;display_string=Audit&amp;DYN_ARGS=TRUE&amp;VAR:ID1=38410910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39__FDSAUDITLINK__">{"fdsup://IBCentral/FAT Viewer?action=UPDATE&amp;creator=factset&amp;DOC_NAME=fat:reuters_annual_source_window.fat&amp;display_string=Audit&amp;DYN_ARGS=TRUE&amp;VAR:ID1=77019610&amp;VAR:RCODE=EBITDA&amp;VAR:SDATE=20070899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0__FDSAUDITLINK__">{"fdsup://IBCentral/FAT Viewer?action=UPDATE&amp;creator=factset&amp;DOC_NAME=fat:reuters_annual_source_window.fat&amp;display_string=Audit&amp;DYN_ARGS=TRUE&amp;VAR:ID1=45167R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1__FDSAUDITLINK__">{"fdsup://IBCentral/FAT Viewer?action=UPDATE&amp;creator=factset&amp;DOC_NAME=fat:reuters_annual_source_window.fat&amp;display_string=Audit&amp;DYN_ARGS=TRUE&amp;VAR:ID1=34354P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2__FDSAUDITLINK__">{"fdsup://IBCentral/FAT Viewer?action=UPDATE&amp;creator=factset&amp;DOC_NAME=fat:reuters_annual_source_window.fat&amp;display_string=Audit&amp;DYN_ARGS=TRUE&amp;VAR:ID1=G9508910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3__FDSAUDITLINK__">{"fdsup://IBCentral/FAT Viewer?action=UPDATE&amp;creator=factset&amp;DOC_NAME=fat:reuters_annual_source_window.fat&amp;display_string=Audit&amp;DYN_ARGS=TRUE&amp;VAR:ID1=63707110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4__FDSAUDITLINK__">{"fdsup://IBCentral/FAT Viewer?action=UPDATE&amp;creator=factset&amp;DOC_NAME=fat:reuters_annual_source_window.fat&amp;display_string=Audit&amp;DYN_ARGS=TRUE&amp;VAR:ID1=56357110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5__FDSAUDITLINK__">{"fdsup://IBCentral/FAT Viewer?action=UPDATE&amp;creator=factset&amp;DOC_NAME=fat:reuters_annual_source_window.fat&amp;display_string=Audit&amp;DYN_ARGS=TRUE&amp;VAR:ID1=59627810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6__FDSAUDITLINK__">{"fdsup://IBCentral/FAT Viewer?action=UPDATE&amp;creator=factset&amp;DOC_NAME=fat:reuters_annual_source_window.fat&amp;display_string=Audit&amp;DYN_ARGS=TRUE&amp;VAR:ID1=45878610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7__FDSAUDITLINK__">{"fdsup://IBCentral/FAT Viewer?action=UPDATE&amp;creator=factset&amp;DOC_NAME=fat:reuters_annual_source_window.fat&amp;display_string=Audit&amp;DYN_ARGS=TRUE&amp;VAR:ID1=23102110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8__FDSAUDITLINK__">{"fdsup://IBCentral/FAT Viewer?action=UPDATE&amp;creator=factset&amp;DOC_NAME=fat:reuters_annual_source_window.fat&amp;display_string=Audit&amp;DYN_ARGS=TRUE&amp;VAR:ID1=N2093520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49__FDSAUDITLINK__">{"fdsup://IBCentral/FAT Viewer?action=UPDATE&amp;creator=factset&amp;DOC_NAME=fat:reuters_annual_source_window.fat&amp;display_string=Audit&amp;DYN_ARGS=TRUE&amp;VAR:ID1=649658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3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0__FDSAUDITLINK__">{"fdsup://IBCentral/FAT Viewer?action=UPDATE&amp;creator=factset&amp;DOC_NAME=fat:reuters_annual_source_window.fat&amp;display_string=Audit&amp;DYN_ARGS=TRUE&amp;VAR:ID1=88077910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51__FDSAUDITLINK__">{"fdsup://IBCentral/FAT Viewer?action=UPDATE&amp;creator=factset&amp;DOC_NAME=fat:reuters_annual_source_window.fat&amp;display_string=Audit&amp;DYN_ARGS=TRUE&amp;VAR:ID1=14912310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52__FDSAUDITLINK__">{"fdsup://IBCentral/FAT Viewer?action=UPDATE&amp;creator=factset&amp;DOC_NAME=fat:reuters_annual_source_window.fat&amp;display_string=Audit&amp;DYN_ARGS=TRUE&amp;VAR:ID1=Y9369110&amp;VAR:RCODE=EBITDA&amp;VAR:SDATE=20081099&amp;VAR:FREQ=Y&amp;VAR:RELITEM=&amp;VAR:CURRENCY=&amp;VAR:CURRSOURCE=EXSHARE&amp;V","AR:NATFREQ=ANNUAL&amp;VAR:RFIELD=FINALIZED&amp;VAR:DB_TYPE=&amp;VAR:UNITS=M&amp;window=popup&amp;width=450&amp;height=300&amp;START_MAXIMIZED=FALSE"}</definedName>
    <definedName name="_353__FDSAUDITLINK__">{"fdsup://IBCentral/FAT Viewer?action=UPDATE&amp;creator=factset&amp;DOC_NAME=fat:reuters_annual_source_window.fat&amp;display_string=Audit&amp;DYN_ARGS=TRUE&amp;VAR:ID1=27000610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354__FDSAUDITLINK__">{"fdsup://IBCentral/FAT Viewer?action=UPDATE&amp;creator=factset&amp;DOC_NAME=fat:reuters_annual_source_window.fat&amp;display_string=Audit&amp;DYN_ARGS=TRUE&amp;VAR:ID1=48248010&amp;VAR:RCODE=EBITDA&amp;VAR:SDATE=20080699&amp;VAR:FREQ=Y&amp;VAR:RELITEM=&amp;VAR:CURRENCY=&amp;VAR:CURRSOURCE=EXSHARE&amp;V","AR:NATFREQ=ANNUAL&amp;VAR:RFIELD=FINALIZED&amp;VAR:DB_TYPE=&amp;VAR:UNITS=M&amp;window=popup&amp;width=450&amp;height=300&amp;START_MAXIMIZED=FALSE"}</definedName>
    <definedName name="_355__FDSAUDITLINK__">{"fdsup://IBCentral/FAT Viewer?action=UPDATE&amp;creator=factset&amp;DOC_NAME=fat:reuters_annual_source_window.fat&amp;display_string=Audit&amp;DYN_ARGS=TRUE&amp;VAR:ID1=04273510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56__FDSAUDITLINK__">{"fdsup://IBCentral/FAT Viewer?action=UPDATE&amp;creator=factset&amp;DOC_NAME=fat:reuters_annual_source_window.fat&amp;display_string=Audit&amp;DYN_ARGS=TRUE&amp;VAR:ID1=03209510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57__FDSAUDITLINK__">{"fdsup://IBCentral/FAT Viewer?action=UPDATE&amp;creator=factset&amp;DOC_NAME=fat:reuters_annual_source_window.fat&amp;display_string=Audit&amp;DYN_ARGS=TRUE&amp;VAR:ID1=38308210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58__FDSAUDITLINK__">{"fdsup://IBCentral/FAT Viewer?action=UPDATE&amp;creator=factset&amp;DOC_NAME=fat:reuters_annual_source_window.fat&amp;display_string=Audit&amp;DYN_ARGS=TRUE&amp;VAR:ID1=13342B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59__FDSAUDITLINK__">{"fdsup://IBCentral/FAT Viewer?action=UPDATE&amp;creator=factset&amp;DOC_NAME=fat:reuters_annual_source_window.fat&amp;display_string=Audit&amp;DYN_ARGS=TRUE&amp;VAR:ID1=38410910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0__FDSAUDITLINK__">{"fdsup://IBCentral/FAT Viewer?action=UPDATE&amp;creator=factset&amp;DOC_NAME=fat:reuters_annual_source_window.fat&amp;display_string=Audit&amp;DYN_ARGS=TRUE&amp;VAR:ID1=77019610&amp;VAR:RCODE=EBITDA&amp;VAR:SDATE=20080899&amp;VAR:FREQ=Y&amp;VAR:RELITEM=&amp;VAR:CURRENCY=&amp;VAR:CURRSOURCE=EXSHARE&amp;V","AR:NATFREQ=ANNUAL&amp;VAR:RFIELD=FINALIZED&amp;VAR:DB_TYPE=&amp;VAR:UNITS=M&amp;window=popup&amp;width=450&amp;height=300&amp;START_MAXIMIZED=FALSE"}</definedName>
    <definedName name="_361__FDSAUDITLINK__">{"fdsup://IBCentral/FAT Viewer?action=UPDATE&amp;creator=factset&amp;DOC_NAME=fat:reuters_annual_source_window.fat&amp;display_string=Audit&amp;DYN_ARGS=TRUE&amp;VAR:ID1=45167R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2__FDSAUDITLINK__">{"fdsup://IBCentral/FAT Viewer?action=UPDATE&amp;creator=factset&amp;DOC_NAME=fat:reuters_annual_source_window.fat&amp;display_string=Audit&amp;DYN_ARGS=TRUE&amp;VAR:ID1=34354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3__FDSAUDITLINK__">{"fdsup://IBCentral/FAT Viewer?action=UPDATE&amp;creator=factset&amp;DOC_NAME=fat:reuters_annual_source_window.fat&amp;display_string=Audit&amp;DYN_ARGS=TRUE&amp;VAR:ID1=G9508910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4__FDSAUDITLINK__">{"fdsup://IBCentral/FAT Viewer?action=UPDATE&amp;creator=factset&amp;DOC_NAME=fat:reuters_annual_source_window.fat&amp;display_string=Audit&amp;DYN_ARGS=TRUE&amp;VAR:ID1=63707110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5__FDSAUDITLINK__">{"fdsup://IBCentral/FAT Viewer?action=UPDATE&amp;creator=factset&amp;DOC_NAME=fat:reuters_annual_source_window.fat&amp;display_string=Audit&amp;DYN_ARGS=TRUE&amp;VAR:ID1=59627810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6__FDSAUDITLINK__">{"fdsup://IBCentral/FAT Viewer?action=UPDATE&amp;creator=factset&amp;DOC_NAME=fat:reuters_annual_source_window.fat&amp;display_string=Audit&amp;DYN_ARGS=TRUE&amp;VAR:ID1=027480&amp;VAR:RCODE=EBITDA&amp;VAR:SDATE=20071099&amp;VAR:FREQ=Y&amp;VAR:RELITEM=&amp;VAR:CURRENCY=&amp;VAR:CURRSOURCE=EXSHARE&amp;VAR",":NATFREQ=ANNUAL&amp;VAR:RFIELD=FINALIZED&amp;VAR:DB_TYPE=&amp;VAR:UNITS=M&amp;window=popup&amp;width=450&amp;height=300&amp;START_MAXIMIZED=FALSE"}</definedName>
    <definedName name="_367__FDSAUDITLINK__">{"fdsup://IBCentral/FAT Viewer?action=UPDATE&amp;creator=factset&amp;DOC_NAME=fat:reuters_annual_source_window.fat&amp;display_string=Audit&amp;DYN_ARGS=TRUE&amp;VAR:ID1=45878610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8__FDSAUDITLINK__">{"fdsup://IBCentral/FAT Viewer?action=UPDATE&amp;creator=factset&amp;DOC_NAME=fat:reuters_annual_source_window.fat&amp;display_string=Audit&amp;DYN_ARGS=TRUE&amp;VAR:ID1=23102110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69__FDSAUDITLINK__">{"fdsup://IBCentral/FAT Viewer?action=UPDATE&amp;creator=factset&amp;DOC_NAME=fat:reuters_annual_source_window.fat&amp;display_string=Audit&amp;DYN_ARGS=TRUE&amp;VAR:ID1=N2093520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0__FDSAUDITLINK__">{"fdsup://IBCentral/FAT Viewer?action=UPDATE&amp;creator=factset&amp;DOC_NAME=fat:reuters_annual_source_window.fat&amp;display_string=Audit&amp;DYN_ARGS=TRUE&amp;VAR:ID1=649658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371__FDSAUDITLINK__">{"fdsup://IBCentral/FAT Viewer?action=UPDATE&amp;creator=factset&amp;DOC_NAME=fat:reuters_annual_source_window.fat&amp;display_string=Audit&amp;DYN_ARGS=TRUE&amp;VAR:ID1=88077910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72__FDSAUDITLINK__">{"fdsup://IBCentral/FAT Viewer?action=UPDATE&amp;creator=factset&amp;DOC_NAME=fat:reuters_annual_source_window.fat&amp;display_string=Audit&amp;DYN_ARGS=TRUE&amp;VAR:ID1=70109410&amp;VAR:RCODE=EBITDA&amp;VAR:SDATE=20080699&amp;VAR:FREQ=Y&amp;VAR:RELITEM=&amp;VAR:CURRENCY=&amp;VAR:CURRSOURCE=EXSHARE&amp;V","AR:NATFREQ=ANNUAL&amp;VAR:RFIELD=FINALIZED&amp;VAR:DB_TYPE=&amp;VAR:UNITS=M&amp;window=popup&amp;width=450&amp;height=300&amp;START_MAXIMIZED=FALSE"}</definedName>
    <definedName name="_373__FDSAUDITLINK__">{"fdsup://IBCentral/FAT Viewer?action=UPDATE&amp;creator=factset&amp;DOC_NAME=fat:reuters_annual_source_window.fat&amp;display_string=Audit&amp;DYN_ARGS=TRUE&amp;VAR:ID1=14912310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74__FDSAUDITLINK__">{"fdsup://IBCentral/FAT Viewer?action=UPDATE&amp;creator=factset&amp;DOC_NAME=fat:reuters_annual_source_window.fat&amp;display_string=Audit&amp;DYN_ARGS=TRUE&amp;VAR:ID1=09179710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75__FDSAUDITLINK__">{"fdsup://IBCentral/FAT Viewer?action=UPDATE&amp;creator=factset&amp;DOC_NAME=fat:reuters_annual_source_window.fat&amp;display_string=Audit&amp;DYN_ARGS=TRUE&amp;VAR:ID1=83303410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76__FDSAUDITLINK__">{"fdsup://IBCentral/FAT Viewer?action=UPDATE&amp;creator=factset&amp;DOC_NAME=fat:reuters_annual_source_window.fat&amp;display_string=Audit&amp;DYN_ARGS=TRUE&amp;VAR:ID1=85461610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77__FDSAUDITLINK__">{"fdsup://IBCentral/FAT Viewer?action=UPDATE&amp;creator=factset&amp;DOC_NAME=fat:reuters_annual_source_window.fat&amp;display_string=Audit&amp;DYN_ARGS=TRUE&amp;VAR:ID1=05774110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78__FDSAUDITLINK__">{"fdsup://IBCentral/FAT Viewer?action=UPDATE&amp;creator=factset&amp;DOC_NAME=fat:reuters_annual_source_window.fat&amp;display_string=Audit&amp;DYN_ARGS=TRUE&amp;VAR:ID1=027480&amp;VAR:RCODE=EBITDA&amp;VAR:SDATE=20071099&amp;VAR:FREQ=Y&amp;VAR:RELITEM=RP&amp;VAR:CURRENCY=&amp;VAR:CURRSOURCE=EXSHARE&amp;V","AR:NATFREQ=ANNUAL&amp;VAR:RFIELD=FINALIZED&amp;VAR:DB_TYPE=&amp;VAR:UNITS=M&amp;window=popup&amp;width=450&amp;height=300&amp;START_MAXIMIZED=FALSE"}</definedName>
    <definedName name="_379__FDSAUDITLINK__">{"fdsup://IBCentral/FAT Viewer?action=UPDATE&amp;creator=factset&amp;DOC_NAME=fat:reuters_annual_source_window.fat&amp;display_string=Audit&amp;DYN_ARGS=TRUE&amp;VAR:ID1=98920710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0__FDSAUDITLINK__">{"fdsup://IBCentral/FAT Viewer?action=UPDATE&amp;creator=factset&amp;DOC_NAME=fat:reuters_annual_source_window.fat&amp;display_string=Audit&amp;DYN_ARGS=TRUE&amp;VAR:ID1=77390310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1__FDSAUDITLINK__">{"fdsup://IBCentral/FAT Viewer?action=UPDATE&amp;creator=factset&amp;DOC_NAME=fat:reuters_annual_source_window.fat&amp;display_string=Audit&amp;DYN_ARGS=TRUE&amp;VAR:ID1=70109410&amp;VAR:RCODE=EBITDA&amp;VAR:SDATE=20070699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2__FDSAUDITLINK__">{"fdsup://IBCentral/FAT Viewer?action=UPDATE&amp;creator=factset&amp;DOC_NAME=fat:reuters_annual_source_window.fat&amp;display_string=Audit&amp;DYN_ARGS=TRUE&amp;VAR:ID1=82966C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3__FDSAUDITLINK__">{"fdsup://IBCentral/FAT Viewer?action=UPDATE&amp;creator=factset&amp;DOC_NAME=fat:reuters_annual_source_window.fat&amp;display_string=Audit&amp;DYN_ARGS=TRUE&amp;VAR:ID1=80640710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4__FDSAUDITLINK__">{"fdsup://IBCentral/FAT Viewer?action=UPDATE&amp;creator=factset&amp;DOC_NAME=fat:reuters_annual_source_window.fat&amp;display_string=Audit&amp;DYN_ARGS=TRUE&amp;VAR:ID1=24903010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5__FDSAUDITLINK__">{"fdsup://IBCentral/FAT Viewer?action=UPDATE&amp;creator=factset&amp;DOC_NAME=fat:reuters_annual_source_window.fat&amp;display_string=Audit&amp;DYN_ARGS=TRUE&amp;VAR:ID1=71404610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6__FDSAUDITLINK__">{"fdsup://IBCentral/FAT Viewer?action=UPDATE&amp;creator=factset&amp;DOC_NAME=fat:reuters_annual_source_window.fat&amp;display_string=Audit&amp;DYN_ARGS=TRUE&amp;VAR:ID1=88355610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87__FDSAUDITLINK__">{"fdsup://IBCentral/FAT Viewer?action=UPDATE&amp;creator=factset&amp;DOC_NAME=fat:reuters_annual_source_window.fat&amp;display_string=Audit&amp;DYN_ARGS=TRUE&amp;VAR:ID1=555404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388__FDSAUDITLINK__">{"fdsup://IBCentral/FAT Viewer?action=UPDATE&amp;creator=factset&amp;DOC_NAME=fat:reuters_annual_source_window.fat&amp;display_string=Audit&amp;DYN_ARGS=TRUE&amp;VAR:ID1=B01FLG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389__FDSAUDITLINK__">{"fdsup://IBCentral/FAT Viewer?action=UPDATE&amp;creator=factset&amp;DOC_NAME=fat:reuters_annual_source_window.fat&amp;display_string=Audit&amp;DYN_ARGS=TRUE&amp;VAR:ID1=10969610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0__FDSAUDITLINK__">{"fdsup://IBCentral/FAT Viewer?action=UPDATE&amp;creator=factset&amp;DOC_NAME=fat:reuters_annual_source_window.fat&amp;display_string=Audit&amp;DYN_ARGS=TRUE&amp;VAR:ID1=569878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391__FDSAUDITLINK__">{"fdsup://IBCentral/FAT Viewer?action=UPDATE&amp;creator=factset&amp;DOC_NAME=fat:reuters_annual_source_window.fat&amp;display_string=Audit&amp;DYN_ARGS=TRUE&amp;VAR:ID1=65182410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92__FDSAUDITLINK__">{"fdsup://IBCentral/FAT Viewer?action=UPDATE&amp;creator=factset&amp;DOC_NAME=fat:reuters_annual_source_window.fat&amp;display_string=Audit&amp;DYN_ARGS=TRUE&amp;VAR:ID1=B096C6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393__FDSAUDITLINK__">{"fdsup://IBCentral/FAT Viewer?action=UPDATE&amp;creator=factset&amp;DOC_NAME=fat:reuters_annual_source_window.fat&amp;display_string=Audit&amp;DYN_ARGS=TRUE&amp;VAR:ID1=88077010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394__FDSAUDITLINK__">{"fdsup://IBCentral/FAT Viewer?action=UPDATE&amp;creator=factset&amp;DOC_NAME=fat:reuters_annual_source_window.fat&amp;display_string=Audit&amp;DYN_ARGS=TRUE&amp;VAR:ID1=00846U10&amp;VAR:RCODE=EBITDA&amp;VAR:SDATE=20071099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395__FDSAUDITLINK__">{"fdsup://IBCentral/FAT Viewer?action=UPDATE&amp;creator=factset&amp;DOC_NAME=fat:reuters_annual_source_window.fat&amp;display_string=Audit&amp;DYN_ARGS=TRUE&amp;VAR:ID1=09179710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96__FDSAUDITLINK__">{"fdsup://IBCentral/FAT Viewer?action=UPDATE&amp;creator=factset&amp;DOC_NAME=fat:reuters_annual_source_window.fat&amp;display_string=Audit&amp;DYN_ARGS=TRUE&amp;VAR:ID1=83303410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97__FDSAUDITLINK__">{"fdsup://IBCentral/FAT Viewer?action=UPDATE&amp;creator=factset&amp;DOC_NAME=fat:reuters_annual_source_window.fat&amp;display_string=Audit&amp;DYN_ARGS=TRUE&amp;VAR:ID1=85461610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98__FDSAUDITLINK__">{"fdsup://IBCentral/FAT Viewer?action=UPDATE&amp;creator=factset&amp;DOC_NAME=fat:reuters_annual_source_window.fat&amp;display_string=Audit&amp;DYN_ARGS=TRUE&amp;VAR:ID1=05774110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399__FDSAUDITLINK__">{"fdsup://IBCentral/FAT Viewer?action=UPDATE&amp;creator=factset&amp;DOC_NAME=fat:reuters_annual_source_window.fat&amp;display_string=Audit&amp;DYN_ARGS=TRUE&amp;VAR:ID1=027480&amp;VAR:RCODE=EBITDA&amp;VAR:SDATE=20071099&amp;VAR:FREQ=Y&amp;VAR:RELITEM=&amp;VAR:CURRENCY=&amp;VAR:CURRSOURCE=EXSHARE&amp;VAR",":NATFREQ=ANNUAL&amp;VAR:RFIELD=FINALIZED&amp;VAR:DB_TYPE=&amp;VAR:UNITS=M&amp;window=popup&amp;width=450&amp;height=300&amp;START_MAXIMIZED=FALSE"}</definedName>
    <definedName name="_3Q97A" localSheetId="0">'[7]P&amp;L'!$E$9:$E$68</definedName>
    <definedName name="_3Q97A">'[8]P&amp;L'!$E$9:$E$68</definedName>
    <definedName name="_3Q98A" localSheetId="0">'[7]P&amp;L'!$J$9:$J$68</definedName>
    <definedName name="_3Q98A">'[8]P&amp;L'!$J$9:$J$68</definedName>
    <definedName name="_4__FDSAUDITLINK__" localSheetId="0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0__FDSAUDITLINK__">{"fdsup://IBCentral/FAT Viewer?action=UPDATE&amp;creator=factset&amp;DOC_NAME=fat:reuters_annual_source_window.fat&amp;display_string=Audit&amp;DYN_ARGS=TRUE&amp;VAR:ID1=98920710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01__FDSAUDITLINK__">{"fdsup://IBCentral/FAT Viewer?action=UPDATE&amp;creator=factset&amp;DOC_NAME=fat:reuters_annual_source_window.fat&amp;display_string=Audit&amp;DYN_ARGS=TRUE&amp;VAR:ID1=77390310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402__FDSAUDITLINK__">{"fdsup://IBCentral/FAT Viewer?action=UPDATE&amp;creator=factset&amp;DOC_NAME=fat:reuters_annual_source_window.fat&amp;display_string=Audit&amp;DYN_ARGS=TRUE&amp;VAR:ID1=70109410&amp;VAR:RCODE=EBITDA&amp;VAR:SDATE=20080699&amp;VAR:FREQ=Y&amp;VAR:RELITEM=&amp;VAR:CURRENCY=&amp;VAR:CURRSOURCE=EXSHARE&amp;V","AR:NATFREQ=ANNUAL&amp;VAR:RFIELD=FINALIZED&amp;VAR:DB_TYPE=&amp;VAR:UNITS=M&amp;window=popup&amp;width=450&amp;height=300&amp;START_MAXIMIZED=FALSE"}</definedName>
    <definedName name="_403__FDSAUDITLINK__">{"fdsup://IBCentral/FAT Viewer?action=UPDATE&amp;creator=factset&amp;DOC_NAME=fat:reuters_annual_source_window.fat&amp;display_string=Audit&amp;DYN_ARGS=TRUE&amp;VAR:ID1=82966C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404__FDSAUDITLINK__">{"fdsup://IBCentral/FAT Viewer?action=UPDATE&amp;creator=factset&amp;DOC_NAME=fat:reuters_annual_source_window.fat&amp;display_string=Audit&amp;DYN_ARGS=TRUE&amp;VAR:ID1=80640710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05__FDSAUDITLINK__">{"fdsup://IBCentral/FAT Viewer?action=UPDATE&amp;creator=factset&amp;DOC_NAME=fat:reuters_annual_source_window.fat&amp;display_string=Audit&amp;DYN_ARGS=TRUE&amp;VAR:ID1=24903010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06__FDSAUDITLINK__">{"fdsup://IBCentral/FAT Viewer?action=UPDATE&amp;creator=factset&amp;DOC_NAME=fat:reuters_annual_source_window.fat&amp;display_string=Audit&amp;DYN_ARGS=TRUE&amp;VAR:ID1=71404610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07__FDSAUDITLINK__">{"fdsup://IBCentral/FAT Viewer?action=UPDATE&amp;creator=factset&amp;DOC_NAME=fat:reuters_annual_source_window.fat&amp;display_string=Audit&amp;DYN_ARGS=TRUE&amp;VAR:ID1=88355610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08__FDSAUDITLINK__">{"fdsup://IBCentral/FAT Viewer?action=UPDATE&amp;creator=factset&amp;DOC_NAME=fat:reuters_annual_source_window.fat&amp;display_string=Audit&amp;DYN_ARGS=TRUE&amp;VAR:ID1=07588710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409__FDSAUDITLINK__">{"fdsup://IBCentral/FAT Viewer?action=UPDATE&amp;creator=factset&amp;DOC_NAME=fat:reuters_annual_source_window.fat&amp;display_string=Audit&amp;DYN_ARGS=TRUE&amp;VAR:ID1=07581110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0__FDSAUDITLINK__">{"fdsup://IBCentral/FAT Viewer?action=UPDATE&amp;creator=factset&amp;DOC_NAME=fat:reuters_annual_source_window.fat&amp;display_string=Audit&amp;DYN_ARGS=TRUE&amp;VAR:ID1=62985Q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11__FDSAUDITLINK__">{"fdsup://IBCentral/FAT Viewer?action=UPDATE&amp;creator=factset&amp;DOC_NAME=fat:reuters_annual_source_window.fat&amp;display_string=Audit&amp;DYN_ARGS=TRUE&amp;VAR:ID1=63651810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12__FDSAUDITLINK__">{"fdsup://IBCentral/FAT Viewer?action=UPDATE&amp;creator=factset&amp;DOC_NAME=fat:reuters_annual_source_window.fat&amp;display_string=Audit&amp;DYN_ARGS=TRUE&amp;VAR:ID1=65182410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13__FDSAUDITLINK__">{"fdsup://IBCentral/FAT Viewer?action=UPDATE&amp;creator=factset&amp;DOC_NAME=fat:reuters_annual_source_window.fat&amp;display_string=Audit&amp;DYN_ARGS=TRUE&amp;VAR:ID1=B096C6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414__FDSAUDITLINK__">{"fdsup://IBCentral/FAT Viewer?action=UPDATE&amp;creator=factset&amp;DOC_NAME=fat:reuters_annual_source_window.fat&amp;display_string=Audit&amp;DYN_ARGS=TRUE&amp;VAR:ID1=88077010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15__FDSAUDITLINK__">{"fdsup://IBCentral/FAT Viewer?action=UPDATE&amp;creator=factset&amp;DOC_NAME=fat:reuters_annual_source_window.fat&amp;display_string=Audit&amp;DYN_ARGS=TRUE&amp;VAR:ID1=00846U10&amp;VAR:RCODE=EBITDA&amp;VAR:SDATE=20081099&amp;VAR:FREQ=Y&amp;VAR:RELITEM=&amp;VAR:CURRENCY=&amp;VAR:CURRSOURCE=EXSHARE&amp;V","AR:NATFREQ=ANNUAL&amp;VAR:RFIELD=FINALIZED&amp;VAR:DB_TYPE=&amp;VAR:UNITS=M&amp;window=popup&amp;width=450&amp;height=300&amp;START_MAXIMIZED=FALSE"}</definedName>
    <definedName name="_4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0__FDSAUDITLINK__">{"fdsup://IBCentral/FAT Viewer?action=UPDATE&amp;creator=factset&amp;DOC_NAME=fat:reuters_annual_source_window.fat&amp;display_string=Audit&amp;DYN_ARGS=TRUE&amp;VAR:ID1=83303410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51__FDSAUDITLINK__">{"fdsup://IBCentral/FAT Viewer?action=UPDATE&amp;creator=factset&amp;DOC_NAME=fat:reuters_annual_source_window.fat&amp;display_string=Audit&amp;DYN_ARGS=TRUE&amp;VAR:ID1=82434810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52__FDSAUDITLINK__">{"fdsup://IBCentral/FAT Viewer?action=UPDATE&amp;creator=factset&amp;DOC_NAME=fat:reuters_annual_source_window.fat&amp;display_string=Audit&amp;DYN_ARGS=TRUE&amp;VAR:ID1=09179710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53__FDSAUDITLINK__">{"fdsup://IBCentral/FAT Viewer?action=UPDATE&amp;creator=factset&amp;DOC_NAME=fat:reuters_annual_source_window.fat&amp;display_string=Audit&amp;DYN_ARGS=TRUE&amp;VAR:ID1=43707610&amp;VAR:RCODE=EBITDA&amp;VAR:SDATE=20080199&amp;VAR:FREQ=Y&amp;VAR:RELITEM=&amp;VAR:CURRENCY=&amp;VAR:CURRSOURCE=EXSHARE&amp;V","AR:NATFREQ=ANNUAL&amp;VAR:RFIELD=FINALIZED&amp;VAR:DB_TYPE=&amp;VAR:UNITS=M&amp;window=popup&amp;width=450&amp;height=300&amp;START_MAXIMIZED=FALSE"}</definedName>
    <definedName name="_454__FDSAUDITLINK__">{"fdsup://IBCentral/FAT Viewer?action=UPDATE&amp;creator=factset&amp;DOC_NAME=fat:reuters_annual_source_window.fat&amp;display_string=Audit&amp;DYN_ARGS=TRUE&amp;VAR:ID1=60819010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55__FDSAUDITLINK__">{"fdsup://IBCentral/FAT Viewer?action=UPDATE&amp;creator=factset&amp;DOC_NAME=fat:reuters_annual_source_window.fat&amp;display_string=Audit&amp;DYN_ARGS=TRUE&amp;VAR:ID1=36092110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56__FDSAUDITLINK__">{"fdsup://IBCentral/FAT Viewer?action=UPDATE&amp;creator=factset&amp;DOC_NAME=fat:reuters_annual_source_window.fat&amp;display_string=Audit&amp;DYN_ARGS=TRUE&amp;VAR:ID1=57459910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57__FDSAUDITLINK__">{"fdsup://IBCentral/FAT Viewer?action=UPDATE&amp;creator=factset&amp;DOC_NAME=fat:reuters_annual_source_window.fat&amp;display_string=Audit&amp;DYN_ARGS=TRUE&amp;VAR:ID1=710889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58__FDSAUDITLINK__">{"fdsup://IBCentral/FAT Viewer?action=UPDATE&amp;creator=factset&amp;DOC_NAME=fat:reuters_annual_source_window.fat&amp;display_string=Audit&amp;DYN_ARGS=TRUE&amp;VAR:ID1=46981410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459__FDSAUDITLINK__">{"fdsup://IBCentral/FAT Viewer?action=UPDATE&amp;creator=factset&amp;DOC_NAME=fat:reuters_annual_source_window.fat&amp;display_string=Audit&amp;DYN_ARGS=TRUE&amp;VAR:ID1=34341210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0__FDSAUDITLINK__">{"fdsup://IBCentral/FAT Viewer?action=UPDATE&amp;creator=factset&amp;DOC_NAME=fat:reuters_annual_source_window.fat&amp;display_string=Audit&amp;DYN_ARGS=TRUE&amp;VAR:ID1=10969610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61__FDSAUDITLINK__">{"fdsup://IBCentral/FAT Viewer?action=UPDATE&amp;creator=factset&amp;DOC_NAME=fat:reuters_annual_source_window.fat&amp;display_string=Audit&amp;DYN_ARGS=TRUE&amp;VAR:ID1=569878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62__FDSAUDITLINK__">{"fdsup://IBCentral/FAT Viewer?action=UPDATE&amp;creator=factset&amp;DOC_NAME=fat:reuters_annual_source_window.fat&amp;display_string=Audit&amp;DYN_ARGS=TRUE&amp;VAR:ID1=38308210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63__FDSAUDITLINK__">{"fdsup://IBCentral/FAT Viewer?action=UPDATE&amp;creator=factset&amp;DOC_NAME=fat:reuters_annual_source_window.fat&amp;display_string=Audit&amp;DYN_ARGS=TRUE&amp;VAR:ID1=36555810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64__FDSAUDITLINK__">{"fdsup://IBCentral/FAT Viewer?action=UPDATE&amp;creator=factset&amp;DOC_NAME=fat:reuters_annual_source_window.fat&amp;display_string=Audit&amp;DYN_ARGS=TRUE&amp;VAR:ID1=38410910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65__FDSAUDITLINK__">{"fdsup://IBCentral/FAT Viewer?action=UPDATE&amp;creator=factset&amp;DOC_NAME=fat:reuters_annual_source_window.fat&amp;display_string=Audit&amp;DYN_ARGS=TRUE&amp;VAR:ID1=29101110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466__FDSAUDITLINK__">{"fdsup://IBCentral/FAT Viewer?action=UPDATE&amp;creator=factset&amp;DOC_NAME=fat:reuters_annual_source_window.fat&amp;display_string=Audit&amp;DYN_ARGS=TRUE&amp;VAR:ID1=13342B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67__FDSAUDITLINK__">{"fdsup://IBCentral/FAT Viewer?action=UPDATE&amp;creator=factset&amp;DOC_NAME=fat:reuters_annual_source_window.fat&amp;display_string=Audit&amp;DYN_ARGS=TRUE&amp;VAR:ID1=19401410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68__FDSAUDITLINK__">{"fdsup://IBCentral/FAT Viewer?action=UPDATE&amp;creator=factset&amp;DOC_NAME=fat:reuters_annual_source_window.fat&amp;display_string=Audit&amp;DYN_ARGS=TRUE&amp;VAR:ID1=45167R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69__FDSAUDITLINK__">{"fdsup://IBCentral/FAT Viewer?action=UPDATE&amp;creator=factset&amp;DOC_NAME=fat:reuters_annual_source_window.fat&amp;display_string=Audit&amp;DYN_ARGS=TRUE&amp;VAR:ID1=34354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0__FDSAUDITLINK__">{"fdsup://IBCentral/FAT Viewer?action=UPDATE&amp;creator=factset&amp;DOC_NAME=fat:reuters_annual_source_window.fat&amp;display_string=Audit&amp;DYN_ARGS=TRUE&amp;VAR:ID1=679159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471__FDSAUDITLINK__">{"fdsup://IBCentral/FAT Viewer?action=UPDATE&amp;creator=factset&amp;DOC_NAME=fat:reuters_annual_source_window.fat&amp;display_string=Audit&amp;DYN_ARGS=TRUE&amp;VAR:ID1=45167R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72__FDSAUDITLINK__">{"fdsup://IBCentral/FAT Viewer?action=UPDATE&amp;creator=factset&amp;DOC_NAME=fat:reuters_annual_source_window.fat&amp;display_string=Audit&amp;DYN_ARGS=TRUE&amp;VAR:ID1=77019610&amp;VAR:RCODE=EBITDA&amp;VAR:SDATE=20070899&amp;VAR:FREQ=Y&amp;VAR:RELITEM=RP&amp;VAR:CURRENCY=&amp;VAR:CURRSOURCE=EXSHARE","&amp;VAR:NATFREQ=ANNUAL&amp;VAR:RFIELD=FINALIZED&amp;VAR:DB_TYPE=&amp;VAR:UNITS=M&amp;window=popup&amp;width=450&amp;height=300&amp;START_MAXIMIZED=FALSE"}</definedName>
    <definedName name="_473__FDSAUDITLINK__">{"fdsup://IBCentral/FAT Viewer?action=UPDATE&amp;creator=factset&amp;DOC_NAME=fat:reuters_annual_source_window.fat&amp;display_string=Audit&amp;DYN_ARGS=TRUE&amp;VAR:ID1=045796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74__FDSAUDITLINK__">{"fdsup://IBCentral/FAT Viewer?action=UPDATE&amp;creator=factset&amp;DOC_NAME=fat:reuters_annual_source_window.fat&amp;display_string=Audit&amp;DYN_ARGS=TRUE&amp;VAR:ID1=34354P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75__FDSAUDITLINK__">{"fdsup://IBCentral/FAT Viewer?action=UPDATE&amp;creator=factset&amp;DOC_NAME=fat:reuters_annual_source_window.fat&amp;display_string=Audit&amp;DYN_ARGS=TRUE&amp;VAR:ID1=710889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476__FDSAUDITLINK__">{"fdsup://IBCentral/FAT Viewer?action=UPDATE&amp;creator=factset&amp;DOC_NAME=fat:reuters_annual_source_window.fat&amp;display_string=Audit&amp;DYN_ARGS=TRUE&amp;VAR:ID1=85461610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77__FDSAUDITLINK__">{"fdsup://IBCentral/FAT Viewer?action=UPDATE&amp;creator=factset&amp;DOC_NAME=fat:reuters_annual_source_window.fat&amp;display_string=Audit&amp;DYN_ARGS=TRUE&amp;VAR:ID1=83303410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78__FDSAUDITLINK__">{"fdsup://IBCentral/FAT Viewer?action=UPDATE&amp;creator=factset&amp;DOC_NAME=fat:reuters_annual_source_window.fat&amp;display_string=Audit&amp;DYN_ARGS=TRUE&amp;VAR:ID1=38308210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79__FDSAUDITLINK__">{"fdsup://IBCentral/FAT Viewer?action=UPDATE&amp;creator=factset&amp;DOC_NAME=fat:reuters_annual_source_window.fat&amp;display_string=Audit&amp;DYN_ARGS=TRUE&amp;VAR:ID1=36555810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0__FDSAUDITLINK__">{"fdsup://IBCentral/FAT Viewer?action=UPDATE&amp;creator=factset&amp;DOC_NAME=fat:reuters_annual_source_window.fat&amp;display_string=Audit&amp;DYN_ARGS=TRUE&amp;VAR:ID1=38410910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81__FDSAUDITLINK__">{"fdsup://IBCentral/FAT Viewer?action=UPDATE&amp;creator=factset&amp;DOC_NAME=fat:reuters_annual_source_window.fat&amp;display_string=Audit&amp;DYN_ARGS=TRUE&amp;VAR:ID1=45167R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82__FDSAUDITLINK__">{"fdsup://IBCentral/FAT Viewer?action=UPDATE&amp;creator=factset&amp;DOC_NAME=fat:reuters_annual_source_window.fat&amp;display_string=Audit&amp;DYN_ARGS=TRUE&amp;VAR:ID1=77019610&amp;VAR:RCODE=EBITDA&amp;VAR:SDATE=20080899&amp;VAR:FREQ=Y&amp;VAR:RELITEM=&amp;VAR:CURRENCY=&amp;VAR:CURRSOURCE=EXSHARE&amp;V","AR:NATFREQ=ANNUAL&amp;VAR:RFIELD=FINALIZED&amp;VAR:DB_TYPE=&amp;VAR:UNITS=M&amp;window=popup&amp;width=450&amp;height=300&amp;START_MAXIMIZED=FALSE"}</definedName>
    <definedName name="_483__FDSAUDITLINK__">{"fdsup://IBCentral/FAT Viewer?action=UPDATE&amp;creator=factset&amp;DOC_NAME=fat:reuters_annual_source_window.fat&amp;display_string=Audit&amp;DYN_ARGS=TRUE&amp;VAR:ID1=045796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484__FDSAUDITLINK__">{"fdsup://IBCentral/FAT Viewer?action=UPDATE&amp;creator=factset&amp;DOC_NAME=fat:reuters_annual_source_window.fat&amp;display_string=Audit&amp;DYN_ARGS=TRUE&amp;VAR:ID1=34354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85__FDSAUDITLINK__">{"fdsup://IBCentral/FAT Viewer?action=UPDATE&amp;creator=factset&amp;DOC_NAME=fat:reuters_annual_source_window.fat&amp;display_string=Audit&amp;DYN_ARGS=TRUE&amp;VAR:ID1=B19DVX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6__FDSAUDITLINK__">{"fdsup://IBCentral/FAT Viewer?action=UPDATE&amp;creator=factset&amp;DOC_NAME=fat:reuters_annual_source_window.fat&amp;display_string=Audit&amp;DYN_ARGS=TRUE&amp;VAR:ID1=483410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7__FDSAUDITLINK__">{"fdsup://IBCentral/FAT Viewer?action=UPDATE&amp;creator=factset&amp;DOC_NAME=fat:reuters_annual_source_window.fat&amp;display_string=Audit&amp;DYN_ARGS=TRUE&amp;VAR:ID1=710889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8__FDSAUDITLINK__">{"fdsup://IBCentral/FAT Viewer?action=UPDATE&amp;creator=factset&amp;DOC_NAME=fat:reuters_annual_source_window.fat&amp;display_string=Audit&amp;DYN_ARGS=TRUE&amp;VAR:ID1=29101110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489__FDSAUDITLINK__">{"fdsup://IBCentral/FAT Viewer?action=UPDATE&amp;creator=factset&amp;DOC_NAME=fat:reuters_annual_source_window.fat&amp;display_string=Audit&amp;DYN_ARGS=TRUE&amp;VAR:ID1=77390310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4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0__FDSAUDITLINK__">{"fdsup://IBCentral/FAT Viewer?action=UPDATE&amp;creator=factset&amp;DOC_NAME=fat:reuters_annual_source_window.fat&amp;display_string=Audit&amp;DYN_ARGS=TRUE&amp;VAR:ID1=B19DVX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491__FDSAUDITLINK__">{"fdsup://IBCentral/FAT Viewer?action=UPDATE&amp;creator=factset&amp;DOC_NAME=fat:reuters_annual_source_window.fat&amp;display_string=Audit&amp;DYN_ARGS=TRUE&amp;VAR:ID1=483410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492__FDSAUDITLINK__">{"fdsup://IBCentral/FAT Viewer?action=UPDATE&amp;creator=factset&amp;DOC_NAME=fat:reuters_annual_source_window.fat&amp;display_string=Audit&amp;DYN_ARGS=TRUE&amp;VAR:ID1=710889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93__FDSAUDITLINK__">{"fdsup://IBCentral/FAT Viewer?action=UPDATE&amp;creator=factset&amp;DOC_NAME=fat:reuters_annual_source_window.fat&amp;display_string=Audit&amp;DYN_ARGS=TRUE&amp;VAR:ID1=85461610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94__FDSAUDITLINK__">{"fdsup://IBCentral/FAT Viewer?action=UPDATE&amp;creator=factset&amp;DOC_NAME=fat:reuters_annual_source_window.fat&amp;display_string=Audit&amp;DYN_ARGS=TRUE&amp;VAR:ID1=83303410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95__FDSAUDITLINK__">{"fdsup://IBCentral/FAT Viewer?action=UPDATE&amp;creator=factset&amp;DOC_NAME=fat:reuters_annual_source_window.fat&amp;display_string=Audit&amp;DYN_ARGS=TRUE&amp;VAR:ID1=83303410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96__FDSAUDITLINK__">{"fdsup://IBCentral/FAT Viewer?action=UPDATE&amp;creator=factset&amp;DOC_NAME=fat:reuters_annual_source_window.fat&amp;display_string=Audit&amp;DYN_ARGS=TRUE&amp;VAR:ID1=09179710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97__FDSAUDITLINK__">{"fdsup://IBCentral/FAT Viewer?action=UPDATE&amp;creator=factset&amp;DOC_NAME=fat:reuters_annual_source_window.fat&amp;display_string=Audit&amp;DYN_ARGS=TRUE&amp;VAR:ID1=10969610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498__FDSAUDITLINK__">{"fdsup://IBCentral/FAT Viewer?action=UPDATE&amp;creator=factset&amp;DOC_NAME=fat:reuters_annual_source_window.fat&amp;display_string=Audit&amp;DYN_ARGS=TRUE&amp;VAR:ID1=679159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499__FDSAUDITLINK__">{"fdsup://IBCentral/FAT Viewer?action=UPDATE&amp;creator=factset&amp;DOC_NAME=fat:reuters_annual_source_window.fat&amp;display_string=Audit&amp;DYN_ARGS=TRUE&amp;VAR:ID1=B01FLG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4a1_" localSheetId="0">{"Client Name or Project Name"}</definedName>
    <definedName name="_4a1_">{"Client Name or Project Name"}</definedName>
    <definedName name="_4Q97A" localSheetId="0">'[7]P&amp;L'!$F$9:$F$68</definedName>
    <definedName name="_4Q97A">'[8]P&amp;L'!$F$9:$F$68</definedName>
    <definedName name="_4Q98A" localSheetId="0">'[7]P&amp;L'!$K$9:$K$68</definedName>
    <definedName name="_4Q98A">'[8]P&amp;L'!$K$9:$K$68</definedName>
    <definedName name="_4Q99E" localSheetId="0">'[7]P&amp;L'!$P$9:$P$68</definedName>
    <definedName name="_4Q99E">'[8]P&amp;L'!$P$9:$P$68</definedName>
    <definedName name="_5__FDSAUDITLINK__" localSheetId="0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0__FDSAUDITLINK__">{"fdsup://IBCentral/FAT Viewer?action=UPDATE&amp;creator=factset&amp;DOC_NAME=fat:reuters_annual_source_window.fat&amp;display_string=Audit&amp;DYN_ARGS=TRUE&amp;VAR:ID1=G4776G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01__FDSAUDITLINK__">{"fdsup://IBCentral/FAT Viewer?action=UPDATE&amp;creator=factset&amp;DOC_NAME=fat:reuters_annual_source_window.fat&amp;display_string=Audit&amp;DYN_ARGS=TRUE&amp;VAR:ID1=G9143X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2__FDSAUDITLINK__">{"fdsup://IBCentral/FAT Viewer?action=UPDATE&amp;creator=factset&amp;DOC_NAME=fat:reuters_annual_source_window.fat&amp;display_string=Audit&amp;DYN_ARGS=TRUE&amp;VAR:ID1=83303410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3__FDSAUDITLINK__">{"fdsup://IBCentral/FAT Viewer?action=UPDATE&amp;creator=factset&amp;DOC_NAME=fat:reuters_annual_source_window.fat&amp;display_string=Audit&amp;DYN_ARGS=TRUE&amp;VAR:ID1=09179710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4__FDSAUDITLINK__">{"fdsup://IBCentral/FAT Viewer?action=UPDATE&amp;creator=factset&amp;DOC_NAME=fat:reuters_annual_source_window.fat&amp;display_string=Audit&amp;DYN_ARGS=TRUE&amp;VAR:ID1=555404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05__FDSAUDITLINK__">{"fdsup://IBCentral/FAT Viewer?action=UPDATE&amp;creator=factset&amp;DOC_NAME=fat:reuters_annual_source_window.fat&amp;display_string=Audit&amp;DYN_ARGS=TRUE&amp;VAR:ID1=B01FLG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06__FDSAUDITLINK__">{"fdsup://IBCentral/FAT Viewer?action=UPDATE&amp;creator=factset&amp;DOC_NAME=fat:reuters_annual_source_window.fat&amp;display_string=Audit&amp;DYN_ARGS=TRUE&amp;VAR:ID1=05774110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7__FDSAUDITLINK__">{"fdsup://IBCentral/FAT Viewer?action=UPDATE&amp;creator=factset&amp;DOC_NAME=fat:reuters_annual_source_window.fat&amp;display_string=Audit&amp;DYN_ARGS=TRUE&amp;VAR:ID1=G9143X20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508__FDSAUDITLINK__">{"fdsup://IBCentral/FAT Viewer?action=UPDATE&amp;creator=factset&amp;DOC_NAME=fat:reuters_annual_source_window.fat&amp;display_string=Audit&amp;DYN_ARGS=TRUE&amp;VAR:ID1=569878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09__FDSAUDITLINK__">{"fdsup://IBCentral/FAT Viewer?action=UPDATE&amp;creator=factset&amp;DOC_NAME=fat:reuters_annual_source_window.fat&amp;display_string=Audit&amp;DYN_ARGS=TRUE&amp;VAR:ID1=B01FLG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0__FDSAUDITLINK__">{"fdsup://IBCentral/FAT Viewer?action=UPDATE&amp;creator=factset&amp;DOC_NAME=fat:reuters_annual_source_window.fat&amp;display_string=Audit&amp;DYN_ARGS=TRUE&amp;VAR:ID1=G4776G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11__FDSAUDITLINK__">{"fdsup://IBCentral/FAT Viewer?action=UPDATE&amp;creator=factset&amp;DOC_NAME=fat:reuters_annual_source_window.fat&amp;display_string=Audit&amp;DYN_ARGS=TRUE&amp;VAR:ID1=10969610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12__FDSAUDITLINK__">{"fdsup://IBCentral/FAT Viewer?action=UPDATE&amp;creator=factset&amp;DOC_NAME=fat:reuters_annual_source_window.fat&amp;display_string=Audit&amp;DYN_ARGS=TRUE&amp;VAR:ID1=569878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13__FDSAUDITLINK__">{"fdsup://IBCentral/FAT Viewer?action=UPDATE&amp;creator=factset&amp;DOC_NAME=fat:reuters_annual_source_window.fat&amp;display_string=Audit&amp;DYN_ARGS=TRUE&amp;VAR:ID1=38308210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14__FDSAUDITLINK__">{"fdsup://IBCentral/FAT Viewer?action=UPDATE&amp;creator=factset&amp;DOC_NAME=fat:reuters_annual_source_window.fat&amp;display_string=Audit&amp;DYN_ARGS=TRUE&amp;VAR:ID1=36555810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15__FDSAUDITLINK__">{"fdsup://IBCentral/FAT Viewer?action=UPDATE&amp;creator=factset&amp;DOC_NAME=fat:reuters_annual_source_window.fat&amp;display_string=Audit&amp;DYN_ARGS=TRUE&amp;VAR:ID1=38410910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16__FDSAUDITLINK__">{"fdsup://IBCentral/FAT Viewer?action=UPDATE&amp;creator=factset&amp;DOC_NAME=fat:reuters_annual_source_window.fat&amp;display_string=Audit&amp;DYN_ARGS=TRUE&amp;VAR:ID1=29101110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517__FDSAUDITLINK__">{"fdsup://IBCentral/FAT Viewer?action=UPDATE&amp;creator=factset&amp;DOC_NAME=fat:reuters_annual_source_window.fat&amp;display_string=Audit&amp;DYN_ARGS=TRUE&amp;VAR:ID1=13342B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18__FDSAUDITLINK__">{"fdsup://IBCentral/FAT Viewer?action=UPDATE&amp;creator=factset&amp;DOC_NAME=fat:reuters_annual_source_window.fat&amp;display_string=Audit&amp;DYN_ARGS=TRUE&amp;VAR:ID1=45167R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19__FDSAUDITLINK__">{"fdsup://IBCentral/FAT Viewer?action=UPDATE&amp;creator=factset&amp;DOC_NAME=fat:reuters_annual_source_window.fat&amp;display_string=Audit&amp;DYN_ARGS=TRUE&amp;VAR:ID1=34354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0__FDSAUDITLINK__">{"fdsup://IBCentral/FAT Viewer?action=UPDATE&amp;creator=factset&amp;DOC_NAME=fat:reuters_annual_source_window.fat&amp;display_string=Audit&amp;DYN_ARGS=TRUE&amp;VAR:ID1=679159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521__FDSAUDITLINK__">{"fdsup://IBCentral/FAT Viewer?action=UPDATE&amp;creator=factset&amp;DOC_NAME=fat:reuters_annual_source_window.fat&amp;display_string=Audit&amp;DYN_ARGS=TRUE&amp;VAR:ID1=555404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22__FDSAUDITLINK__">{"fdsup://IBCentral/FAT Viewer?action=UPDATE&amp;creator=factset&amp;DOC_NAME=fat:reuters_annual_source_window.fat&amp;display_string=Audit&amp;DYN_ARGS=TRUE&amp;VAR:ID1=B01FLG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23__FDSAUDITLINK__">{"fdsup://IBCentral/FAT Viewer?action=UPDATE&amp;creator=factset&amp;DOC_NAME=fat:reuters_annual_source_window.fat&amp;display_string=Audit&amp;DYN_ARGS=TRUE&amp;VAR:ID1=10969610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24__FDSAUDITLINK__">{"fdsup://IBCentral/FAT Viewer?action=UPDATE&amp;creator=factset&amp;DOC_NAME=fat:reuters_annual_source_window.fat&amp;display_string=Audit&amp;DYN_ARGS=TRUE&amp;VAR:ID1=569878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25__FDSAUDITLINK__">{"fdsup://IBCentral/FAT Viewer?action=UPDATE&amp;creator=factset&amp;DOC_NAME=fat:reuters_annual_source_window.fat&amp;display_string=Audit&amp;DYN_ARGS=TRUE&amp;VAR:ID1=569878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26__FDSAUDITLINK__">{"fdsup://IBCentral/FAT Viewer?action=UPDATE&amp;creator=factset&amp;DOC_NAME=fat:reuters_annual_source_window.fat&amp;display_string=Audit&amp;DYN_ARGS=TRUE&amp;VAR:ID1=679159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27__FDSAUDITLINK__">{"fdsup://IBCentral/FAT Viewer?action=UPDATE&amp;creator=factset&amp;DOC_NAME=fat:reuters_annual_source_window.fat&amp;display_string=Audit&amp;DYN_ARGS=TRUE&amp;VAR:ID1=679159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28__FDSAUDITLINK__">{"fdsup://IBCentral/FAT Viewer?action=UPDATE&amp;creator=factset&amp;DOC_NAME=fat:reuters_annual_source_window.fat&amp;display_string=Audit&amp;DYN_ARGS=TRUE&amp;VAR:ID1=10969610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29__FDSAUDITLINK__">{"fdsup://IBCentral/FAT Viewer?action=UPDATE&amp;creator=factset&amp;DOC_NAME=fat:reuters_annual_source_window.fat&amp;display_string=Audit&amp;DYN_ARGS=TRUE&amp;VAR:ID1=77434110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5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0__FDSAUDITLINK__">{"fdsup://IBCentral/FAT Viewer?action=UPDATE&amp;creator=factset&amp;DOC_NAME=fat:reuters_annual_source_window.fat&amp;display_string=Audit&amp;DYN_ARGS=TRUE&amp;VAR:ID1=38238810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31__FDSAUDITLINK__">{"fdsup://IBCentral/FAT Viewer?action=UPDATE&amp;creator=factset&amp;DOC_NAME=fat:reuters_annual_source_window.fat&amp;display_string=Audit&amp;DYN_ARGS=TRUE&amp;VAR:ID1=38308210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2__FDSAUDITLINK__">{"fdsup://IBCentral/FAT Viewer?action=UPDATE&amp;creator=factset&amp;DOC_NAME=fat:reuters_annual_source_window.fat&amp;display_string=Audit&amp;DYN_ARGS=TRUE&amp;VAR:ID1=36555810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3__FDSAUDITLINK__">{"fdsup://IBCentral/FAT Viewer?action=UPDATE&amp;creator=factset&amp;DOC_NAME=fat:reuters_annual_source_window.fat&amp;display_string=Audit&amp;DYN_ARGS=TRUE&amp;VAR:ID1=38410910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4__FDSAUDITLINK__">{"fdsup://IBCentral/FAT Viewer?action=UPDATE&amp;creator=factset&amp;DOC_NAME=fat:reuters_annual_source_window.fat&amp;display_string=Audit&amp;DYN_ARGS=TRUE&amp;VAR:ID1=29101110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5__FDSAUDITLINK__">{"fdsup://IBCentral/FAT Viewer?action=UPDATE&amp;creator=factset&amp;DOC_NAME=fat:reuters_annual_source_window.fat&amp;display_string=Audit&amp;DYN_ARGS=TRUE&amp;VAR:ID1=13342B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6__FDSAUDITLINK__">{"fdsup://IBCentral/FAT Viewer?action=UPDATE&amp;creator=factset&amp;DOC_NAME=fat:reuters_annual_source_window.fat&amp;display_string=Audit&amp;DYN_ARGS=TRUE&amp;VAR:ID1=45167R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7__FDSAUDITLINK__">{"fdsup://IBCentral/FAT Viewer?action=UPDATE&amp;creator=factset&amp;DOC_NAME=fat:reuters_annual_source_window.fat&amp;display_string=Audit&amp;DYN_ARGS=TRUE&amp;VAR:ID1=34354P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38__FDSAUDITLINK__">{"fdsup://IBCentral/FAT Viewer?action=UPDATE&amp;creator=factset&amp;DOC_NAME=fat:reuters_annual_source_window.fat&amp;display_string=Audit&amp;DYN_ARGS=TRUE&amp;VAR:ID1=52610710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39__FDSAUDITLINK__">{"fdsup://IBCentral/FAT Viewer?action=UPDATE&amp;creator=factset&amp;DOC_NAME=fat:reuters_annual_source_window.fat&amp;display_string=Audit&amp;DYN_ARGS=TRUE&amp;VAR:ID1=47836610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5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0__FDSAUDITLINK__">{"fdsup://IBCentral/FAT Viewer?action=UPDATE&amp;creator=factset&amp;DOC_NAME=fat:reuters_annual_source_window.fat&amp;display_string=Audit&amp;DYN_ARGS=TRUE&amp;VAR:ID1=G4776G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41__FDSAUDITLINK__">{"fdsup://IBCentral/FAT Viewer?action=UPDATE&amp;creator=factset&amp;DOC_NAME=fat:reuters_annual_source_window.fat&amp;display_string=Audit&amp;DYN_ARGS=TRUE&amp;VAR:ID1=B1QGR4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42__FDSAUDITLINK__">{"fdsup://IBCentral/FAT Viewer?action=UPDATE&amp;creator=factset&amp;DOC_NAME=fat:reuters_annual_source_window.fat&amp;display_string=Audit&amp;DYN_ARGS=TRUE&amp;VAR:ID1=416279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43__FDSAUDITLINK__">{"fdsup://IBCentral/FAT Viewer?action=UPDATE&amp;creator=factset&amp;DOC_NAME=fat:reuters_annual_source_window.fat&amp;display_string=Audit&amp;DYN_ARGS=TRUE&amp;VAR:ID1=74018910&amp;VAR:RCODE=EBITDA&amp;VAR:SDATE=20080399&amp;VAR:FREQ=Y&amp;VAR:RELITEM=&amp;VAR:CURRENCY=&amp;VAR:CURRSOURCE=EXSHARE&amp;V","AR:NATFREQ=ANNUAL&amp;VAR:RFIELD=FINALIZED&amp;VAR:DB_TYPE=&amp;VAR:UNITS=M&amp;window=popup&amp;width=450&amp;height=300&amp;START_MAXIMIZED=FALSE"}</definedName>
    <definedName name="_544__FDSAUDITLINK__">{"fdsup://IBCentral/FAT Viewer?action=UPDATE&amp;creator=factset&amp;DOC_NAME=fat:reuters_annual_source_window.fat&amp;display_string=Audit&amp;DYN_ARGS=TRUE&amp;VAR:ID1=61539420&amp;VAR:RCODE=EBITDA&amp;VAR:SDATE=20080999&amp;VAR:FREQ=Y&amp;VAR:RELITEM=&amp;VAR:CURRENCY=&amp;VAR:CURRSOURCE=EXSHARE&amp;V","AR:NATFREQ=ANNUAL&amp;VAR:RFIELD=FINALIZED&amp;VAR:DB_TYPE=&amp;VAR:UNITS=M&amp;window=popup&amp;width=450&amp;height=300&amp;START_MAXIMIZED=FALSE"}</definedName>
    <definedName name="_545__FDSAUDITLINK__">{"fdsup://IBCentral/FAT Viewer?action=UPDATE&amp;creator=factset&amp;DOC_NAME=fat:reuters_annual_source_window.fat&amp;display_string=Audit&amp;DYN_ARGS=TRUE&amp;VAR:ID1=G9143X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46__FDSAUDITLINK__">{"fdsup://IBCentral/FAT Viewer?action=UPDATE&amp;creator=factset&amp;DOC_NAME=fat:reuters_annual_source_window.fat&amp;display_string=Audit&amp;DYN_ARGS=TRUE&amp;VAR:ID1=679159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7__FDSAUDITLINK__">{"fdsup://IBCentral/FAT Viewer?action=UPDATE&amp;creator=factset&amp;DOC_NAME=fat:reuters_annual_source_window.fat&amp;display_string=Audit&amp;DYN_ARGS=TRUE&amp;VAR:ID1=555404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>{"fdsup://IBCentral/FAT Viewer?action=UPDATE&amp;creator=factset&amp;DOC_NAME=fat:reuters_annual_source_window.fat&amp;display_string=Audit&amp;DYN_ARGS=TRUE&amp;VAR:ID1=10969610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49__FDSAUDITLINK__">{"fdsup://IBCentral/FAT Viewer?action=UPDATE&amp;creator=factset&amp;DOC_NAME=fat:reuters_annual_source_window.fat&amp;display_string=Audit&amp;DYN_ARGS=TRUE&amp;VAR:ID1=569878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0__FDSAUDITLINK__">{"fdsup://IBCentral/FAT Viewer?action=UPDATE&amp;creator=factset&amp;DOC_NAME=fat:reuters_annual_source_window.fat&amp;display_string=Audit&amp;DYN_ARGS=TRUE&amp;VAR:ID1=52610710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1__FDSAUDITLINK__">{"fdsup://IBCentral/FAT Viewer?action=UPDATE&amp;creator=factset&amp;DOC_NAME=fat:reuters_annual_source_window.fat&amp;display_string=Audit&amp;DYN_ARGS=TRUE&amp;VAR:ID1=47836610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2__FDSAUDITLINK__">{"fdsup://IBCentral/FAT Viewer?action=UPDATE&amp;creator=factset&amp;DOC_NAME=fat:reuters_annual_source_window.fat&amp;display_string=Audit&amp;DYN_ARGS=TRUE&amp;VAR:ID1=G4776G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3__FDSAUDITLINK__">{"fdsup://IBCentral/FAT Viewer?action=UPDATE&amp;creator=factset&amp;DOC_NAME=fat:reuters_annual_source_window.fat&amp;display_string=Audit&amp;DYN_ARGS=TRUE&amp;VAR:ID1=B1QGR4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4__FDSAUDITLINK__">{"fdsup://IBCentral/FAT Viewer?action=UPDATE&amp;creator=factset&amp;DOC_NAME=fat:reuters_annual_source_window.fat&amp;display_string=Audit&amp;DYN_ARGS=TRUE&amp;VAR:ID1=416279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5__FDSAUDITLINK__">{"fdsup://IBCentral/FAT Viewer?action=UPDATE&amp;creator=factset&amp;DOC_NAME=fat:reuters_annual_source_window.fat&amp;display_string=Audit&amp;DYN_ARGS=TRUE&amp;VAR:ID1=74018910&amp;VAR:RCODE=EBITDA&amp;VAR:SDATE=20080399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6__FDSAUDITLINK__">{"fdsup://IBCentral/FAT Viewer?action=UPDATE&amp;creator=factset&amp;DOC_NAME=fat:reuters_annual_source_window.fat&amp;display_string=Audit&amp;DYN_ARGS=TRUE&amp;VAR:ID1=61539420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7__FDSAUDITLINK__">{"fdsup://IBCentral/FAT Viewer?action=UPDATE&amp;creator=factset&amp;DOC_NAME=fat:reuters_annual_source_window.fat&amp;display_string=Audit&amp;DYN_ARGS=TRUE&amp;VAR:ID1=77434110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8__FDSAUDITLINK__">{"fdsup://IBCentral/FAT Viewer?action=UPDATE&amp;creator=factset&amp;DOC_NAME=fat:reuters_annual_source_window.fat&amp;display_string=Audit&amp;DYN_ARGS=TRUE&amp;VAR:ID1=38238810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9__FDSAUDITLINK__">{"fdsup://IBCentral/FAT Viewer?action=UPDATE&amp;creator=factset&amp;DOC_NAME=fat:reuters_annual_source_window.fat&amp;display_string=Audit&amp;DYN_ARGS=TRUE&amp;VAR:ID1=G9143X20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5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0__FDSAUDITLINK__">{"fdsup://IBCentral/FAT Viewer?action=UPDATE&amp;creator=factset&amp;DOC_NAME=fat:reuters_annual_source_window.fat&amp;display_string=Audit&amp;DYN_ARGS=TRUE&amp;VAR:ID1=679159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561__FDSAUDITLINK__">{"fdsup://IBCentral/FAT Viewer?action=UPDATE&amp;creator=factset&amp;DOC_NAME=fat:reuters_annual_source_window.fat&amp;display_string=Audit&amp;DYN_ARGS=TRUE&amp;VAR:ID1=555404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62__FDSAUDITLINK__">{"fdsup://IBCentral/FAT Viewer?action=UPDATE&amp;creator=factset&amp;DOC_NAME=fat:reuters_annual_source_window.fat&amp;display_string=Audit&amp;DYN_ARGS=TRUE&amp;VAR:ID1=B01FLG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63__FDSAUDITLINK__">{"fdsup://IBCentral/FAT Viewer?action=UPDATE&amp;creator=factset&amp;DOC_NAME=fat:reuters_annual_source_window.fat&amp;display_string=Audit&amp;DYN_ARGS=TRUE&amp;VAR:ID1=10969610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64__FDSAUDITLINK__">{"fdsup://IBCentral/FAT Viewer?action=UPDATE&amp;creator=factset&amp;DOC_NAME=fat:reuters_annual_source_window.fat&amp;display_string=Audit&amp;DYN_ARGS=TRUE&amp;VAR:ID1=569878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65__FDSAUDITLINK__">{"fdsup://IBCentral/FAT Viewer?action=UPDATE&amp;creator=factset&amp;DOC_NAME=fat:reuters_annual_source_window.fat&amp;display_string=Audit&amp;DYN_ARGS=TRUE&amp;VAR:ID1=483410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66__FDSAUDITLINK__">{"fdsup://IBCentral/FAT Viewer?action=UPDATE&amp;creator=factset&amp;DOC_NAME=fat:reuters_annual_source_window.fat&amp;display_string=Audit&amp;DYN_ARGS=TRUE&amp;VAR:ID1=34354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67__FDSAUDITLINK__">{"fdsup://IBCentral/FAT Viewer?action=UPDATE&amp;creator=factset&amp;DOC_NAME=fat:reuters_annual_source_window.fat&amp;display_string=Audit&amp;DYN_ARGS=TRUE&amp;VAR:ID1=83186520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68__FDSAUDITLINK__">{"fdsup://IBCentral/FAT Viewer?action=UPDATE&amp;creator=factset&amp;DOC_NAME=fat:reuters_annual_source_window.fat&amp;display_string=Audit&amp;DYN_ARGS=TRUE&amp;VAR:ID1=66680710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69__FDSAUDITLINK__">{"fdsup://IBCentral/FAT Viewer?action=UPDATE&amp;creator=factset&amp;DOC_NAME=fat:reuters_annual_source_window.fat&amp;display_string=Audit&amp;DYN_ARGS=TRUE&amp;VAR:ID1=B06CF7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0__FDSAUDITLINK__">{"fdsup://IBCentral/FAT Viewer?action=UPDATE&amp;creator=factset&amp;DOC_NAME=fat:reuters_annual_source_window.fat&amp;display_string=Audit&amp;DYN_ARGS=TRUE&amp;VAR:ID1=01265310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71__FDSAUDITLINK__">{"fdsup://IBCentral/FAT Viewer?action=UPDATE&amp;creator=factset&amp;DOC_NAME=fat:reuters_annual_source_window.fat&amp;display_string=Audit&amp;DYN_ARGS=TRUE&amp;VAR:ID1=26353410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72__FDSAUDITLINK__">{"fdsup://IBCentral/FAT Viewer?action=UPDATE&amp;creator=factset&amp;DOC_NAME=fat:reuters_annual_source_window.fat&amp;display_string=Audit&amp;DYN_ARGS=TRUE&amp;VAR:ID1=73179P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73__FDSAUDITLINK__">{"fdsup://IBCentral/FAT Viewer?action=UPDATE&amp;creator=factset&amp;DOC_NAME=fat:reuters_annual_source_window.fat&amp;display_string=Audit&amp;DYN_ARGS=TRUE&amp;VAR:ID1=B01FLG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74__FDSAUDITLINK__">{"fdsup://IBCentral/FAT Viewer?action=UPDATE&amp;creator=factset&amp;DOC_NAME=fat:reuters_annual_source_window.fat&amp;display_string=Audit&amp;DYN_ARGS=TRUE&amp;VAR:ID1=555404&amp;VAR:RCODE=EBITDA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75__FDSAUDITLINK__">{"fdsup://IBCentral/FAT Viewer?action=UPDATE&amp;creator=factset&amp;DOC_NAME=fat:reuters_annual_source_window.fat&amp;display_string=Audit&amp;DYN_ARGS=TRUE&amp;VAR:ID1=679159&amp;VAR:RCODE=EBITDA&amp;VAR:SDATE=20080399&amp;VAR:FREQ=Y&amp;VAR:RELITEM=RP&amp;VAR:CURRENCY=&amp;VAR:CURRSOURCE=EXSHARE&amp;V","AR:NATFREQ=ANNUAL&amp;VAR:RFIELD=FINALIZED&amp;VAR:DB_TYPE=&amp;VAR:UNITS=M&amp;window=popup&amp;width=450&amp;height=300&amp;START_MAXIMIZED=FALSE"}</definedName>
    <definedName name="_576__FDSAUDITLINK__">{"fdsup://IBCentral/FAT Viewer?action=UPDATE&amp;creator=factset&amp;DOC_NAME=fat:reuters_annual_source_window.fat&amp;display_string=Audit&amp;DYN_ARGS=TRUE&amp;VAR:ID1=34354P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77__FDSAUDITLINK__">{"fdsup://IBCentral/FAT Viewer?action=UPDATE&amp;creator=factset&amp;DOC_NAME=fat:reuters_annual_source_window.fat&amp;display_string=Audit&amp;DYN_ARGS=TRUE&amp;VAR:ID1=45167R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78__FDSAUDITLINK__">{"fdsup://IBCentral/FAT Viewer?action=UPDATE&amp;creator=factset&amp;DOC_NAME=fat:reuters_annual_source_window.fat&amp;display_string=Audit&amp;DYN_ARGS=TRUE&amp;VAR:ID1=019520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579__FDSAUDITLINK__">{"fdsup://IBCentral/FAT Viewer?action=UPDATE&amp;creator=factset&amp;DOC_NAME=fat:reuters_annual_source_window.fat&amp;display_string=Audit&amp;DYN_ARGS=TRUE&amp;VAR:ID1=38238810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0__FDSAUDITLINK__">{"fdsup://IBCentral/FAT Viewer?action=UPDATE&amp;creator=factset&amp;DOC_NAME=fat:reuters_annual_source_window.fat&amp;display_string=Audit&amp;DYN_ARGS=TRUE&amp;VAR:ID1=38238810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81__FDSAUDITLINK__">{"fdsup://IBCentral/FAT Viewer?action=UPDATE&amp;creator=factset&amp;DOC_NAME=fat:reuters_annual_source_window.fat&amp;display_string=Audit&amp;DYN_ARGS=TRUE&amp;VAR:ID1=77434110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82__FDSAUDITLINK__">{"fdsup://IBCentral/FAT Viewer?action=UPDATE&amp;creator=factset&amp;DOC_NAME=fat:reuters_annual_source_window.fat&amp;display_string=Audit&amp;DYN_ARGS=TRUE&amp;VAR:ID1=74018910&amp;VAR:RCODE=EBITDA&amp;VAR:SDATE=20080399&amp;VAR:FREQ=Y&amp;VAR:RELITEM=RP&amp;VAR:CURRENCY=&amp;VAR:CURRSOURCE=EXSHARE","&amp;VAR:NATFREQ=ANNUAL&amp;VAR:RFIELD=FINALIZED&amp;VAR:DB_TYPE=&amp;VAR:UNITS=M&amp;window=popup&amp;width=450&amp;height=300&amp;START_MAXIMIZED=FALSE"}</definedName>
    <definedName name="_583__FDSAUDITLINK__">{"fdsup://IBCentral/FAT Viewer?action=UPDATE&amp;creator=factset&amp;DOC_NAME=fat:reuters_annual_source_window.fat&amp;display_string=Audit&amp;DYN_ARGS=TRUE&amp;VAR:ID1=61539420&amp;VAR:RCODE=EBITDA&amp;VAR:SDATE=20070999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584__FDSAUDITLINK__">{"fdsup://IBCentral/FAT Viewer?action=UPDATE&amp;creator=factset&amp;DOC_NAME=fat:reuters_annual_source_window.fat&amp;display_string=Audit&amp;DYN_ARGS=TRUE&amp;VAR:ID1=77441510&amp;VAR:RCODE=EBI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>{"fdsup://IBCentral/FAT Viewer?action=UPDATE&amp;creator=factset&amp;DOC_NAME=fat:reuters_annual_source_window.fat&amp;display_string=Audit&amp;DYN_ARGS=TRUE&amp;VAR:ID1=B058TZ&amp;VAR:RCODE=EBIT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86__FDSAUDITLINK__">{"fdsup://IBCentral/FAT Viewer?action=UPDATE&amp;creator=factset&amp;DOC_NAME=fat:reuters_annual_source_window.fat&amp;display_string=Audit&amp;DYN_ARGS=TRUE&amp;VAR:ID1=B09DHL&amp;VAR:RCODE=EBIT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87__FDSAUDITLINK__">{"fdsup://IBCentral/FAT Viewer?action=UPDATE&amp;creator=factset&amp;DOC_NAME=fat:reuters_annual_source_window.fat&amp;display_string=Audit&amp;DYN_ARGS=TRUE&amp;VAR:ID1=328364&amp;VAR:RCODE=EBIT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88__FDSAUDITLINK__">{"fdsup://IBCentral/FAT Viewer?action=UPDATE&amp;creator=factset&amp;DOC_NAME=fat:reuters_annual_source_window.fat&amp;display_string=Audit&amp;DYN_ARGS=TRUE&amp;VAR:ID1=96332010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89__FDSAUDITLINK__">{"fdsup://IBCentral/FAT Viewer?action=UPDATE&amp;creator=factset&amp;DOC_NAME=fat:reuters_annual_source_window.fat&amp;display_string=Audit&amp;DYN_ARGS=TRUE&amp;VAR:ID1=710889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0__FDSAUDITLINK__">{"fdsup://IBCentral/FAT Viewer?action=UPDATE&amp;creator=factset&amp;DOC_NAME=fat:reuters_annual_source_window.fat&amp;display_string=Audit&amp;DYN_ARGS=TRUE&amp;VAR:ID1=09972410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91__FDSAUDITLINK__">{"fdsup://IBCentral/FAT Viewer?action=UPDATE&amp;creator=factset&amp;DOC_NAME=fat:reuters_annual_source_window.fat&amp;display_string=Audit&amp;DYN_ARGS=TRUE&amp;VAR:ID1=69371810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92__FDSAUDITLINK__">{"fdsup://IBCentral/FAT Viewer?action=UPDATE&amp;creator=factset&amp;DOC_NAME=fat:reuters_annual_source_window.fat&amp;display_string=Audit&amp;DYN_ARGS=TRUE&amp;VAR:ID1=63934E10&amp;VAR:RCODE=EBITDA&amp;VAR:SDATE=20071099&amp;VAR:FREQ=Y&amp;VAR:RELITEM=&amp;VAR:CURRENCY=&amp;VAR:CURRSOURCE=EXSHARE&amp;V","AR:NATFREQ=ANNUAL&amp;VAR:RFIELD=FINALIZED&amp;VAR:DB_TYPE=&amp;VAR:UNITS=M&amp;window=popup&amp;width=450&amp;height=300&amp;START_MAXIMIZED=FALSE"}</definedName>
    <definedName name="_593__FDSAUDITLINK__">{"fdsup://IBCentral/FAT Viewer?action=UPDATE&amp;creator=factset&amp;DOC_NAME=fat:reuters_annual_source_window.fat&amp;display_string=Audit&amp;DYN_ARGS=TRUE&amp;VAR:ID1=38238810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594__FDSAUDITLINK__">{"fdsup://IBCentral/FAT Viewer?action=UPDATE&amp;creator=factset&amp;DOC_NAME=fat:reuters_annual_source_window.fat&amp;display_string=Audit&amp;DYN_ARGS=TRUE&amp;VAR:ID1=676396&amp;VAR:RCODE=EBITDA&amp;VAR:SDATE=20080399&amp;VAR:FREQ=Y&amp;VAR:RELITEM=&amp;VAR:CURRENCY=&amp;VAR:CURRSOURCE=EXSHARE&amp;VAR",":NATFREQ=ANNUAL&amp;VAR:RFIELD=FINALIZED&amp;VAR:DB_TYPE=&amp;VAR:UNITS=M&amp;window=popup&amp;width=450&amp;height=300&amp;START_MAXIMIZED=FALSE"}</definedName>
    <definedName name="_595__FDSAUDITLINK__">{"fdsup://IBCentral/FAT Viewer?action=UPDATE&amp;creator=factset&amp;DOC_NAME=fat:reuters_annual_source_window.fat&amp;display_string=Audit&amp;DYN_ARGS=TRUE&amp;VAR:ID1=69642930&amp;VAR:RCODE=EBITDA&amp;VAR:SDATE=20080799&amp;VAR:FREQ=Y&amp;VAR:RELITEM=&amp;VAR:CURRENCY=&amp;VAR:CURRSOURCE=EXSHARE&amp;V","AR:NATFREQ=ANNUAL&amp;VAR:RFIELD=FINALIZED&amp;VAR:DB_TYPE=&amp;VAR:UNITS=M&amp;window=popup&amp;width=450&amp;height=300&amp;START_MAXIMIZED=FALSE"}</definedName>
    <definedName name="_596__FDSAUDITLINK__">{"fdsup://IBCentral/FAT Viewer?action=UPDATE&amp;creator=factset&amp;DOC_NAME=fat:reuters_annual_source_window.fat&amp;display_string=Audit&amp;DYN_ARGS=TRUE&amp;VAR:ID1=29101110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597__FDSAUDITLINK__">{"fdsup://IBCentral/FAT Viewer?action=UPDATE&amp;creator=factset&amp;DOC_NAME=fat:reuters_annual_source_window.fat&amp;display_string=Audit&amp;DYN_ARGS=TRUE&amp;VAR:ID1=483410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98__FDSAUDITLINK__">{"fdsup://IBCentral/FAT Viewer?action=UPDATE&amp;creator=factset&amp;DOC_NAME=fat:reuters_annual_source_window.fat&amp;display_string=Audit&amp;DYN_ARGS=TRUE&amp;VAR:ID1=B11ZRK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599__FDSAUDITLINK__">{"fdsup://IBCentral/FAT Viewer?action=UPDATE&amp;creator=factset&amp;DOC_NAME=fat:reuters_annual_source_window.fat&amp;display_string=Audit&amp;DYN_ARGS=TRUE&amp;VAR:ID1=03209510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__FDSAUDITLINK__" localSheetId="0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0__FDSAUDITLINK__">{"fdsup://IBCentral/FAT Viewer?action=UPDATE&amp;creator=factset&amp;DOC_NAME=fat:reuters_annual_source_window.fat&amp;display_string=Audit&amp;DYN_ARGS=TRUE&amp;VAR:ID1=Y9369110&amp;VAR:RCODE=EBITDA&amp;VAR:SDATE=20071099&amp;VAR:FREQ=Y&amp;VAR:RELITEM=&amp;VAR:CURRENCY=&amp;VAR:CURRSOURCE=EXSHARE&amp;V","AR:NATFREQ=ANNUAL&amp;VAR:RFIELD=FINALIZED&amp;VAR:DB_TYPE=&amp;VAR:UNITS=M&amp;window=popup&amp;width=450&amp;height=300&amp;START_MAXIMIZED=FALSE"}</definedName>
    <definedName name="_601__FDSAUDITLINK__">{"fdsup://IBCentral/FAT Viewer?action=UPDATE&amp;creator=factset&amp;DOC_NAME=fat:reuters_annual_source_window.fat&amp;display_string=Audit&amp;DYN_ARGS=TRUE&amp;VAR:ID1=03209510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02__FDSAUDITLINK__">{"fdsup://IBCentral/FAT Viewer?action=UPDATE&amp;creator=factset&amp;DOC_NAME=fat:reuters_annual_source_window.fat&amp;display_string=Audit&amp;DYN_ARGS=TRUE&amp;VAR:ID1=G9508910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03__FDSAUDITLINK__">{"fdsup://IBCentral/FAT Viewer?action=UPDATE&amp;creator=factset&amp;DOC_NAME=fat:reuters_annual_source_window.fat&amp;display_string=Audit&amp;DYN_ARGS=TRUE&amp;VAR:ID1=23102110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04__FDSAUDITLINK__">{"fdsup://IBCentral/FAT Viewer?action=UPDATE&amp;creator=factset&amp;DOC_NAME=fat:reuters_annual_source_window.fat&amp;display_string=Audit&amp;DYN_ARGS=TRUE&amp;VAR:ID1=70109410&amp;VAR:RCODE=EBITDA&amp;VAR:SDATE=20080699&amp;VAR:FREQ=Y&amp;VAR:RELITEM=&amp;VAR:CURRENCY=&amp;VAR:CURRSOURCE=EXSHARE&amp;V","AR:NATFREQ=ANNUAL&amp;VAR:RFIELD=FINALIZED&amp;VAR:DB_TYPE=&amp;VAR:UNITS=M&amp;window=popup&amp;width=450&amp;height=300&amp;START_MAXIMIZED=FALSE"}</definedName>
    <definedName name="_605__FDSAUDITLINK__">{"fdsup://IBCentral/FAT Viewer?action=UPDATE&amp;creator=factset&amp;DOC_NAME=fat:reuters_annual_source_window.fat&amp;display_string=Audit&amp;DYN_ARGS=TRUE&amp;VAR:ID1=14912310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06__FDSAUDITLINK__">{"fdsup://IBCentral/FAT Viewer?action=UPDATE&amp;creator=factset&amp;DOC_NAME=fat:reuters_annual_source_window.fat&amp;display_string=Audit&amp;DYN_ARGS=TRUE&amp;VAR:ID1=09179710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07__FDSAUDITLINK__">{"fdsup://IBCentral/FAT Viewer?action=UPDATE&amp;creator=factset&amp;DOC_NAME=fat:reuters_annual_source_window.fat&amp;display_string=Audit&amp;DYN_ARGS=TRUE&amp;VAR:ID1=83303410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08__FDSAUDITLINK__">{"fdsup://IBCentral/FAT Viewer?action=UPDATE&amp;creator=factset&amp;DOC_NAME=fat:reuters_annual_source_window.fat&amp;display_string=Audit&amp;DYN_ARGS=TRUE&amp;VAR:ID1=85461610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09__FDSAUDITLINK__">{"fdsup://IBCentral/FAT Viewer?action=UPDATE&amp;creator=factset&amp;DOC_NAME=fat:reuters_annual_source_window.fat&amp;display_string=Audit&amp;DYN_ARGS=TRUE&amp;VAR:ID1=05774110&amp;VAR:RCODE=EBITDA&amp;VAR:SDATE=20071299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0__FDSAUDITLINK__">{"fdsup://IBCentral/FAT Viewer?action=UPDATE&amp;creator=factset&amp;DOC_NAME=fat:reuters_annual_source_window.fat&amp;display_string=Audit&amp;DYN_ARGS=TRUE&amp;VAR:ID1=83303410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11__FDSAUDITLINK__">{"fdsup://IBCentral/FAT Viewer?action=UPDATE&amp;creator=factset&amp;DOC_NAME=fat:reuters_annual_source_window.fat&amp;display_string=Audit&amp;DYN_ARGS=TRUE&amp;VAR:ID1=85461610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12__FDSAUDITLINK__">{"fdsup://IBCentral/FAT Viewer?action=UPDATE&amp;creator=factset&amp;DOC_NAME=fat:reuters_annual_source_window.fat&amp;display_string=Audit&amp;DYN_ARGS=TRUE&amp;VAR:ID1=05774110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13__FDSAUDITLINK__">{"fdsup://IBCentral/FAT Viewer?action=UPDATE&amp;creator=factset&amp;DOC_NAME=fat:reuters_annual_source_window.fat&amp;display_string=Audit&amp;DYN_ARGS=TRUE&amp;VAR:ID1=027480&amp;VAR:RCODE=EBITDA&amp;VAR:SDATE=20071099&amp;VAR:FREQ=Y&amp;VAR:RELITEM=&amp;VAR:CURRENCY=&amp;VAR:CURRSOURCE=EXSHARE&amp;VAR",":NATFREQ=ANNUAL&amp;VAR:RFIELD=FINALIZED&amp;VAR:DB_TYPE=&amp;VAR:UNITS=M&amp;window=popup&amp;width=450&amp;height=300&amp;START_MAXIMIZED=FALSE"}</definedName>
    <definedName name="_614__FDSAUDITLINK__">{"fdsup://IBCentral/FAT Viewer?action=UPDATE&amp;creator=factset&amp;DOC_NAME=fat:reuters_annual_source_window.fat&amp;display_string=Audit&amp;DYN_ARGS=TRUE&amp;VAR:ID1=98920710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15__FDSAUDITLINK__">{"fdsup://IBCentral/FAT Viewer?action=UPDATE&amp;creator=factset&amp;DOC_NAME=fat:reuters_annual_source_window.fat&amp;display_string=Audit&amp;DYN_ARGS=TRUE&amp;VAR:ID1=70109410&amp;VAR:RCODE=EBITDA&amp;VAR:SDATE=20080699&amp;VAR:FREQ=Y&amp;VAR:RELITEM=&amp;VAR:CURRENCY=&amp;VAR:CURRSOURCE=EXSHARE&amp;V","AR:NATFREQ=ANNUAL&amp;VAR:RFIELD=FINALIZED&amp;VAR:DB_TYPE=&amp;VAR:UNITS=M&amp;window=popup&amp;width=450&amp;height=300&amp;START_MAXIMIZED=FALSE"}</definedName>
    <definedName name="_616__FDSAUDITLINK__">{"fdsup://IBCentral/FAT Viewer?action=UPDATE&amp;creator=factset&amp;DOC_NAME=fat:reuters_annual_source_window.fat&amp;display_string=Audit&amp;DYN_ARGS=TRUE&amp;VAR:ID1=82966C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617__FDSAUDITLINK__">{"fdsup://IBCentral/FAT Viewer?action=UPDATE&amp;creator=factset&amp;DOC_NAME=fat:reuters_annual_source_window.fat&amp;display_string=Audit&amp;DYN_ARGS=TRUE&amp;VAR:ID1=80640710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18__FDSAUDITLINK__">{"fdsup://IBCentral/FAT Viewer?action=UPDATE&amp;creator=factset&amp;DOC_NAME=fat:reuters_annual_source_window.fat&amp;display_string=Audit&amp;DYN_ARGS=TRUE&amp;VAR:ID1=71404610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19__FDSAUDITLINK__">{"fdsup://IBCentral/FAT Viewer?action=UPDATE&amp;creator=factset&amp;DOC_NAME=fat:reuters_annual_source_window.fat&amp;display_string=Audit&amp;DYN_ARGS=TRUE&amp;VAR:ID1=88355610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0__FDSAUDITLINK__">{"fdsup://IBCentral/FAT Viewer?action=UPDATE&amp;creator=factset&amp;DOC_NAME=fat:reuters_annual_source_window.fat&amp;display_string=Audit&amp;DYN_ARGS=TRUE&amp;VAR:ID1=07588710&amp;VAR:RCODE=EBITDA&amp;VAR:SDATE=20070999&amp;VAR:FREQ=Y&amp;VAR:RELITEM=&amp;VAR:CURRENCY=&amp;VAR:CURRSOURCE=EXSHARE&amp;V","AR:NATFREQ=ANNUAL&amp;VAR:RFIELD=FINALIZED&amp;VAR:DB_TYPE=&amp;VAR:UNITS=M&amp;window=popup&amp;width=450&amp;height=300&amp;START_MAXIMIZED=FALSE"}</definedName>
    <definedName name="_621__FDSAUDITLINK__">{"fdsup://IBCentral/FAT Viewer?action=UPDATE&amp;creator=factset&amp;DOC_NAME=fat:reuters_annual_source_window.fat&amp;display_string=Audit&amp;DYN_ARGS=TRUE&amp;VAR:ID1=62985Q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22__FDSAUDITLINK__">{"fdsup://IBCentral/FAT Viewer?action=UPDATE&amp;creator=factset&amp;DOC_NAME=fat:reuters_annual_source_window.fat&amp;display_string=Audit&amp;DYN_ARGS=TRUE&amp;VAR:ID1=63651810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23__FDSAUDITLINK__">{"fdsup://IBCentral/FAT Viewer?action=UPDATE&amp;creator=factset&amp;DOC_NAME=fat:reuters_annual_source_window.fat&amp;display_string=Audit&amp;DYN_ARGS=TRUE&amp;VAR:ID1=65182410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24__FDSAUDITLINK__">{"fdsup://IBCentral/FAT Viewer?action=UPDATE&amp;creator=factset&amp;DOC_NAME=fat:reuters_annual_source_window.fat&amp;display_string=Audit&amp;DYN_ARGS=TRUE&amp;VAR:ID1=B096C6&amp;VAR:RCODE=EBITDA&amp;VAR:SDATE=20071299&amp;VAR:FREQ=Y&amp;VAR:RELITEM=&amp;VAR:CURRENCY=&amp;VAR:CURRSOURCE=EXSHARE&amp;VAR",":NATFREQ=ANNUAL&amp;VAR:RFIELD=FINALIZED&amp;VAR:DB_TYPE=&amp;VAR:UNITS=M&amp;window=popup&amp;width=450&amp;height=300&amp;START_MAXIMIZED=FALSE"}</definedName>
    <definedName name="_625__FDSAUDITLINK__">{"fdsup://IBCentral/FAT Viewer?action=UPDATE&amp;creator=factset&amp;DOC_NAME=fat:reuters_annual_source_window.fat&amp;display_string=Audit&amp;DYN_ARGS=TRUE&amp;VAR:ID1=88077010&amp;VAR:RCODE=EBITDA&amp;VAR:SDATE=20071299&amp;VAR:FREQ=Y&amp;VAR:RELITEM=&amp;VAR:CURRENCY=&amp;VAR:CURRSOURCE=EXSHARE&amp;V","AR:NATFREQ=ANNUAL&amp;VAR:RFIELD=FINALIZED&amp;VAR:DB_TYPE=&amp;VAR:UNITS=M&amp;window=popup&amp;width=450&amp;height=300&amp;START_MAXIMIZED=FALSE"}</definedName>
    <definedName name="_626__FDSAUDITLINK__">{"fdsup://IBCentral/FAT Viewer?action=UPDATE&amp;creator=factset&amp;DOC_NAME=fat:reuters_annual_source_window.fat&amp;display_string=Audit&amp;DYN_ARGS=TRUE&amp;VAR:ID1=00846U10&amp;VAR:RCODE=EBITDA&amp;VAR:SDATE=20071099&amp;VAR:FREQ=Y&amp;VAR:RELITEM=&amp;VAR:CURRENCY=&amp;VAR:CURRSOURCE=EXSHARE&amp;V","AR:NATFREQ=ANNUAL&amp;VAR:RFIELD=FINALIZED&amp;VAR:DB_TYPE=&amp;VAR:UNITS=M&amp;window=popup&amp;width=450&amp;height=300&amp;START_MAXIMIZED=FALSE"}</definedName>
    <definedName name="_6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__FDSAUDITLINK__" localSheetId="0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2_" localSheetId="0">{"Client Name or Project Name"}</definedName>
    <definedName name="_8a2_">{"Client Name or Project Name"}</definedName>
    <definedName name="_9__FDSAUDITLINK__" localSheetId="0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 localSheetId="0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 localSheetId="0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 localSheetId="0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 localSheetId="0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 localSheetId="0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a4">{"PR1","pr1",TRUE,"Sch PR-1"}</definedName>
    <definedName name="_a5">{"PR1","pr1",TRUE,"Sch PR-1"}</definedName>
    <definedName name="_a6">{"PR1","pr1",TRUE,"Sch PR-1"}</definedName>
    <definedName name="_a7">{"PR1","pr1",TRUE,"Sch PR-1"}</definedName>
    <definedName name="_a8">{"PR1","pr1",TRUE,"Sch PR-1"}</definedName>
    <definedName name="_ann11" localSheetId="0">[9]Financials!$A$318:$J$361</definedName>
    <definedName name="_ann11">[10]Financials!$A$318:$J$361</definedName>
    <definedName name="_ann12" localSheetId="0">[9]Financials!$A$389:$J$457</definedName>
    <definedName name="_ann12">[10]Financials!$A$389:$J$457</definedName>
    <definedName name="_ann13" localSheetId="0">[9]Financials!$A$461:$J$509</definedName>
    <definedName name="_ann13">[10]Financials!$A$461:$J$509</definedName>
    <definedName name="_ann14" localSheetId="0">[9]Financials!$A$514:$J$537</definedName>
    <definedName name="_ann14">[10]Financials!$A$514:$J$537</definedName>
    <definedName name="_ann16" localSheetId="0">[9]Financials!$A$543:$J$562</definedName>
    <definedName name="_ann16">[10]Financials!$A$543:$J$562</definedName>
    <definedName name="_ann6" localSheetId="0">[9]Financials!$A$6:$J$64</definedName>
    <definedName name="_ann6">[10]Financials!$A$6:$J$64</definedName>
    <definedName name="_ann7" localSheetId="0">[9]Financials!$A$68:$J$103</definedName>
    <definedName name="_ann7">[10]Financials!$A$68:$J$103</definedName>
    <definedName name="_ann8" localSheetId="0">[9]Financials!$A$230:$J$315</definedName>
    <definedName name="_ann8">[10]Financials!$A$230:$J$315</definedName>
    <definedName name="_avg9293" localSheetId="0">[11]Curtrans!$O$15</definedName>
    <definedName name="_avg9293">[12]Curtrans!$O$15</definedName>
    <definedName name="_avg9394" localSheetId="0">[11]Curtrans!$O$14</definedName>
    <definedName name="_avg9394">[12]Curtrans!$O$14</definedName>
    <definedName name="_avg9495" localSheetId="0">[11]Curtrans!$O$13</definedName>
    <definedName name="_avg9495">[12]Curtrans!$O$13</definedName>
    <definedName name="_avg9596" localSheetId="0">[11]Curtrans!$O$12</definedName>
    <definedName name="_avg9596">[12]Curtrans!$O$12</definedName>
    <definedName name="_avg9697" localSheetId="0">[11]Curtrans!$O$11</definedName>
    <definedName name="_avg9697">[12]Curtrans!$O$11</definedName>
    <definedName name="_avg9798" localSheetId="0">[11]Curtrans!$O$10</definedName>
    <definedName name="_avg9798">[12]Curtrans!$O$10</definedName>
    <definedName name="_bdm.02E29E7B1053433EA3CCCBE4E5141596.edm">[13]Sheet1!$A:$IV</definedName>
    <definedName name="_bdm.05014202F2F74FEBA82C7ECB9BD89D08.edm">'[14]Ace-Out'!$1:$1048576</definedName>
    <definedName name="_bdm.07B5818A383F4DC2A6BFA30C130CBB78.edm">'[14]AFFILIATES (2)'!$1:$1048576</definedName>
    <definedName name="_bdm.08A3A6FB693442A689580F2AFC2ED9B8.edm">[15]Details!$A:$IV</definedName>
    <definedName name="_bdm.0B185E51A026419C8CEA81D25AF4187E.edm" localSheetId="0">[16]MODEL!$1:$1048576</definedName>
    <definedName name="_bdm.0B185E51A026419C8CEA81D25AF4187E.edm">[17]MODEL!$1:$1048576</definedName>
    <definedName name="_bdm.0FD81B58FA204565ACFFE03A10A84ED4.edm">[15]Investment!$A:$IV</definedName>
    <definedName name="_bdm.148386F11EB644A1BDBA247153F153D5.edm">[15]GCF!$A:$IV</definedName>
    <definedName name="_bdm.14D1A22932234486A69AAF8B879B86C4.edm">'[18]Ace-Out'!$1:$1048576</definedName>
    <definedName name="_bdm.17F0EB48B3AA4306BD71AB7825465F01.edm">'[19]Divisional Comps'!$A:$IV</definedName>
    <definedName name="_bdm.1B91790B81DA41E58A41831AAEA0B603.edm">[15]Highway!$A:$IV</definedName>
    <definedName name="_bdm.20534C569D704D37AFFCED2483877F82.edm">'[20]Cash Flow'!$A:$IV</definedName>
    <definedName name="_bdm.261112BAE8204F8280374C78A1E02552.edm">'[22]Capex Chart'!$A:$IV</definedName>
    <definedName name="_bdm.3A1DD13DC7104A31B36B546CE1F0B34D.edm">[21]Model!$1:$1048576</definedName>
    <definedName name="_bdm.42F67CCC3C1C45638B5EC98256E90947.edm">'[23]Good 12-00 (2)'!$A:$IV</definedName>
    <definedName name="_bdm.43797866FC7241EF8C9CE384364FCF94.edm">[24]VALUATION!$A:$IV</definedName>
    <definedName name="_bdm.447A4D03C10F45ED81C2EC8AE9C67191.edm">'[15]Urbanization--by province'!$A:$IV</definedName>
    <definedName name="_bdm.46D56600DB7840728F138544F8E425DB.edm">'[23]Good 11-36'!$A:$IV</definedName>
    <definedName name="_bdm.52D513488CC5403BA3BFE2360648BF46.edm">[25]Sheet4!$A:$IV</definedName>
    <definedName name="_bdm.544403D39B2C423F876D7E248370103E.edm">[15]GDP!$A:$IV</definedName>
    <definedName name="_bdm.56FC3A7EDB04467DAE4054C7B0A3D35F.edm">'[26]Intrinsic Value'!$A:$IV</definedName>
    <definedName name="_bdm.60A1016E4A5045B0B4BE42FB21AAF6D6.edm">'[23]Good 11-50'!$A:$IV</definedName>
    <definedName name="_bdm.6AFA43F0E39A44E1A1138F4D6AB6937E.edm">'[27]Financial Summary'!$A:$IV</definedName>
    <definedName name="_bdm.6AFF294FB240469D91EAD6CE6F5BD3C2.edm">[15]Wage!$A:$IV</definedName>
    <definedName name="_bdm.853346EF025146EC93FF42D5FF757A61.edm">[15]Secondary!$A:$IV</definedName>
    <definedName name="_bdm.879B950EBBAB4597B88189350706EC93.edm">'[28]Ace-Out'!$1:$1048576</definedName>
    <definedName name="_bdm.95D97703F0B44275930D649261210A38.edm">'[22]Capex Chart'!$A:$IV</definedName>
    <definedName name="_bdm.98B33174D0CF4FBF99D585B5006432EE.edm">'[24]Bal Sht'!$A:$IV</definedName>
    <definedName name="_bdm.9AF536CFB45449FA8ABA66F4B42C1163.edm">[15]Cement!$A:$IV</definedName>
    <definedName name="_bdm.9CF1EC782CA246C5B743B60E78EFF75A.edm">'[29]New Resources'!$A:$IV</definedName>
    <definedName name="_bdm.9D0CCAC032D14FF3BA6B628823E37E6F.edm">[30]Stores_per_State!$A:$IV</definedName>
    <definedName name="_bdm.A02D80F893DD4C7DA6D997E701C867FB.edm">[18]Results!$1:$1048576</definedName>
    <definedName name="_bdm.A09C571EEC43445A8776420190241D2C.edm">[20]upside_downside!$A:$IV</definedName>
    <definedName name="_bdm.AAED9F19000E46028FCDE96D8F29E5D2.edm">[31]Traffic!$A:$IV</definedName>
    <definedName name="_bdm.B2C402505988402D89FFF5B60AF13B64.edm">'[20]Income Statement'!$A:$IV</definedName>
    <definedName name="_bdm.B5776DFF12EA49C58C1C5CE3A619301F.edm">[15]Railway!$A:$IV</definedName>
    <definedName name="_bdm.B7CC83D9B1D34661812434787CF5F95D.edm">'[32]Ace-Out'!$1:$1048576</definedName>
    <definedName name="_bdm.B884C96075144E6F9AF1F8CC7EAF5316.edm">[15]Service!$A:$IV</definedName>
    <definedName name="_bdm.BB11A2CB11314C6E9BE7E6722D945EB9.edm">'[22]FCF-Div. Working Chart'!$A:$IV</definedName>
    <definedName name="_bdm.C7C6FBA36F39444B8BCEC128D5B7F931.edm">'[23]Sheet3 (5)'!$A:$IV</definedName>
    <definedName name="_bdm.D502B7BAE42141B1AAC2FA5ED1B5827D.edm">[15]International!$A:$IV</definedName>
    <definedName name="_bdm.D5B3A73FAAD6414A9FFC255B008E5482.edm">[15]Cities!$A:$IV</definedName>
    <definedName name="_bdm.D8226746037A4B218F06698B6B570FD4.edm">'[33]Risk-Reward_View_Chart'!$1:$1048576</definedName>
    <definedName name="_bdm.E9F17566908247878C1C2E221DC8979B.edm">'[20]Balance Sheet'!$A:$IV</definedName>
    <definedName name="_bdm.EC71F54BCEA946ED92405294400372BE.edm">[15]Steel!$A:$IV</definedName>
    <definedName name="_bdm.F5C2328D5B334648A03CCB13D67153E7.edm">'[15]Consumption (2)'!$A:$IV</definedName>
    <definedName name="_bdm.F7E901476B1C4A78A8384B81CD6FDDBF.edm">'[22]MWA RR'!$A:$IV</definedName>
    <definedName name="_bdm.FE8A0DFDBE474647BBB6D8D3DDA6EBB6.edm">'[21]Drivers &amp; Metrics'!$1:$1048576</definedName>
    <definedName name="_bdm.FF4B1DDC0CB94D7191737578EC71C826.edm">[24]CF!$A:$IV</definedName>
    <definedName name="_DAT1" localSheetId="0">[34]Price!$A$9:$F$15</definedName>
    <definedName name="_DAT1">[35]Price!$A$9:$F$15</definedName>
    <definedName name="_DAT2" localSheetId="0">[34]Price!$A$19:$F$25</definedName>
    <definedName name="_DAT2">[35]Price!$A$19:$F$25</definedName>
    <definedName name="_DAT3" localSheetId="0">[34]Price!$A$29:$F$35</definedName>
    <definedName name="_DAT3">[35]Price!$A$29:$F$35</definedName>
    <definedName name="_DAT4" localSheetId="0">[34]Price!$H$9:$M$15</definedName>
    <definedName name="_DAT4">[35]Price!$H$9:$M$15</definedName>
    <definedName name="_DAT5" localSheetId="0">[34]Price!$H$19:$M$25</definedName>
    <definedName name="_DAT5">[35]Price!$H$19:$M$25</definedName>
    <definedName name="_DAT6" localSheetId="0">[34]Price!$H$29:$M$35</definedName>
    <definedName name="_DAT6">[35]Price!$H$29:$M$35</definedName>
    <definedName name="_DAT7" localSheetId="0">[34]Price!$A$39:$F$45</definedName>
    <definedName name="_DAT7">[35]Price!$A$39:$F$45</definedName>
    <definedName name="_DAT8" localSheetId="0">[34]Price!$H$39:$M$45</definedName>
    <definedName name="_DAT8">[35]Price!$H$39:$M$45</definedName>
    <definedName name="_div1993">[36]NKEANNL!$K$43</definedName>
    <definedName name="_div98" localSheetId="0">'[37]Consolidated Financials'!$H$339</definedName>
    <definedName name="_div98">'[38]Consolidated Financials'!$H$339</definedName>
    <definedName name="_div99" localSheetId="0">'[37]Consolidated Financials'!$M$339</definedName>
    <definedName name="_div99">'[38]Consolidated Financials'!$M$339</definedName>
    <definedName name="_Fill">'[39]Store-Map'!$S$1:$S$1266</definedName>
    <definedName name="_FYE2" localSheetId="0">[40]Inputs!$D$13</definedName>
    <definedName name="_FYE2">[41]Inputs!$D$13</definedName>
    <definedName name="_MatInverse_Out">[42]Sheet3!#REF!</definedName>
    <definedName name="_MatMult_B">[42]Sheet3!#REF!</definedName>
    <definedName name="_mi2001" localSheetId="0">'[37]Consolidated Financials'!$W$171</definedName>
    <definedName name="_mi2001">'[38]Consolidated Financials'!$W$171</definedName>
    <definedName name="_mi98" localSheetId="0">'[37]Consolidated Financials'!$H$171</definedName>
    <definedName name="_mi98">'[38]Consolidated Financials'!$H$171</definedName>
    <definedName name="_mi99" localSheetId="0">'[37]Consolidated Financials'!$M$171</definedName>
    <definedName name="_mi99">'[38]Consolidated Financials'!$M$171</definedName>
    <definedName name="_na2">"100"</definedName>
    <definedName name="_na3">"50"</definedName>
    <definedName name="_na4">"IQ_LTM_DATE"</definedName>
    <definedName name="_old2">{#N/A,#N/A,FALSE,"Chart 2 by Prop Type"}</definedName>
    <definedName name="_Order1">255</definedName>
    <definedName name="_Order1_1">255</definedName>
    <definedName name="_Order2">255</definedName>
    <definedName name="_r">"Formula removed, name can be deleted."</definedName>
    <definedName name="_Regression_Int">1</definedName>
    <definedName name="_TV1" localSheetId="0">[43]Summary!#REF!</definedName>
    <definedName name="_TV1">[44]Summary!#REF!</definedName>
    <definedName name="_TV2" localSheetId="0">[43]Summary!#REF!</definedName>
    <definedName name="_TV2">[44]Summary!#REF!</definedName>
    <definedName name="_TV3" localSheetId="0">[43]Summary!#REF!</definedName>
    <definedName name="_TV3">[44]Summary!#REF!</definedName>
    <definedName name="_twx2" localSheetId="0">'[45]old Model'!$A$102:$C$194</definedName>
    <definedName name="_twx2">'[46]old Model'!$A$102:$C$194</definedName>
    <definedName name="_twx3" localSheetId="0">'[45]old Model'!$A$195:$C$266</definedName>
    <definedName name="_twx3">'[46]old Model'!$A$195:$C$266</definedName>
    <definedName name="a">{"Pulp Production",#N/A,FALSE,"Pulp";"Pulp Earnings",#N/A,FALSE,"Pulp"}</definedName>
    <definedName name="aaa">{"AVSHAR","BSHAR"}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ssas">{"PR1","pr1",TRUE,"Sch PR-1"}</definedName>
    <definedName name="AB" localSheetId="0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c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countMethod" localSheetId="0">[47]投资!$C$66</definedName>
    <definedName name="AccountMethod">[48]投资!$C$66</definedName>
    <definedName name="acob">{"'Form'!$A$2:$J$81"}</definedName>
    <definedName name="acob_1">{"'Form'!$A$2:$J$81"}</definedName>
    <definedName name="Actual">{#N/A,#N/A,TRUE,"Historicals";#N/A,#N/A,TRUE,"Charts";#N/A,#N/A,TRUE,"Forecasts"}</definedName>
    <definedName name="actual_start_year">1992</definedName>
    <definedName name="ad">{"PR1","pr1",TRUE,"Sch PR-1"}</definedName>
    <definedName name="adasdasdasdasd">{"PR1","pr1",TRUE,"Sch PR-1"}</definedName>
    <definedName name="AdjustValue" localSheetId="0">AdjustValue</definedName>
    <definedName name="AdjustValue">XN!AdjustValue</definedName>
    <definedName name="admin">1</definedName>
    <definedName name="adsf" localSheetId="0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" localSheetId="0">[49]Model!$A$1:$J$611</definedName>
    <definedName name="All">[50]Model!$A$1:$J$611</definedName>
    <definedName name="AllTables" localSheetId="0">{7}</definedName>
    <definedName name="AllTables">{7}</definedName>
    <definedName name="Analyst_Detail">'[51]Income Statement'!$O$1</definedName>
    <definedName name="ann_bs">'[52]Old BKS'!$G$462:$M$523</definedName>
    <definedName name="ann_cf">'[52]Old BKS'!$B$525:$I$589</definedName>
    <definedName name="ann_div">'[52]Old BKS'!$C$325:$M$381</definedName>
    <definedName name="ann_store">'[52]Old BKS'!$C$204:$T$296</definedName>
    <definedName name="anscount" localSheetId="0">3</definedName>
    <definedName name="anscount">3</definedName>
    <definedName name="AREA2" localSheetId="0">'[53]P&amp;L'!#REF!</definedName>
    <definedName name="AREA2">'[54]P&amp;L'!#REF!</definedName>
    <definedName name="AS2DocOpenMode">"AS2DocumentEdit"</definedName>
    <definedName name="AS2ReportLS">1</definedName>
    <definedName name="AS2SyncStepLS">0</definedName>
    <definedName name="AS2VersionLS">300</definedName>
    <definedName name="asasasasa">{"PR1","pr1",TRUE,"Sch PR-1"}</definedName>
    <definedName name="asasasasas">{"PR1","pr1",TRUE,"Sch PR-1"}</definedName>
    <definedName name="asd" localSheetId="0">{#N/A,#N/A,FALSE,"Chart 2 by Prop Type"}</definedName>
    <definedName name="asd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sdf" localSheetId="0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asf">38939.6653819444</definedName>
    <definedName name="assasdafsda">{"PR1","pr1",TRUE,"Sch PR-1"}</definedName>
    <definedName name="AssetQuality" localSheetId="0">[55]NERD!$G$18:$N$18</definedName>
    <definedName name="AssetQuality">[56]NERD!$G$18:$N$18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ssetStructure" localSheetId="0">[55]NERD!$G$12:$N$12</definedName>
    <definedName name="AssetStructure">[56]NERD!$G$12:$N$12</definedName>
    <definedName name="Assumptions_2">{"'Form'!$A$2:$J$81"}</definedName>
    <definedName name="Assumptions_2_1">{"'Form'!$A$2:$J$81"}</definedName>
    <definedName name="at">'[57]A-4 Income Statement'!$H$33,'[57]A-4 Income Statement'!$H$31,'[57]A-4 Income Statement'!$H$20:$H$25,'[57]A-4 Income Statement'!$H$18,'[57]A-4 Income Statement'!$H$16,'[57]A-4 Income Statement'!$H$14</definedName>
    <definedName name="Atlanta">{#N/A,#N/A,FALSE,"Chart 2 by Prop Type"}</definedName>
    <definedName name="Australia" localSheetId="0">'[58]HK rates'!$A$1:$J$40</definedName>
    <definedName name="Australia">'[59]HK rates'!$A$1:$J$40</definedName>
    <definedName name="Average_Cost_of_Total_Debt">'[60]Fin Stats'!$B$59:$M$59</definedName>
    <definedName name="BACK_A" localSheetId="0">[40]AcqIS:AcqBSCF!$A$54:$L$55</definedName>
    <definedName name="BACK_A">[41]AcqIS:AcqBSCF!$A$54:$L$55</definedName>
    <definedName name="base">[61]Valuation!$CB$22</definedName>
    <definedName name="BBME" localSheetId="0">'[58]HK rates'!$A$1:$J$46</definedName>
    <definedName name="BBME">'[59]HK rates'!$A$1:$J$46</definedName>
    <definedName name="bear">[61]Valuation!$BW$22</definedName>
    <definedName name="BG_Del">15</definedName>
    <definedName name="BG_Ins">4</definedName>
    <definedName name="BG_Mod">6</definedName>
    <definedName name="BLPH10" localSheetId="0">[62]TCL_A!$D$3</definedName>
    <definedName name="BLPH10">[62]TCL_A!$D$3</definedName>
    <definedName name="BLPH11" localSheetId="0">[62]kejian!$A$3</definedName>
    <definedName name="BLPH11">[62]kejian!$A$3</definedName>
    <definedName name="BLPH12" localSheetId="0">[62]kejian!$D$3</definedName>
    <definedName name="BLPH12">[62]kejian!$D$3</definedName>
    <definedName name="BLPH13" localSheetId="0">[62]Bird!$A$3</definedName>
    <definedName name="BLPH13">[62]Bird!$A$3</definedName>
    <definedName name="BLPH14" localSheetId="0">[62]Bird!$D$3</definedName>
    <definedName name="BLPH14">[62]Bird!$D$3</definedName>
    <definedName name="BLPH23" localSheetId="0">[62]BYD!$A$3</definedName>
    <definedName name="BLPH23">[62]BYD!$A$3</definedName>
    <definedName name="BLPH24" localSheetId="0">[62]BYD!$D$3</definedName>
    <definedName name="BLPH24">[62]BYD!$D$3</definedName>
    <definedName name="BLPH9" localSheetId="0">[62]TCL_A!$A$3</definedName>
    <definedName name="BLPH9">[62]TCL_A!$A$3</definedName>
    <definedName name="BS" localSheetId="0">[63]ISBSCF!$A$155:$AE$209</definedName>
    <definedName name="BS">[64]ISBSCF!$A$155:$AE$209</definedName>
    <definedName name="BSA" localSheetId="0">[63]ISBSCF!$A$211:$AE$266</definedName>
    <definedName name="BSA">[64]ISBSCF!$A$211:$AE$266</definedName>
    <definedName name="BS추정">{"'보고양식'!$A$58:$K$111"}</definedName>
    <definedName name="bull">[61]Valuation!$CG$22</definedName>
    <definedName name="BusinessMix" localSheetId="0">[55]NERD!$G$16:$N$16</definedName>
    <definedName name="BusinessMix">[56]NERD!$G$16:$N$16</definedName>
    <definedName name="Canada" localSheetId="0">'[58]HK rates'!$A$1:$L$48</definedName>
    <definedName name="Canada">'[59]HK rates'!$A$1:$L$48</definedName>
    <definedName name="Capital_Expenditures">'[60]Fin Stats'!$B$111:$M$111</definedName>
    <definedName name="Carriers__carrier" localSheetId="0">'[7]P&amp;L'!$B$24:$AH$24</definedName>
    <definedName name="Carriers__carrier">'[8]P&amp;L'!$B$24:$AH$24</definedName>
    <definedName name="case_num">1</definedName>
    <definedName name="Cash_earnings" localSheetId="0">'[65]Jihe WestCashEarnings'!$A$58:$IV$58</definedName>
    <definedName name="Cash_earnings">'[34]Jihe WestCashEarnings'!$A$58:$IV$58</definedName>
    <definedName name="Cash_Flow">'[60]Fin Stats'!$B$113:$M$113</definedName>
    <definedName name="Cash_Flow_per_Share">'[60]Fin Stats'!$B$116:$M$116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4E6EA1E_opts">"1, 9, 1, False, 2, False, False, , 0, False, False, 1, 2"</definedName>
    <definedName name="cb_sChart14E6EB91_opts">"1, 9, 1, False, 2, False, False, , 0, False, False, 1, 1"</definedName>
    <definedName name="cb_sChart14E6ED99_opts">"1, 9, 1, False, 2, False, False, , 0, False, False, 1, 1"</definedName>
    <definedName name="cb_sChart14E6F3EE_opts">"1, 9, 1, False, 2, False, False, , 0, False, False, 1, 1"</definedName>
    <definedName name="cb_sChart14E81502_opts">"1, 9, 1, False, 2, False, False, , 0, False, False, 1, 2"</definedName>
    <definedName name="cb_sChart14E81DF6_opts">"1, 9, 1, False, 2, False, False, , 0, False, False, 1, 2"</definedName>
    <definedName name="cb_sChart14E82800_opts">"1, 9, 1, False, 2, False, False, , 0, False, False, 1, 2"</definedName>
    <definedName name="cb_sChart14E83288_opts">"1, 9, 1, False, 2, False, False, , 0, False, False, 1, 2"</definedName>
    <definedName name="cb_sChart14E8F629_opts">"1, 9, 1, False, 2, False, False, , 0, False, False, 1, 2"</definedName>
    <definedName name="cb_sChart14F787E8_opts">"1, 9, 1, False, 2, False, False, , 0, False, False, 1, 2"</definedName>
    <definedName name="cb_sChart14F7947A_opts">"1, 9, 1, False, 2, False, False, , 0, False, False, 1, 2"</definedName>
    <definedName name="cb_sChart14F79A09_opts">"1, 9, 1, False, 2, False, False, , 0, False, False, 1, 2"</definedName>
    <definedName name="cb_sChart14FA60AB_opts">"1, 9, 1, False, 2, False, False, , 0, False, False, 1, 2"</definedName>
    <definedName name="cb_sChart14FA650D_opts">"1, 9, 1, False, 2, False, False, , 0, False, False, 1, 2"</definedName>
    <definedName name="cb_sChart1501ACE3_opts">"1, 8, 1, False, 2, False, False, , 0, False, False, 1, 2"</definedName>
    <definedName name="cb_sChart1501AEF7_opts">"1, 9, 1, False, 2, False, False, , 0, False, False, 1, 2"</definedName>
    <definedName name="cb_sChart1501DCE6_opts">"1, 9, 1, False, 2, False, False, , 0, False, False, 1, 2"</definedName>
    <definedName name="cb_sChart1501EF92_opts">"1, 9, 1, False, 2, False, False, , 0, False, False, 1, 2"</definedName>
    <definedName name="cb_sChart1501F8CB_opts">"1, 9, 1, False, 2, False, False, , 0, False, False, 1, 2"</definedName>
    <definedName name="cb_sChart150208AA_opts">"1, 9, 1, False, 2, False, False, , 0, False, False, 1, 2"</definedName>
    <definedName name="cb_sChart15020EC4_opts">"1, 9, 1, False, 2, False, False, , 0, False, False, 1, 2"</definedName>
    <definedName name="cb_sChart150212BF_opts">"1, 9, 1, False, 2, False, False, , 0, False, False, 1, 2"</definedName>
    <definedName name="cb_sChart15021F68_opts">"1, 9, 1, False, 2, False, False, , 0, False, False, 1, 1"</definedName>
    <definedName name="cb_sChart15022484_opts">"1, 9, 1, False, 2, False, False, , 0, False, False, 1, 2"</definedName>
    <definedName name="cb_sChart150226F5_opts">"1, 9, 1, False, 2, False, False, , 0, False, False, 1, 2"</definedName>
    <definedName name="cb_sChart15144595_opts">"1, 9, 1, False, 2, False, False, , 0, False, False, 1, 2"</definedName>
    <definedName name="cb_sChart15145615_opts">"1, 9, 1, False, 2, False, False, , 0, False, False, 1, 2"</definedName>
    <definedName name="cb_sChart151464B0_opts">"1, 9, 1, False, 2, False, False, , 0, False, False, 1, 2"</definedName>
    <definedName name="cb_sChart15146FA1_opts">"1, 9, 1, False, 2, False, False, , 0, False, False, 1, 2"</definedName>
    <definedName name="cb_sChart15149A94_opts">"1, 9, 1, False, 2, False, False, , 0, False, False, 1, 2"</definedName>
    <definedName name="cb_sChart1514EEC3_opts">"1, 9, 1, False, 2, False, False, , 0, False, False, 1, 2"</definedName>
    <definedName name="cb_sChart1514F2E0_opts">"1, 9, 1, False, 2, False, False, , 0, False, False, 1, 2"</definedName>
    <definedName name="cb_sChart151510A0_opts">"1, 9, 1, False, 2, False, False, , 0, False, False, 1, 2"</definedName>
    <definedName name="cb_sChart15154C37_opts">"1, 9, 1, False, 2, False, False, , 0, False, False, 1, 2"</definedName>
    <definedName name="cb_sChart15157034_opts">"1, 9, 1, False, 2, False, False, , 0, False, False, 1, 2"</definedName>
    <definedName name="cb_sChart1515F81B_opts">"1, 9, 1, False, 2, False, False, , 0, False, False, 1, 2"</definedName>
    <definedName name="cb_sChart1515F9EA_opts">"1, 9, 1, False, 2, False, False, , 0, False, False, 1, 2"</definedName>
    <definedName name="cb_sChart15161029_opts">"1, 9, 1, False, 2, False, False, , 0, False, False, 1, 2"</definedName>
    <definedName name="cb_sChart15163773_opts">"1, 9, 1, False, 2, False, False, , 0, False, False, 1, 2"</definedName>
    <definedName name="cb_sChart15164F8C_opts">"1, 9, 1, False, 2, False, False, , 0, False, False, 1, 2"</definedName>
    <definedName name="cb_sChart15165265_opts">"1, 9, 1, False, 2, False, False, , 0, False, False, 1, 2"</definedName>
    <definedName name="cb_sChart15166173_opts">"1, 9, 1, False, 2, False, False, , 0, False, False, 1, 2"</definedName>
    <definedName name="cb_sChart1516A84C_opts">"1, 9, 1, False, 2, False, False, , 0, False, False, 1, 2"</definedName>
    <definedName name="cb_sChart16EBA7BA_opts">"1, 1, 1, False, 2, True, False, , 0, False, True, 1, 2"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9EB7A17_opts">"1, 3, 1, False, 2, False, False, , 0, False, True, 1, 1"</definedName>
    <definedName name="cb_sChart19EB7D70_opts">"1, 5, 1, False, 2, False, False, , 0, False, True, 1, 1"</definedName>
    <definedName name="cb_sChart19EB7F61_opts">"1, 3, 1, False, 2, False, False, , 0, False, True, 1, 1"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c" localSheetId="0">[66]BS!$D$4</definedName>
    <definedName name="cc">[67]BS!$D$4</definedName>
    <definedName name="ccs">{#N/A,#N/A,FALSE,"Chart 2 by Prop Type"}</definedName>
    <definedName name="CF" localSheetId="0">[63]ISBSCF!$A$267:$AE$305</definedName>
    <definedName name="CF">[64]ISBSCF!$A$267:$AE$305</definedName>
    <definedName name="CF_OP_GR">"'=BackSheet!$D$239:$AG$239"</definedName>
    <definedName name="CF_PR_DV">"'=BackSheet!$D$241:$AG$241"</definedName>
    <definedName name="CFO_Assets">'[60]Fin Stats'!$B$67:$M$67</definedName>
    <definedName name="CFO_Total_Debt">'[60]Fin Stats'!$B$78:$M$78</definedName>
    <definedName name="chart" localSheetId="0">"Chart 1"</definedName>
    <definedName name="chart">"Chart 1"</definedName>
    <definedName name="chart2">[68]COP!#REF!</definedName>
    <definedName name="chart3">[69]TOS!#REF!</definedName>
    <definedName name="chart4">[2]P!#REF!</definedName>
    <definedName name="chart5">[69]TOS!#REF!</definedName>
    <definedName name="check">0</definedName>
    <definedName name="CheckLeverage" localSheetId="0">[55]NERD!#REF!</definedName>
    <definedName name="CheckLeverage">[56]NERD!#REF!</definedName>
    <definedName name="CheckROA" localSheetId="0">[55]NERD!#REF!</definedName>
    <definedName name="CheckROA">[56]NERD!#REF!</definedName>
    <definedName name="Choices_Wrapper">[70]!Choices_Wrapper</definedName>
    <definedName name="chris">{"'Inventory &amp; Anal-Cur Wkbk'!$A$7:$AP$71"}</definedName>
    <definedName name="CIQWBGuid">"fc68a132-eced-412e-b7a7-9d3f21055e9c"</definedName>
    <definedName name="CIQWBGuid_1">"7fa380ec-c173-403c-a784-517dad9faf3f"</definedName>
    <definedName name="CIQWBInfo">"{ ""CIQVersion"":""9.49.2423.4439"" }"</definedName>
    <definedName name="Class_B">68.45</definedName>
    <definedName name="cm">1</definedName>
    <definedName name="Co_Name">"Henderson China Holdings Limited"</definedName>
    <definedName name="colhead_a1993">[36]NKEANNL!$K$3:$L$5</definedName>
    <definedName name="colhead_q1993">[36]NKEQTRIN!$BH$3:$BO$5</definedName>
    <definedName name="colheadheight">[36]NKEQTRIN!$A$3:$IV$5</definedName>
    <definedName name="comFaxRate" localSheetId="0">[71]单产品敏感性分析!$C$8</definedName>
    <definedName name="comFaxRate">[72]单产品敏感性分析!$C$8</definedName>
    <definedName name="Common_equity">'[60]Fin Stats'!$B$38:$M$38</definedName>
    <definedName name="Company_Name">'[73]Income Statement'!$A$1</definedName>
    <definedName name="computer" localSheetId="0">computer</definedName>
    <definedName name="computer">XN!computer</definedName>
    <definedName name="Consolidation" localSheetId="0">[55]NERD!$G$21:$N$21</definedName>
    <definedName name="Consolidation">[56]NERD!$G$21:$N$21</definedName>
    <definedName name="Cost_of_services" localSheetId="0">'[7]P&amp;L'!$B$40:$AH$40</definedName>
    <definedName name="Cost_of_services">'[8]P&amp;L'!$B$40:$AH$40</definedName>
    <definedName name="countchk">0</definedName>
    <definedName name="cu102.ShareScalingFactor">1000000</definedName>
    <definedName name="cu103.EmployeeScalingFactor">1000</definedName>
    <definedName name="cu107.DPSSymbol">"US$"</definedName>
    <definedName name="cu107.EPSSymbol">"US$"</definedName>
    <definedName name="cu119.CopyLastPeriodRows">{"AVSHAR","BSHAR"}</definedName>
    <definedName name="cu71.ScalingFactor">1000000</definedName>
    <definedName name="cu71.ScalingFactor_1">1000</definedName>
    <definedName name="curass">[36]NKEBALST!$BH$17:$BO$17</definedName>
    <definedName name="D_bdg" localSheetId="0">[74]Assumptions!$E$45</definedName>
    <definedName name="D_bdg">[75]Assumptions!$E$45</definedName>
    <definedName name="D_elec" localSheetId="0">[74]Assumptions!$E$47</definedName>
    <definedName name="D_elec">[75]Assumptions!$E$47</definedName>
    <definedName name="D_machine" localSheetId="0">[74]Assumptions!$E$46</definedName>
    <definedName name="D_machine">[75]Assumptions!$E$46</definedName>
    <definedName name="D_other" localSheetId="0">[74]Assumptions!$E$49</definedName>
    <definedName name="D_other">[75]Assumptions!$E$49</definedName>
    <definedName name="D_trans" localSheetId="0">[74]Assumptions!$E$48</definedName>
    <definedName name="D_trans">[75]Assumptions!$E$48</definedName>
    <definedName name="Dash">"v3.54"</definedName>
    <definedName name="data" localSheetId="0">[76]Investment!$B$6</definedName>
    <definedName name="data">[77]Investment!$B$6</definedName>
    <definedName name="DataFundAction" localSheetId="0">[78]Data!#REF!</definedName>
    <definedName name="DataFundAction">[65]Data!#REF!</definedName>
    <definedName name="datalength">COUNTA(#REF!)</definedName>
    <definedName name="DataPreRec" localSheetId="0">[78]Data!#REF!</definedName>
    <definedName name="DataPreRec">[65]Data!#REF!</definedName>
    <definedName name="dataseries4" localSheetId="0">OFFSET('[79]c1'!$G$12,0,0,COUNTA('[79]c1'!$G$12:$G$31),1)</definedName>
    <definedName name="dataseries4">OFFSET('[71]c1'!$G$12,0,0,COUNTA('[71]c1'!$G$12:$G$31),1)</definedName>
    <definedName name="Date" localSheetId="0">[80]Prices!$C$5</definedName>
    <definedName name="Date">[81]Prices!$C$5</definedName>
    <definedName name="dave">{"'Form'!$A$2:$J$81"}</definedName>
    <definedName name="dave_1">{"'Form'!$A$2:$J$81"}</definedName>
    <definedName name="DB">"WIRENYPROD"</definedName>
    <definedName name="dbteq98" localSheetId="0">'[37]Consolidated Financials'!$H$337</definedName>
    <definedName name="dbteq98">'[38]Consolidated Financials'!$H$337</definedName>
    <definedName name="dbteq99" localSheetId="0">'[82]Consolidated Financials'!$O$250</definedName>
    <definedName name="dbteq99">'[83]Consolidated Financials'!$O$250</definedName>
    <definedName name="dcf">"311A3B95-A1F3-11D5-89A6-009027910F4C"</definedName>
    <definedName name="DCFN" localSheetId="0">[3]A!#REF!</definedName>
    <definedName name="DCFN">[84]A!#REF!</definedName>
    <definedName name="DCFNEW" localSheetId="0">'[85]PZN DCF'!$A$1:$L$48</definedName>
    <definedName name="DCFNEW">'[86]PZN DCF'!$A$1:$L$48</definedName>
    <definedName name="dd" localSheetId="0">{"cap_structure",#N/A,FALSE,"Graph-Mkt Cap";"price",#N/A,FALSE,"Graph-Price";"ebit",#N/A,FALSE,"Graph-EBITDA";"ebitda",#N/A,FALSE,"Graph-EBITDA"}</definedName>
    <definedName name="dd">{"PR1","pr1",TRUE,"Sch PR-1"}</definedName>
    <definedName name="ddddd">{"PR1","pr1",TRUE,"Sch PR-1"}</definedName>
    <definedName name="de" localSheetId="0">[87]Sheet1!$B$6:$M$6</definedName>
    <definedName name="de">[88]Sheet1!$B$6:$M$6</definedName>
    <definedName name="Debt_Equity">'[60]Fin Stats'!$B$60:$M$60</definedName>
    <definedName name="Debt_Total_Capital">'[60]Fin Stats'!$B$61:$M$61</definedName>
    <definedName name="DebtFinancing" localSheetId="0">[47]筹资!$E$22</definedName>
    <definedName name="DebtFinancing">[48]筹资!$E$22</definedName>
    <definedName name="debtman">[36]NKEBALST!$BH$54:$BO$56</definedName>
    <definedName name="DepositRate" localSheetId="0">[47]筹资!$B$6</definedName>
    <definedName name="DepositRate">[48]筹资!$B$6</definedName>
    <definedName name="Depreciation__D___A">'[60]Fin Stats'!$B$110:$M$110</definedName>
    <definedName name="Depreciation_and_amortization" localSheetId="0">'[7]P&amp;L'!$B$53:$AH$53</definedName>
    <definedName name="Depreciation_and_amortization">'[8]P&amp;L'!$B$53:$AH$53</definedName>
    <definedName name="desk" localSheetId="0">desk</definedName>
    <definedName name="desk">XN!desk</definedName>
    <definedName name="Dividends_per_Share">'[60]Fin Stats'!$B$118:$M$118</definedName>
    <definedName name="DME_BeforeCloseCompleted">"False"</definedName>
    <definedName name="DME_Dirty">"True"</definedName>
    <definedName name="DME_DocumentFlags">"1"</definedName>
    <definedName name="DME_DocumentID">"::ODMA\DME-MSE\REVDM-2739"</definedName>
    <definedName name="DME_DocumentOpened">"True"</definedName>
    <definedName name="DME_DocumentTitle">"REVDM-2739 - WSR - final Sept"</definedName>
    <definedName name="DME_LocalFile">"False"</definedName>
    <definedName name="DME_NextWindowNumber">"2"</definedName>
    <definedName name="Download_series">[89]!Download_series</definedName>
    <definedName name="dpo">{"'Inventory &amp; Anal-Cur Wkbk'!$A$7:$AP$71"}</definedName>
    <definedName name="dsa">{#N/A,#N/A,FALSE,"Chart 2 by Prop Type"}</definedName>
    <definedName name="DSS">{"print STAY opening assumptions",#N/A,FALSE,"STAY Openings";"print STAY openings",#N/A,FALSE,"STAY Openings"}</definedName>
    <definedName name="Earnings">'[60]Fin Stats'!$B$106:$M$106</definedName>
    <definedName name="Earnings_per_Share">'[60]Fin Stats'!$B$107:$M$107</definedName>
    <definedName name="EBIT" localSheetId="0">'[7]P&amp;L'!$B$55:$AH$55</definedName>
    <definedName name="EBIT">'[8]P&amp;L'!$B$55:$AH$55</definedName>
    <definedName name="EBIT_Assets">'[60]Fin Stats'!$B$66:$M$66</definedName>
    <definedName name="EBIT_Margin">'[60]Fin Stats'!$B$24:$M$24</definedName>
    <definedName name="EBIT_to_Interest_Expense">'[60]Fin Stats'!$B$45:$M$45</definedName>
    <definedName name="EBITDA" localSheetId="0">'[7]P&amp;L'!$B$52:$AH$52</definedName>
    <definedName name="EBITDA">'[8]P&amp;L'!$B$52:$AH$52</definedName>
    <definedName name="EBITDA_Interest">'[60]Fin Stats'!$B$75:$M$75</definedName>
    <definedName name="EBITDA_per_share" localSheetId="0">'[90]P&amp;L'!$B$37:$Z$37</definedName>
    <definedName name="EBITDA_per_share">'[91]P&amp;L'!$B$37:$Z$37</definedName>
    <definedName name="EBT" localSheetId="0">'[7]P&amp;L'!$B$60:$AH$60</definedName>
    <definedName name="EBT">'[8]P&amp;L'!$B$60:$AH$60</definedName>
    <definedName name="ed">{"'보고양식'!$A$58:$K$111"}</definedName>
    <definedName name="EndYear" localSheetId="0">[92]首页!$C$9</definedName>
    <definedName name="EndYear">[93]首页!$C$9</definedName>
    <definedName name="Energy">[94]Data!$P$9:$Q$29</definedName>
    <definedName name="EnergyGrowth">[94]Data!$U$58:$X$76</definedName>
    <definedName name="Enterprise_Value">'[60]Fin Stats'!$B$57:$M$57</definedName>
    <definedName name="EPS" localSheetId="0">'[90]P&amp;L'!$B$35:$Z$35</definedName>
    <definedName name="EPS">'[91]P&amp;L'!$B$35:$Z$35</definedName>
    <definedName name="eps1q1993">[36]NKEQTRIN!$BH$38</definedName>
    <definedName name="eps1q1994">[36]NKEQTRIN!$BP$38</definedName>
    <definedName name="eps1q1995">[36]NKEQTRIN!$BX$38</definedName>
    <definedName name="eps1q1996">[36]NKEQTRIN!$CN$38</definedName>
    <definedName name="eps2q1993">[36]NKEQTRIN!$BJ$38</definedName>
    <definedName name="eps2q1994">[36]NKEQTRIN!$BR$38</definedName>
    <definedName name="eps2q1995">[36]NKEQTRIN!$CB$38</definedName>
    <definedName name="eps2q1996">[36]NKEQTRIN!$CR$38</definedName>
    <definedName name="eps3q1993">[36]NKEQTRIN!$BL$38</definedName>
    <definedName name="eps3q1994">[36]NKEQTRIN!$BT$38</definedName>
    <definedName name="eps3q1995">[36]NKEQTRIN!$CF$38</definedName>
    <definedName name="eps3q1996">[36]NKEQTRIN!$CV$38</definedName>
    <definedName name="eps4q1993">[36]NKEQTRIN!$BN$38</definedName>
    <definedName name="eps4q1994">[36]NKEQTRIN!$BV$38</definedName>
    <definedName name="eps4q1995">[36]NKEQTRIN!$CJ$38</definedName>
    <definedName name="eps4q1996">[36]NKEQTRIN!$CZ$38</definedName>
    <definedName name="Equity_to_Capital">'[60]Fin Stats'!$B$43:$M$43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stiDate" localSheetId="0">[92]首页!$C$7</definedName>
    <definedName name="EstiDate">[93]首页!$C$7</definedName>
    <definedName name="ethg" localSheetId="0">{"'RCIM'!$E$128"}</definedName>
    <definedName name="ethg">{"'RCIM'!$E$128"}</definedName>
    <definedName name="ev.Calculation" localSheetId="0">-4135</definedName>
    <definedName name="ev.Calculation">-4135</definedName>
    <definedName name="ev.Initialized">FALSE</definedName>
    <definedName name="EV__LOCKEDCVW__">"MAIN,OTHERREV,ACTUAL,USD,E.2990,ALL_JOBS,ALL_ORGS,ALL_PROD,2004.JAN,PERIODIC,;"</definedName>
    <definedName name="EV__LOCKSTATUS__">2</definedName>
    <definedName name="EV__MAXEXPCOLS__">100</definedName>
    <definedName name="EV__MAXEXPROWS__">1000</definedName>
    <definedName name="EV__WBEVMODE__">0</definedName>
    <definedName name="EV__WBREFOPTIONS__">134217728</definedName>
    <definedName name="EV_EBITDA_Current_Year">'[60]Fin Stats'!$B$85:$M$85</definedName>
    <definedName name="EV_EBITDA_Forward_Year">'[60]Fin Stats'!$B$86:$M$86</definedName>
    <definedName name="EV_Sales_Current_Year">'[60]Fin Stats'!$B$82:$M$82</definedName>
    <definedName name="EV_Sales_Forward_Year">'[60]Fin Stats'!$B$83:$M$83</definedName>
    <definedName name="Exch">" Sheet2!$F$2"</definedName>
    <definedName name="f">"iQShowAnnual"</definedName>
    <definedName name="FAM" localSheetId="0">'[95]CVC NY GAAP Fin. Statements'!$DA$517</definedName>
    <definedName name="FAM">'[96]CVC NY GAAP Fin. Statements'!$DA$517</definedName>
    <definedName name="ff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erw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O_Coverage">'[60]Fin Stats'!$B$76:$M$76</definedName>
    <definedName name="FFO_Total_Debt">'[60]Fin Stats'!$B$77:$M$77</definedName>
    <definedName name="fgh" localSheetId="0">[87]Sheet1!$B$8:$M$162</definedName>
    <definedName name="fgh">[88]Sheet1!$B$8:$M$162</definedName>
    <definedName name="FIMEUR">5.94573</definedName>
    <definedName name="FinancingMethod" localSheetId="0">[47]筹资!$B$18</definedName>
    <definedName name="FinancingMethod">[48]筹资!$B$18</definedName>
    <definedName name="FINCriteriaType">1</definedName>
    <definedName name="forecast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r">{"print STAY opening assumptions",#N/A,FALSE,"STAY Openings";"print STAY openings",#N/A,FALSE,"STAY Openings"}</definedName>
    <definedName name="FR_CODE_COPY_LINK">" "</definedName>
    <definedName name="FR_CODE_DOWNLOAD_START">" "</definedName>
    <definedName name="FR_CODE_STOCK_LINK">" "</definedName>
    <definedName name="FR_COM_ABBR">"APPB"</definedName>
    <definedName name="FR_COM_AGG">0</definedName>
    <definedName name="FR_COU_ABBR">"usa"</definedName>
    <definedName name="FR_DATABOX_DOWNLOAD">"Y"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"45051|1"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ee_Cash_Flow">'[60]Fin Stats'!$B$114:$M$114</definedName>
    <definedName name="Fully_taxed_EPS" localSheetId="0">'[7]P&amp;L'!$B$66:$AH$66</definedName>
    <definedName name="Fully_taxed_EPS">'[8]P&amp;L'!$B$66:$AH$66</definedName>
    <definedName name="FundingStructure" localSheetId="0">[55]NERD!$G$10:$N$10</definedName>
    <definedName name="FundingStructure">[56]NERD!$G$10:$N$10</definedName>
    <definedName name="future" localSheetId="0">[11]Curtrans!$U$14</definedName>
    <definedName name="future">[12]Curtrans!$U$14</definedName>
    <definedName name="GasPaste">[97]Gas!$D$7</definedName>
    <definedName name="GBP_EUR" localSheetId="0">[98]FXRATES!$D$2</definedName>
    <definedName name="GBP_EUR">[99]FXRATES!$D$2</definedName>
    <definedName name="Gearing" localSheetId="0">[55]NERD!$G$8:$N$8</definedName>
    <definedName name="Gearing">[56]NERD!$G$8:$N$8</definedName>
    <definedName name="Generation">[94]Data!$P$34:$Q$54</definedName>
    <definedName name="Germany" localSheetId="0">{"Cereva Networks, Inc"}</definedName>
    <definedName name="Germany">{"Cereva Networks, Inc"}</definedName>
    <definedName name="glad" localSheetId="0">glad</definedName>
    <definedName name="glad">XN!glad</definedName>
    <definedName name="global" localSheetId="0">'[100]Global Assumptions'!$B$2:$Y$39</definedName>
    <definedName name="global">'[101]Global Assumptions'!$B$2:$Y$39</definedName>
    <definedName name="Goodwill_Amortization">25</definedName>
    <definedName name="GRD_EUR" localSheetId="0">[98]FXRATES!$D$17</definedName>
    <definedName name="GRD_EUR">[99]FXRATES!$D$17</definedName>
    <definedName name="Gross_Capex">'[29]Bal Sheet &amp; Cash Flow'!$A$38:$IV$38</definedName>
    <definedName name="Gross_Margin">'[60]Fin Stats'!$B$22:$M$22</definedName>
    <definedName name="Gross_profit" localSheetId="0">'[7]P&amp;L'!$B$45:$AH$45</definedName>
    <definedName name="Gross_profit">'[8]P&amp;L'!$B$45:$AH$45</definedName>
    <definedName name="Growth" localSheetId="0">[63]ISBSCF!$A$56:$AE$104</definedName>
    <definedName name="Growth">[64]ISBSCF!$A$56:$AE$104</definedName>
    <definedName name="GuideRoundNumber">5</definedName>
    <definedName name="GWyears">40</definedName>
    <definedName name="HalfReview" localSheetId="0">{"Client Name or Project Name"}</definedName>
    <definedName name="HalfReview">{"Client Name or Project Name"}</definedName>
    <definedName name="HangSeng" localSheetId="0">'[102]BS Growth'!$A$1:$R$61</definedName>
    <definedName name="HangSeng">'[103]BS Growth'!$A$1:$R$61</definedName>
    <definedName name="h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D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eading">[36]NKEQTRIN!$A$6:$A$39</definedName>
    <definedName name="help" localSheetId="0">{"'RCIM'!$E$128"}</definedName>
    <definedName name="help">{"'RCIM'!$E$128"}</definedName>
    <definedName name="HFH">{"print annual inc. statement",#N/A,FALSE,"Summary";"print annual stats",#N/A,FALSE,"Summary";"print quarterly inc. statement",#N/A,FALSE,"Summary";"print quarterly stats",#N/A,FALSE,"Summary"}</definedName>
    <definedName name="highmid_gas_cf">'[29]Valuation Summary'!$AQ$28</definedName>
    <definedName name="highmidmargin">'[29]Valuation Summary'!$AN$28</definedName>
    <definedName name="hjhjhj" localSheetId="0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KB" localSheetId="0">'[58]HK rates'!$A$1:$K$50</definedName>
    <definedName name="HKB">'[59]HK rates'!$A$1:$K$50</definedName>
    <definedName name="hn.ExtDb">FALSE</definedName>
    <definedName name="hn.ModelType">"DEAL"</definedName>
    <definedName name="hn.ModelVersion">1</definedName>
    <definedName name="hn.NoUpload">0</definedName>
    <definedName name="HSBC2" localSheetId="0">[5]EPS!#REF!</definedName>
    <definedName name="HSBC2">[6]EPS!#REF!</definedName>
    <definedName name="HTML_CodePage">1252</definedName>
    <definedName name="HTML_Control" localSheetId="0">{"'Segment'!$A$1:$J$45"}</definedName>
    <definedName name="HTML_Control">{"'Segment'!$A$1:$J$45"}</definedName>
    <definedName name="HTML_Control_1">{"'Form'!$A$2:$J$81"}</definedName>
    <definedName name="HTML_Description" localSheetId="0">""</definedName>
    <definedName name="HTML_Description">""</definedName>
    <definedName name="HTML_Email" localSheetId="0">""</definedName>
    <definedName name="HTML_Email">""</definedName>
    <definedName name="HTML_Header" localSheetId="0">""</definedName>
    <definedName name="HTML_Header">""</definedName>
    <definedName name="HTML_LastUpdate" localSheetId="0">""</definedName>
    <definedName name="HTML_LastUpdate">""</definedName>
    <definedName name="HTML_LineAfter" localSheetId="0">FALSE</definedName>
    <definedName name="HTML_LineAfter">FALSE</definedName>
    <definedName name="HTML_LineBefore" localSheetId="0">FALSE</definedName>
    <definedName name="HTML_LineBefore">FALSE</definedName>
    <definedName name="HTML_Name" localSheetId="0">""</definedName>
    <definedName name="HTML_Name">""</definedName>
    <definedName name="HTML_OBDlg2">TRUE</definedName>
    <definedName name="HTML_OBDlg4">TRUE</definedName>
    <definedName name="HTML_OS" localSheetId="0">0</definedName>
    <definedName name="HTML_OS">0</definedName>
    <definedName name="HTML_PathFile" localSheetId="0">"J:\carpente\Releases\Q2-00\segment2Q-00.htm"</definedName>
    <definedName name="HTML_PathFile">"J:\carpente\Releases\Q2-00\segment2Q-00.htm"</definedName>
    <definedName name="HTML_PathFileMac">"Powerbook G3:Documents:Core Docs 8600:Excel DOCUMENTS:STROLLER BUS:Admin/Other:Stroller Inventory Wkst:Contract Equip and Data.html"</definedName>
    <definedName name="HTML_Title" localSheetId="0">"Segment and Supplemental Information"</definedName>
    <definedName name="HTML_Title">"Segment and Supplemental Information"</definedName>
    <definedName name="HTML1_1" localSheetId="0">"[FCFF3]Sheet1!$A$1:$L$34"</definedName>
    <definedName name="HTML1_1">"[FCST1719.XLS]Feuil1!$A$1:$Q$26"</definedName>
    <definedName name="HTML1_10">""</definedName>
    <definedName name="HTML1_11">1</definedName>
    <definedName name="HTML1_12" localSheetId="0">"Aswath:Adobe SiteMill™ 1.0.2:MyHomePage:FCFF3.html"</definedName>
    <definedName name="HTML1_12">"Aswath:Adobe SiteMill™ 1.0.2:MyHomePage:FCFF3.html"</definedName>
    <definedName name="HTML1_2">1</definedName>
    <definedName name="HTML1_3" localSheetId="0">"FCFF3"</definedName>
    <definedName name="HTML1_3">"FCFF3"</definedName>
    <definedName name="HTML1_4" localSheetId="0">"Three-Stage FCFF Model"</definedName>
    <definedName name="HTML1_4">"Three-Stage FCFF Model"</definedName>
    <definedName name="HTML1_5">""</definedName>
    <definedName name="HTML1_6">-4146</definedName>
    <definedName name="HTML1_7">-4146</definedName>
    <definedName name="HTML1_8" localSheetId="0">"10/22/96"</definedName>
    <definedName name="HTML1_8">"10/22/96"</definedName>
    <definedName name="HTML1_9" localSheetId="0">"Aswath Damodaran"</definedName>
    <definedName name="HTML1_9">"Aswath Damodaran"</definedName>
    <definedName name="HTML10_1">"'[수주관리98.xls]2월1주차'!$A$1:$P$31"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">"'[수주관리98.xls]2월2주차'!$A$1:$P$21"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">"'[수주관리98.xls]2월2주차'!$A$1:$P$34"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">"'[수주관리98.xls]2월2주차'!$A$1:$P$19"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">"'[수주관리98.xls]2월2주차'!$A$1:$P$17"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">"'[수주관리98.xls]2월3주차'!$A$1:$P$20"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">"'[수주통합관리98_2_21.xls]2월3주차'!$A$1:$I$89"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">"'[수주통합관리98_2_21.xls]2월3주차'!$A$4:$H$30"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">"'[수주통합관리98_2_21.xls]2월3주차'!$A$32:$I$58"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">"'[수주통합관리98_2_21.xls]2월3주차'!$A$63:$F$89"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>"[수주관리98.xls]일일현황!$A$1:$L$10"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">"'[수주통합관리98_2_25.xls]2월4주차'!$A$71:$F$97"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">"'[수주통합관리98_2_25.xls]2월4주차'!$A$4:$H$29"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">"'[수주통합관리98_2_25.xls]2월4주차'!$A$31:$I$66"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">"[수주통합관리98_2_25.xls]보고양식!$A$32:$I$68"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">"[수주통합관리98_2_25.xls]보고양식!$A$73:$F$98"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">"[수주통합관리98_2_25.xls]보고양식!$A$4:$I$29"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">"[수주통합관리98_2_25.xls]보고양식!$A$31:$K$80"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>"[수주통합관리98_2_25.xls]보고양식!$B$84:$G$109"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>"[수주통합관리98_3_2.xls]보고양식!$B$92:$G$117"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">"[수주통합관리98_3_2.xls]보고양식!$A$31:$K$88"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>"[수주관리98.xls]일일현황!$A$1:$N$9"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">"'[사본 - 영업통합관리(수주.매출).xls]보고양식'!$A$114:$K$131"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>"[수주관리98.xls]영업!$A$1:$N$15"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">"[수주관리98.xls]영업!$A$1:$N$29"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">"'[수주관리98.xls]2월'!$A$1:$P$48"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>"'[수주관리98.xls]2월'!$A$3:$P$30"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>"'[수주관리98.xls]2월'!$A$1:$P$30"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>"'[수주관리98.xls]2월'!$A$1:$P$19"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1</definedName>
    <definedName name="huge_gas_cf">'[29]Valuation Summary'!$AQ$27</definedName>
    <definedName name="hugemargin">'[29]Valuation Summary'!$AN$27</definedName>
    <definedName name="ID" localSheetId="0">[104]Data!$A$2</definedName>
    <definedName name="ID">[105]Data!$A$2</definedName>
    <definedName name="ILS_USD" localSheetId="0">[98]FXRATES!$E$30</definedName>
    <definedName name="ILS_USD">[99]FXRATES!$E$30</definedName>
    <definedName name="Img_ML_1b2g4p3u">"IMG_56"</definedName>
    <definedName name="Img_ML_1c3d1n6n">"IMG_13"</definedName>
    <definedName name="Img_ML_1d1b5x3i">"IMG_17"</definedName>
    <definedName name="Img_ML_1e1k9n5y">"IMG_52"</definedName>
    <definedName name="Img_ML_1g9i6j4i">"IMG_56"</definedName>
    <definedName name="Img_ML_1h4n3h8h">"IMG_55"</definedName>
    <definedName name="Img_ML_1k2d3y6g">"IMG_17"</definedName>
    <definedName name="Img_ML_1k4g9u7k">"IMG_52"</definedName>
    <definedName name="Img_ML_1q6n1r3y">"IMG_17"</definedName>
    <definedName name="Img_ML_1q7t4c5p">"IMG_17"</definedName>
    <definedName name="Img_ML_1q9i2k7i">"IMG_3"</definedName>
    <definedName name="Img_ML_1t5s6u1f">"IMG_55"</definedName>
    <definedName name="Img_ML_1y7a6c1t">"IMG_52"</definedName>
    <definedName name="Img_ML_2e1r5p2m">"IMG_52"</definedName>
    <definedName name="Img_ML_2f4p3r6p">"IMG_56"</definedName>
    <definedName name="Img_ML_2i4d6c2r">"IMG_17"</definedName>
    <definedName name="Img_ML_2j1p7k4i">"IMG_55"</definedName>
    <definedName name="Img_ML_2j4h5d5y">"IMG_52"</definedName>
    <definedName name="Img_ML_2j6i5k6b">"IMG_17"</definedName>
    <definedName name="Img_ML_2m9t4m5q">"IMG_55"</definedName>
    <definedName name="Img_ML_2t3d1r8m">"IMG_17"</definedName>
    <definedName name="Img_ML_2v6s9i5c">"IMG_52"</definedName>
    <definedName name="Img_ML_2w1t7g9m">"IMG_17"</definedName>
    <definedName name="Img_ML_2x1b8j5c">"IMG_52"</definedName>
    <definedName name="Img_ML_3b3j3x9k">"IMG_3"</definedName>
    <definedName name="Img_ML_3b5m6a3d">"IMG_55"</definedName>
    <definedName name="Img_ML_3c6e9c4g">"IMG_52"</definedName>
    <definedName name="Img_ML_3e2q4k7i">"IMG_52"</definedName>
    <definedName name="Img_ML_3g8d6p6r">"IMG_17"</definedName>
    <definedName name="Img_ML_3h2n3p4v">"IMG_5"</definedName>
    <definedName name="Img_ML_3j3i3p7g">"IMG_17"</definedName>
    <definedName name="Img_ML_3n5p3k4y">"IMG_17"</definedName>
    <definedName name="Img_ML_3p5d9q5j">"IMG_18"</definedName>
    <definedName name="Img_ML_3t5w7a1m">"IMG_52"</definedName>
    <definedName name="Img_ML_3t6y8n6e">"IMG_17"</definedName>
    <definedName name="Img_ML_3u5n6c7g">"IMG_18"</definedName>
    <definedName name="Img_ML_3y1j4m2m">"IMG_52"</definedName>
    <definedName name="Img_ML_4b5b4m3y">"IMG_13"</definedName>
    <definedName name="Img_ML_4b5r5k9y">"IMG_10"</definedName>
    <definedName name="Img_ML_4k8k7q4x">"IMG_10"</definedName>
    <definedName name="Img_ML_4m1m4x3e">"IMG_17"</definedName>
    <definedName name="Img_ML_4m3p5r8j">"IMG_5"</definedName>
    <definedName name="Img_ML_4n6t1k1h">"IMG_52"</definedName>
    <definedName name="Img_ML_4s4r5e3c">"IMG_55"</definedName>
    <definedName name="Img_ML_4u2s9f9y">"IMG_12"</definedName>
    <definedName name="Img_ML_5d3i8b5s">"IMG_55"</definedName>
    <definedName name="Img_ML_5e7s6t2u">"IMG_52"</definedName>
    <definedName name="Img_ML_5f9d1i5x">"IMG_13"</definedName>
    <definedName name="Img_ML_5f9x9u4u">"IMG_55"</definedName>
    <definedName name="Img_ML_5h6q3g8u">"IMG_10"</definedName>
    <definedName name="Img_ML_5i5j3b6j">"IMG_17"</definedName>
    <definedName name="Img_ML_5k7e4n8n">"IMG_12"</definedName>
    <definedName name="Img_ML_5k8u7s9i">"IMG_17"</definedName>
    <definedName name="Img_ML_5p5a4d6d">"IMG_55"</definedName>
    <definedName name="Img_ML_5w4p4b1d">"IMG_17"</definedName>
    <definedName name="Img_ML_6a6y1x1h">"IMG_52"</definedName>
    <definedName name="Img_ML_6f2p1m9g">"IMG_18"</definedName>
    <definedName name="Img_ML_6k9c9p4d">"IMG_13"</definedName>
    <definedName name="Img_ML_6m3p7m9h">"IMG_52"</definedName>
    <definedName name="Img_ML_6m5d9e6r">"IMG_17"</definedName>
    <definedName name="Img_ML_6m6i9t6k">"IMG_52"</definedName>
    <definedName name="Img_ML_6n6c2h1d">"IMG_52"</definedName>
    <definedName name="Img_ML_6p2b6u6k">"IMG_55"</definedName>
    <definedName name="Img_ML_6p3m8v1n">"IMG_55"</definedName>
    <definedName name="Img_ML_6p9x3u7k">"IMG_17"</definedName>
    <definedName name="Img_ML_6r9u1n9k">"IMG_6"</definedName>
    <definedName name="Img_ML_6u1b6h4m">"IMG_52"</definedName>
    <definedName name="Img_ML_6u4t7r7e">"IMG_52"</definedName>
    <definedName name="Img_ML_6w6m7b7r">"IMG_40"</definedName>
    <definedName name="Img_ML_6y9f7y3n">"IMG_10"</definedName>
    <definedName name="Img_ML_7b3x8f2f">"IMG_52"</definedName>
    <definedName name="Img_ML_7d3a8x3f">"IMG_17"</definedName>
    <definedName name="Img_ML_7e1g7x4r">"IMG_52"</definedName>
    <definedName name="Img_ML_7f1w1m7s">"IMG_55"</definedName>
    <definedName name="Img_ML_7g1w4i4i">"IMG_10"</definedName>
    <definedName name="Img_ML_7g4k9d6i">"IMG_52"</definedName>
    <definedName name="Img_ML_7g5e5e2b">"IMG_12"</definedName>
    <definedName name="Img_ML_7j3p5m6t">"IMG_17"</definedName>
    <definedName name="Img_ML_7m3b4p7p">"IMG_52"</definedName>
    <definedName name="Img_ML_7m5m4k3b">"IMG_52"</definedName>
    <definedName name="Img_ML_7n6h3t1t">"IMG_5"</definedName>
    <definedName name="Img_ML_7s4w7c6r">"IMG_52"</definedName>
    <definedName name="Img_ML_7w3j1h9t">"IMG_17"</definedName>
    <definedName name="Img_ML_8a8m2p9x">"IMG_52"</definedName>
    <definedName name="Img_ML_8b9j5t1p">"IMG_11"</definedName>
    <definedName name="Img_ML_8c2q5i2r">"IMG_12"</definedName>
    <definedName name="Img_ML_8c4u3q4u">"IMG_17"</definedName>
    <definedName name="Img_ML_8f5v8k5i">"IMG_55"</definedName>
    <definedName name="Img_ML_8h3m3i1m">"IMG_52"</definedName>
    <definedName name="Img_ML_8i9u7w8k">"IMG_55"</definedName>
    <definedName name="Img_ML_8j3w6p4c">"IMG_5"</definedName>
    <definedName name="Img_ML_8n6m2q6v">"IMG_18"</definedName>
    <definedName name="Img_ML_8r1k8t4y">"IMG_52"</definedName>
    <definedName name="Img_ML_8r9f4n4f">"IMG_52"</definedName>
    <definedName name="Img_ML_8s3q3c1i">"IMG_52"</definedName>
    <definedName name="Img_ML_8t3m5u6f">"IMG_11"</definedName>
    <definedName name="Img_ML_8y3q6y4b">"IMG_6"</definedName>
    <definedName name="Img_ML_8y5b6i3r">"IMG_17"</definedName>
    <definedName name="Img_ML_9c9p6w6g">"IMG_10"</definedName>
    <definedName name="Img_ML_9e4j3y6n">"IMG_5"</definedName>
    <definedName name="Img_ML_9g2r1i7c">"IMG_52"</definedName>
    <definedName name="Img_ML_9g3r6t7h">"IMG_52"</definedName>
    <definedName name="Img_ML_9h6h8h8e">"IMG_55"</definedName>
    <definedName name="Img_ML_9h6p7r7t">"IMG_55"</definedName>
    <definedName name="Img_ML_9m3v1d9u">"IMG_5"</definedName>
    <definedName name="Img_ML_9n1s4m5f">"IMG_55"</definedName>
    <definedName name="Img_ML_9n4a3e6y">"IMG_11"</definedName>
    <definedName name="Img_ML_9v6s2g1u">"IMG_52"</definedName>
    <definedName name="Income_tax__benefit__expense" localSheetId="0">'[7]P&amp;L'!$B$61:$AH$61</definedName>
    <definedName name="Income_tax__benefit__expense">'[8]P&amp;L'!$B$61:$AH$61</definedName>
    <definedName name="IncomeEPSFullyDiluted">0</definedName>
    <definedName name="IncomeEPSPrimary">0</definedName>
    <definedName name="IncomeEPSRegular">0</definedName>
    <definedName name="input" localSheetId="0">{"0.614608629108408";"0.089";"0.07";"0.036";"0.09";"0.39";"0.177761404547907";"0.116071428571429";"0.708";"0.0556964285714285";"0.127160714285714"}</definedName>
    <definedName name="input">{"0.614608629108408";"0.089";"0.07";"0.036";"0.09";"0.39";"0.177761404547907";"0.116071428571429";"0.708";"0.0556964285714285";"0.127160714285714"}</definedName>
    <definedName name="Int_exp">8%</definedName>
    <definedName name="Interest_and_other_income" localSheetId="0">'[7]P&amp;L'!$B$58:$AH$58</definedName>
    <definedName name="Interest_and_other_income">'[8]P&amp;L'!$B$58:$AH$58</definedName>
    <definedName name="Interest_expense" localSheetId="0">'[7]P&amp;L'!$B$57:$AH$57</definedName>
    <definedName name="Interest_expense">'[8]P&amp;L'!$B$57:$AH$57</definedName>
    <definedName name="Interest_paid" localSheetId="0">'[106]Jihe WestInt_Paid'!$A$57:$IV$57</definedName>
    <definedName name="Interest_paid">'[79]Jihe WestInt_Paid'!$A$57:$IV$57</definedName>
    <definedName name="inv">[36]NKEBALST!$BH$19:$BO$19</definedName>
    <definedName name="Investments" localSheetId="0">BS_LongTermInvestments</definedName>
    <definedName name="Investments">BS_LongTermInvestments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NO_THOM">"c5094"</definedName>
    <definedName name="IQ_AVG_BROKER_REC_REUT">"c3630"</definedName>
    <definedName name="IQ_AVG_BROKER_REC_THOM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OVER_SHARES">"c1349"</definedName>
    <definedName name="IQ_BV_SHARE">"c100"</definedName>
    <definedName name="IQ_BV_SHARE_ACT_OR_EST_THOM">"c5312"</definedName>
    <definedName name="IQ_BV_SHARE_EST">"c3541"</definedName>
    <definedName name="IQ_BV_SHARE_EST_THOM">"c4020"</definedName>
    <definedName name="IQ_BV_SHARE_HIGH_EST">"c3542"</definedName>
    <definedName name="IQ_BV_SHARE_HIGH_EST_THOM">"c4022"</definedName>
    <definedName name="IQ_BV_SHARE_LOW_EST">"c3543"</definedName>
    <definedName name="IQ_BV_SHARE_LOW_EST_THOM">"c4023"</definedName>
    <definedName name="IQ_BV_SHARE_MEDIAN_EST">"c3544"</definedName>
    <definedName name="IQ_BV_SHARE_MEDIAN_EST_THOM">"c4021"</definedName>
    <definedName name="IQ_BV_SHARE_NUM_EST">"c3539"</definedName>
    <definedName name="IQ_BV_SHARE_NUM_EST_THOM">"c4024"</definedName>
    <definedName name="IQ_BV_SHARE_STDDEV_EST">"c3540"</definedName>
    <definedName name="IQ_BV_SHARE_STDDEV_EST_THOM">"c4025"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REUT">"c6800"</definedName>
    <definedName name="IQ_CAL_Q_EST_THOM">"c6804"</definedName>
    <definedName name="IQ_CAL_Y">"c102"</definedName>
    <definedName name="IQ_CAL_Y_EST">"c6797"</definedName>
    <definedName name="IQ_CAL_Y_EST_CIQ">"c6809"</definedName>
    <definedName name="IQ_CAL_Y_EST_REUT">"c6801"</definedName>
    <definedName name="IQ_CAL_Y_EST_THOM">"c6805"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_THOM">"c5546"</definedName>
    <definedName name="IQ_CAPEX_BNK">"c110"</definedName>
    <definedName name="IQ_CAPEX_BR">"c111"</definedName>
    <definedName name="IQ_CAPEX_EST">"c3523"</definedName>
    <definedName name="IQ_CAPEX_EST_THOM">"c5502"</definedName>
    <definedName name="IQ_CAPEX_FIN">"c112"</definedName>
    <definedName name="IQ_CAPEX_HIGH_EST">"c3524"</definedName>
    <definedName name="IQ_CAPEX_HIGH_EST_THOM">"c5504"</definedName>
    <definedName name="IQ_CAPEX_INS">"c113"</definedName>
    <definedName name="IQ_CAPEX_LOW_EST">"c3525"</definedName>
    <definedName name="IQ_CAPEX_LOW_EST_THOM">"c5505"</definedName>
    <definedName name="IQ_CAPEX_MEDIAN_EST">"c3526"</definedName>
    <definedName name="IQ_CAPEX_MEDIAN_EST_THOM">"c5503"</definedName>
    <definedName name="IQ_CAPEX_NUM_EST">"c3521"</definedName>
    <definedName name="IQ_CAPEX_NUM_EST_THOM">"c5506"</definedName>
    <definedName name="IQ_CAPEX_STDDEV_EST">"c3522"</definedName>
    <definedName name="IQ_CAPEX_STDDEV_EST_THOM">"c5507"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"c1630"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_THOM">"c5646"</definedName>
    <definedName name="IQ_CASH_EPS_EST">"c5631"</definedName>
    <definedName name="IQ_CASH_EPS_EST_THOM">"c5639"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HIGH_EST">"c4166"</definedName>
    <definedName name="IQ_CASH_OPER_LOW_EST">"c4244"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THOM">"c5301"</definedName>
    <definedName name="IQ_CFPS_EST">"c1667"</definedName>
    <definedName name="IQ_CFPS_EST_THOM">"c4006"</definedName>
    <definedName name="IQ_CFPS_HIGH_EST">"c1669"</definedName>
    <definedName name="IQ_CFPS_HIGH_EST_THOM">"c4008"</definedName>
    <definedName name="IQ_CFPS_LOW_EST">"c1670"</definedName>
    <definedName name="IQ_CFPS_LOW_EST_THOM">"c4009"</definedName>
    <definedName name="IQ_CFPS_MEDIAN_EST">"c1668"</definedName>
    <definedName name="IQ_CFPS_MEDIAN_EST_THOM">"c4007"</definedName>
    <definedName name="IQ_CFPS_NUM_EST">"c1671"</definedName>
    <definedName name="IQ_CFPS_NUM_EST_THOM">"c4010"</definedName>
    <definedName name="IQ_CFPS_STDDEV_EST">"c1672"</definedName>
    <definedName name="IQ_CFPS_STDDEV_EST_THOM">"c4011"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THOM">"c5278"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_CIQ">"c4802"</definedName>
    <definedName name="IQ_DISTRIBUTABLE_CASH_HIGH_EST_CIQ">"c4805"</definedName>
    <definedName name="IQ_DISTRIBUTABLE_CASH_LOW_EST_CIQ">"c4806"</definedName>
    <definedName name="IQ_DISTRIBUTABLE_CASH_MEDIAN_EST_CIQ">"c4807"</definedName>
    <definedName name="IQ_DISTRIBUTABLE_CASH_NUM_EST_CIQ">"c4808"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_CIQ">"c4810"</definedName>
    <definedName name="IQ_DISTRIBUTABLE_CASH_SHARE_HIGH_EST_CIQ">"c4813"</definedName>
    <definedName name="IQ_DISTRIBUTABLE_CASH_SHARE_LOW_EST_CIQ">"c4814"</definedName>
    <definedName name="IQ_DISTRIBUTABLE_CASH_SHARE_MEDIAN_EST_CIQ">"c4815"</definedName>
    <definedName name="IQ_DISTRIBUTABLE_CASH_SHARE_NUM_EST_CIQ">"c4816"</definedName>
    <definedName name="IQ_DISTRIBUTABLE_CASH_SHARE_STDDEV_EST_CIQ">"c4817"</definedName>
    <definedName name="IQ_DISTRIBUTABLE_CASH_STDDEV_EST_CIQ">"c4819"</definedName>
    <definedName name="IQ_DIV_AMOUNT">"c3041"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THOM">"c5302"</definedName>
    <definedName name="IQ_DPS_EST">"c1674"</definedName>
    <definedName name="IQ_DPS_EST_THOM">"c4013"</definedName>
    <definedName name="IQ_DPS_HIGH_EST">"c1676"</definedName>
    <definedName name="IQ_DPS_HIGH_EST_THOM">"c4015"</definedName>
    <definedName name="IQ_DPS_LOW_EST">"c1677"</definedName>
    <definedName name="IQ_DPS_LOW_EST_THOM">"c4016"</definedName>
    <definedName name="IQ_DPS_MEDIAN_EST">"c1675"</definedName>
    <definedName name="IQ_DPS_MEDIAN_EST_THOM">"c4014"</definedName>
    <definedName name="IQ_DPS_NUM_EST">"c1678"</definedName>
    <definedName name="IQ_DPS_NUM_EST_THOM">"c4017"</definedName>
    <definedName name="IQ_DPS_STDDEV_EST">"c1679"</definedName>
    <definedName name="IQ_DPS_STDDEV_EST_THOM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ANNOUNCE_DATE_THOM">"c5093"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THOM">"c5303"</definedName>
    <definedName name="IQ_EBIT_EQ_INC">"c3498"</definedName>
    <definedName name="IQ_EBIT_EQ_INC_EXCL_SBC">"c3502"</definedName>
    <definedName name="IQ_EBIT_EST">"c1681"</definedName>
    <definedName name="IQ_EBIT_EST_THOM">"c5105"</definedName>
    <definedName name="IQ_EBIT_EXCL_SBC">"c3082"</definedName>
    <definedName name="IQ_EBIT_GW_ACT_OR_EST">"c4306"</definedName>
    <definedName name="IQ_EBIT_HIGH_EST">"c1683"</definedName>
    <definedName name="IQ_EBIT_HIGH_EST_THOM">"c5107"</definedName>
    <definedName name="IQ_EBIT_INT">"c360"</definedName>
    <definedName name="IQ_EBIT_LOW_EST">"c1684"</definedName>
    <definedName name="IQ_EBIT_LOW_EST_THOM">"c5108"</definedName>
    <definedName name="IQ_EBIT_MARGIN">"c359"</definedName>
    <definedName name="IQ_EBIT_MEDIAN_EST">"c1682"</definedName>
    <definedName name="IQ_EBIT_MEDIAN_EST_THOM">"c5106"</definedName>
    <definedName name="IQ_EBIT_NUM_EST">"c1685"</definedName>
    <definedName name="IQ_EBIT_NUM_EST_THOM">"c5109"</definedName>
    <definedName name="IQ_EBIT_OVER_IE">"c1369"</definedName>
    <definedName name="IQ_EBIT_SBC_ACT_OR_EST">"c4316"</definedName>
    <definedName name="IQ_EBIT_SBC_ACT_OR_EST_CIQ">"c4841"</definedName>
    <definedName name="IQ_EBIT_SBC_GW_ACT_OR_EST">"c4320"</definedName>
    <definedName name="IQ_EBIT_SBC_GW_ACT_OR_EST_CIQ">"c4845"</definedName>
    <definedName name="IQ_EBIT_STDDEV_EST">"c1686"</definedName>
    <definedName name="IQ_EBIT_STDDEV_EST_THOM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THOM">"c5300"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>"c3640"</definedName>
    <definedName name="IQ_EBITDA_EST_THOM">"c3658"</definedName>
    <definedName name="IQ_EBITDA_EXCL_SBC">"c3081"</definedName>
    <definedName name="IQ_EBITDA_HIGH_EST">"c370"</definedName>
    <definedName name="IQ_EBITDA_HIGH_EST_CIQ">"c3624"</definedName>
    <definedName name="IQ_EBITDA_HIGH_EST_REUT">"c3642"</definedName>
    <definedName name="IQ_EBITDA_HIGH_EST_THOM">"c3660"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EST_THOM">"c3661"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MEDIAN_EST_THOM">"c3659"</definedName>
    <definedName name="IQ_EBITDA_NUM_EST">"c374"</definedName>
    <definedName name="IQ_EBITDA_NUM_EST_CIQ">"c3626"</definedName>
    <definedName name="IQ_EBITDA_NUM_EST_REUT">"c3644"</definedName>
    <definedName name="IQ_EBITDA_NUM_EST_THOM">"c3662"</definedName>
    <definedName name="IQ_EBITDA_OVER_TOTAL_IE">"c1371"</definedName>
    <definedName name="IQ_EBITDA_SBC_ACT_OR_EST">"c4337"</definedName>
    <definedName name="IQ_EBITDA_SBC_ACT_OR_EST_CIQ">"c4862"</definedName>
    <definedName name="IQ_EBITDA_STDDEV_EST">"c375"</definedName>
    <definedName name="IQ_EBITDA_STDDEV_EST_CIQ">"c3627"</definedName>
    <definedName name="IQ_EBITDA_STDDEV_EST_REUT">"c3645"</definedName>
    <definedName name="IQ_EBITDA_STDDEV_EST_THOM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GW_ACT_OR_EST">"c4354"</definedName>
    <definedName name="IQ_EBT_SBC_GW_ACT_OR_EST_CIQ">"c4879"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THOM">"c5298"</definedName>
    <definedName name="IQ_EPS_AP">"c8880"</definedName>
    <definedName name="IQ_EPS_AP_ABS">"c8899"</definedName>
    <definedName name="IQ_EPS_EST">"c399"</definedName>
    <definedName name="IQ_EPS_EST_BOTTOM_UP">"c5489"</definedName>
    <definedName name="IQ_EPS_EST_BOTTOM_UP_THOM">"c5647"</definedName>
    <definedName name="IQ_EPS_EST_CIQ">"c4994"</definedName>
    <definedName name="IQ_EPS_EST_REUT">"c5453"</definedName>
    <definedName name="IQ_EPS_EST_THOM">"c5290"</definedName>
    <definedName name="IQ_EPS_GW_ACT_OR_EST">"c2223"</definedName>
    <definedName name="IQ_EPS_GW_ACT_OR_EST_CIQ">"c5066"</definedName>
    <definedName name="IQ_EPS_GW_EST">"c1737"</definedName>
    <definedName name="IQ_EPS_GW_EST_CIQ">"c4723"</definedName>
    <definedName name="IQ_EPS_GW_EST_REUT">"c5389"</definedName>
    <definedName name="IQ_EPS_GW_EST_THOM">"c5133"</definedName>
    <definedName name="IQ_EPS_GW_HIGH_EST">"c1739"</definedName>
    <definedName name="IQ_EPS_GW_HIGH_EST_CIQ">"c4725"</definedName>
    <definedName name="IQ_EPS_GW_HIGH_EST_REUT">"c5391"</definedName>
    <definedName name="IQ_EPS_GW_HIGH_EST_THOM">"c5135"</definedName>
    <definedName name="IQ_EPS_GW_LOW_EST">"c1740"</definedName>
    <definedName name="IQ_EPS_GW_LOW_EST_CIQ">"c4726"</definedName>
    <definedName name="IQ_EPS_GW_LOW_EST_REUT">"c5392"</definedName>
    <definedName name="IQ_EPS_GW_LOW_EST_THOM">"c5136"</definedName>
    <definedName name="IQ_EPS_GW_MEDIAN_EST">"c1738"</definedName>
    <definedName name="IQ_EPS_GW_MEDIAN_EST_CIQ">"c4724"</definedName>
    <definedName name="IQ_EPS_GW_MEDIAN_EST_REUT">"c5390"</definedName>
    <definedName name="IQ_EPS_GW_MEDIAN_EST_THOM">"c5134"</definedName>
    <definedName name="IQ_EPS_GW_NUM_EST">"c1741"</definedName>
    <definedName name="IQ_EPS_GW_NUM_EST_CIQ">"c4727"</definedName>
    <definedName name="IQ_EPS_GW_NUM_EST_REUT">"c5393"</definedName>
    <definedName name="IQ_EPS_GW_NUM_EST_THOM">"c5137"</definedName>
    <definedName name="IQ_EPS_GW_STDDEV_EST">"c1742"</definedName>
    <definedName name="IQ_EPS_GW_STDDEV_EST_CIQ">"c4728"</definedName>
    <definedName name="IQ_EPS_GW_STDDEV_EST_REUT">"c5394"</definedName>
    <definedName name="IQ_EPS_GW_STDDEV_EST_THOM">"c5138"</definedName>
    <definedName name="IQ_EPS_HIGH_EST">"c400"</definedName>
    <definedName name="IQ_EPS_HIGH_EST_CIQ">"c4995"</definedName>
    <definedName name="IQ_EPS_HIGH_EST_REUT">"c5454"</definedName>
    <definedName name="IQ_EPS_HIGH_EST_THOM">"c5291"</definedName>
    <definedName name="IQ_EPS_LOW_EST">"c401"</definedName>
    <definedName name="IQ_EPS_LOW_EST_CIQ">"c4996"</definedName>
    <definedName name="IQ_EPS_LOW_EST_REUT">"c5455"</definedName>
    <definedName name="IQ_EPS_LOW_EST_THOM">"c5292"</definedName>
    <definedName name="IQ_EPS_MEDIAN_EST">"c1661"</definedName>
    <definedName name="IQ_EPS_MEDIAN_EST_CIQ">"c4997"</definedName>
    <definedName name="IQ_EPS_MEDIAN_EST_REUT">"c5456"</definedName>
    <definedName name="IQ_EPS_MEDIAN_EST_THOM">"c5293"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CIQ">"c4667"</definedName>
    <definedName name="IQ_EPS_NORM_EST_REUT">"c5326"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NUM_EST_THOM">"c5288"</definedName>
    <definedName name="IQ_EPS_REPORT_ACT_OR_EST">"c2224"</definedName>
    <definedName name="IQ_EPS_REPORT_ACT_OR_EST_CIQ">"c5067"</definedName>
    <definedName name="IQ_EPS_REPORT_ACT_OR_EST_THOM">"c5307"</definedName>
    <definedName name="IQ_EPS_REPORTED_EST">"c1744"</definedName>
    <definedName name="IQ_EPS_REPORTED_EST_CIQ">"c4730"</definedName>
    <definedName name="IQ_EPS_REPORTED_EST_REUT">"c5396"</definedName>
    <definedName name="IQ_EPS_REPORTED_EST_THOM">"c5140"</definedName>
    <definedName name="IQ_EPS_REPORTED_HIGH_EST">"c1746"</definedName>
    <definedName name="IQ_EPS_REPORTED_HIGH_EST_CIQ">"c4732"</definedName>
    <definedName name="IQ_EPS_REPORTED_HIGH_EST_REUT">"c5398"</definedName>
    <definedName name="IQ_EPS_REPORTED_HIGH_EST_THOM">"c5142"</definedName>
    <definedName name="IQ_EPS_REPORTED_LOW_EST">"c1747"</definedName>
    <definedName name="IQ_EPS_REPORTED_LOW_EST_CIQ">"c4733"</definedName>
    <definedName name="IQ_EPS_REPORTED_LOW_EST_REUT">"c5399"</definedName>
    <definedName name="IQ_EPS_REPORTED_LOW_EST_THOM">"c5143"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MEDIAN_EST_THOM">"c5141"</definedName>
    <definedName name="IQ_EPS_REPORTED_NUM_EST">"c1748"</definedName>
    <definedName name="IQ_EPS_REPORTED_NUM_EST_CIQ">"c4734"</definedName>
    <definedName name="IQ_EPS_REPORTED_NUM_EST_REUT">"c5400"</definedName>
    <definedName name="IQ_EPS_REPORTED_NUM_EST_THOM">"c5144"</definedName>
    <definedName name="IQ_EPS_REPORTED_STDDEV_EST">"c1749"</definedName>
    <definedName name="IQ_EPS_REPORTED_STDDEV_EST_CIQ">"c4735"</definedName>
    <definedName name="IQ_EPS_REPORTED_STDDEV_EST_REUT">"c5401"</definedName>
    <definedName name="IQ_EPS_REPORTED_STDDEV_EST_THOM">"c5145"</definedName>
    <definedName name="IQ_EPS_SBC_ACT_OR_EST">"c4376"</definedName>
    <definedName name="IQ_EPS_SBC_ACT_OR_EST_CIQ">"c4901"</definedName>
    <definedName name="IQ_EPS_SBC_GW_ACT_OR_EST">"c4380"</definedName>
    <definedName name="IQ_EPS_SBC_GW_ACT_OR_EST_CIQ">"c4905"</definedName>
    <definedName name="IQ_EPS_STDDEV_EST">"c403"</definedName>
    <definedName name="IQ_EPS_STDDEV_EST_CIQ">"c4993"</definedName>
    <definedName name="IQ_EPS_STDDEV_EST_REUT">"c5452"</definedName>
    <definedName name="IQ_EPS_STDDEV_EST_THOM">"c5289"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_SHARE">"c3549"</definedName>
    <definedName name="IQ_EST_ACT_BV_SHARE_THOM">"c4026"</definedName>
    <definedName name="IQ_EST_ACT_CAPEX">"c3546"</definedName>
    <definedName name="IQ_EST_ACT_CAPEX_THOM">"c5508"</definedName>
    <definedName name="IQ_EST_ACT_CASH_EPS">"c5637"</definedName>
    <definedName name="IQ_EST_ACT_CASH_EPS_THOM">"c5645"</definedName>
    <definedName name="IQ_EST_ACT_CFPS">"c1673"</definedName>
    <definedName name="IQ_EST_ACT_CFPS_THOM">"c4012"</definedName>
    <definedName name="IQ_EST_ACT_DPS">"c1680"</definedName>
    <definedName name="IQ_EST_ACT_DPS_THOM">"c4019"</definedName>
    <definedName name="IQ_EST_ACT_EBIT">"c1687"</definedName>
    <definedName name="IQ_EST_ACT_EBIT_THOM">"c5111"</definedName>
    <definedName name="IQ_EST_ACT_EBITDA">"c1664"</definedName>
    <definedName name="IQ_EST_ACT_EBITDA_THOM">"c3998"</definedName>
    <definedName name="IQ_EST_ACT_EPS">"c1648"</definedName>
    <definedName name="IQ_EST_ACT_EPS_GW">"c1743"</definedName>
    <definedName name="IQ_EST_ACT_EPS_GW_CIQ">"c4729"</definedName>
    <definedName name="IQ_EST_ACT_EPS_GW_REUT">"c5395"</definedName>
    <definedName name="IQ_EST_ACT_EPS_GW_THOM">"c5139"</definedName>
    <definedName name="IQ_EST_ACT_EPS_NORM">"c2232"</definedName>
    <definedName name="IQ_EST_ACT_EPS_NORM_CIQ">"c4673"</definedName>
    <definedName name="IQ_EST_ACT_EPS_NORM_REUT">"c5332"</definedName>
    <definedName name="IQ_EST_ACT_EPS_REPORTED">"c1750"</definedName>
    <definedName name="IQ_EST_ACT_EPS_REPORTED_CIQ">"c4736"</definedName>
    <definedName name="IQ_EST_ACT_EPS_REPORTED_REUT">"c5402"</definedName>
    <definedName name="IQ_EST_ACT_EPS_REPORTED_THOM">"c5146"</definedName>
    <definedName name="IQ_EST_ACT_EPS_THOM">"c5294"</definedName>
    <definedName name="IQ_EST_ACT_FFO">"c1666"</definedName>
    <definedName name="IQ_EST_ACT_FFO_THOM">"c4005"</definedName>
    <definedName name="IQ_EST_ACT_GROSS_MARGIN">"c5553"</definedName>
    <definedName name="IQ_EST_ACT_GROSS_MARGIN_THOM">"c5561"</definedName>
    <definedName name="IQ_EST_ACT_NAV">"c1757"</definedName>
    <definedName name="IQ_EST_ACT_NAV_THOM">"c5600"</definedName>
    <definedName name="IQ_EST_ACT_NET_DEBT">"c3545"</definedName>
    <definedName name="IQ_EST_ACT_NET_DEBT_THOM">"c4033"</definedName>
    <definedName name="IQ_EST_ACT_NI">"c1722"</definedName>
    <definedName name="IQ_EST_ACT_NI_GW">"c1729"</definedName>
    <definedName name="IQ_EST_ACT_NI_REPORTED">"c1736"</definedName>
    <definedName name="IQ_EST_ACT_NI_THOM">"c5132"</definedName>
    <definedName name="IQ_EST_ACT_OPER_INC">"c1694"</definedName>
    <definedName name="IQ_EST_ACT_OPER_INC_THOM">"c5118"</definedName>
    <definedName name="IQ_EST_ACT_PRETAX_GW_INC">"c1708"</definedName>
    <definedName name="IQ_EST_ACT_PRETAX_INC">"c1701"</definedName>
    <definedName name="IQ_EST_ACT_PRETAX_INC_THOM">"c5125"</definedName>
    <definedName name="IQ_EST_ACT_PRETAX_REPORT_INC">"c1715"</definedName>
    <definedName name="IQ_EST_ACT_RECURRING_PROFIT">"c4411"</definedName>
    <definedName name="IQ_EST_ACT_RETURN_ASSETS">"c3547"</definedName>
    <definedName name="IQ_EST_ACT_RETURN_ASSETS_THOM">"c4040"</definedName>
    <definedName name="IQ_EST_ACT_RETURN_EQUITY">"c3548"</definedName>
    <definedName name="IQ_EST_ACT_RETURN_EQUITY_THOM">"c5287"</definedName>
    <definedName name="IQ_EST_ACT_REV">"c2113"</definedName>
    <definedName name="IQ_EST_ACT_REV_THOM">"c3997"</definedName>
    <definedName name="IQ_EST_CAPEX_GROWTH_1YR">"c3588"</definedName>
    <definedName name="IQ_EST_CAPEX_GROWTH_1YR_THOM">"c5542"</definedName>
    <definedName name="IQ_EST_CAPEX_GROWTH_2YR">"c3589"</definedName>
    <definedName name="IQ_EST_CAPEX_GROWTH_2YR_THOM">"c5543"</definedName>
    <definedName name="IQ_EST_CAPEX_GROWTH_Q_1YR">"c3590"</definedName>
    <definedName name="IQ_EST_CAPEX_GROWTH_Q_1YR_THOM">"c5544"</definedName>
    <definedName name="IQ_EST_CAPEX_SEQ_GROWTH_Q">"c3591"</definedName>
    <definedName name="IQ_EST_CAPEX_SEQ_GROWTH_Q_THOM">"c5545"</definedName>
    <definedName name="IQ_EST_CFPS_DIFF">"c1871"</definedName>
    <definedName name="IQ_EST_CFPS_DIFF_THOM">"c5188"</definedName>
    <definedName name="IQ_EST_CFPS_GROWTH_1YR">"c1774"</definedName>
    <definedName name="IQ_EST_CFPS_GROWTH_1YR_THOM">"c5174"</definedName>
    <definedName name="IQ_EST_CFPS_GROWTH_2YR">"c1775"</definedName>
    <definedName name="IQ_EST_CFPS_GROWTH_2YR_THOM">"c5175"</definedName>
    <definedName name="IQ_EST_CFPS_GROWTH_Q_1YR">"c1776"</definedName>
    <definedName name="IQ_EST_CFPS_GROWTH_Q_1YR_THOM">"c5176"</definedName>
    <definedName name="IQ_EST_CFPS_SEQ_GROWTH_Q">"c1777"</definedName>
    <definedName name="IQ_EST_CFPS_SEQ_GROWTH_Q_THOM">"c5177"</definedName>
    <definedName name="IQ_EST_CFPS_SURPRISE_PERCENT">"c1872"</definedName>
    <definedName name="IQ_EST_CFPS_SURPRISE_PERCENT_THOM">"c5189"</definedName>
    <definedName name="IQ_EST_CURRENCY">"c2140"</definedName>
    <definedName name="IQ_EST_CURRENCY_CIQ">"c4769"</definedName>
    <definedName name="IQ_EST_CURRENCY_REUT">"c5437"</definedName>
    <definedName name="IQ_EST_CURRENCY_THOM">"c5280"</definedName>
    <definedName name="IQ_EST_DATE">"c1634"</definedName>
    <definedName name="IQ_EST_DATE_CIQ">"c4770"</definedName>
    <definedName name="IQ_EST_DATE_REUT">"c5438"</definedName>
    <definedName name="IQ_EST_DATE_THOM">"c5281"</definedName>
    <definedName name="IQ_EST_DPS_DIFF">"c1873"</definedName>
    <definedName name="IQ_EST_DPS_DIFF_THOM">"c5190"</definedName>
    <definedName name="IQ_EST_DPS_GROWTH_1YR">"c1778"</definedName>
    <definedName name="IQ_EST_DPS_GROWTH_1YR_THOM">"c5178"</definedName>
    <definedName name="IQ_EST_DPS_GROWTH_2YR">"c1779"</definedName>
    <definedName name="IQ_EST_DPS_GROWTH_2YR_THOM">"c5179"</definedName>
    <definedName name="IQ_EST_DPS_GROWTH_Q_1YR">"c1780"</definedName>
    <definedName name="IQ_EST_DPS_GROWTH_Q_1YR_THOM">"c5180"</definedName>
    <definedName name="IQ_EST_DPS_SEQ_GROWTH_Q">"c1781"</definedName>
    <definedName name="IQ_EST_DPS_SEQ_GROWTH_Q_THOM">"c5181"</definedName>
    <definedName name="IQ_EST_DPS_SURPRISE_PERCENT">"c1874"</definedName>
    <definedName name="IQ_EST_DPS_SURPRISE_PERCENT_THOM">"c5191"</definedName>
    <definedName name="IQ_EST_EBIT_DIFF">"c1875"</definedName>
    <definedName name="IQ_EST_EBIT_DIFF_THOM">"c5192"</definedName>
    <definedName name="IQ_EST_EBIT_SURPRISE_PERCENT">"c1876"</definedName>
    <definedName name="IQ_EST_EBIT_SURPRISE_PERCENT_THOM">"c5193"</definedName>
    <definedName name="IQ_EST_EBITDA_DIFF">"c1867"</definedName>
    <definedName name="IQ_EST_EBITDA_DIFF_THOM">"c5184"</definedName>
    <definedName name="IQ_EST_EBITDA_GROWTH_1YR">"c1766"</definedName>
    <definedName name="IQ_EST_EBITDA_GROWTH_1YR_THOM">"c5161"</definedName>
    <definedName name="IQ_EST_EBITDA_GROWTH_2YR">"c1767"</definedName>
    <definedName name="IQ_EST_EBITDA_GROWTH_2YR_THOM">"c5162"</definedName>
    <definedName name="IQ_EST_EBITDA_GROWTH_Q_1YR">"c1768"</definedName>
    <definedName name="IQ_EST_EBITDA_GROWTH_Q_1YR_THOM">"c5163"</definedName>
    <definedName name="IQ_EST_EBITDA_SEQ_GROWTH_Q">"c1769"</definedName>
    <definedName name="IQ_EST_EBITDA_SEQ_GROWTH_Q_THOM">"c5164"</definedName>
    <definedName name="IQ_EST_EBITDA_SURPRISE_PERCENT">"c1868"</definedName>
    <definedName name="IQ_EST_EBITDA_SURPRISE_PERCENT_THOM">"c5185"</definedName>
    <definedName name="IQ_EST_EPS_DIFF">"c1864"</definedName>
    <definedName name="IQ_EST_EPS_DIFF_THOM">"c5295"</definedName>
    <definedName name="IQ_EST_EPS_GROWTH_1YR">"c1636"</definedName>
    <definedName name="IQ_EST_EPS_GROWTH_1YR_CIQ">"c3628"</definedName>
    <definedName name="IQ_EST_EPS_GROWTH_1YR_REUT">"c3646"</definedName>
    <definedName name="IQ_EST_EPS_GROWTH_1YR_THOM">"c3664"</definedName>
    <definedName name="IQ_EST_EPS_GROWTH_2YR">"c1637"</definedName>
    <definedName name="IQ_EST_EPS_GROWTH_2YR_THOM">"c5154"</definedName>
    <definedName name="IQ_EST_EPS_GROWTH_5YR">"c1655"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THOM">"c5101"</definedName>
    <definedName name="IQ_EST_EPS_GROWTH_5YR_LOW">"c1658"</definedName>
    <definedName name="IQ_EST_EPS_GROWTH_5YR_LOW_CIQ">"c4664"</definedName>
    <definedName name="IQ_EST_EPS_GROWTH_5YR_LOW_THOM">"c5102"</definedName>
    <definedName name="IQ_EST_EPS_GROWTH_5YR_MEDIAN">"c1656"</definedName>
    <definedName name="IQ_EST_EPS_GROWTH_5YR_MEDIAN_CIQ">"c5480"</definedName>
    <definedName name="IQ_EST_EPS_GROWTH_5YR_MEDIAN_THOM">"c5100"</definedName>
    <definedName name="IQ_EST_EPS_GROWTH_5YR_NUM">"c1659"</definedName>
    <definedName name="IQ_EST_EPS_GROWTH_5YR_NUM_CIQ">"c4665"</definedName>
    <definedName name="IQ_EST_EPS_GROWTH_5YR_NUM_THOM">"c5103"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THOM">"c5104"</definedName>
    <definedName name="IQ_EST_EPS_GROWTH_5YR_THOM">"c3651"</definedName>
    <definedName name="IQ_EST_EPS_GROWTH_Q_1YR">"c1641"</definedName>
    <definedName name="IQ_EST_EPS_GROWTH_Q_1YR_CIQ">"c4744"</definedName>
    <definedName name="IQ_EST_EPS_GROWTH_Q_1YR_REUT">"c5410"</definedName>
    <definedName name="IQ_EST_EPS_GROWTH_Q_1YR_THOM">"c5155"</definedName>
    <definedName name="IQ_EST_EPS_GW_DIFF">"c1891"</definedName>
    <definedName name="IQ_EST_EPS_GW_DIFF_CIQ">"c4761"</definedName>
    <definedName name="IQ_EST_EPS_GW_DIFF_REUT">"c5429"</definedName>
    <definedName name="IQ_EST_EPS_GW_DIFF_THOM">"c5200"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GW_SURPRISE_PERCENT_THOM">"c5201"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DIFF_THOM">"c5202"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REPORT_SURPRISE_PERCENT_THOM">"c5203"</definedName>
    <definedName name="IQ_EST_EPS_SEQ_GROWTH_Q">"c1764"</definedName>
    <definedName name="IQ_EST_EPS_SEQ_GROWTH_Q_THOM">"c5156"</definedName>
    <definedName name="IQ_EST_EPS_SURPRISE">"c1635"</definedName>
    <definedName name="IQ_EST_EPS_SURPRISE_PERCENT">"c1635"</definedName>
    <definedName name="IQ_EST_EPS_SURPRISE_PERCENT_THOM">"c5296"</definedName>
    <definedName name="IQ_EST_FFO_DIFF">"c1869"</definedName>
    <definedName name="IQ_EST_FFO_DIFF_THOM">"c5186"</definedName>
    <definedName name="IQ_EST_FFO_GROWTH_1YR">"c1770"</definedName>
    <definedName name="IQ_EST_FFO_GROWTH_1YR_THOM">"c5170"</definedName>
    <definedName name="IQ_EST_FFO_GROWTH_2YR">"c1771"</definedName>
    <definedName name="IQ_EST_FFO_GROWTH_2YR_THOM">"c5171"</definedName>
    <definedName name="IQ_EST_FFO_GROWTH_Q_1YR">"c1772"</definedName>
    <definedName name="IQ_EST_FFO_GROWTH_Q_1YR_THOM">"c5172"</definedName>
    <definedName name="IQ_EST_FFO_SEQ_GROWTH_Q">"c1773"</definedName>
    <definedName name="IQ_EST_FFO_SEQ_GROWTH_Q_THOM">"c5173"</definedName>
    <definedName name="IQ_EST_FFO_SURPRISE_PERCENT">"c1870"</definedName>
    <definedName name="IQ_EST_FFO_SURPRISE_PERCENT_THOM">"c5187"</definedName>
    <definedName name="IQ_EST_FOOTNOTE">"c4540"</definedName>
    <definedName name="IQ_EST_FOOTNOTE_THOM">"c5313"</definedName>
    <definedName name="IQ_EST_NAV_DIFF">"c1895"</definedName>
    <definedName name="IQ_EST_NAV_SURPRISE_PERCENT">"c1896"</definedName>
    <definedName name="IQ_EST_NI_DIFF">"c1885"</definedName>
    <definedName name="IQ_EST_NI_DIFF_THOM">"c5198"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I_SURPRISE_PERCENT_THOM">"c5199"</definedName>
    <definedName name="IQ_EST_NUM_BUY">"c1759"</definedName>
    <definedName name="IQ_EST_NUM_HIGH_REC">"c5649"</definedName>
    <definedName name="IQ_EST_NUM_HIGH_REC_THOM">"c5166"</definedName>
    <definedName name="IQ_EST_NUM_HIGHEST_REC">"c5648"</definedName>
    <definedName name="IQ_EST_NUM_HIGHEST_REC_THOM">"c5165"</definedName>
    <definedName name="IQ_EST_NUM_HOLD">"c1761"</definedName>
    <definedName name="IQ_EST_NUM_LOW_REC">"c5651"</definedName>
    <definedName name="IQ_EST_NUM_LOW_REC_THOM">"c5168"</definedName>
    <definedName name="IQ_EST_NUM_LOWEST_REC">"c5652"</definedName>
    <definedName name="IQ_EST_NUM_LOWEST_REC_THOM">"c5169"</definedName>
    <definedName name="IQ_EST_NUM_NEUTRAL_REC">"c5650"</definedName>
    <definedName name="IQ_EST_NUM_NEUTRAL_REC_THOM">"c5167"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DIFF_THOM">"c5194"</definedName>
    <definedName name="IQ_EST_OPER_INC_SURPRISE_PERCENT">"c1878"</definedName>
    <definedName name="IQ_EST_OPER_INC_SURPRISE_PERCENT_THOM">"c5195"</definedName>
    <definedName name="IQ_EST_PRE_TAX_DIFF">"c1879"</definedName>
    <definedName name="IQ_EST_PRE_TAX_DIFF_THOM">"c5196"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PRE_TAX_SURPRISE_PERCENT_THOM">"c5197"</definedName>
    <definedName name="IQ_EST_REV_DIFF">"c1865"</definedName>
    <definedName name="IQ_EST_REV_DIFF_THOM">"c5182"</definedName>
    <definedName name="IQ_EST_REV_GROWTH_1YR">"c1638"</definedName>
    <definedName name="IQ_EST_REV_GROWTH_1YR_THOM">"c5157"</definedName>
    <definedName name="IQ_EST_REV_GROWTH_2YR">"c1639"</definedName>
    <definedName name="IQ_EST_REV_GROWTH_2YR_THOM">"c5158"</definedName>
    <definedName name="IQ_EST_REV_GROWTH_Q_1YR">"c1640"</definedName>
    <definedName name="IQ_EST_REV_GROWTH_Q_1YR_THOM">"c5159"</definedName>
    <definedName name="IQ_EST_REV_SEQ_GROWTH_Q">"c1765"</definedName>
    <definedName name="IQ_EST_REV_SEQ_GROWTH_Q_THOM">"c5160"</definedName>
    <definedName name="IQ_EST_REV_SURPRISE_PERCENT">"c1866"</definedName>
    <definedName name="IQ_EST_REV_SURPRISE_PERCENT_THOM">"c5183"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_CIQ">"c4959"</definedName>
    <definedName name="IQ_FFO_ADJ_HIGH_EST_CIQ">"c4962"</definedName>
    <definedName name="IQ_FFO_ADJ_LOW_EST_CIQ">"c4963"</definedName>
    <definedName name="IQ_FFO_ADJ_MEDIAN_EST_CIQ">"c4964"</definedName>
    <definedName name="IQ_FFO_ADJ_NUM_EST_CIQ">"c4965"</definedName>
    <definedName name="IQ_FFO_ADJ_STDDEV_EST_CIQ">"c4966"</definedName>
    <definedName name="IQ_FFO_EST">"c418"</definedName>
    <definedName name="IQ_FFO_EST_CIQ">"c4970"</definedName>
    <definedName name="IQ_FFO_EST_THOM">"c3999"</definedName>
    <definedName name="IQ_FFO_HIGH_EST">"c419"</definedName>
    <definedName name="IQ_FFO_HIGH_EST_CIQ">"c4977"</definedName>
    <definedName name="IQ_FFO_HIGH_EST_THOM">"c4001"</definedName>
    <definedName name="IQ_FFO_LOW_EST">"c420"</definedName>
    <definedName name="IQ_FFO_LOW_EST_CIQ">"c4978"</definedName>
    <definedName name="IQ_FFO_LOW_EST_THOM">"c4002"</definedName>
    <definedName name="IQ_FFO_MEDIAN_EST">"c1665"</definedName>
    <definedName name="IQ_FFO_MEDIAN_EST_CIQ">"c4979"</definedName>
    <definedName name="IQ_FFO_MEDIAN_EST_THOM">"c4000"</definedName>
    <definedName name="IQ_FFO_NUM_EST">"c421"</definedName>
    <definedName name="IQ_FFO_NUM_EST_CIQ">"c4980"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TDDEV_EST">"c422"</definedName>
    <definedName name="IQ_FFO_STDDEV_EST_CIQ">"c4981"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I_12M_RETURN">"c25807"</definedName>
    <definedName name="IQ_FII_3M_RETURN">"c25808"</definedName>
    <definedName name="IQ_FII_6M_RETURN">"c25809"</definedName>
    <definedName name="IQ_FII_AVGBIDSPREAD">"c25820"</definedName>
    <definedName name="IQ_FII_CONVEX">"c25799"</definedName>
    <definedName name="IQ_FII_COUPON">"c25800"</definedName>
    <definedName name="IQ_FII_DAILY_RETURN">"c25810"</definedName>
    <definedName name="IQ_FII_DURTW">"c25802"</definedName>
    <definedName name="IQ_FII_EXCESS_RETURN">"c25819"</definedName>
    <definedName name="IQ_FII_INDEXPRICE">"c25806"</definedName>
    <definedName name="IQ_FII_MATURITY">"c25804"</definedName>
    <definedName name="IQ_FII_MODDUR">"c25801"</definedName>
    <definedName name="IQ_FII_MTD_RETURN_COUPON">"c25813"</definedName>
    <definedName name="IQ_FII_MTD_RETURN_CURRENCY">"c25814"</definedName>
    <definedName name="IQ_FII_MTD_RETURN_PAYDOWN">"c25815"</definedName>
    <definedName name="IQ_FII_MTD_RETURN_PRICE">"c25816"</definedName>
    <definedName name="IQ_FII_MTD_RETURN_TOTAL">"c25812"</definedName>
    <definedName name="IQ_FII_MV">"c25803"</definedName>
    <definedName name="IQ_FII_NUMISSUE">"c25805"</definedName>
    <definedName name="IQ_FII_OAS">"c25798"</definedName>
    <definedName name="IQ_FII_RETURN_INCEPTION">"c25811"</definedName>
    <definedName name="IQ_FII_YTD_RETURN">"c25817"</definedName>
    <definedName name="IQ_FII_YTW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 localSheetId="0">"c6190"</definedName>
    <definedName name="IQ_FINANCING_OBLIG_CURRENT">"c6190"</definedName>
    <definedName name="IQ_FINANCING_OBLIG_NON_CURRENT" localSheetId="0">"c6191"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>"c6798"</definedName>
    <definedName name="IQ_FISCAL_Q_EST_THOM">"c6802"</definedName>
    <definedName name="IQ_FISCAL_Y">"c441"</definedName>
    <definedName name="IQ_FISCAL_Y_EST">"c6795"</definedName>
    <definedName name="IQ_FISCAL_Y_EST_CIQ">"c6807"</definedName>
    <definedName name="IQ_FISCAL_Y_EST_REUT">"c6799"</definedName>
    <definedName name="IQ_FISCAL_Y_EST_THOM">"c6803"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_THOM">"c5562"</definedName>
    <definedName name="IQ_GROSS_MARGIN_EST">"c5547"</definedName>
    <definedName name="IQ_GROSS_MARGIN_EST_THOM">"c5555"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_TARGET_PRICE_REUT">"c5317"</definedName>
    <definedName name="IQ_HIGH_TARGET_PRICE_THOM">"c5096"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_TARGET_PRICE_REUT">"c5318"</definedName>
    <definedName name="IQ_LOW_TARGET_PRICE_THOM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HIGH_EST">"c4460"</definedName>
    <definedName name="IQ_MAINT_CAPEX_LOW_EST">"c4461"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DIAN_TARGET_PRICE_THOM">"c5095"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KTCAP_TOTAL_REV_FWD_THOM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 localSheetId="0">40735.645474537</definedName>
    <definedName name="IQ_NAMES_REVISION_DATE_">40735.645474537</definedName>
    <definedName name="IQ_NAMES_REVISION_DATE__1">40434.484837963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ACT_OR_EST_THOM">"c5607"</definedName>
    <definedName name="IQ_NAV_EST">"c1751"</definedName>
    <definedName name="IQ_NAV_EST_THOM">"c5601"</definedName>
    <definedName name="IQ_NAV_HIGH_EST">"c1753"</definedName>
    <definedName name="IQ_NAV_HIGH_EST_THOM">"c5604"</definedName>
    <definedName name="IQ_NAV_LOW_EST">"c1754"</definedName>
    <definedName name="IQ_NAV_LOW_EST_THOM">"c5605"</definedName>
    <definedName name="IQ_NAV_MEDIAN_EST">"c1752"</definedName>
    <definedName name="IQ_NAV_MEDIAN_EST_THOM">"c5602"</definedName>
    <definedName name="IQ_NAV_NUM_EST">"c1755"</definedName>
    <definedName name="IQ_NAV_NUM_EST_THOM">"c5606"</definedName>
    <definedName name="IQ_NAV_STDDEV_EST">"c1756"</definedName>
    <definedName name="IQ_NAV_STDDEV_EST_THOM">"c5603"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_THOM">"c5309"</definedName>
    <definedName name="IQ_NET_DEBT_EBITDA">"c750"</definedName>
    <definedName name="IQ_NET_DEBT_EBITDA_CAPEX">"c2949"</definedName>
    <definedName name="IQ_NET_DEBT_EST">"c3517"</definedName>
    <definedName name="IQ_NET_DEBT_EST_THOM">"c4027"</definedName>
    <definedName name="IQ_NET_DEBT_HIGH_EST">"c3518"</definedName>
    <definedName name="IQ_NET_DEBT_HIGH_EST_THOM">"c4029"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THOM">"c4030"</definedName>
    <definedName name="IQ_NET_DEBT_MEDIAN_EST">"c3520"</definedName>
    <definedName name="IQ_NET_DEBT_MEDIAN_EST_THOM">"c4028"</definedName>
    <definedName name="IQ_NET_DEBT_NUM_EST">"c3515"</definedName>
    <definedName name="IQ_NET_DEBT_NUM_EST_THOM">"c4031"</definedName>
    <definedName name="IQ_NET_DEBT_STDDEV_EST">"c3516"</definedName>
    <definedName name="IQ_NET_DEBT_STDDEV_EST_THOM">"c4032"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THOM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THOM">"c5126"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HIGH_EST_THOM">"c5128"</definedName>
    <definedName name="IQ_NI_LOW_EST">"c1719"</definedName>
    <definedName name="IQ_NI_LOW_EST_THOM">"c5129"</definedName>
    <definedName name="IQ_NI_MARGIN">"c794"</definedName>
    <definedName name="IQ_NI_MEDIAN_EST">"c1717"</definedName>
    <definedName name="IQ_NI_MEDIAN_EST_THOM">"c5127"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THOM">"c5130"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ACT_OR_EST_CIQ">"c5012"</definedName>
    <definedName name="IQ_NI_SBC_GW_ACT_OR_EST">"c4478"</definedName>
    <definedName name="IQ_NI_SBC_GW_ACT_OR_EST_CIQ">"c5016"</definedName>
    <definedName name="IQ_NI_SFAS">"c795"</definedName>
    <definedName name="IQ_NI_STDDEV_EST">"c1721"</definedName>
    <definedName name="IQ_NI_STDDEV_EST_THOM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"c10073"</definedName>
    <definedName name="IQ_OG_DAILY_PRDUCTION_GROWTH_GAS_EQUIVALENT">"c10076"</definedName>
    <definedName name="IQ_OG_DAILY_PRDUCTION_GROWTH_NGL">"c10074"</definedName>
    <definedName name="IQ_OG_DAILY_PRDUCTION_GROWTH_OIL">"c10072"</definedName>
    <definedName name="IQ_OG_DAILY_PRDUCTION_GROWTH_OIL_EQUIVALENT">"c10075"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"c10067"</definedName>
    <definedName name="IQ_OG_PRDUCTION_GROWTH_GAS_EQUIVALENT">"c10070"</definedName>
    <definedName name="IQ_OG_PRDUCTION_GROWTH_NGL">"c10068"</definedName>
    <definedName name="IQ_OG_PRDUCTION_GROWTH_OIL">"c10066"</definedName>
    <definedName name="IQ_OG_PRDUCTION_GROWTH_OIL_EQUIVALENT">"c10069"</definedName>
    <definedName name="IQ_OG_PRDUCTION_GROWTH_TOAL">"c10071"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THOM">"c5304"</definedName>
    <definedName name="IQ_OPER_INC_BR">"c850"</definedName>
    <definedName name="IQ_OPER_INC_EST">"c1688"</definedName>
    <definedName name="IQ_OPER_INC_EST_THOM">"c5112"</definedName>
    <definedName name="IQ_OPER_INC_FIN">"c851"</definedName>
    <definedName name="IQ_OPER_INC_HIGH_EST">"c1690"</definedName>
    <definedName name="IQ_OPER_INC_HIGH_EST_THOM">"c5114"</definedName>
    <definedName name="IQ_OPER_INC_INS">"c852"</definedName>
    <definedName name="IQ_OPER_INC_LOW_EST">"c1691"</definedName>
    <definedName name="IQ_OPER_INC_LOW_EST_THOM">"c5115"</definedName>
    <definedName name="IQ_OPER_INC_MARGIN">"c1448"</definedName>
    <definedName name="IQ_OPER_INC_MEDIAN_EST">"c1689"</definedName>
    <definedName name="IQ_OPER_INC_MEDIAN_EST_THOM">"c5113"</definedName>
    <definedName name="IQ_OPER_INC_NUM_EST">"c1692"</definedName>
    <definedName name="IQ_OPER_INC_NUM_EST_THOM">"c5116"</definedName>
    <definedName name="IQ_OPER_INC_RE">"c6240"</definedName>
    <definedName name="IQ_OPER_INC_REIT">"c853"</definedName>
    <definedName name="IQ_OPER_INC_STDDEV_EST">"c1693"</definedName>
    <definedName name="IQ_OPER_INC_STDDEV_EST_THOM">"c5117"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"c2127"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EXCL_FWD_THOM">"c4056"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G_FWD_THOM">"c4059"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THOM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THOM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THOM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THOM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THOM">"c5268"</definedName>
    <definedName name="IQ_PERCENT_CHANGE_EST_5YR_GROWTH_RATE_DAY">"c1846"</definedName>
    <definedName name="IQ_PERCENT_CHANGE_EST_5YR_GROWTH_RATE_DAY_CIQ">"c3785"</definedName>
    <definedName name="IQ_PERCENT_CHANGE_EST_5YR_GROWTH_RATE_DAY_THOM">"c5264"</definedName>
    <definedName name="IQ_PERCENT_CHANGE_EST_5YR_GROWTH_RATE_MONTH">"c1848"</definedName>
    <definedName name="IQ_PERCENT_CHANGE_EST_5YR_GROWTH_RATE_MONTH_CIQ">"c3786"</definedName>
    <definedName name="IQ_PERCENT_CHANGE_EST_5YR_GROWTH_RATE_MONTH_THOM">"c5265"</definedName>
    <definedName name="IQ_PERCENT_CHANGE_EST_5YR_GROWTH_RATE_WEEK">"c1847"</definedName>
    <definedName name="IQ_PERCENT_CHANGE_EST_5YR_GROWTH_RATE_WEEK_CIQ">"c3797"</definedName>
    <definedName name="IQ_PERCENT_CHANGE_EST_5YR_GROWTH_RATE_WEEK_THOM">"c5277"</definedName>
    <definedName name="IQ_PERCENT_CHANGE_EST_CFPS_12MONTHS">"c1812"</definedName>
    <definedName name="IQ_PERCENT_CHANGE_EST_CFPS_12MONTHS_THOM">"c5234"</definedName>
    <definedName name="IQ_PERCENT_CHANGE_EST_CFPS_18MONTHS">"c1813"</definedName>
    <definedName name="IQ_PERCENT_CHANGE_EST_CFPS_18MONTHS_THOM">"c5235"</definedName>
    <definedName name="IQ_PERCENT_CHANGE_EST_CFPS_3MONTHS">"c1809"</definedName>
    <definedName name="IQ_PERCENT_CHANGE_EST_CFPS_3MONTHS_THOM">"c5231"</definedName>
    <definedName name="IQ_PERCENT_CHANGE_EST_CFPS_6MONTHS">"c1810"</definedName>
    <definedName name="IQ_PERCENT_CHANGE_EST_CFPS_6MONTHS_THOM">"c5232"</definedName>
    <definedName name="IQ_PERCENT_CHANGE_EST_CFPS_9MONTHS">"c1811"</definedName>
    <definedName name="IQ_PERCENT_CHANGE_EST_CFPS_9MONTHS_THOM">"c5233"</definedName>
    <definedName name="IQ_PERCENT_CHANGE_EST_CFPS_DAY">"c1806"</definedName>
    <definedName name="IQ_PERCENT_CHANGE_EST_CFPS_DAY_THOM">"c5229"</definedName>
    <definedName name="IQ_PERCENT_CHANGE_EST_CFPS_MONTH">"c1808"</definedName>
    <definedName name="IQ_PERCENT_CHANGE_EST_CFPS_MONTH_THOM">"c5230"</definedName>
    <definedName name="IQ_PERCENT_CHANGE_EST_CFPS_WEEK">"c1807"</definedName>
    <definedName name="IQ_PERCENT_CHANGE_EST_CFPS_WEEK_THOM">"c5272"</definedName>
    <definedName name="IQ_PERCENT_CHANGE_EST_DPS_12MONTHS">"c1820"</definedName>
    <definedName name="IQ_PERCENT_CHANGE_EST_DPS_12MONTHS_THOM">"c5241"</definedName>
    <definedName name="IQ_PERCENT_CHANGE_EST_DPS_18MONTHS">"c1821"</definedName>
    <definedName name="IQ_PERCENT_CHANGE_EST_DPS_18MONTHS_THOM">"c5242"</definedName>
    <definedName name="IQ_PERCENT_CHANGE_EST_DPS_3MONTHS">"c1817"</definedName>
    <definedName name="IQ_PERCENT_CHANGE_EST_DPS_3MONTHS_THOM">"c5238"</definedName>
    <definedName name="IQ_PERCENT_CHANGE_EST_DPS_6MONTHS">"c1818"</definedName>
    <definedName name="IQ_PERCENT_CHANGE_EST_DPS_6MONTHS_THOM">"c5239"</definedName>
    <definedName name="IQ_PERCENT_CHANGE_EST_DPS_9MONTHS">"c1819"</definedName>
    <definedName name="IQ_PERCENT_CHANGE_EST_DPS_9MONTHS_THOM">"c5240"</definedName>
    <definedName name="IQ_PERCENT_CHANGE_EST_DPS_DAY">"c1814"</definedName>
    <definedName name="IQ_PERCENT_CHANGE_EST_DPS_DAY_THOM">"c5236"</definedName>
    <definedName name="IQ_PERCENT_CHANGE_EST_DPS_MONTH">"c1816"</definedName>
    <definedName name="IQ_PERCENT_CHANGE_EST_DPS_MONTH_THOM">"c5237"</definedName>
    <definedName name="IQ_PERCENT_CHANGE_EST_DPS_WEEK">"c1815"</definedName>
    <definedName name="IQ_PERCENT_CHANGE_EST_DPS_WEEK_THOM">"c5273"</definedName>
    <definedName name="IQ_PERCENT_CHANGE_EST_EBITDA_12MONTHS">"c1804"</definedName>
    <definedName name="IQ_PERCENT_CHANGE_EST_EBITDA_12MONTHS_CIQ">"c3748"</definedName>
    <definedName name="IQ_PERCENT_CHANGE_EST_EBITDA_12MONTHS_THOM">"c5227"</definedName>
    <definedName name="IQ_PERCENT_CHANGE_EST_EBITDA_18MONTHS">"c1805"</definedName>
    <definedName name="IQ_PERCENT_CHANGE_EST_EBITDA_18MONTHS_CIQ">"c3749"</definedName>
    <definedName name="IQ_PERCENT_CHANGE_EST_EBITDA_18MONTHS_THOM">"c5228"</definedName>
    <definedName name="IQ_PERCENT_CHANGE_EST_EBITDA_3MONTHS">"c1801"</definedName>
    <definedName name="IQ_PERCENT_CHANGE_EST_EBITDA_3MONTHS_CIQ">"c3745"</definedName>
    <definedName name="IQ_PERCENT_CHANGE_EST_EBITDA_3MONTHS_THOM">"c5224"</definedName>
    <definedName name="IQ_PERCENT_CHANGE_EST_EBITDA_6MONTHS">"c1802"</definedName>
    <definedName name="IQ_PERCENT_CHANGE_EST_EBITDA_6MONTHS_CIQ">"c3746"</definedName>
    <definedName name="IQ_PERCENT_CHANGE_EST_EBITDA_6MONTHS_THOM">"c5225"</definedName>
    <definedName name="IQ_PERCENT_CHANGE_EST_EBITDA_9MONTHS">"c1803"</definedName>
    <definedName name="IQ_PERCENT_CHANGE_EST_EBITDA_9MONTHS_CIQ">"c3747"</definedName>
    <definedName name="IQ_PERCENT_CHANGE_EST_EBITDA_9MONTHS_THOM">"c5226"</definedName>
    <definedName name="IQ_PERCENT_CHANGE_EST_EBITDA_DAY">"c1798"</definedName>
    <definedName name="IQ_PERCENT_CHANGE_EST_EBITDA_DAY_CIQ">"c3743"</definedName>
    <definedName name="IQ_PERCENT_CHANGE_EST_EBITDA_DAY_THOM">"c5222"</definedName>
    <definedName name="IQ_PERCENT_CHANGE_EST_EBITDA_MONTH">"c1800"</definedName>
    <definedName name="IQ_PERCENT_CHANGE_EST_EBITDA_MONTH_CIQ">"c3744"</definedName>
    <definedName name="IQ_PERCENT_CHANGE_EST_EBITDA_MONTH_THOM">"c5223"</definedName>
    <definedName name="IQ_PERCENT_CHANGE_EST_EBITDA_WEEK">"c1799"</definedName>
    <definedName name="IQ_PERCENT_CHANGE_EST_EBITDA_WEEK_CIQ">"c3792"</definedName>
    <definedName name="IQ_PERCENT_CHANGE_EST_EBITDA_WEEK_THOM">"c5271"</definedName>
    <definedName name="IQ_PERCENT_CHANGE_EST_EPS_12MONTHS">"c1788"</definedName>
    <definedName name="IQ_PERCENT_CHANGE_EST_EPS_12MONTHS_CIQ">"c3733"</definedName>
    <definedName name="IQ_PERCENT_CHANGE_EST_EPS_12MONTHS_THOM">"c5212"</definedName>
    <definedName name="IQ_PERCENT_CHANGE_EST_EPS_18MONTHS">"c1789"</definedName>
    <definedName name="IQ_PERCENT_CHANGE_EST_EPS_18MONTHS_CIQ">"c3734"</definedName>
    <definedName name="IQ_PERCENT_CHANGE_EST_EPS_18MONTHS_THOM">"c5213"</definedName>
    <definedName name="IQ_PERCENT_CHANGE_EST_EPS_3MONTHS">"c1785"</definedName>
    <definedName name="IQ_PERCENT_CHANGE_EST_EPS_3MONTHS_CIQ">"c3730"</definedName>
    <definedName name="IQ_PERCENT_CHANGE_EST_EPS_3MONTHS_THOM">"c5209"</definedName>
    <definedName name="IQ_PERCENT_CHANGE_EST_EPS_6MONTHS">"c1786"</definedName>
    <definedName name="IQ_PERCENT_CHANGE_EST_EPS_6MONTHS_CIQ">"c3731"</definedName>
    <definedName name="IQ_PERCENT_CHANGE_EST_EPS_6MONTHS_THOM">"c5210"</definedName>
    <definedName name="IQ_PERCENT_CHANGE_EST_EPS_9MONTHS">"c1787"</definedName>
    <definedName name="IQ_PERCENT_CHANGE_EST_EPS_9MONTHS_CIQ">"c3732"</definedName>
    <definedName name="IQ_PERCENT_CHANGE_EST_EPS_9MONTHS_THOM">"c5211"</definedName>
    <definedName name="IQ_PERCENT_CHANGE_EST_EPS_DAY">"c1782"</definedName>
    <definedName name="IQ_PERCENT_CHANGE_EST_EPS_DAY_CIQ">"c3727"</definedName>
    <definedName name="IQ_PERCENT_CHANGE_EST_EPS_DAY_THOM">"c5206"</definedName>
    <definedName name="IQ_PERCENT_CHANGE_EST_EPS_MONTH">"c1784"</definedName>
    <definedName name="IQ_PERCENT_CHANGE_EST_EPS_MONTH_CIQ">"c3729"</definedName>
    <definedName name="IQ_PERCENT_CHANGE_EST_EPS_MONTH_THOM">"c5208"</definedName>
    <definedName name="IQ_PERCENT_CHANGE_EST_EPS_WEEK">"c1783"</definedName>
    <definedName name="IQ_PERCENT_CHANGE_EST_EPS_WEEK_CIQ">"c3728"</definedName>
    <definedName name="IQ_PERCENT_CHANGE_EST_EPS_WEEK_THOM">"c5207"</definedName>
    <definedName name="IQ_PERCENT_CHANGE_EST_FFO_12MONTHS">"c1828"</definedName>
    <definedName name="IQ_PERCENT_CHANGE_EST_FFO_12MONTHS_THOM">"c5248"</definedName>
    <definedName name="IQ_PERCENT_CHANGE_EST_FFO_18MONTHS">"c1829"</definedName>
    <definedName name="IQ_PERCENT_CHANGE_EST_FFO_18MONTHS_THOM">"c5249"</definedName>
    <definedName name="IQ_PERCENT_CHANGE_EST_FFO_3MONTHS">"c1825"</definedName>
    <definedName name="IQ_PERCENT_CHANGE_EST_FFO_3MONTHS_THOM">"c5245"</definedName>
    <definedName name="IQ_PERCENT_CHANGE_EST_FFO_6MONTHS">"c1826"</definedName>
    <definedName name="IQ_PERCENT_CHANGE_EST_FFO_6MONTHS_THOM">"c5246"</definedName>
    <definedName name="IQ_PERCENT_CHANGE_EST_FFO_9MONTHS">"c1827"</definedName>
    <definedName name="IQ_PERCENT_CHANGE_EST_FFO_9MONTHS_THOM">"c5247"</definedName>
    <definedName name="IQ_PERCENT_CHANGE_EST_FFO_DAY">"c1822"</definedName>
    <definedName name="IQ_PERCENT_CHANGE_EST_FFO_DAY_THOM">"c5243"</definedName>
    <definedName name="IQ_PERCENT_CHANGE_EST_FFO_MONTH">"c1824"</definedName>
    <definedName name="IQ_PERCENT_CHANGE_EST_FFO_MONTH_THOM">"c5244"</definedName>
    <definedName name="IQ_PERCENT_CHANGE_EST_FFO_SHARE_SHARE_12MONTHS">"c1828"</definedName>
    <definedName name="IQ_PERCENT_CHANGE_EST_FFO_SHARE_SHARE_12MONTHS_CIQ">"c3769"</definedName>
    <definedName name="IQ_PERCENT_CHANGE_EST_FFO_SHARE_SHARE_18MONTHS">"c1829"</definedName>
    <definedName name="IQ_PERCENT_CHANGE_EST_FFO_SHARE_SHARE_18MONTHS_CIQ">"c3770"</definedName>
    <definedName name="IQ_PERCENT_CHANGE_EST_FFO_SHARE_SHARE_3MONTHS">"c1825"</definedName>
    <definedName name="IQ_PERCENT_CHANGE_EST_FFO_SHARE_SHARE_3MONTHS_CIQ">"c3766"</definedName>
    <definedName name="IQ_PERCENT_CHANGE_EST_FFO_SHARE_SHARE_6MONTHS">"c1826"</definedName>
    <definedName name="IQ_PERCENT_CHANGE_EST_FFO_SHARE_SHARE_6MONTHS_CIQ">"c3767"</definedName>
    <definedName name="IQ_PERCENT_CHANGE_EST_FFO_SHARE_SHARE_9MONTHS">"c1827"</definedName>
    <definedName name="IQ_PERCENT_CHANGE_EST_FFO_SHARE_SHARE_9MONTHS_CIQ">"c3768"</definedName>
    <definedName name="IQ_PERCENT_CHANGE_EST_FFO_SHARE_SHARE_DAY">"c1822"</definedName>
    <definedName name="IQ_PERCENT_CHANGE_EST_FFO_SHARE_SHARE_DAY_CIQ">"c3764"</definedName>
    <definedName name="IQ_PERCENT_CHANGE_EST_FFO_SHARE_SHARE_MONTH">"c1824"</definedName>
    <definedName name="IQ_PERCENT_CHANGE_EST_FFO_SHARE_SHARE_MONTH_CIQ">"c3765"</definedName>
    <definedName name="IQ_PERCENT_CHANGE_EST_FFO_SHARE_SHARE_WEEK">"c1823"</definedName>
    <definedName name="IQ_PERCENT_CHANGE_EST_FFO_SHARE_SHARE_WEEK_CIQ">"c3795"</definedName>
    <definedName name="IQ_PERCENT_CHANGE_EST_FFO_WEEK">"c1823"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THOM">"c5262"</definedName>
    <definedName name="IQ_PERCENT_CHANGE_EST_PRICE_TARGET_18MONTHS">"c1845"</definedName>
    <definedName name="IQ_PERCENT_CHANGE_EST_PRICE_TARGET_18MONTHS_CIQ">"c3784"</definedName>
    <definedName name="IQ_PERCENT_CHANGE_EST_PRICE_TARGET_18MONTHS_THOM">"c5263"</definedName>
    <definedName name="IQ_PERCENT_CHANGE_EST_PRICE_TARGET_3MONTHS">"c1841"</definedName>
    <definedName name="IQ_PERCENT_CHANGE_EST_PRICE_TARGET_3MONTHS_CIQ">"c3780"</definedName>
    <definedName name="IQ_PERCENT_CHANGE_EST_PRICE_TARGET_3MONTHS_THOM">"c5259"</definedName>
    <definedName name="IQ_PERCENT_CHANGE_EST_PRICE_TARGET_6MONTHS">"c1842"</definedName>
    <definedName name="IQ_PERCENT_CHANGE_EST_PRICE_TARGET_6MONTHS_CIQ">"c3781"</definedName>
    <definedName name="IQ_PERCENT_CHANGE_EST_PRICE_TARGET_6MONTHS_THOM">"c5260"</definedName>
    <definedName name="IQ_PERCENT_CHANGE_EST_PRICE_TARGET_9MONTHS">"c1843"</definedName>
    <definedName name="IQ_PERCENT_CHANGE_EST_PRICE_TARGET_9MONTHS_CIQ">"c3782"</definedName>
    <definedName name="IQ_PERCENT_CHANGE_EST_PRICE_TARGET_9MONTHS_THOM">"c5261"</definedName>
    <definedName name="IQ_PERCENT_CHANGE_EST_PRICE_TARGET_DAY">"c1838"</definedName>
    <definedName name="IQ_PERCENT_CHANGE_EST_PRICE_TARGET_DAY_CIQ">"c3778"</definedName>
    <definedName name="IQ_PERCENT_CHANGE_EST_PRICE_TARGET_DAY_THOM">"c5257"</definedName>
    <definedName name="IQ_PERCENT_CHANGE_EST_PRICE_TARGET_MONTH">"c1840"</definedName>
    <definedName name="IQ_PERCENT_CHANGE_EST_PRICE_TARGET_MONTH_CIQ">"c3779"</definedName>
    <definedName name="IQ_PERCENT_CHANGE_EST_PRICE_TARGET_MONTH_THOM">"c5258"</definedName>
    <definedName name="IQ_PERCENT_CHANGE_EST_PRICE_TARGET_WEEK">"c1839"</definedName>
    <definedName name="IQ_PERCENT_CHANGE_EST_PRICE_TARGET_WEEK_CIQ">"c3798"</definedName>
    <definedName name="IQ_PERCENT_CHANGE_EST_PRICE_TARGET_WEEK_THOM">"c5276"</definedName>
    <definedName name="IQ_PERCENT_CHANGE_EST_RECO_12MONTHS">"c1836"</definedName>
    <definedName name="IQ_PERCENT_CHANGE_EST_RECO_12MONTHS_CIQ">"c3776"</definedName>
    <definedName name="IQ_PERCENT_CHANGE_EST_RECO_12MONTHS_THOM">"c5255"</definedName>
    <definedName name="IQ_PERCENT_CHANGE_EST_RECO_18MONTHS">"c1837"</definedName>
    <definedName name="IQ_PERCENT_CHANGE_EST_RECO_18MONTHS_CIQ">"c3777"</definedName>
    <definedName name="IQ_PERCENT_CHANGE_EST_RECO_18MONTHS_THOM">"c5256"</definedName>
    <definedName name="IQ_PERCENT_CHANGE_EST_RECO_3MONTHS">"c1833"</definedName>
    <definedName name="IQ_PERCENT_CHANGE_EST_RECO_3MONTHS_CIQ">"c3773"</definedName>
    <definedName name="IQ_PERCENT_CHANGE_EST_RECO_3MONTHS_THOM">"c5252"</definedName>
    <definedName name="IQ_PERCENT_CHANGE_EST_RECO_6MONTHS">"c1834"</definedName>
    <definedName name="IQ_PERCENT_CHANGE_EST_RECO_6MONTHS_CIQ">"c3774"</definedName>
    <definedName name="IQ_PERCENT_CHANGE_EST_RECO_6MONTHS_THOM">"c5253"</definedName>
    <definedName name="IQ_PERCENT_CHANGE_EST_RECO_9MONTHS">"c1835"</definedName>
    <definedName name="IQ_PERCENT_CHANGE_EST_RECO_9MONTHS_CIQ">"c3775"</definedName>
    <definedName name="IQ_PERCENT_CHANGE_EST_RECO_9MONTHS_THOM">"c5254"</definedName>
    <definedName name="IQ_PERCENT_CHANGE_EST_RECO_DAY">"c1830"</definedName>
    <definedName name="IQ_PERCENT_CHANGE_EST_RECO_DAY_CIQ">"c3771"</definedName>
    <definedName name="IQ_PERCENT_CHANGE_EST_RECO_DAY_THOM">"c5250"</definedName>
    <definedName name="IQ_PERCENT_CHANGE_EST_RECO_MONTH">"c1832"</definedName>
    <definedName name="IQ_PERCENT_CHANGE_EST_RECO_MONTH_CIQ">"c3772"</definedName>
    <definedName name="IQ_PERCENT_CHANGE_EST_RECO_MONTH_THOM">"c5251"</definedName>
    <definedName name="IQ_PERCENT_CHANGE_EST_RECO_WEEK">"c1831"</definedName>
    <definedName name="IQ_PERCENT_CHANGE_EST_RECO_WEEK_CIQ">"c3796"</definedName>
    <definedName name="IQ_PERCENT_CHANGE_EST_RECO_WEEK_THOM">"c5275"</definedName>
    <definedName name="IQ_PERCENT_CHANGE_EST_REV_12MONTHS">"c1796"</definedName>
    <definedName name="IQ_PERCENT_CHANGE_EST_REV_12MONTHS_CIQ">"c3741"</definedName>
    <definedName name="IQ_PERCENT_CHANGE_EST_REV_12MONTHS_THOM">"c5220"</definedName>
    <definedName name="IQ_PERCENT_CHANGE_EST_REV_18MONTHS">"c1797"</definedName>
    <definedName name="IQ_PERCENT_CHANGE_EST_REV_18MONTHS_CIQ">"c3742"</definedName>
    <definedName name="IQ_PERCENT_CHANGE_EST_REV_18MONTHS_THOM">"c5221"</definedName>
    <definedName name="IQ_PERCENT_CHANGE_EST_REV_3MONTHS">"c1793"</definedName>
    <definedName name="IQ_PERCENT_CHANGE_EST_REV_3MONTHS_CIQ">"c3738"</definedName>
    <definedName name="IQ_PERCENT_CHANGE_EST_REV_3MONTHS_THOM">"c5217"</definedName>
    <definedName name="IQ_PERCENT_CHANGE_EST_REV_6MONTHS">"c1794"</definedName>
    <definedName name="IQ_PERCENT_CHANGE_EST_REV_6MONTHS_CIQ">"c3739"</definedName>
    <definedName name="IQ_PERCENT_CHANGE_EST_REV_6MONTHS_THOM">"c5218"</definedName>
    <definedName name="IQ_PERCENT_CHANGE_EST_REV_9MONTHS">"c1795"</definedName>
    <definedName name="IQ_PERCENT_CHANGE_EST_REV_9MONTHS_CIQ">"c3740"</definedName>
    <definedName name="IQ_PERCENT_CHANGE_EST_REV_9MONTHS_THOM">"c5219"</definedName>
    <definedName name="IQ_PERCENT_CHANGE_EST_REV_DAY">"c1790"</definedName>
    <definedName name="IQ_PERCENT_CHANGE_EST_REV_DAY_CIQ">"c3735"</definedName>
    <definedName name="IQ_PERCENT_CHANGE_EST_REV_DAY_THOM">"c5214"</definedName>
    <definedName name="IQ_PERCENT_CHANGE_EST_REV_MONTH">"c1792"</definedName>
    <definedName name="IQ_PERCENT_CHANGE_EST_REV_MONTH_CIQ">"c3737"</definedName>
    <definedName name="IQ_PERCENT_CHANGE_EST_REV_MONTH_THOM">"c5216"</definedName>
    <definedName name="IQ_PERCENT_CHANGE_EST_REV_WEEK">"c1791"</definedName>
    <definedName name="IQ_PERCENT_CHANGE_EST_REV_WEEK_CIQ">"c3736"</definedName>
    <definedName name="IQ_PERCENT_CHANGE_EST_REV_WEEK_THOM">"c5215"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"c10027"</definedName>
    <definedName name="IQ_PHARMBIO_NUMBER_PROD__CLINICAL_DEV">"c10022"</definedName>
    <definedName name="IQ_PHARMBIO_NUMBER_PROD__LAUNCHED_DURING_PERIOD">"c10028"</definedName>
    <definedName name="IQ_PHARMBIO_NUMBER_PROD__PHASE_I">"c10023"</definedName>
    <definedName name="IQ_PHARMBIO_NUMBER_PROD__PHASE_II">"c10024"</definedName>
    <definedName name="IQ_PHARMBIO_NUMBER_PROD__PHASE_III">"c10025"</definedName>
    <definedName name="IQ_PHARMBIO_NUMBER_PROD__PRE_CLINICAL_TRIALS">"c10021"</definedName>
    <definedName name="IQ_PHARMBIO_NUMBER_PROD__PRE_REGISTRATION">"c10026"</definedName>
    <definedName name="IQ_PHARMBIO_NUMBER_PROD__RESEARCH_DEV">"c10020"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THOM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THOM">"c5305"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EST_THOM">"c5119"</definedName>
    <definedName name="IQ_PRETAX_INC_HIGH_EST">"c1697"</definedName>
    <definedName name="IQ_PRETAX_INC_HIGH_EST_THOM">"c5121"</definedName>
    <definedName name="IQ_PRETAX_INC_LOW_EST">"c1698"</definedName>
    <definedName name="IQ_PRETAX_INC_LOW_EST_THOM">"c5122"</definedName>
    <definedName name="IQ_PRETAX_INC_MEDIAN_EST">"c1696"</definedName>
    <definedName name="IQ_PRETAX_INC_MEDIAN_EST_THOM">"c5120"</definedName>
    <definedName name="IQ_PRETAX_INC_NUM_EST">"c1699"</definedName>
    <definedName name="IQ_PRETAX_INC_NUM_EST_THOM">"c5123"</definedName>
    <definedName name="IQ_PRETAX_INC_STDDEV_EST">"c1700"</definedName>
    <definedName name="IQ_PRETAX_INC_STDDEV_EST_THOM">"c5124"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CFPS_FWD_THOM">"c4060"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CIQ">"c3613"</definedName>
    <definedName name="IQ_PRICE_TARGET_REUT">"c3631"</definedName>
    <definedName name="IQ_PRICE_TARGET_THOM">"c3649"</definedName>
    <definedName name="IQ_PRICEDATE">"c1069"</definedName>
    <definedName name="IQ_PRICING_DATE">"c1613"</definedName>
    <definedName name="IQ_PRIMARY_EPS_TYPE">"c4498"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SHARE_ACT_OR_EST">"c4508"</definedName>
    <definedName name="IQ_RECURRING_PROFIT_SHARE_ACT_OR_EST_CIQ">"c5046"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_THOM">"c5310"</definedName>
    <definedName name="IQ_RETURN_ASSETS_BANK">"c1114"</definedName>
    <definedName name="IQ_RETURN_ASSETS_BROK">"c1115"</definedName>
    <definedName name="IQ_RETURN_ASSETS_EST">"c3529"</definedName>
    <definedName name="IQ_RETURN_ASSETS_EST_THOM">"c4034"</definedName>
    <definedName name="IQ_RETURN_ASSETS_FDIC">"c6730"</definedName>
    <definedName name="IQ_RETURN_ASSETS_FS">"c1116"</definedName>
    <definedName name="IQ_RETURN_ASSETS_HIGH_EST">"c3530"</definedName>
    <definedName name="IQ_RETURN_ASSETS_HIGH_EST_THOM">"c4036"</definedName>
    <definedName name="IQ_RETURN_ASSETS_LOW_EST">"c3531"</definedName>
    <definedName name="IQ_RETURN_ASSETS_LOW_EST_THOM">"c4037"</definedName>
    <definedName name="IQ_RETURN_ASSETS_MEDIAN_EST">"c3532"</definedName>
    <definedName name="IQ_RETURN_ASSETS_MEDIAN_EST_THOM">"c4035"</definedName>
    <definedName name="IQ_RETURN_ASSETS_NUM_EST">"c3527"</definedName>
    <definedName name="IQ_RETURN_ASSETS_NUM_EST_THOM">"c4038"</definedName>
    <definedName name="IQ_RETURN_ASSETS_STDDEV_EST">"c3528"</definedName>
    <definedName name="IQ_RETURN_ASSETS_STDDEV_EST_THOM">"c4039"</definedName>
    <definedName name="IQ_RETURN_CAPITAL">"c1117"</definedName>
    <definedName name="IQ_RETURN_EMBEDDED_VALUE">"c9974"</definedName>
    <definedName name="IQ_RETURN_EQUITY">"c1118"</definedName>
    <definedName name="IQ_RETURN_EQUITY_ACT_OR_EST_THOM">"c5311"</definedName>
    <definedName name="IQ_RETURN_EQUITY_BANK">"c1119"</definedName>
    <definedName name="IQ_RETURN_EQUITY_BROK">"c1120"</definedName>
    <definedName name="IQ_RETURN_EQUITY_EST">"c3535"</definedName>
    <definedName name="IQ_RETURN_EQUITY_EST_THOM">"c5479"</definedName>
    <definedName name="IQ_RETURN_EQUITY_FDIC">"c6732"</definedName>
    <definedName name="IQ_RETURN_EQUITY_FS">"c1121"</definedName>
    <definedName name="IQ_RETURN_EQUITY_HIGH_EST">"c3536"</definedName>
    <definedName name="IQ_RETURN_EQUITY_HIGH_EST_THOM">"c5283"</definedName>
    <definedName name="IQ_RETURN_EQUITY_LOW_EST">"c3537"</definedName>
    <definedName name="IQ_RETURN_EQUITY_LOW_EST_THOM">"c5284"</definedName>
    <definedName name="IQ_RETURN_EQUITY_MEDIAN_EST">"c3538"</definedName>
    <definedName name="IQ_RETURN_EQUITY_MEDIAN_EST_THOM">"c5282"</definedName>
    <definedName name="IQ_RETURN_EQUITY_NUM_EST">"c3533"</definedName>
    <definedName name="IQ_RETURN_EQUITY_NUM_EST_THOM">"c5285"</definedName>
    <definedName name="IQ_RETURN_EQUITY_STDDEV_EST">"c3534"</definedName>
    <definedName name="IQ_RETURN_EQUITY_STDDEV_EST_THOM">"c5286"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STDDEV_EST_THOM">"c3657"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ACT_OR_EST_THOM">"c5299"</definedName>
    <definedName name="IQ_REVENUE_EST">"c1126"</definedName>
    <definedName name="IQ_REVENUE_EST_CIQ">"c3616"</definedName>
    <definedName name="IQ_REVENUE_EST_REUT">"c3634"</definedName>
    <definedName name="IQ_REVENUE_EST_THOM">"c3652"</definedName>
    <definedName name="IQ_REVENUE_HIGH_EST">"c1127"</definedName>
    <definedName name="IQ_REVENUE_HIGH_EST_CIQ">"c3618"</definedName>
    <definedName name="IQ_REVENUE_HIGH_EST_REUT">"c3636"</definedName>
    <definedName name="IQ_REVENUE_HIGH_EST_THOM">"c3654"</definedName>
    <definedName name="IQ_REVENUE_LOW_EST">"c1128"</definedName>
    <definedName name="IQ_REVENUE_LOW_EST_CIQ">"c3619"</definedName>
    <definedName name="IQ_REVENUE_LOW_EST_REUT">"c3637"</definedName>
    <definedName name="IQ_REVENUE_LOW_EST_THOM">"c3655"</definedName>
    <definedName name="IQ_REVENUE_MEDIAN_EST">"c1662"</definedName>
    <definedName name="IQ_REVENUE_MEDIAN_EST_CIQ">"c3617"</definedName>
    <definedName name="IQ_REVENUE_MEDIAN_EST_REUT">"c3635"</definedName>
    <definedName name="IQ_REVENUE_MEDIAN_EST_THOM">"c3653"</definedName>
    <definedName name="IQ_REVENUE_NUM_EST">"c1129"</definedName>
    <definedName name="IQ_REVENUE_NUM_EST_CIQ">"c3620"</definedName>
    <definedName name="IQ_REVENUE_NUM_EST_REUT">"c3638"</definedName>
    <definedName name="IQ_REVENUE_NUM_EST_THOM">"c3656"</definedName>
    <definedName name="IQ_REVISION_DATE_" localSheetId="0">39734.3457291667</definedName>
    <definedName name="IQ_REVISION_DATE_">39734.3457291667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GA">"c2993"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NUM_REUT">"c5319"</definedName>
    <definedName name="IQ_TARGET_PRICE_NUM_THOM">"c5098"</definedName>
    <definedName name="IQ_TARGET_PRICE_STDDEV">"c1654"</definedName>
    <definedName name="IQ_TARGET_PRICE_STDDEV_CIQ">"c4662"</definedName>
    <definedName name="IQ_TARGET_PRICE_STDDEV_REUT">"c5320"</definedName>
    <definedName name="IQ_TARGET_PRICE_STDDEV_THOM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THOM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>"c4050"</definedName>
    <definedName name="IQ_TEV_EBITDA_FWD_THOM">"c4057"</definedName>
    <definedName name="IQ_TEV_EMPLOYEE_AVG">"c1225"</definedName>
    <definedName name="IQ_TEV_EST">"c4526"</definedName>
    <definedName name="IQ_TEV_EST_THOM">"c5529"</definedName>
    <definedName name="IQ_TEV_HIGH_EST">"c4527"</definedName>
    <definedName name="IQ_TEV_HIGH_EST_THOM">"c5530"</definedName>
    <definedName name="IQ_TEV_LOW_EST">"c4528"</definedName>
    <definedName name="IQ_TEV_LOW_EST_THOM">"c5531"</definedName>
    <definedName name="IQ_TEV_MEDIAN_EST">"c4529"</definedName>
    <definedName name="IQ_TEV_MEDIAN_EST_THOM">"c5532"</definedName>
    <definedName name="IQ_TEV_NUM_EST">"c4530"</definedName>
    <definedName name="IQ_TEV_NUM_EST_THOM">"c5533"</definedName>
    <definedName name="IQ_TEV_STDDEV_EST">"c4531"</definedName>
    <definedName name="IQ_TEV_STDDEV_EST_THOM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TOTAL_REV_FWD_THOM">"c4058"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XCL_FIN">"c2937"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NON_CURRENT">"c6191"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ShowHideColumns" localSheetId="0">"iQShowAnnual"</definedName>
    <definedName name="iQShowHideColumns">"iQShowAll"</definedName>
    <definedName name="iRepType">1</definedName>
    <definedName name="IsColHidden">FALSE</definedName>
    <definedName name="IsInitialization">0</definedName>
    <definedName name="IsLTMColHidden">FALSE</definedName>
    <definedName name="IssuePrice" localSheetId="0">[47]筹资!$E$24</definedName>
    <definedName name="IssuePrice">[48]筹资!$E$24</definedName>
    <definedName name="iueList" localSheetId="0">[107]GEMiner!#REF!</definedName>
    <definedName name="iueList">[108]GEMiner!#REF!</definedName>
    <definedName name="j" localSheetId="0">j</definedName>
    <definedName name="j">XN!j</definedName>
    <definedName name="Japan" localSheetId="0">{"twx1",#N/A,FALSE,"twltm.xls";"twx2",#N/A,FALSE,"twltm.xls";"twx3",#N/A,FALSE,"twltm.xls"}</definedName>
    <definedName name="Japan">{"twx1",#N/A,FALSE,"twltm.xls";"twx2",#N/A,FALSE,"twltm.xls";"twx3",#N/A,FALSE,"twltm.xls"}</definedName>
    <definedName name="JB_ZONE" localSheetId="0">[109]Amzn!$A$4:$H$60</definedName>
    <definedName name="JB_ZONE">[110]Amzn!$A$4:$H$60</definedName>
    <definedName name="jen" localSheetId="0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hiuh" localSheetId="0">{"'RCIM'!$E$128"}</definedName>
    <definedName name="jhiuh">{"'RCIM'!$E$128"}</definedName>
    <definedName name="john">{"'Inventory &amp; Anal-Cur Wkbk'!$A$7:$AP$71"}</definedName>
    <definedName name="joimnf" localSheetId="0">{"'RCIM'!$E$128"}</definedName>
    <definedName name="joimnf">{"'RCIM'!$E$128"}</definedName>
    <definedName name="js_gzrgjqfq" localSheetId="0">[71]假设!#REF!</definedName>
    <definedName name="js_gzrgjqfq">[72]假设!#REF!</definedName>
    <definedName name="js_ipofxgb" localSheetId="0">[71]假设!#REF!</definedName>
    <definedName name="js_ipofxgb">[72]假设!#REF!</definedName>
    <definedName name="js_ipofxjg" localSheetId="0">[71]假设!#REF!</definedName>
    <definedName name="js_ipofxjg">[72]假设!#REF!</definedName>
    <definedName name="js_lr_rzzgb" localSheetId="0">[71]假设!#REF!</definedName>
    <definedName name="js_lr_rzzgb">[72]假设!#REF!</definedName>
    <definedName name="js_lxzczbhl" localSheetId="0">[71]假设!#REF!</definedName>
    <definedName name="js_lxzczbhl">[72]假设!#REF!</definedName>
    <definedName name="js_qtcwfy" localSheetId="0">[71]假设!#REF!</definedName>
    <definedName name="js_qtcwfy">[72]假设!#REF!</definedName>
    <definedName name="js_yqzc" localSheetId="0">[71]假设!#REF!</definedName>
    <definedName name="js_yqzc">[72]假设!#REF!</definedName>
    <definedName name="js_zgb_ipozj" localSheetId="0">[71]假设!#REF!</definedName>
    <definedName name="js_zgb_ipozj">[72]假设!#REF!</definedName>
    <definedName name="js_zgb_sgzj" localSheetId="0">[71]假设!#REF!</definedName>
    <definedName name="js_zgb_sgzj">[72]假设!#REF!</definedName>
    <definedName name="just" localSheetId="0">{7}</definedName>
    <definedName name="just">{7}</definedName>
    <definedName name="K2_WBEVMODE">-1</definedName>
    <definedName name="KHN">{"'보고양식'!$A$58:$K$111"}</definedName>
    <definedName name="klklklkl" localSheetId="0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w" localSheetId="0">{"fdsup://Directions/FactSet Auditing Viewer?action=AUDIT_VALUE&amp;DB=129&amp;ID1=03783310&amp;VALUEID=02001&amp;SDATE=2009&amp;PERIODTYPE=ANN_STD&amp;window=popup_no_bar&amp;width=385&amp;height=120&amp;START_MAXIMIZED=FALSE&amp;creator=factset&amp;display_string=Audit"}</definedName>
    <definedName name="kw">{"fdsup://Directions/FactSet Auditing Viewer?action=AUDIT_VALUE&amp;DB=129&amp;ID1=03783310&amp;VALUEID=02001&amp;SDATE=2009&amp;PERIODTYPE=ANN_STD&amp;window=popup_no_bar&amp;width=385&amp;height=120&amp;START_MAXIMIZED=FALSE&amp;creator=factset&amp;display_string=Audit"}</definedName>
    <definedName name="lamp" localSheetId="0">lamp</definedName>
    <definedName name="lamp">XN!lamp</definedName>
    <definedName name="Last_BS" localSheetId="0">[66]BS!$D$4</definedName>
    <definedName name="Last_BS">[67]BS!$D$4</definedName>
    <definedName name="last93" localSheetId="0">[11]Curtrans!$Q$15</definedName>
    <definedName name="last93">[12]Curtrans!$Q$15</definedName>
    <definedName name="last94" localSheetId="0">[11]Curtrans!$Q$14</definedName>
    <definedName name="last94">[12]Curtrans!$Q$14</definedName>
    <definedName name="last95" localSheetId="0">[11]Curtrans!$Q$13</definedName>
    <definedName name="last95">[12]Curtrans!$Q$13</definedName>
    <definedName name="last96" localSheetId="0">[11]Curtrans!$Q$12</definedName>
    <definedName name="last96">[12]Curtrans!$Q$12</definedName>
    <definedName name="last97" localSheetId="0">[11]Curtrans!$Q$11</definedName>
    <definedName name="last97">[12]Curtrans!$Q$11</definedName>
    <definedName name="last98" localSheetId="0">[11]Curtrans!$Q$10</definedName>
    <definedName name="last98">[12]Curtrans!$Q$10</definedName>
    <definedName name="LastEndYear">2014</definedName>
    <definedName name="LastEstiDate">42264</definedName>
    <definedName name="LastEstNum">3</definedName>
    <definedName name="LastHasNew">"否"</definedName>
    <definedName name="LastReportList">"2010;2011;2012;2013;2014"</definedName>
    <definedName name="LastStYear">2010</definedName>
    <definedName name="LastTransitionYear">0</definedName>
    <definedName name="LastWindCode">"300383.SZ"</definedName>
    <definedName name="LDebtFinancing" localSheetId="0">[47]筹资!$E$23</definedName>
    <definedName name="LDebtFinancing">[48]筹资!$E$23</definedName>
    <definedName name="Leverage" localSheetId="0">[55]NERD!$G$13:$N$13</definedName>
    <definedName name="Leverage">[56]NERD!$G$13:$N$13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Linking_26">'[111]DCF Valuation'!#REF!</definedName>
    <definedName name="Linking_27">'[111]DCF Valuation'!#REF!</definedName>
    <definedName name="Linking_28">'[111]DCF Valuation'!#REF!</definedName>
    <definedName name="Linking_50">'[111]DCF Valuation'!#REF!</definedName>
    <definedName name="Linking_51">'[111]DCF Valuation'!#REF!</definedName>
    <definedName name="Linking_52">'[111]DCF Valuation'!#REF!</definedName>
    <definedName name="Linking_53">'[111]DCF Valuation'!#REF!</definedName>
    <definedName name="Linking_57">'[111]DCF Valuation'!#REF!</definedName>
    <definedName name="Linking_Range_3" localSheetId="0">'[112]Drivers &amp; Metrics'!$I$6:$W$78</definedName>
    <definedName name="Linking_Range_3">'[21]Drivers &amp; Metrics'!$I$6:$W$78</definedName>
    <definedName name="Linking_Range_30">'[113]Annual Output'!#REF!</definedName>
    <definedName name="Linking_Range_5" localSheetId="0">[112]Model!$I$118:$W$157</definedName>
    <definedName name="Linking_Range_5">[21]Model!$I$118:$W$157</definedName>
    <definedName name="linking_range_incremental">[114]EstChange!#REF!</definedName>
    <definedName name="Linking_range_z14">[114]EstChange!#REF!</definedName>
    <definedName name="linking_rnage_uu">[114]EstChange!#REF!</definedName>
    <definedName name="Linking_Text_1">[115]IS!#REF!</definedName>
    <definedName name="Liquidity" localSheetId="0">[55]NERD!$G$11:$N$11</definedName>
    <definedName name="Liquidity">[56]NERD!$G$11:$N$11</definedName>
    <definedName name="lisahuang" localSheetId="0">lisahuang</definedName>
    <definedName name="lisahuang">XN!lisahuang</definedName>
    <definedName name="LISTE">'[116]8. Load Forecast'!#REF!</definedName>
    <definedName name="ListOffset">1</definedName>
    <definedName name="ll_1">{"'Form'!$A$2:$J$81"}</definedName>
    <definedName name="LOCAL_MYSQL_DATE_FORMAT" localSheetId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_term_debt">'[60]Fin Stats'!$B$36:$M$36</definedName>
    <definedName name="Long_term_Debt_to_Capital">'[60]Fin Stats'!$B$41:$M$41</definedName>
    <definedName name="LongBorrowRate" localSheetId="0">[47]筹资!$B$8</definedName>
    <definedName name="LongBorrowRate">[48]筹资!$B$8</definedName>
    <definedName name="lowmid_gas_cf">'[29]Valuation Summary'!$AQ$29</definedName>
    <definedName name="lowmidmargin">'[29]Valuation Summary'!$AN$29</definedName>
    <definedName name="ltd">[36]NKEBALST!$BH$24:$BO$24</definedName>
    <definedName name="lust">'[117]15. Monthly MCPs'!#REF!</definedName>
    <definedName name="m" localSheetId="0">'[118]Stock Prices'!$D$6:$G$11</definedName>
    <definedName name="m">'[119]Stock Prices'!$D$6:$G$11</definedName>
    <definedName name="M_PlaceofPath">"\\SNYCEQT0100\HOME\DANDERS\COMPANY\IGT\IGT_VDF.xls"</definedName>
    <definedName name="MACRS_schedule">[120]Analysis!$C$2</definedName>
    <definedName name="MACRSoptions">[120]MACRS!$C$4:$C$8</definedName>
    <definedName name="Malaysia" localSheetId="0">'[58]HK rates'!$A$1:$J$38</definedName>
    <definedName name="Malaysia">'[59]HK rates'!$A$1:$J$38</definedName>
    <definedName name="Margin" localSheetId="0">[63]ISBSCF!$A$105:$AE$154</definedName>
    <definedName name="Margin">[64]ISBSCF!$A$105:$AE$154</definedName>
    <definedName name="Market_Value">'[60]Fin Stats'!$B$56:$M$56</definedName>
    <definedName name="markval">[36]NKEBALST!$BH$66:$BO$72</definedName>
    <definedName name="mat1q95eps">[121]MATQTRS!$I$70</definedName>
    <definedName name="mat1q96eps">[121]MATQTRS!$J$64</definedName>
    <definedName name="mat1q97eps">[121]MATQTRS!$K$64</definedName>
    <definedName name="mat2q95eps">[121]MATQTRS!$I$153</definedName>
    <definedName name="mat2q96eps">[121]MATQTRS!$J$147</definedName>
    <definedName name="mat2q97eps">[121]MATQTRS!$K$147</definedName>
    <definedName name="mat3q95eps">[121]MATQTRS!$I$238</definedName>
    <definedName name="mat3q96eps">[121]MATQTRS!$J$232</definedName>
    <definedName name="mat3q97eps">[121]MATQTRS!$K$232</definedName>
    <definedName name="mat4q95eps">[121]MATQTRS!$I$317</definedName>
    <definedName name="mat4q96eps">[121]MATQTRS!$J$317</definedName>
    <definedName name="mat4q97eps">[121]MATQTRS!$K$317</definedName>
    <definedName name="mat5YEARROE">'[121]UNIV-EBS DATA'!$K$4</definedName>
    <definedName name="mat5YREPS">'[121]UNIV-EBS DATA'!$F$6</definedName>
    <definedName name="mat95bookvalshare">'[121]UNIV-EBS DATA'!$D$18</definedName>
    <definedName name="mat95casheps">'[121]UNIV-EBS DATA'!$D$17</definedName>
    <definedName name="mat95roe">'[121]UNIV-EBS DATA'!$D$25</definedName>
    <definedName name="mat96bookvalshare">'[121]UNIV-EBS DATA'!$E$18</definedName>
    <definedName name="mat96casheps">'[121]UNIV-EBS DATA'!$E$17</definedName>
    <definedName name="mat96roe">'[121]UNIV-EBS DATA'!$E$25</definedName>
    <definedName name="mat97bookvalshare">'[121]UNIV-EBS DATA'!$F$18</definedName>
    <definedName name="mat97casheps">'[121]UNIV-EBS DATA'!$F$17</definedName>
    <definedName name="mat97roe">'[121]UNIV-EBS DATA'!$F$25</definedName>
    <definedName name="matcomments">'[121]UNIV-EBS DATA'!$D$26</definedName>
    <definedName name="matNORMORE">'[121]UNIV-EBS DATA'!$K$5</definedName>
    <definedName name="matNORMROE">'[121]UNIV-EBS DATA'!$K$5</definedName>
    <definedName name="matROE">'[121]UNIV-EBS DATA'!$K$4</definedName>
    <definedName name="Mattel__Inc.">[121]MATQTRS!$A$258:$U$340</definedName>
    <definedName name="METRIC_PRICE_TARGET" localSheetId="0">[122]Valuation!$E$138</definedName>
    <definedName name="METRIC_PRICE_TARGET">[123]Valuation!$E$138</definedName>
    <definedName name="mfpoerjf" localSheetId="0">{"'RCIM'!$E$128"}</definedName>
    <definedName name="mfpoerjf">{"'RCIM'!$E$128"}</definedName>
    <definedName name="mgmt">[124]Scenario!#REF!</definedName>
    <definedName name="Midland" localSheetId="0">'[58]HK rates'!$A$1:$L$50</definedName>
    <definedName name="Midland">'[59]HK rates'!$A$1:$L$50</definedName>
    <definedName name="mil">1000000</definedName>
    <definedName name="MinCashBalance" localSheetId="0">[47]筹资!$B$9</definedName>
    <definedName name="MinCashBalance">[48]筹资!$B$9</definedName>
    <definedName name="Minority_Interest">'[60]Fin Stats'!$B$53:$M$53</definedName>
    <definedName name="misc">1</definedName>
    <definedName name="misc2">1</definedName>
    <definedName name="mmm">{"'Form'!$A$2:$J$81"}</definedName>
    <definedName name="mmm_1">{"'Form'!$A$2:$J$81"}</definedName>
    <definedName name="mmmmm" localSheetId="0">{#N/A,#N/A,FALSE,"Cover";#N/A,#N/A,FALSE,"LUMI";#N/A,#N/A,FALSE,"COMD";#N/A,#N/A,FALSE,"Valuation";#N/A,#N/A,FALSE,"Assumptions";#N/A,#N/A,FALSE,"Pooling";#N/A,#N/A,FALSE,"BalanceSheet"}</definedName>
    <definedName name="mmmmm">{#N/A,#N/A,FALSE,"Cover";#N/A,#N/A,FALSE,"LUMI";#N/A,#N/A,FALSE,"COMD";#N/A,#N/A,FALSE,"Valuation";#N/A,#N/A,FALSE,"Assumptions";#N/A,#N/A,FALSE,"Pooling";#N/A,#N/A,FALSE,"BalanceSheet"}</definedName>
    <definedName name="MonitorCol">1</definedName>
    <definedName name="MonitorRow">1</definedName>
    <definedName name="multSecurities_L">[125]MultipleSecurities!$A$2:$A$17</definedName>
    <definedName name="mvropemld" localSheetId="0">{"'RCIM'!$E$128"}</definedName>
    <definedName name="mvropemld">{"'RCIM'!$E$128"}</definedName>
    <definedName name="mynameis" localSheetId="0">mynameis</definedName>
    <definedName name="mynameis">XN!mynameis</definedName>
    <definedName name="Name" localSheetId="0">Name</definedName>
    <definedName name="Name">XN!Name</definedName>
    <definedName name="NAPPhc">[126]Competitive!#REF!</definedName>
    <definedName name="NAPPheat">[126]Competitive!#REF!</definedName>
    <definedName name="NAPPpct">[126]Competitive!#REF!</definedName>
    <definedName name="ncowe" localSheetId="0">{"'RCIM'!$E$128"}</definedName>
    <definedName name="ncowe">{"'RCIM'!$E$128"}</definedName>
    <definedName name="ndsj_cqdtfytx" localSheetId="0">[71]年度数据!#REF!</definedName>
    <definedName name="ndsj_cqdtfytx">[72]年度数据!#REF!</definedName>
    <definedName name="ndsj_czhdxjl" localSheetId="0">[71]年度数据!#REF!</definedName>
    <definedName name="ndsj_czhdxjl">[72]年度数据!#REF!</definedName>
    <definedName name="ndsj_gdzczj" localSheetId="0">[71]年度数据!#REF!</definedName>
    <definedName name="ndsj_gdzczj">[72]年度数据!#REF!</definedName>
    <definedName name="ndsj_jyhdxjl" localSheetId="0">[71]年度数据!#REF!</definedName>
    <definedName name="ndsj_jyhdxjl">[72]年度数据!#REF!</definedName>
    <definedName name="ndsj_tzhdxjl" localSheetId="0">[71]年度数据!#REF!</definedName>
    <definedName name="ndsj_tzhdxjl">[72]年度数据!#REF!</definedName>
    <definedName name="ndsj_wxzctx" localSheetId="0">[71]年度数据!#REF!</definedName>
    <definedName name="ndsj_wxzctx">[72]年度数据!#REF!</definedName>
    <definedName name="NEIL">[127]Florida!#REF!</definedName>
    <definedName name="Net_Debt">'[60]Fin Stats'!$B$51:$M$51</definedName>
    <definedName name="Net_income__loss" localSheetId="0">'[7]P&amp;L'!$B$62:$AH$62</definedName>
    <definedName name="Net_income__loss">'[8]P&amp;L'!$B$62:$AH$62</definedName>
    <definedName name="Net_Income_Margin">'[60]Fin Stats'!$B$26:$M$26</definedName>
    <definedName name="netdebt98" localSheetId="0">'[37]Consolidated Financials'!$H$269</definedName>
    <definedName name="netdebt98">'[38]Consolidated Financials'!$H$269</definedName>
    <definedName name="netdebt99" localSheetId="0">'[37]Consolidated Financials'!$M$269</definedName>
    <definedName name="netdebt99">'[38]Consolidated Financials'!$M$269</definedName>
    <definedName name="NetIncometocommon">[128]Model!$A$150:$IV$150</definedName>
    <definedName name="NetinterestMargin" localSheetId="0">[55]NERD!$G$15:$N$15</definedName>
    <definedName name="NetinterestMargin">[56]NERD!$G$15:$N$15</definedName>
    <definedName name="New" localSheetId="0">{"twx1",#N/A,FALSE,"twltm.xls";"twx2",#N/A,FALSE,"twltm.xls";"twx3",#N/A,FALSE,"twltm.xls"}</definedName>
    <definedName name="New">{"twx1",#N/A,FALSE,"twltm.xls";"twx2",#N/A,FALSE,"twltm.xls";"twx3",#N/A,FALSE,"twltm.xls"}</definedName>
    <definedName name="Newer" localSheetId="0">{"'Segment'!$A$1:$J$45"}</definedName>
    <definedName name="Newer">{"'Segment'!$A$1:$J$45"}</definedName>
    <definedName name="newstuff" localSheetId="0">newstuff</definedName>
    <definedName name="newstuff">XN!newstuff</definedName>
    <definedName name="ng">{"Refining 1",#N/A,FALSE,"Detailed cost - crude";"Refining 2",#N/A,FALSE,"Detailed cost - crude"}</definedName>
    <definedName name="nine">'[57]O-1.11 Other Deductions'!$F$59,'[57]O-1.11 Other Deductions'!$C$24,'[57]O-1.11 Other Deductions'!$C$19</definedName>
    <definedName name="NM">"NM"</definedName>
    <definedName name="nmnmm" localSheetId="0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S2_AdjX" localSheetId="0">[71]单公司Beta!$D$6</definedName>
    <definedName name="nmS2_AdjX">[72]单公司Beta!$D$6</definedName>
    <definedName name="nmS2_Beta" localSheetId="0">[71]单公司Beta!$B$12</definedName>
    <definedName name="nmS2_Beta">[72]单公司Beta!$B$12</definedName>
    <definedName name="nmS2_BookD" localSheetId="0">[71]单公司Beta!$D$22</definedName>
    <definedName name="nmS2_BookD">[72]单公司Beta!$D$22</definedName>
    <definedName name="nmS2_BookE" localSheetId="0">[71]单公司Beta!$E$22</definedName>
    <definedName name="nmS2_BookE">[72]单公司Beta!$E$22</definedName>
    <definedName name="nmS2_ChooseData1" localSheetId="0">OFFSET(nmS2_HisQuoteStart,0,5,nmS2_PointCount,1)</definedName>
    <definedName name="nmS2_ChooseData1">OFFSET(nmS2_HisQuoteStart,0,5,nmS2_PointCount,1)</definedName>
    <definedName name="nmS2_ChooseData2" localSheetId="0">OFFSET(nmS2_HisQuoteStart,0,6,nmS2_PointCount,1)</definedName>
    <definedName name="nmS2_ChooseData2">OFFSET(nmS2_HisQuoteStart,0,6,nmS2_PointCount,1)</definedName>
    <definedName name="nmS2_ChooseDate" localSheetId="0">OFFSET(nmS2_HisQuoteStart,0,0,nmS2_PointCount,1)</definedName>
    <definedName name="nmS2_ChooseDate">OFFSET(nmS2_HisQuoteStart,0,0,nmS2_PointCount,1)</definedName>
    <definedName name="nmS2_EndDate" localSheetId="0">[71]单公司Beta!$B$8</definedName>
    <definedName name="nmS2_EndDate">[72]单公司Beta!$B$8</definedName>
    <definedName name="nmS2_HisQuoteStart" localSheetId="0">[71]单公司Beta!$A$43</definedName>
    <definedName name="nmS2_HisQuoteStart">[72]单公司Beta!$A$43</definedName>
    <definedName name="nmS2_MarketD" localSheetId="0">[71]单公司Beta!$D$26</definedName>
    <definedName name="nmS2_MarketD">[72]单公司Beta!$D$26</definedName>
    <definedName name="nmS2_MarketE" localSheetId="0">[71]单公司Beta!$E$26</definedName>
    <definedName name="nmS2_MarketE">[72]单公司Beta!$E$26</definedName>
    <definedName name="nmS2_PointCount" localSheetId="0">[71]单公司Beta!$B$18</definedName>
    <definedName name="nmS2_PointCount">[72]单公司Beta!$B$18</definedName>
    <definedName name="nmS2_TaxRate" localSheetId="0">[71]单公司Beta!$D$7</definedName>
    <definedName name="nmS2_TaxRate">[72]单公司Beta!$D$7</definedName>
    <definedName name="nmS2_ULBetaBV" localSheetId="0">[71]单公司Beta!$B$13</definedName>
    <definedName name="nmS2_ULBetaBV">[72]单公司Beta!$B$13</definedName>
    <definedName name="nmS2_ULBetaCustom" localSheetId="0">[71]单公司Beta!$B$15</definedName>
    <definedName name="nmS2_ULBetaCustom">[72]单公司Beta!$B$15</definedName>
    <definedName name="nmS2_ULBetaMV" localSheetId="0">[71]单公司Beta!$B$14</definedName>
    <definedName name="nmS2_ULBetaMV">[72]单公司Beta!$B$14</definedName>
    <definedName name="nmS6_IndexMatrix">[129]Cache!$D$1:$E$16</definedName>
    <definedName name="nmS6_IndexName">[129]Cache!$D$1:$D$16</definedName>
    <definedName name="nnn">{"'Form'!$A$2:$J$81"}</definedName>
    <definedName name="nnn_1">{"'Form'!$A$2:$J$81"}</definedName>
    <definedName name="no">{"PR1","pr1",TRUE,"Sch PR-1"}</definedName>
    <definedName name="NO_YEARS" localSheetId="0">[43]Summary!#REF!</definedName>
    <definedName name="NO_YEARS">[44]Summary!#REF!</definedName>
    <definedName name="Nope">{"'Bellville Acetylene'!$A$1:$L$99"}</definedName>
    <definedName name="Nope_1">{"'Bellville Acetylene'!$A$1:$L$99"}</definedName>
    <definedName name="Normalized_Income_Statement">"IS_Annual"</definedName>
    <definedName name="nrdata">COUNTA(#REF!)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PRODUCT">"MI_GL_PRODCT_VW"</definedName>
    <definedName name="offpr" localSheetId="0">[34]PriceSyn!$O$9</definedName>
    <definedName name="offpr">[35]PriceSyn!$O$9</definedName>
    <definedName name="Ohio">'[127]Non-Reg Valuation'!#REF!</definedName>
    <definedName name="OK" localSheetId="0">{#N/A,#N/A,FALSE,"Cover";#N/A,#N/A,FALSE,"LUMI";#N/A,#N/A,FALSE,"COMD";#N/A,#N/A,FALSE,"Valuation";#N/A,#N/A,FALSE,"Assumptions";#N/A,#N/A,FALSE,"Pooling";#N/A,#N/A,FALSE,"BalanceSheet"}</definedName>
    <definedName name="OK">{#N/A,#N/A,FALSE,"Cover";#N/A,#N/A,FALSE,"LUMI";#N/A,#N/A,FALSE,"COMD";#N/A,#N/A,FALSE,"Valuation";#N/A,#N/A,FALSE,"Assumptions";#N/A,#N/A,FALSE,"Pooling";#N/A,#N/A,FALSE,"BalanceSheet"}</definedName>
    <definedName name="oldstuff" localSheetId="0">oldstuff</definedName>
    <definedName name="oldstuff">XN!oldstuff</definedName>
    <definedName name="OneOff" localSheetId="0">[55]NERD!$G$19:$N$19</definedName>
    <definedName name="OneOff">[56]NERD!$G$19:$N$19</definedName>
    <definedName name="Operating_expenses" localSheetId="0">'[7]P&amp;L'!$B$46:$AH$46</definedName>
    <definedName name="Operating_expenses">'[8]P&amp;L'!$B$46:$AH$46</definedName>
    <definedName name="Operating_Margin">'[60]Fin Stats'!$B$23:$M$23</definedName>
    <definedName name="OperatingMargin" localSheetId="0">[55]NERD!$G$17:$N$17</definedName>
    <definedName name="OperatingMargin">[56]NERD!$G$17:$N$17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PkPaste">'[130]Off Peak'!$D$7</definedName>
    <definedName name="Other_income__expense" localSheetId="0">'[7]P&amp;L'!$B$56:$AH$56</definedName>
    <definedName name="Other_income__expense">'[8]P&amp;L'!$B$56:$AH$56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age10">[121]RELPE!$B$2:$Y$72</definedName>
    <definedName name="page14">'[121]UNIV-EBS DATA'!$A$2:$H$28</definedName>
    <definedName name="page15">[121]Ratios!$A$5:$K$43</definedName>
    <definedName name="Page16">[121]Ratios!$A$46:$K$95</definedName>
    <definedName name="Page1A">[121]MATINC!$A$80:$S$112</definedName>
    <definedName name="PAGE3">[121]MATQTRS!$A$87:$V$169</definedName>
    <definedName name="PAGE4">[121]MATQTRS!$A$171:$V$254</definedName>
    <definedName name="PAGE5">[121]MATQTRS!$A$258:$V$340</definedName>
    <definedName name="Page6">[121]SALESCAT!$A$2:$J$57</definedName>
    <definedName name="PAGE7">[121]MATBAL!$A$5:$AG$97</definedName>
    <definedName name="Page7a">[121]MATBAL!$AN$5:$AY$101</definedName>
    <definedName name="PAGE8">[121]MATCASH!$A$4:$O$46</definedName>
    <definedName name="Page9">[121]FinSum!$A$3:$P$81</definedName>
    <definedName name="PAWS_Basis">1</definedName>
    <definedName name="PAWS_GraphMode">TRUE</definedName>
    <definedName name="PAWS_LastNDays">10</definedName>
    <definedName name="PAWS_PasteRows">FALSE</definedName>
    <definedName name="PAWS_UseDates">TRUE</definedName>
    <definedName name="PAWS_UseLastSelection">FALSE</definedName>
    <definedName name="PAWS_UseUnits">TRUE</definedName>
    <definedName name="Payout_ratio">'[60]Fin Stats'!$B$119:$M$119</definedName>
    <definedName name="pbPrinterFormat">"\\SUSNY007\P100088913 on Ne00:"</definedName>
    <definedName name="Pdate">35902</definedName>
    <definedName name="PeakGrowth">[94]Data!$P$56:$S$74</definedName>
    <definedName name="perc" localSheetId="0">{"0.85","0.875","0.9","0.925","0.95","0.975","1","1.025","1.05","1.075","1.1","1.125","1.15"}</definedName>
    <definedName name="perc">{"0.85","0.875","0.9","0.925","0.95","0.975","1","1.025","1.05","1.075","1.1","1.125","1.15"}</definedName>
    <definedName name="PeriodGrowth" localSheetId="0">[47]绝对估值!$C$5</definedName>
    <definedName name="PeriodGrowth">[48]绝对估值!$C$5</definedName>
    <definedName name="phone" localSheetId="0">phone</definedName>
    <definedName name="phone">XN!phone</definedName>
    <definedName name="pik">[124]Scenario!#REF!</definedName>
    <definedName name="PkPaste">[130]Peak!$D$7</definedName>
    <definedName name="pname" localSheetId="0">[74]Cover!$C$13</definedName>
    <definedName name="pname">[75]Cover!$C$13</definedName>
    <definedName name="pooling_Premium">25%</definedName>
    <definedName name="PPT" localSheetId="0">{#N/A,#N/A,FALSE,"Chart 2 by Prop Type"}</definedName>
    <definedName name="prdialog">"Dialog Frame 1"</definedName>
    <definedName name="Preferred_Equity">'[60]Fin Stats'!$B$52:$M$52</definedName>
    <definedName name="Preferred_stock">'[60]Fin Stats'!$B$37:$M$37</definedName>
    <definedName name="Preferred_to_Capital">'[60]Fin Stats'!$B$44:$M$44</definedName>
    <definedName name="Pretax_Income">'[60]Fin Stats'!$B$104:$M$104</definedName>
    <definedName name="Pretax_Margin">'[60]Fin Stats'!$B$25:$M$25</definedName>
    <definedName name="Price_Book">'[60]Fin Stats'!$B$94:$M$94</definedName>
    <definedName name="Price_Cash_Flow">'[60]Fin Stats'!$B$88:$M$88</definedName>
    <definedName name="price_date">36098</definedName>
    <definedName name="Price_Earnings">'[60]Fin Stats'!$B$91:$M$91</definedName>
    <definedName name="PrintAll">[121]Macro1!$A$1</definedName>
    <definedName name="PrintZone" localSheetId="0">[53]Layout!$A$1:$T$86,[53]Layout!$U$87:$AN$176</definedName>
    <definedName name="PrintZone">[54]Layout!$A$1:$T$86,[54]Layout!$U$87:$AN$176</definedName>
    <definedName name="profit">[36]NKEBALST!$BH$60:$BO$62</definedName>
    <definedName name="profit_qtcwfy" localSheetId="0">[71]利润表!#REF!</definedName>
    <definedName name="profit_qtcwfy">[72]利润表!#REF!</definedName>
    <definedName name="proj" localSheetId="0">[131]user!$B$2</definedName>
    <definedName name="proj">[132]user!$B$2</definedName>
    <definedName name="ProjectName" localSheetId="0">{"Client Name or Project Name"}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UB_FileID">"L10003363.xls"</definedName>
    <definedName name="PUB_UserID">"MAYERX"</definedName>
    <definedName name="Purchase_Premium_A">25%</definedName>
    <definedName name="Purchase_Premium_B">0.25</definedName>
    <definedName name="q">{"Qtr Op Mgd Q2",#N/A,FALSE,"Qtr-Op (Mng)";"Qtr Op Rpt Q2",#N/A,FALSE,"Qtr-Op (Rpt)";"Operating Vs Reported",#N/A,FALSE,"Rpt-Op Inc"}</definedName>
    <definedName name="q_1993">[36]NKEQTRIN!$BH$6:$BO$39</definedName>
    <definedName name="q_1994">[36]NKEQTRIN!$BP$6:$BW$39</definedName>
    <definedName name="q_1995">[36]NKEQTRIN!$BX$6:$CK$39</definedName>
    <definedName name="q_1996">[36]NKEQTRIN!$CN$6:$DA$39</definedName>
    <definedName name="qqqq">{#N/A,#N/A,FALSE,"Chart 2 by Prop Type"}</definedName>
    <definedName name="qtr_bs">'[52]Old BKS'!$X$371:$AI$436</definedName>
    <definedName name="qtr_is">'[133]Income Statement'!#REF!</definedName>
    <definedName name="qtr_is_2">'[52]Old BKS'!$AE$1:$AO$90</definedName>
    <definedName name="qtr_seg">[134]KM!#REF!</definedName>
    <definedName name="QTRLY_SEGMENT">[134]KM!#REF!</definedName>
    <definedName name="quar11" localSheetId="0">[9]Financials!$AA$318:$BB$361</definedName>
    <definedName name="quar11">[10]Financials!$AA$318:$BB$361</definedName>
    <definedName name="quar12" localSheetId="0">[9]Financials!$AA$389:$BB$457</definedName>
    <definedName name="quar12">[10]Financials!$AA$389:$BB$457</definedName>
    <definedName name="quar13" localSheetId="0">[9]Financials!$AA$461:$BB$509</definedName>
    <definedName name="quar13">[10]Financials!$AA$461:$BB$509</definedName>
    <definedName name="quar14" localSheetId="0">[9]Financials!$AA$514:$BB$537</definedName>
    <definedName name="quar14">[10]Financials!$AA$514:$BB$537</definedName>
    <definedName name="quar15" localSheetId="0">[9]Financials!$AA$542:$BB$558</definedName>
    <definedName name="quar15">[10]Financials!$AA$542:$BB$558</definedName>
    <definedName name="quar6" localSheetId="0">[9]Financials!$AA$6:$BB$64</definedName>
    <definedName name="quar6">[10]Financials!$AA$6:$BB$64</definedName>
    <definedName name="quar7" localSheetId="0">[9]Financials!$AA$68:$BB$103</definedName>
    <definedName name="quar7">[10]Financials!$AA$68:$BB$103</definedName>
    <definedName name="quar8" localSheetId="0">[9]Financials!$AA$230:$BB$315</definedName>
    <definedName name="quar8">[10]Financials!$AA$230:$BB$315</definedName>
    <definedName name="Quarter" localSheetId="0">[104]Data!$J$2</definedName>
    <definedName name="Quarter">[105]Data!$J$2</definedName>
    <definedName name="QUARTERLY_IS">[134]KM!#REF!</definedName>
    <definedName name="R_95">'[135]Rate Case'!#REF!</definedName>
    <definedName name="Range1Top" localSheetId="0">[136]MarketDMA!$B$1</definedName>
    <definedName name="Range1Top">[137]MarketDMA!$B$1</definedName>
    <definedName name="Range2" localSheetId="0">[136]MarketDMA!$E$1:$E$71</definedName>
    <definedName name="Range2">[137]MarketDMA!$E$1:$E$71</definedName>
    <definedName name="Range2Top" localSheetId="0">[136]MarketDMA!$E$1</definedName>
    <definedName name="Range2Top">[137]MarketDMA!$E$1</definedName>
    <definedName name="Range3" localSheetId="0">[136]MarketDMA!$H$1:$H$72</definedName>
    <definedName name="Range3">[137]MarketDMA!$H$1:$H$72</definedName>
    <definedName name="Range3Top" localSheetId="0">[136]MarketDMA!$H$1</definedName>
    <definedName name="Range3Top">[137]MarketDMA!$H$1</definedName>
    <definedName name="Rate_Case_2004">'[60]Income Statement'!$K$1</definedName>
    <definedName name="Rate_Case_2005">'[60]Income Statement'!$K$2</definedName>
    <definedName name="RCF_Total_Debt">'[60]Fin Stats'!$B$79:$M$79</definedName>
    <definedName name="rec">[36]NKEBALST!$BH$20:$BO$20</definedName>
    <definedName name="recap">[124]Scenario!#REF!</definedName>
    <definedName name="redux">1</definedName>
    <definedName name="rep">{#N/A,#N/A,FALSE,"COVER";#N/A,#N/A,FALSE,"VALUATION";#N/A,#N/A,FALSE,"FORECAST";#N/A,#N/A,FALSE,"FY ANALYSIS ";#N/A,#N/A,FALSE," HY ANALYSIS"}</definedName>
    <definedName name="RepairedName0004">"iQShowAnnual"</definedName>
    <definedName name="RepairedName0025">"iQShowAnnual"</definedName>
    <definedName name="RepairedName0032">"iQShowAnnual"</definedName>
    <definedName name="RepairedName0035">"iQShowAnnual"</definedName>
    <definedName name="RepairedName0074">"iQShowAnnual"</definedName>
    <definedName name="RepairedName2249">"iQShowAnnual"</definedName>
    <definedName name="RepType" localSheetId="0">[47]首页!$C$11</definedName>
    <definedName name="RepType">[48]首页!$C$11</definedName>
    <definedName name="Retail_services" localSheetId="0">'[7]P&amp;L'!$B$36:$AH$36</definedName>
    <definedName name="Retail_services">'[8]P&amp;L'!$B$36:$AH$36</definedName>
    <definedName name="Return_on_Assets">'[60]Fin Stats'!$B$29:$M$29</definedName>
    <definedName name="Return_on_Equity">'[60]Fin Stats'!$B$30:$M$30</definedName>
    <definedName name="Return_on_Invested_Capital">'[60]Fin Stats'!$B$31:$M$31</definedName>
    <definedName name="Return_Relative_to_S_P_500">'[60]Fin Stats'!$B$133:$M$133</definedName>
    <definedName name="ReturnOnAssets" localSheetId="0">[55]NERD!$G$22:$N$22</definedName>
    <definedName name="ReturnOnAssets">[56]NERD!$G$22:$N$22</definedName>
    <definedName name="ReturnOnEquity" localSheetId="0">[55]NERD!$G$24:$N$24</definedName>
    <definedName name="ReturnOnEquity">[56]NERD!$G$24:$N$24</definedName>
    <definedName name="Revenues" localSheetId="0">'[7]P&amp;L'!$B$23:$AH$23</definedName>
    <definedName name="Revenues">'[8]P&amp;L'!$B$23:$AH$23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mcAccount">"STINVGES"</definedName>
    <definedName name="rmcApplication">"QB"</definedName>
    <definedName name="rmcCategory">"AVOR2"</definedName>
    <definedName name="rmcFrequency">"YTD"</definedName>
    <definedName name="rmcName">"VAI"</definedName>
    <definedName name="RMCOptions">"*000000000000000"</definedName>
    <definedName name="rngBRICS">#REF!,#REF!,#REF!,#REF!</definedName>
    <definedName name="rngEEMEA">#REF!,#REF!,#REF!,#REF!</definedName>
    <definedName name="ROADproforma" localSheetId="0">ROADproforma</definedName>
    <definedName name="ROADproforma">XN!ROADproforma</definedName>
    <definedName name="rowheight">[36]NKEQTRIN!$A$6:$IV$39</definedName>
    <definedName name="rrrevenue">[128]Model!$A$126:$IV$126</definedName>
    <definedName name="rrrrrrrr" localSheetId="0">{"'RCIM'!$E$128"}</definedName>
    <definedName name="rrrrrrrr">{"'RCIM'!$E$128"}</definedName>
    <definedName name="russ">{"'Inventory &amp; Anal-Cur Wkbk'!$A$7:$AP$71"}</definedName>
    <definedName name="s">{#N/A,#N/A,FALSE,"Chart 2 by Prop Type"}</definedName>
    <definedName name="s_95">'[138]Rate Case'!#REF!</definedName>
    <definedName name="SAPBEXdnldView">"48CQ12JWW6KEC8N8XZ7SPG2E3"</definedName>
    <definedName name="SAPBEXrevision">1</definedName>
    <definedName name="SAPBEXsysID">"BPW"</definedName>
    <definedName name="SAPBEXwbID">"3H1TRTG55PYFIZO257NW32HOK"</definedName>
    <definedName name="SAPFuncF4Help">Main.SAPF4Help()</definedName>
    <definedName name="SDFSDF">{"Page One",#N/A,FALSE,"Model";"Page 2",#N/A,FALSE,"Model";"Page 3",#N/A,FALSE,"Model"}</definedName>
    <definedName name="sds">{"'보고양식'!$A$58:$K$111"}</definedName>
    <definedName name="sdsds">{"PR1","pr1",TRUE,"Sch PR-1"}</definedName>
    <definedName name="segment" localSheetId="0">{"Client Name or Project Name"}</definedName>
    <definedName name="segment">{"Client Name or Project Name"}</definedName>
    <definedName name="SEK_EUR" localSheetId="0">[98]FXRATES!$D$11</definedName>
    <definedName name="SEK_EUR">[99]FXRATES!$D$11</definedName>
    <definedName name="seller">[124]Scenario!#REF!</definedName>
    <definedName name="sencount" localSheetId="0">1</definedName>
    <definedName name="sencount">1</definedName>
    <definedName name="seniorRate">"SrRate"</definedName>
    <definedName name="SENS" localSheetId="0">[34]Price!$A$1:$M$48</definedName>
    <definedName name="SENS">[35]Price!$A$1:$M$48</definedName>
    <definedName name="SG_A" localSheetId="0">'[7]P&amp;L'!$B$47:$AH$47</definedName>
    <definedName name="SG_A">'[8]P&amp;L'!$B$47:$AH$47</definedName>
    <definedName name="Shareholder_Return">'[60]Fin Stats'!$B$32:$M$32</definedName>
    <definedName name="shareprice_Current">[20]Valsum!$B$104</definedName>
    <definedName name="Shares" localSheetId="0">'[37]Consolidated Financials'!$M$69</definedName>
    <definedName name="Shares">'[38]Consolidated Financials'!$M$69</definedName>
    <definedName name="shares_out">'[139]Front Page'!$C$23</definedName>
    <definedName name="Shares_Outstanding">'[60]Fin Stats'!$B$54:$M$54</definedName>
    <definedName name="shares98" localSheetId="0">'[37]Consolidated Financials'!$H$69</definedName>
    <definedName name="shares98">'[38]Consolidated Financials'!$H$69</definedName>
    <definedName name="Shares99" localSheetId="0">'[37]Consolidated Financials'!$M$69</definedName>
    <definedName name="Shares99">'[38]Consolidated Financials'!$M$69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heq">[36]NKEBALST!$BH$27:$BO$27</definedName>
    <definedName name="Short_term_debt">'[60]Fin Stats'!$B$35:$M$35</definedName>
    <definedName name="ShortBorrowRate" localSheetId="0">[47]筹资!$B$7</definedName>
    <definedName name="ShortBorrowRate">[48]筹资!$B$7</definedName>
    <definedName name="shrs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ix">'[57]G-07 Depreciation Detail'!$K$111:$K$114,'[57]G-07 Depreciation Detail'!$K$108:$K$109,'[57]G-07 Depreciation Detail'!$K$98,'[57]G-07 Depreciation Detail'!$K$90</definedName>
    <definedName name="slu">'[117]5. Generic Additions'!#REF!</definedName>
    <definedName name="sName" localSheetId="0">sName</definedName>
    <definedName name="sName">XN!sName</definedName>
    <definedName name="sName1" localSheetId="0">sName1</definedName>
    <definedName name="sName1">XN!sName1</definedName>
    <definedName name="solver_lin">0</definedName>
    <definedName name="solver_num">0</definedName>
    <definedName name="solver_typ">3</definedName>
    <definedName name="solver_val">0.1076</definedName>
    <definedName name="Space">"          "</definedName>
    <definedName name="Spaces">"      "</definedName>
    <definedName name="spebdy" localSheetId="0">{"'RCIM'!$E$128"}</definedName>
    <definedName name="spebdy">{"'RCIM'!$E$128"}</definedName>
    <definedName name="Spectrum" localSheetId="0">[49]Model!$A$1:$J$611</definedName>
    <definedName name="Spectrum">[50]Model!$A$1:$J$611</definedName>
    <definedName name="SPWS_WBID" localSheetId="0">"BBD18B9B-24A7-11D7-89C2-00105AC8DCBF"</definedName>
    <definedName name="SPWS_WBID">"BBD18B9B-24A7-11D7-89C2-00105AC8DCBF"</definedName>
    <definedName name="SrRate">"SrRating"</definedName>
    <definedName name="sssssss">{"PR1","pr1",TRUE,"Sch PR-1"}</definedName>
    <definedName name="SSSSSVS">{"print annual inc. statement",#N/A,FALSE,"Summary";"print annual stats",#N/A,FALSE,"Summary";"print quarterly inc. statement",#N/A,FALSE,"Summary";"print quarterly stats",#N/A,FALSE,"Summary"}</definedName>
    <definedName name="start" localSheetId="0">'[95]CVC NY GAAP Fin. Statements'!$A$2</definedName>
    <definedName name="start">'[96]CVC NY GAAP Fin. Statements'!$A$2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ockCode" localSheetId="0">[47]首页!$C$6</definedName>
    <definedName name="StockCode">[48]首页!$C$6</definedName>
    <definedName name="StockPrice" localSheetId="0">'[140]Sample Layout'!#REF!</definedName>
    <definedName name="StockPrice">'[141]Sample Layout'!#REF!</definedName>
    <definedName name="storage">"Chart 1"</definedName>
    <definedName name="STRANGE">{"Client Name or Project Name"}</definedName>
    <definedName name="STRANGE_1">{"Client Name or Project Name"}</definedName>
    <definedName name="STRANGE_2">{"Client Name or Project Name"}</definedName>
    <definedName name="subdisc">[124]Scenario!#REF!</definedName>
    <definedName name="t_95">'[138]Rate Case'!#REF!</definedName>
    <definedName name="Table_1__Global_Assumptions" localSheetId="0">'[100]Global Assumptions'!$B$2</definedName>
    <definedName name="Table_1__Global_Assumptions">'[101]Global Assumptions'!$B$2</definedName>
    <definedName name="Table_16">"GENEYE"</definedName>
    <definedName name="Target_Net_Debt">"targ_netdebt"</definedName>
    <definedName name="tax_rate">38%</definedName>
    <definedName name="Taxmanagement" localSheetId="0">[55]NERD!$G$20:$N$20</definedName>
    <definedName name="Taxmanagement">[56]NERD!$G$20:$N$20</definedName>
    <definedName name="taxrate98" localSheetId="0">'[37]Consolidated Financials'!$H$43</definedName>
    <definedName name="taxrate98">'[38]Consolidated Financials'!$H$43</definedName>
    <definedName name="taxrate99" localSheetId="0">'[82]Consolidated Financials'!$O$44</definedName>
    <definedName name="taxrate99">'[83]Consolidated Financials'!$O$44</definedName>
    <definedName name="temp">{"Print CRXLAND Assumptions",#N/A,FALSE,"CRXLAND Openings";"Print CRXLAND Openings",#N/A,FALSE,"CRXLAND Openings"}</definedName>
    <definedName name="temp2">{"Print CRXLAND Assumptions",#N/A,FALSE,"CRXLAND Openings";"Print CRXLAND Openings",#N/A,FALSE,"CRXLAND Openings"}</definedName>
    <definedName name="Template.WIRE">"DBACCESS"</definedName>
    <definedName name="tempor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n">'[57]O-1.11 Other Deductions'!$B$59,'[57]O-1.11 Other Deductions'!$B$43,'[57]O-1.11 Other Deductions'!$B$25</definedName>
    <definedName name="This_Year">"1998E"</definedName>
    <definedName name="ThisEndYear">2014</definedName>
    <definedName name="ThisEstiDate">42264</definedName>
    <definedName name="ThisEstNum">3</definedName>
    <definedName name="ThisHasNew">"否"</definedName>
    <definedName name="ThisReportList">"2010;2011;2012;2013;2014"</definedName>
    <definedName name="ThisStYear">2010</definedName>
    <definedName name="ThisTransitionYear">0</definedName>
    <definedName name="ThisWindCode">"300383.SZ"</definedName>
    <definedName name="Ticker_EBITDAQ1_LA">"$K$26"</definedName>
    <definedName name="title" localSheetId="0">'[142]#REF'!#REF!</definedName>
    <definedName name="title">'[143]#REF'!#REF!</definedName>
    <definedName name="Total_Capital">'[60]Fin Stats'!$B$39:$M$39</definedName>
    <definedName name="Total_cost_of_services" localSheetId="0">'[7]P&amp;L'!$B$44:$AH$44</definedName>
    <definedName name="Total_cost_of_services">'[8]P&amp;L'!$B$44:$AH$44</definedName>
    <definedName name="Total_Debt_EBITDA">'[60]Fin Stats'!$B$74:$M$74</definedName>
    <definedName name="Total_Debt_Outstanding">'[60]Fin Stats'!$B$50:$M$50</definedName>
    <definedName name="Total_Debt_to_Capital">'[60]Fin Stats'!$B$42:$M$42</definedName>
    <definedName name="Total_Debt_Total_Market_Cap">'[60]Fin Stats'!$B$62:$M$62</definedName>
    <definedName name="Total_operating_expenses" localSheetId="0">'[7]P&amp;L'!$B$54:$AH$54</definedName>
    <definedName name="Total_operating_expenses">'[8]P&amp;L'!$B$54:$AH$54</definedName>
    <definedName name="Total_other_income__expense" localSheetId="0">'[7]P&amp;L'!$B$59:$AH$59</definedName>
    <definedName name="Total_other_income__expense">'[8]P&amp;L'!$B$59:$AH$59</definedName>
    <definedName name="Total_revenues" localSheetId="0">'[90]P&amp;L'!$B$12:$Z$12</definedName>
    <definedName name="Total_revenues">'[91]P&amp;L'!$B$12:$Z$12</definedName>
    <definedName name="totass">[36]NKEBALST!$BH$22:$BO$22</definedName>
    <definedName name="totcap">[36]NKEBALST!$BH$29:$BO$29</definedName>
    <definedName name="Trace">FALSE</definedName>
    <definedName name="trc_XLS_DATASHEET_ProtectDate">36879.7503587963</definedName>
    <definedName name="trc_XLS_DATASHEET_ProtectDate_1">36879.7503587963</definedName>
    <definedName name="TV" localSheetId="0">[43]Summary!#REF!</definedName>
    <definedName name="TV">[44]Summary!#REF!</definedName>
    <definedName name="TV_METH" localSheetId="0">[43]Summary!$H$17</definedName>
    <definedName name="TV_METH">[44]Summary!$H$17</definedName>
    <definedName name="TV_METH1" localSheetId="0">[43]Summary!$D$20</definedName>
    <definedName name="TV_METH1">[44]Summary!$D$20</definedName>
    <definedName name="TV_METH2" localSheetId="0">[43]Summary!$D$21</definedName>
    <definedName name="TV_METH2">[44]Summary!$D$21</definedName>
    <definedName name="TV_METH3" localSheetId="0">[43]Summary!$D$22</definedName>
    <definedName name="TV_METH3">[44]Summary!$D$22</definedName>
    <definedName name="TV_METH4" localSheetId="0">[43]Summary!#REF!</definedName>
    <definedName name="TV_METH4">[44]Summary!#REF!</definedName>
    <definedName name="TV_METH5" localSheetId="0">[43]Summary!$D$23</definedName>
    <definedName name="TV_METH5">[44]Summary!$D$23</definedName>
    <definedName name="TVMETH1" localSheetId="0">[43]Summary!$D$20</definedName>
    <definedName name="TVMETH1">[44]Summary!$D$20</definedName>
    <definedName name="TVMETH2" localSheetId="0">[43]Summary!$D$21</definedName>
    <definedName name="TVMETH2">[44]Summary!$D$21</definedName>
    <definedName name="TVMETH3" localSheetId="0">[43]Summary!#REF!</definedName>
    <definedName name="TVMETH3">[44]Summary!#REF!</definedName>
    <definedName name="two">'[144]E6 - Tax Expense Detail'!$Q$21,'[144]E6 - Tax Expense Detail'!$Q$12:$Q$13,'[144]E6 - Tax Expense Detail'!$Q$7:$Q$10</definedName>
    <definedName name="unit">1000000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pdate_This">[89]!Update_This</definedName>
    <definedName name="UpgradeVersion">"v3.54"</definedName>
    <definedName name="USD_EUR" localSheetId="0">[98]FXRATES!$D$3</definedName>
    <definedName name="USD_EUR">[99]FXRATES!$D$3</definedName>
    <definedName name="Validation">"MAM"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Version">"June 29, 2004"</definedName>
    <definedName name="Version.WIRE">1</definedName>
    <definedName name="vvv">{"'Form'!$A$2:$J$81"}</definedName>
    <definedName name="vvv_1">{"'Form'!$A$2:$J$81"}</definedName>
    <definedName name="w">{"Print CRXLAND Assumptions",#N/A,FALSE,"CRXLAND Openings";"Print CRXLAND Openings",#N/A,FALSE,"CRXLAND Openings"}</definedName>
    <definedName name="wacc" localSheetId="0">[145]Valuation!$P$9</definedName>
    <definedName name="Weighted_average_shares" localSheetId="0">'[7]P&amp;L'!$B$68:$AH$68</definedName>
    <definedName name="Weighted_average_shares">'[8]P&amp;L'!$B$68:$AH$68</definedName>
    <definedName name="WESTERNhc">[126]Competitive!#REF!</definedName>
    <definedName name="WESTERNheat">[126]Competitive!#REF!</definedName>
    <definedName name="WESTERNpct">[126]Competitive!#REF!</definedName>
    <definedName name="WESTheat">[126]Competitive!#REF!</definedName>
    <definedName name="WESTpct">[126]Competitive!#REF!</definedName>
    <definedName name="wordWarrantsConvs" localSheetId="0">[146]SMR!#REF!</definedName>
    <definedName name="wordWarrantsConvs">[147]SMR!#REF!</definedName>
    <definedName name="workcap">[36]NKEBALST!$BH$31:$BO$31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6";"TOP",#N/A,TRUE,"PERATIOS";"BOTTOM",#N/A,TRUE,"PERATIOS"}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2._.pagers.">{"Cover",#N/A,FALSE,"Cover";"Summary",#N/A,FALSE,"Summarpage"}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ccounts." localSheetId="0">{"turnover",#N/A,FALSE;"profits",#N/A,FALSE;"cash",#N/A,FALSE}</definedName>
    <definedName name="wrn.Accounts.">{"turnover",#N/A,FALSE;"profits",#N/A,FALSE;"cash",#N/A,FALSE}</definedName>
    <definedName name="wrn.Aging._.and._.Trend._.Analysis.">{#N/A,#N/A,FALSE,"Aging Summary";#N/A,#N/A,FALSE,"Ratio Analysis";#N/A,#N/A,FALSE,"Test 120 Day Accts";#N/A,#N/A,FALSE,"Tickmarks"}</definedName>
    <definedName name="wrn.All." localSheetId="0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pages." localSheetId="0">{#N/A,#N/A,TRUE,"Historicals";#N/A,#N/A,TRUE,"Charts";#N/A,#N/A,TRUE,"Forecasts"}</definedName>
    <definedName name="wrn.allpages.">{#N/A,#N/A,TRUE,"Historicals";#N/A,#N/A,TRUE,"Charts";#N/A,#N/A,TRUE,"Forecasts"}</definedName>
    <definedName name="wrn.BUILDING._.VALUE.">{"BUILD VALUE 1",#N/A,FALSE,"VALUE";"BUILD VALUE 2",#N/A,FALSE,"VALUE";"BUILD VALUE 3",#N/A,FALSE,"VALUE";"BUILD VALUE 4",#N/A,FALSE,"VALUE";"BUILD VALUE 5",#N/A,FALSE,"VALUE";"BUILD VALUE 6",#N/A,FALSE,"VALUE";"BUILD VALUE 7",#N/A,FALSE,"VALUE";"BUILD VALUE 8",#N/A,FALSE,"VALUE";"BUILD VALUE 9",#N/A,FALSE,"VALUE";"BUILD VALUE 10",#N/A,FALSE,"VALUE"}</definedName>
    <definedName name="wrn.CHART2._.detail.">{#N/A,#N/A,FALSE,"Chart 2 by Prop Type"}</definedName>
    <definedName name="wrn.cns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cast." localSheetId="0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ed._.Statements." localSheetId="0">{"view1",#N/A,FALSE,"EARN (US$)";"view1",#N/A,FALSE,"DASTBS (US$)";"view1",#N/A,FALSE,"DASTCF (US$)"}</definedName>
    <definedName name="wrn.Consolidated._.Statements.">{"view1",#N/A,FALSE,"EARN (US$)";"view1",#N/A,FALSE,"DASTBS (US$)";"view1",#N/A,FALSE,"DASTCF (US$)"}</definedName>
    <definedName name="wrn.Covers." localSheetId="0">{"view1",#N/A,FALSE,"MOTEARN";"view1",#N/A,FALSE,"Bal Sht";"view1",#N/A,FALSE,"Cash Flows"}</definedName>
    <definedName name="wrn.Covers.">{"view1",#N/A,FALSE,"MOTEARN";"view1",#N/A,FALSE,"Bal Sht";"view1",#N/A,FALSE,"Cash Flows"}</definedName>
    <definedName name="wrn.daily.">{#N/A,#N/A,FALSE,"Major v. River";#N/A,#N/A,FALSE,"Large Operators";#N/A,#N/A,FALSE,"Smaller Operators";#N/A,#N/A,FALSE,"Equip. Supply";#N/A,#N/A,FALSE,"EBITDA"}</definedName>
    <definedName name="wrn.DG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_.Q4a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TS.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Financials." localSheetId="0">{#N/A,#N/A,TRUE,"Financials";#N/A,#N/A,TRUE,"Operating Statistics";#N/A,#N/A,TRUE,"Capex &amp; Depreciation";#N/A,#N/A,TRUE,"Debt"}</definedName>
    <definedName name="wrn.Full._.Financials.">{#N/A,#N/A,TRUE,"Financials";#N/A,#N/A,TRUE,"Operating Statistics";#N/A,#N/A,TRUE,"Capex &amp; Depreciation";#N/A,#N/A,TRUE,"Debt"}</definedName>
    <definedName name="wrn.Full._.Report.">{"Assumptions",#N/A,FALSE,"Sheet1";"Main Report",#N/A,FALSE,"Sheet1";"Results",#N/A,FALSE,"Sheet1";"Advances",#N/A,FALSE,"Sheet1"}</definedName>
    <definedName name="wrn.FUZ_REP.">{"FUZ_INC_A",#N/A,FALSE,"NOBE";"FUZ_INC_Q",#N/A,FALSE,"NOBE";"FUZ_BAL_A",#N/A,FALSE,"NOBE";"FUZ_CASH_A",#N/A,FALSE,"NOBE";"FUZ_PROD_A",#N/A,FALSE,"NOBE"}</definedName>
    <definedName name="wrn.fuz_report.">{"fuz_inc_a",#N/A,FALSE,"BKS";"fuz_inc_q",#N/A,FALSE,"BKS";"fuz_bal_a",#N/A,FALSE,"BKS";"fuz_cash_a",#N/A,FALSE,"BKS";"fuz_prod_a",#N/A,FALSE,"BKS";"fuz_div_a",#N/A,FALSE,"BKS";"fuz_div2_a",#N/A,FALSE,"BKS"}</definedName>
    <definedName name="wrn.IGT._.Model.">{#N/A,#N/A,TRUE,"IGT";#N/A,#N/A,TRUE,"IGTSLOT"}</definedName>
    <definedName name="wrn.Industry.xls.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ases.xls." localSheetId="0">{#N/A,#N/A,FALSE,"Initial Year";#N/A,#N/A,FALSE,"Historical";#N/A,#N/A,FALSE,"balsheet";#N/A,#N/A,FALSE,"incstate";#N/A,#N/A,FALSE,"Fleet"}</definedName>
    <definedName name="wrn.Leases.xls.">{#N/A,#N/A,FALSE,"Initial Year";#N/A,#N/A,FALSE,"Historical";#N/A,#N/A,FALSE,"balsheet";#N/A,#N/A,FALSE,"incstate";#N/A,#N/A,FALSE,"Fleet"}</definedName>
    <definedName name="wrn.Lodging.">{#N/A,#N/A,FALSE,"EPS";#N/A,#N/A,FALSE,"EBITDA"}</definedName>
    <definedName name="wrn.mirBellagio.">{#N/A,#N/A,FALSE,"MIR";#N/A,#N/A,FALSE,"NYNY"}</definedName>
    <definedName name="wrn.MOBIL.">{"quarter",#N/A,FALSE,"MOB"}</definedName>
    <definedName name="wrn.Model." localSheetId="0">{#N/A,#N/A,FALSE,"PRH";#N/A,#N/A,FALSE,"Units"}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s." localSheetId="0">{"cable_one",#N/A,FALSE,"cable 96-02";"cable_two",#N/A,FALSE,"cable 96-02";"Newrev_one",#N/A,FALSE,"New rev 97 - 02";"Newrev_two",#N/A,FALSE,"New rev 97 - 02"}</definedName>
    <definedName name="wrn.Models.">{"cable_one",#N/A,FALSE,"cable 96-02";"cable_two",#N/A,FALSE,"cable 96-02";"Newrev_one",#N/A,FALSE,"New rev 97 - 02";"Newrev_two",#N/A,FALSE,"New rev 97 - 02"}</definedName>
    <definedName name="wrn.monthly.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One._.Pager._.plus._.Technicals." localSheetId="0">{#N/A,#N/A,FALSE,"One Pager";#N/A,#N/A,FALSE,"Technical"}</definedName>
    <definedName name="wrn.One._.Pager._.plus._.Technicals.">{#N/A,#N/A,FALSE,"One Pager";#N/A,#N/A,FALSE,"Technical"}</definedName>
    <definedName name="wrn.OUTPUT." localSheetId="0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PETC.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es.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_.24." localSheetId="0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CRXLAND._.Openings.">{"Print CRXLAND Assumptions",#N/A,FALSE,"CRXLAND Openings";"Print CRXLAND Openings",#N/A,FALSE,"CRXLAND Openings"}</definedName>
    <definedName name="wrn.Print._.Everything.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graphs.">{"cap_structure",#N/A,FALSE,"Graph-Mkt Cap";"price",#N/A,FALSE,"Graph-Price";"ebit",#N/A,FALSE,"Graph-EBITDA";"ebitda",#N/A,FALSE,"Graph-EBITDA"}</definedName>
    <definedName name="wrn.Print._.Inc.._.Statement._.and._.Stats..">{"print annual inc. statement",#N/A,FALSE,"Summary";"print annual stats",#N/A,FALSE,"Summary";"print quarterly inc. statement",#N/A,FALSE,"Summary";"print quarterly stats",#N/A,FALSE,"Summary"}</definedName>
    <definedName name="wrn.print._.raw._.data._.entry.">{"inputs raw data",#N/A,TRUE,"INPUT"}</definedName>
    <definedName name="wrn.Print._.Report.">{"annual",#N/A,FALSE,"Sheet2";"quarters",#N/A,FALSE,"Sheet2"}</definedName>
    <definedName name="wrn.Print._.SPHI._.Openings.">{"Print SPHI Assumptions",#N/A,FALSE,"SPHI Openings";"Print SPHI Openings",#N/A,FALSE,"SPHI Openings"}</definedName>
    <definedName name="wrn.Print._.STAY._.Openings.">{"print STAY opening assumptions",#N/A,FALSE,"STAY Openings";"print STAY openings",#N/A,FALSE,"STAY Openings"}</definedName>
    <definedName name="wrn.print._.summary._.sheets.">{"summary1",#N/A,TRUE,"Comps";"summary2",#N/A,TRUE,"Comps";"summary3",#N/A,TRUE,"Comps"}</definedName>
    <definedName name="wrn.Print._.Three._.Page._.Model.">{"Page One",#N/A,FALSE,"Model";"Page 2",#N/A,FALSE,"Model";"Page 3",#N/A,FALSE,"Model"}</definedName>
    <definedName name="wrn.Publish." localSheetId="0">{"Contents",#N/A,FALSE,"Comparisons";"ShareInfo",#N/A,FALSE,"Comparisons";"Profitability",#N/A,FALSE,"Comparisons";"FirmValue",#N/A,FALSE,"Comparisons";"Labour",#N/A,FALSE,"Comparisons";"Capital",#N/A,FALSE,"Comparisons"}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Pulp.">{"Pulp Production",#N/A,FALSE,"Pulp";"Pulp Earnings",#N/A,FALSE,"Pulp"}</definedName>
    <definedName name="wrn.Q._.Report.">{"Quarterly Earnings",#N/A,FALSE,"FTS";"Quarterly Margins",#N/A,FALSE,"FTS";"Q Sales",#N/A,FALSE,"FTS";"Q EBIT",#N/A,FALSE,"FTS";"Unit Analysis",#N/A,FALSE,"FTS";"Inventory Analysis",#N/A,FALSE,"FTS"}</definedName>
    <definedName name="wrn.Refining.">{"Refining 1",#N/A,FALSE,"Detailed cost - crude";"Refining 2",#N/A,FALSE,"Detailed cost - crude"}</definedName>
    <definedName name="wrn.Report_PR_1.">{"PR1","pr1",TRUE,"Sch PR-1"}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Segments." localSheetId="0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unModel.">{#N/A,#N/A,FALSE,"summary";#N/A,#N/A,FALSE,"SIH";#N/A,#N/A,FALSE,"SIH Value";#N/A,#N/A,FALSE,"tax est.";#N/A,#N/A,FALSE,"Mohegan";#N/A,#N/A,FALSE,"Resorts";#N/A,#N/A,FALSE,"Win Per Day";#N/A,#N/A,FALSE,"CapStr"}</definedName>
    <definedName name="wrn.Tables." localSheetId="0">{"view1",#N/A,FALSE,"Tables";"view2",#N/A,FALSE,"Tables";"view3",#N/A,FALSE,"Tables"}</definedName>
    <definedName name="wrn.Tables.">{"view1",#N/A,FALSE,"Tables";"view2",#N/A,FALSE,"Tables";"view3",#N/A,FALSE,"Tables"}</definedName>
    <definedName name="wrn.twxmodel." localSheetId="0">{"twx1",#N/A,FALSE,"twltm.xls";"twx2",#N/A,FALSE,"twltm.xls";"twx3",#N/A,FALSE,"twltm.xls"}</definedName>
    <definedName name="wrn.twxmodel.">{"twx1",#N/A,FALSE,"twltm.xls";"twx2",#N/A,FALSE,"twltm.xls";"twx3",#N/A,FALSE,"twltm.xls"}</definedName>
    <definedName name="wrn.Variance._.Q4">{"Variance Q4",#N/A,FALSE,"Var"}</definedName>
    <definedName name="wrn.weekly.">{#N/A,#N/A,FALSE,"Large Operators";#N/A,#N/A,FALSE,"Smaller Operators";#N/A,#N/A,FALSE,"Equip. Supply";#N/A,#N/A,FALSE,"EBITDA";#N/A,#N/A,FALSE,"perform"}</definedName>
    <definedName name="ws">{"'보고양식'!$A$58:$K$111"}</definedName>
    <definedName name="wvu.cash." localSheetId="0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0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0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xjll_xhdk" localSheetId="0">[71]现金流量!#REF!</definedName>
    <definedName name="xjll_xhdk">[72]现金流量!#REF!</definedName>
    <definedName name="xjll_xhdklj" localSheetId="0">[71]现金流量!#REF!</definedName>
    <definedName name="xjll_xhdklj">[72]现金流量!#REF!</definedName>
    <definedName name="XRefColumnsCount">1</definedName>
    <definedName name="XRefCopyRangeCount">6</definedName>
    <definedName name="XRefPasteRangeCount">6</definedName>
    <definedName name="XXX_1">{"'Form'!$A$2:$J$81"}</definedName>
    <definedName name="xysz" localSheetId="0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_y_growth" localSheetId="0">'[7]P&amp;L'!$B$25:$AH$25</definedName>
    <definedName name="y_y_growth">'[8]P&amp;L'!$B$25:$AH$25</definedName>
    <definedName name="Year" localSheetId="0">[55]NERD!$G$7:$N$7</definedName>
    <definedName name="Year">[56]NERD!$G$7:$N$7</definedName>
    <definedName name="Year_End">1988</definedName>
    <definedName name="Year_End_Market_Price">'[60]Fin Stats'!$B$55:$M$55</definedName>
    <definedName name="YEAR2" localSheetId="0">[40]Inputs!$D$14</definedName>
    <definedName name="YEAR2">[41]Inputs!$D$14</definedName>
    <definedName name="Years">"A1:v1"</definedName>
    <definedName name="YrEnd_FFr_USD">0.1767</definedName>
    <definedName name="yyy">{"'Form'!$A$2:$J$81"}</definedName>
    <definedName name="yyy_1">{"'Form'!$A$2:$J$81"}</definedName>
    <definedName name="z">{#N/A,#N/A,FALSE,"Aging Summary";#N/A,#N/A,FALSE,"Ratio Analysis";#N/A,#N/A,FALSE,"Test 120 Day Accts";#N/A,#N/A,FALSE,"Tickmarks"}</definedName>
    <definedName name="zbtz_gdzcczl" localSheetId="0">[71]资本投资!$B$3</definedName>
    <definedName name="zbtz_gdzcczl">[72]资本投资!$B$3</definedName>
    <definedName name="zbtz_gdzcjjl" localSheetId="0">[71]资本投资!$B$4</definedName>
    <definedName name="zbtz_gdzcjjl">[72]资本投资!$B$4</definedName>
    <definedName name="zbtz_qccqdtfy" localSheetId="0">[71]资本投资!#REF!</definedName>
    <definedName name="zbtz_qccqdtfy">[72]资本投资!#REF!</definedName>
    <definedName name="zbtz_qcwxzc" localSheetId="0">[71]资本投资!#REF!</definedName>
    <definedName name="zbtz_qcwxzc">[72]资本投资!#REF!</definedName>
    <definedName name="zbtz_xjgdzczjl" localSheetId="0">[71]资本投资!$B$5</definedName>
    <definedName name="zbtz_xjgdzczjl">[72]资本投资!$B$5</definedName>
    <definedName name="zcfz_yqzc" localSheetId="0">[71]资产负债!#REF!</definedName>
    <definedName name="zcfz_yqzc">[72]资产负债!#REF!</definedName>
    <definedName name="zero">'[148]E11 - Q4 Est UK P&amp;L'!$E$35:$E$37,'[148]E11 - Q4 Est UK P&amp;L'!$E$31</definedName>
    <definedName name="zzz">{"'Form'!$A$2:$J$81"}</definedName>
    <definedName name="zzz_1">{"'Form'!$A$2:$J$81"}</definedName>
    <definedName name="ㄴㄴ">{#N/A,#N/A,FALSE,"Aging Summary";#N/A,#N/A,FALSE,"Ratio Analysis";#N/A,#N/A,FALSE,"Test 120 Day Accts";#N/A,#N/A,FALSE,"Tickmarks"}</definedName>
    <definedName name="매출원가">{#N/A,#N/A,FALSE,"Aging Summary";#N/A,#N/A,FALSE,"Ratio Analysis";#N/A,#N/A,FALSE,"Test 120 Day Accts";#N/A,#N/A,FALSE,"Tickmarks"}</definedName>
    <definedName name="매출원가1">{#N/A,#N/A,FALSE,"Aging Summary";#N/A,#N/A,FALSE,"Ratio Analysis";#N/A,#N/A,FALSE,"Test 120 Day Accts";#N/A,#N/A,FALSE,"Tickmarks"}</definedName>
    <definedName name="ㅏㅏ">{#N/A,#N/A,FALSE,"Aging Summary";#N/A,#N/A,FALSE,"Ratio Analysis";#N/A,#N/A,FALSE,"Test 120 Day Accts";#N/A,#N/A,FALSE,"Tickmarks"}</definedName>
    <definedName name="单公司报告期">[129]Cache!$A$1:$A$4</definedName>
    <definedName name="秦皇岛港存混煤车板及平仓均价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Linking_67">#REF!</definedName>
    <definedName name="pmi">#REF!</definedName>
    <definedName name="Linking_Range_9">#REF!</definedName>
    <definedName name="BLPH31" localSheetId="0">#REF!</definedName>
    <definedName name="pfx">#REF!</definedName>
    <definedName name="epc">#REF!</definedName>
    <definedName name="bcm" localSheetId="0">#REF!</definedName>
    <definedName name="_bdm.4D6DC9131B63426D824D159139D91153.edm">#REF!</definedName>
    <definedName name="Chongqing" localSheetId="0">#REF!</definedName>
    <definedName name="_bdm.DD8CF19960B84372BC6C44D1E352ADA6.edm">#REF!</definedName>
    <definedName name="_bdm.A5570374BD1E4586A9EF8C221AC51CA4.edm">#REF!</definedName>
    <definedName name="UtilityEPS">#REF!</definedName>
    <definedName name="rad">#REF!</definedName>
    <definedName name="consumersExposure">#REF!</definedName>
    <definedName name="inm" localSheetId="0">#REF!</definedName>
    <definedName name="totalRegionRevenueExposure">#REF!</definedName>
    <definedName name="rfa" localSheetId="0">#REF!</definedName>
    <definedName name="bdp" localSheetId="0">#REF!</definedName>
    <definedName name="cni" localSheetId="0">#REF!</definedName>
    <definedName name="cfc">#REF!</definedName>
    <definedName name="epa" localSheetId="0">#REF!</definedName>
    <definedName name="americasStates">#REF!</definedName>
    <definedName name="Linking_90">#REF!</definedName>
    <definedName name="BLPH30">#REF!</definedName>
    <definedName name="제조">#REF!</definedName>
    <definedName name="isc">#REF!</definedName>
    <definedName name="coi" localSheetId="0">#REF!</definedName>
    <definedName name="rwt">#REF!</definedName>
    <definedName name="_bdm.03B23B5C24244F2A8FB52DB4BF93DC6C.edm">#REF!</definedName>
    <definedName name="pga" localSheetId="0">#REF!</definedName>
    <definedName name="bir" localSheetId="0">#REF!</definedName>
    <definedName name="is5_" localSheetId="0">#REF!</definedName>
    <definedName name="Linking_47">#REF!</definedName>
    <definedName name="_bdm.E75FC68DA0AE45B8888BD03D457EB0FF.edm">#REF!</definedName>
    <definedName name="cashflo">#REF!</definedName>
    <definedName name="vae">#REF!</definedName>
    <definedName name="asiaPacificExJapan">#REF!</definedName>
    <definedName name="tfd" localSheetId="0">#REF!</definedName>
    <definedName name="_Table2_Out" localSheetId="0">#REF!</definedName>
    <definedName name="Linking_48">#REF!</definedName>
    <definedName name="Heilongjiang">#REF!</definedName>
    <definedName name="nbn">#REF!</definedName>
    <definedName name="bit">#REF!</definedName>
    <definedName name="DisclosuresText">#REF!</definedName>
    <definedName name="_bdm.82E4C5BB8B3849AABE08117983E7EBE6.edm">#REF!</definedName>
    <definedName name="cta" localSheetId="0">#REF!</definedName>
    <definedName name="nbn" localSheetId="0">#REF!</definedName>
    <definedName name="_bdm.E847A5C6CE584537A9279E9EB13738AF.edm">#REF!</definedName>
    <definedName name="countryList">#REF!</definedName>
    <definedName name="rre" localSheetId="0">#REF!</definedName>
    <definedName name="ptModel">#REF!</definedName>
    <definedName name="pie" localSheetId="0">#REF!</definedName>
    <definedName name="block.MajorShareholders.blue">#REF!</definedName>
    <definedName name="Table_of_Contents" localSheetId="0">#REF!</definedName>
    <definedName name="ppt">#REF!</definedName>
    <definedName name="xxExport" localSheetId="0">#REF!</definedName>
    <definedName name="cwt">#REF!</definedName>
    <definedName name="Tot_Sales">#REF!</definedName>
    <definedName name="_xx100">#REF!</definedName>
    <definedName name="block.CapitalHistory.blue" localSheetId="0">#REF!</definedName>
    <definedName name="ibc" localSheetId="0">#REF!</definedName>
    <definedName name="BLPH21">#REF!</definedName>
    <definedName name="block.mainpoints.red" localSheetId="0">#REF!</definedName>
    <definedName name="_bdm.96D7DC1981E443A8B0A8D27935EDB273.edm" localSheetId="0">#REF!</definedName>
    <definedName name="BLPH29" localSheetId="0">#REF!</definedName>
    <definedName name="Jilin">#REF!</definedName>
    <definedName name="_bdm.F410961418F5452FAB6411068488B9E3.edm" localSheetId="0">#REF!</definedName>
    <definedName name="rce" localSheetId="0">#REF!</definedName>
    <definedName name="SouthAmericaEPS">#REF!</definedName>
    <definedName name="irp">#REF!</definedName>
    <definedName name="Linking_12">#REF!</definedName>
    <definedName name="BLPH2">#REF!</definedName>
    <definedName name="TRX" localSheetId="0">#REF!</definedName>
    <definedName name="xpr" localSheetId="0">#REF!</definedName>
    <definedName name="Linking_Range_26">#REF!</definedName>
    <definedName name="cwo">#REF!</definedName>
    <definedName name="_Sub2">#REF!</definedName>
    <definedName name="rns" localSheetId="0">#REF!</definedName>
    <definedName name="block.Author.blue" localSheetId="0">#REF!</definedName>
    <definedName name="tfc">#REF!</definedName>
    <definedName name="regionalCostExposure">#REF!</definedName>
    <definedName name="pai">#REF!</definedName>
    <definedName name="rot">#REF!</definedName>
    <definedName name="sad" localSheetId="0">#REF!</definedName>
    <definedName name="irg">#REF!</definedName>
    <definedName name="BLPH5">#REF!</definedName>
    <definedName name="cac" localSheetId="0">#REF!</definedName>
    <definedName name="Linking_65">#REF!</definedName>
    <definedName name="vmv">#REF!</definedName>
    <definedName name="epc" localSheetId="0">#REF!</definedName>
    <definedName name="cfx">#REF!</definedName>
    <definedName name="ip4_" localSheetId="0">#REF!</definedName>
    <definedName name="_bdm.8C53EB64D8B2482795742AC7F6CEC9CC.edm" localSheetId="0">#REF!</definedName>
    <definedName name="Print_Area_MI">#REF!</definedName>
    <definedName name="stats1">#REF!</definedName>
    <definedName name="_bdm.FD2EC3E63FE643C58AA61777E7968C3D.edm">#REF!</definedName>
    <definedName name="rwc" localSheetId="0">#REF!</definedName>
    <definedName name="Linking_33">#REF!</definedName>
    <definedName name="ptVali">#REF!</definedName>
    <definedName name="block.MajorShareholders.blue" localSheetId="0">#REF!</definedName>
    <definedName name="vay">#REF!</definedName>
    <definedName name="block.Author.blue">#REF!</definedName>
    <definedName name="Linking_89">#REF!</definedName>
    <definedName name="_bdm.9C189FC3EDA64B39B0954C5C76483230.edm" localSheetId="0">#REF!</definedName>
    <definedName name="cam">#REF!</definedName>
    <definedName name="FY1999_">#REF!</definedName>
    <definedName name="bce" localSheetId="0">#REF!</definedName>
    <definedName name="ibc">#REF!</definedName>
    <definedName name="blt" localSheetId="0">#REF!</definedName>
    <definedName name="pgp">#REF!</definedName>
    <definedName name="Linking_74">#REF!</definedName>
    <definedName name="RANGE1" localSheetId="0">#REF!</definedName>
    <definedName name="Linking_36">#REF!</definedName>
    <definedName name="btd" localSheetId="0">#REF!</definedName>
    <definedName name="xer" localSheetId="0">#REF!</definedName>
    <definedName name="_bdm.11EB72ACE3374B1CB252FDD683429D59.edm">#REF!</definedName>
    <definedName name="BLPH16">#REF!</definedName>
    <definedName name="sws" localSheetId="0">#REF!</definedName>
    <definedName name="dai">#REF!</definedName>
    <definedName name="cop">#REF!</definedName>
    <definedName name="FY2003_" localSheetId="0">#REF!</definedName>
    <definedName name="SGA">#REF!</definedName>
    <definedName name="block.Expansion.blue" localSheetId="0">#REF!</definedName>
    <definedName name="epw" localSheetId="0">#REF!</definedName>
    <definedName name="isb">#REF!</definedName>
    <definedName name="Vat" localSheetId="0">#REF!</definedName>
    <definedName name="ihd" localSheetId="0">#REF!</definedName>
    <definedName name="MerchPct">#REF!</definedName>
    <definedName name="Linking_70">#REF!</definedName>
    <definedName name="btp" localSheetId="0">#REF!</definedName>
    <definedName name="rfa">#REF!</definedName>
    <definedName name="block.Subsidiaries.blue" localSheetId="0">#REF!</definedName>
    <definedName name="bol">#REF!</definedName>
    <definedName name="monthly1">#REF!</definedName>
    <definedName name="vdp">#REF!</definedName>
    <definedName name="FY2000_" localSheetId="0">#REF!</definedName>
    <definedName name="_Sub4">#REF!</definedName>
    <definedName name="_bdm.64E2166FD78B4A0A8E4DD29D7BCDF7D2.edm">#REF!</definedName>
    <definedName name="_bdm.2834120AA41A4F369CE3A4F40FC430BA.edm">#REF!</definedName>
    <definedName name="_bdm.F410961418F5452FAB6411068488B9E3.edm">#REF!</definedName>
    <definedName name="BLPH37">#REF!</definedName>
    <definedName name="_bdm.50B7E63794294C9E84D8474EFC8ADBE4.edm">#REF!</definedName>
    <definedName name="BLPH26" localSheetId="0">#REF!</definedName>
    <definedName name="cdp">#REF!</definedName>
    <definedName name="Table_15__Valuation">#REF!</definedName>
    <definedName name="Raw_percent" localSheetId="0">#REF!</definedName>
    <definedName name="tfd">#REF!</definedName>
    <definedName name="is1_" localSheetId="0">#REF!</definedName>
    <definedName name="daf">#REF!</definedName>
    <definedName name="BLPH3" localSheetId="0">#REF!</definedName>
    <definedName name="block.Forecasts.blue">#REF!</definedName>
    <definedName name="ipv">#REF!</definedName>
    <definedName name="_bdm.62B1046F696E4AEFB97F15941FA9915E.edm">#REF!</definedName>
    <definedName name="_Sort">#REF!</definedName>
    <definedName name="rnf">#REF!</definedName>
    <definedName name="balance" localSheetId="0">#REF!</definedName>
    <definedName name="bir">#REF!</definedName>
    <definedName name="metrics">#REF!</definedName>
    <definedName name="page2" localSheetId="0">#REF!</definedName>
    <definedName name="tev" localSheetId="0">#REF!</definedName>
    <definedName name="bta">#REF!</definedName>
    <definedName name="FY1996_">#REF!</definedName>
    <definedName name="Linking_Range_10">#REF!</definedName>
    <definedName name="Table9_10_11" localSheetId="0">#REF!</definedName>
    <definedName name="block.PriceChart.none" localSheetId="0">#REF!</definedName>
    <definedName name="_xx400">#REF!</definedName>
    <definedName name="fair_value" localSheetId="0">DCF!$L$39</definedName>
    <definedName name="table15_16" localSheetId="0">#REF!</definedName>
    <definedName name="tin">#REF!</definedName>
    <definedName name="_bdm.93EBB3D0A7E7479E93967697438F499B.edm">#REF!</definedName>
    <definedName name="csi">#REF!</definedName>
    <definedName name="page1">#REF!</definedName>
    <definedName name="pdp" localSheetId="0">#REF!</definedName>
    <definedName name="MExbrlDates">#REF!</definedName>
    <definedName name="companyname" localSheetId="0">#REF!</definedName>
    <definedName name="BLPH4" localSheetId="0">#REF!</definedName>
    <definedName name="poi">#REF!</definedName>
    <definedName name="cde">#REF!</definedName>
    <definedName name="_bdm.D788F60FC3C14424BB134181BD8AC182.edm" localSheetId="0">#REF!</definedName>
    <definedName name="pin">#REF!</definedName>
    <definedName name="BLPH43">#REF!</definedName>
    <definedName name="_bdm.DD32B9BD57EA48FF908ED759110A8023.edm">#REF!</definedName>
    <definedName name="cii">#REF!</definedName>
    <definedName name="pse" localSheetId="0">#REF!</definedName>
    <definedName name="sas">#REF!</definedName>
    <definedName name="_bdm.AF6CC433F99C48B6840BB40546165349.edm">#REF!</definedName>
    <definedName name="block.Assumptions.blue" localSheetId="0">#REF!</definedName>
    <definedName name="cdp" localSheetId="0">#REF!</definedName>
    <definedName name="dtd" localSheetId="0">#REF!</definedName>
    <definedName name="bsf">#REF!</definedName>
    <definedName name="cni">#REF!</definedName>
    <definedName name="xunits">#REF!</definedName>
    <definedName name="boc">#REF!</definedName>
    <definedName name="cdi" localSheetId="0">#REF!</definedName>
    <definedName name="Linking_4">#REF!</definedName>
    <definedName name="sps" localSheetId="0">#REF!</definedName>
    <definedName name="_bdm.DB5E56D7F61041FB9775B0F96931E51C.edm">#REF!</definedName>
    <definedName name="block.Outlook.blue" localSheetId="0">#REF!</definedName>
    <definedName name="Share_price" localSheetId="0">#REF!</definedName>
    <definedName name="Sales_p_Store">#REF!</definedName>
    <definedName name="Share_price">#REF!</definedName>
    <definedName name="bat" localSheetId="0">#REF!</definedName>
    <definedName name="block.BusinessBackground.blue" localSheetId="0">#REF!</definedName>
    <definedName name="_bdm.68C669CDB99A42DCA3A1FB6DAE25B470.edm">#REF!</definedName>
    <definedName name="tre">#REF!</definedName>
    <definedName name="_xx500">#REF!</definedName>
    <definedName name="prevtarget" localSheetId="0">#REF!</definedName>
    <definedName name="production" localSheetId="0">#REF!</definedName>
    <definedName name="Linking_7">#REF!</definedName>
    <definedName name="Linking_61">#REF!</definedName>
    <definedName name="FinalYear" localSheetId="0">#REF!</definedName>
    <definedName name="bat">#REF!</definedName>
    <definedName name="rnf" localSheetId="0">#REF!</definedName>
    <definedName name="ptHelp">#REF!</definedName>
    <definedName name="Linking_20">#REF!</definedName>
    <definedName name="TickerRegion">#REF!</definedName>
    <definedName name="_bdm.676E69A72FFE419DBAD71A08BBADA2B0.edm">#REF!</definedName>
    <definedName name="ip1_">#REF!</definedName>
    <definedName name="_xx300" localSheetId="0">#REF!</definedName>
    <definedName name="scenario">#REF!</definedName>
    <definedName name="Print17_18">#REF!</definedName>
    <definedName name="cac">#REF!</definedName>
    <definedName name="peb" localSheetId="0">#REF!</definedName>
    <definedName name="Linking_66">#REF!</definedName>
    <definedName name="ise">#REF!</definedName>
    <definedName name="ext" localSheetId="0">#REF!</definedName>
    <definedName name="FY1996_" localSheetId="0">#REF!</definedName>
    <definedName name="FY1999_" localSheetId="0">#REF!</definedName>
    <definedName name="bnf">#REF!</definedName>
    <definedName name="Chongqing">#REF!</definedName>
    <definedName name="_bdm.E13F8AD4325C44D59EFEE688C0B3B30C.edm">#REF!</definedName>
    <definedName name="_bdm.063579AD604640029B0FC5679A7DD767.edm">#REF!</definedName>
    <definedName name="pnp">#REF!</definedName>
    <definedName name="companyname">#REF!</definedName>
    <definedName name="veg">#REF!</definedName>
    <definedName name="rce">#REF!</definedName>
    <definedName name="_bdm.120F21591AD146AA94D43B9A987F1A46.edm">#REF!</definedName>
    <definedName name="sps">#REF!</definedName>
    <definedName name="BLPH18">#REF!</definedName>
    <definedName name="BLPH5" localSheetId="0">#REF!</definedName>
    <definedName name="coc" localSheetId="0">#REF!</definedName>
    <definedName name="_bdm.8C53EB64D8B2482795742AC7F6CEC9CC.edm">#REF!</definedName>
    <definedName name="cce" localSheetId="0">#REF!</definedName>
    <definedName name="pii" localSheetId="0">#REF!</definedName>
    <definedName name="otherAfrica">#REF!</definedName>
    <definedName name="BLPH27" localSheetId="0">#REF!</definedName>
    <definedName name="ip2_">#REF!</definedName>
    <definedName name="coc">#REF!</definedName>
    <definedName name="Linking_Range_27">#REF!</definedName>
    <definedName name="ip5_">#REF!</definedName>
    <definedName name="RandM">#REF!</definedName>
    <definedName name="vio" localSheetId="0">#REF!</definedName>
    <definedName name="Linking_25">#REF!</definedName>
    <definedName name="ticker">#REF!</definedName>
    <definedName name="Print_Area_MI" localSheetId="0">#REF!</definedName>
    <definedName name="xunits" localSheetId="0">#REF!</definedName>
    <definedName name="bte" localSheetId="0">#REF!</definedName>
    <definedName name="vva" localSheetId="0">#REF!</definedName>
    <definedName name="pop">#REF!</definedName>
    <definedName name="domesticCostExposure">#REF!</definedName>
    <definedName name="Table9_10_11">#REF!</definedName>
    <definedName name="RR">#REF!</definedName>
    <definedName name="Table12_13">#REF!</definedName>
    <definedName name="vpx">#REF!</definedName>
    <definedName name="FairValuePS">#REF!</definedName>
    <definedName name="FY1993_" localSheetId="0">#REF!</definedName>
    <definedName name="tfr">#REF!</definedName>
    <definedName name="xoe" localSheetId="0">#REF!</definedName>
    <definedName name="block.mainpoints.red">#REF!</definedName>
    <definedName name="_bdm.4AA2300831804531AB1CF6162AB9EC64.edm" localSheetId="0">#REF!</definedName>
    <definedName name="bia" localSheetId="0">#REF!</definedName>
    <definedName name="monthly1" localSheetId="0">#REF!</definedName>
    <definedName name="icd" localSheetId="0">#REF!</definedName>
    <definedName name="BLPH38" localSheetId="0">#REF!</definedName>
    <definedName name="Linking_69">#REF!</definedName>
    <definedName name="_bdm.90D15D604D304B43BE993E42ABCA6B28.edm" localSheetId="0">#REF!</definedName>
    <definedName name="nbd">#REF!</definedName>
    <definedName name="_bdm.0A5D51D28628473EB5E65CB113DD03BA.edm">#REF!</definedName>
    <definedName name="dddfs" localSheetId="0">#REF!</definedName>
    <definedName name="vnd">#REF!</definedName>
    <definedName name="Linking_Range_29">#REF!</definedName>
    <definedName name="_bdm.BDC51848BC034F67A417757B2AAF9D8C.edm">#REF!</definedName>
    <definedName name="pei" localSheetId="0">#REF!</definedName>
    <definedName name="ime" localSheetId="0">#REF!</definedName>
    <definedName name="pet" localSheetId="0">#REF!</definedName>
    <definedName name="isl">#REF!</definedName>
    <definedName name="_bdm.78070F8414B7463F9087B7E2DE520909.edm">#REF!</definedName>
    <definedName name="xxExport">#REF!</definedName>
    <definedName name="Linking_59">#REF!</definedName>
    <definedName name="blt">#REF!</definedName>
    <definedName name="PriceSec">#REF!</definedName>
    <definedName name="eaa">#REF!</definedName>
    <definedName name="FairValuePS" localSheetId="0">#REF!</definedName>
    <definedName name="asiaPacificExJapanCountries">#REF!</definedName>
    <definedName name="BLPH4">#REF!</definedName>
    <definedName name="pto">#REF!</definedName>
    <definedName name="_bdm.398597B72BE246D0BA7F092E5CBD82F3.edm" localSheetId="0">#REF!</definedName>
    <definedName name="_bdm.77A5B36C53C0434CA471D95905EFD4FD.edm">#REF!</definedName>
    <definedName name="wacc">#REF!</definedName>
    <definedName name="australasia">#REF!</definedName>
    <definedName name="Linking_112">#REF!</definedName>
    <definedName name="_bdm.9CFC4B40814842C5A60DA0FF269F6C15.edm">#REF!</definedName>
    <definedName name="monthly2">#REF!</definedName>
    <definedName name="analyst" localSheetId="0">#REF!</definedName>
    <definedName name="BLPH7" localSheetId="0">#REF!</definedName>
    <definedName name="_bdm.C66878AA343946AAB00DF20815189482.edm" localSheetId="0">#REF!</definedName>
    <definedName name="vsp" localSheetId="0">#REF!</definedName>
    <definedName name="BLPH33">#REF!</definedName>
    <definedName name="DisclosuresText" localSheetId="0">#REF!</definedName>
    <definedName name="model_case">DCF!$I$190</definedName>
    <definedName name="block.Cashflow.blue">#REF!</definedName>
    <definedName name="_xx201">#REF!</definedName>
    <definedName name="BLPH18" localSheetId="0">#REF!</definedName>
    <definedName name="pco">#REF!</definedName>
    <definedName name="block.BalanceSheet.blue">#REF!</definedName>
    <definedName name="MexicoPE">#REF!</definedName>
    <definedName name="NumPlants">#REF!</definedName>
    <definedName name="iva" localSheetId="0">#REF!</definedName>
    <definedName name="Table_7___E_P_Proven_Reserves" localSheetId="0">#REF!</definedName>
    <definedName name="via">#REF!</definedName>
    <definedName name="ip3_" localSheetId="0">#REF!</definedName>
    <definedName name="ida">#REF!</definedName>
    <definedName name="Linking_87">#REF!</definedName>
    <definedName name="Linking_92">#REF!</definedName>
    <definedName name="pin" localSheetId="0">#REF!</definedName>
    <definedName name="FY2001_">#REF!</definedName>
    <definedName name="is1_">#REF!</definedName>
    <definedName name="rngQDates">#REF!</definedName>
    <definedName name="_bdm.B0B7ED2B8EB04DAFBF5B8A30DB7C9536.edm">#REF!</definedName>
    <definedName name="Revision">#REF!</definedName>
    <definedName name="socioEconomicRegions">#REF!</definedName>
    <definedName name="rngPriceTarget">#REF!</definedName>
    <definedName name="Linking_30">#REF!</definedName>
    <definedName name="poi" localSheetId="0">#REF!</definedName>
    <definedName name="btl" localSheetId="0">#REF!</definedName>
    <definedName name="bao">#REF!</definedName>
    <definedName name="civ">#REF!</definedName>
    <definedName name="Linking_Range_8">#REF!</definedName>
    <definedName name="inm">#REF!</definedName>
    <definedName name="BLPH28" localSheetId="0">#REF!</definedName>
    <definedName name="isf">#REF!</definedName>
    <definedName name="_bdm.78070F8414B7463F9087B7E2DE520909.edm" localSheetId="0">#REF!</definedName>
    <definedName name="is5_">#REF!</definedName>
    <definedName name="_bdm.424D9D07DD004975A40B2F21D4C3836B.edm" localSheetId="0">#REF!</definedName>
    <definedName name="ppr" localSheetId="0">#REF!</definedName>
    <definedName name="_bdm.C28A49889E7A48BA80A8BF3831A97660.edm">#REF!</definedName>
    <definedName name="epx">#REF!</definedName>
    <definedName name="ire">#REF!</definedName>
    <definedName name="bio">#REF!</definedName>
    <definedName name="BLPH6">#REF!</definedName>
    <definedName name="_bdm.574A566C0C1D42B49257B3631E081C5C.edm">#REF!</definedName>
    <definedName name="BLPH19" localSheetId="0">#REF!</definedName>
    <definedName name="boc" localSheetId="0">#REF!</definedName>
    <definedName name="_xx300">#REF!</definedName>
    <definedName name="BLPH29">#REF!</definedName>
    <definedName name="BLPH35" localSheetId="0">#REF!</definedName>
    <definedName name="_bdm.E0A7113A7EB84E42B8F20FD0B1D44AF1.edm">#REF!</definedName>
    <definedName name="sas" localSheetId="0">#REF!</definedName>
    <definedName name="BLPH21" localSheetId="0">#REF!</definedName>
    <definedName name="table11">#REF!</definedName>
    <definedName name="_bdm.BEFD4DF2934642218C029351FE43A64E.edm">#REF!</definedName>
    <definedName name="Linking_76">#REF!</definedName>
    <definedName name="vfa">#REF!</definedName>
    <definedName name="Linking_43">#REF!</definedName>
    <definedName name="BLPH15">#REF!</definedName>
    <definedName name="rus">#REF!</definedName>
    <definedName name="tnd">#REF!</definedName>
    <definedName name="FY1997_">#REF!</definedName>
    <definedName name="actionlist" localSheetId="0">#REF!</definedName>
    <definedName name="endDemandExposure">#REF!</definedName>
    <definedName name="bre" localSheetId="0">#REF!</definedName>
    <definedName name="AppVersion">#REF!</definedName>
    <definedName name="ifo">#REF!</definedName>
    <definedName name="ifl" localSheetId="0">#REF!</definedName>
    <definedName name="tcs" localSheetId="0">#REF!</definedName>
    <definedName name="cashflow">#REF!</definedName>
    <definedName name="cwo" localSheetId="0">#REF!</definedName>
    <definedName name="Table_12___R_M_Volumes" localSheetId="0">#REF!</definedName>
    <definedName name="RegPct">#REF!</definedName>
    <definedName name="Publication" localSheetId="0">#REF!</definedName>
    <definedName name="_bdm.DECF30F0CAE5481D9CFDA17E1F56AD35.edm">#REF!</definedName>
    <definedName name="_Sub3">#REF!</definedName>
    <definedName name="is3_">#REF!</definedName>
    <definedName name="BLPH37" localSheetId="0">#REF!</definedName>
    <definedName name="currency">#REF!</definedName>
    <definedName name="did">#REF!</definedName>
    <definedName name="Guangxi">#REF!</definedName>
    <definedName name="bol" localSheetId="0">#REF!</definedName>
    <definedName name="targetprice" localSheetId="0">#REF!</definedName>
    <definedName name="Stk_Price" localSheetId="0">#REF!</definedName>
    <definedName name="Linking_41">#REF!</definedName>
    <definedName name="_bdm.04F94F5C95524416927C11A6688331DE.edm">#REF!</definedName>
    <definedName name="tre" localSheetId="0">#REF!</definedName>
    <definedName name="_bdm.45C88C4126C04FC1A356BEA892554FAB.edm">#REF!</definedName>
    <definedName name="cce">#REF!</definedName>
    <definedName name="_bdm.77A5B36C53C0434CA471D95905EFD4FD.edm" localSheetId="0">#REF!</definedName>
    <definedName name="swl">#REF!</definedName>
    <definedName name="centralEasternEurope">#REF!</definedName>
    <definedName name="Table9_10">#REF!</definedName>
    <definedName name="_bdm.9CFA4382366E417E93EFADEEDF6EA50D.edm">#REF!</definedName>
    <definedName name="BLPH35">#REF!</definedName>
    <definedName name="BaseName" localSheetId="0">#REF!</definedName>
    <definedName name="_bdm.2834120AA41A4F369CE3A4F40FC430BA.edm" localSheetId="0">#REF!</definedName>
    <definedName name="MexicoEPS">#REF!</definedName>
    <definedName name="Depreciation_of_roads">#REF!</definedName>
    <definedName name="ifd">#REF!</definedName>
    <definedName name="ime">#REF!</definedName>
    <definedName name="_bdm.F98ECD437BA94B2AB9459656B5391B10.edm">#REF!</definedName>
    <definedName name="PriceSec" localSheetId="0">#REF!</definedName>
    <definedName name="bet" localSheetId="0">#REF!</definedName>
    <definedName name="xitem" localSheetId="0">#REF!</definedName>
    <definedName name="bnd" localSheetId="0">#REF!</definedName>
    <definedName name="xoe">#REF!</definedName>
    <definedName name="_bdm.AC38BF6260B64E5295AB90958E6E86FC.edm">#REF!</definedName>
    <definedName name="ibf">#REF!</definedName>
    <definedName name="Linking_84">#REF!</definedName>
    <definedName name="pnp" localSheetId="0">#REF!</definedName>
    <definedName name="ipr">#REF!</definedName>
    <definedName name="currency" localSheetId="0">#REF!</definedName>
    <definedName name="xer">#REF!</definedName>
    <definedName name="isc" localSheetId="0">#REF!</definedName>
    <definedName name="BLPH38">#REF!</definedName>
    <definedName name="stats1" localSheetId="0">#REF!</definedName>
    <definedName name="BLPH20">#REF!</definedName>
    <definedName name="_bdm.82E4C5BB8B3849AABE08117983E7EBE6.edm" localSheetId="0">#REF!</definedName>
    <definedName name="_Sub1">#REF!</definedName>
    <definedName name="BLPH3">#REF!</definedName>
    <definedName name="Linking_44">#REF!</definedName>
    <definedName name="vbv" localSheetId="0">#REF!</definedName>
    <definedName name="Linking_Range_16">#REF!</definedName>
    <definedName name="tcs">#REF!</definedName>
    <definedName name="bdp">#REF!</definedName>
    <definedName name="consumerDemandExposure">#REF!</definedName>
    <definedName name="block.BusinessBackground.blue">#REF!</definedName>
    <definedName name="analyst">#REF!</definedName>
    <definedName name="Linking_23">#REF!</definedName>
    <definedName name="bte">#REF!</definedName>
    <definedName name="Linking_24">#REF!</definedName>
    <definedName name="Table_7___E_P_Proven_Reserves">#REF!</definedName>
    <definedName name="_bdm.90D15D604D304B43BE993E42ABCA6B28.edm">#REF!</definedName>
    <definedName name="Table12_13" localSheetId="0">#REF!</definedName>
    <definedName name="upstream" localSheetId="0">#REF!</definedName>
    <definedName name="Linking_91">#REF!</definedName>
    <definedName name="_bdm.0F3572E9DC5347B4A2BB4268329A1EF8.edm" localSheetId="0">#REF!</definedName>
    <definedName name="tev">#REF!</definedName>
    <definedName name="_bdm.CC4736F3F1934C43AB5EAAF179080C95.edm" localSheetId="0">#REF!</definedName>
    <definedName name="swa">#REF!</definedName>
    <definedName name="_xx200">#REF!</definedName>
    <definedName name="BLPH44">#REF!</definedName>
    <definedName name="bor" localSheetId="0">#REF!</definedName>
    <definedName name="Linking_77">#REF!</definedName>
    <definedName name="_xx600">#REF!</definedName>
    <definedName name="_bdm.7944833C583046629EE7F9833267280F.edm" localSheetId="0">#REF!</definedName>
    <definedName name="_bdm.16D9A828E21A4105B4A3BC942BDFF2F7.edm">#REF!</definedName>
    <definedName name="bot" localSheetId="0">#REF!</definedName>
    <definedName name="Linking_Range_14">#REF!</definedName>
    <definedName name="TD">#REF!</definedName>
    <definedName name="tfo">#REF!</definedName>
    <definedName name="production">#REF!</definedName>
    <definedName name="bap">#REF!</definedName>
    <definedName name="_bdm.C66878AA343946AAB00DF20815189482.edm">#REF!</definedName>
    <definedName name="RegSection">#REF!</definedName>
    <definedName name="irc" localSheetId="0">#REF!</definedName>
    <definedName name="Linking_Range_13">#REF!</definedName>
    <definedName name="i">#REF!</definedName>
    <definedName name="vrn">#REF!</definedName>
    <definedName name="ML_3y1j4m2m">#REF!</definedName>
    <definedName name="vdp" localSheetId="0">#REF!</definedName>
    <definedName name="saf" localSheetId="0">#REF!</definedName>
    <definedName name="bor">#REF!</definedName>
    <definedName name="FY2004_">#REF!</definedName>
    <definedName name="_bdm.82F0F39AF87A40D9B626BCC9990D9584.edm">#REF!</definedName>
    <definedName name="TRX">#REF!</definedName>
    <definedName name="block.PriceChart.none">#REF!</definedName>
    <definedName name="ibf" localSheetId="0">#REF!</definedName>
    <definedName name="FY1994_">#REF!</definedName>
    <definedName name="Linking_19">#REF!</definedName>
    <definedName name="BLPH33" localSheetId="0">#REF!</definedName>
    <definedName name="enp" localSheetId="0">#REF!</definedName>
    <definedName name="vmv" localSheetId="0">#REF!</definedName>
    <definedName name="africaCountries">#REF!</definedName>
    <definedName name="ptHide">#REF!</definedName>
    <definedName name="curdate">#REF!</definedName>
    <definedName name="BLPH41" localSheetId="0">#REF!</definedName>
    <definedName name="totalEndDemandRevenueExposure">#REF!</definedName>
    <definedName name="BRICS">#REF!</definedName>
    <definedName name="_xx101">#REF!</definedName>
    <definedName name="pga">#REF!</definedName>
    <definedName name="rngBearCase">#REF!</definedName>
    <definedName name="vio">#REF!</definedName>
    <definedName name="centralEasternEuropeCountries">#REF!</definedName>
    <definedName name="_bdm.0F3572E9DC5347B4A2BB4268329A1EF8.edm">#REF!</definedName>
    <definedName name="cwt" localSheetId="0">#REF!</definedName>
    <definedName name="block.Assumptions.blue">#REF!</definedName>
    <definedName name="bia">#REF!</definedName>
    <definedName name="_bdm.EC60D1277E4B41F690EF779A4DB3EE14.edm">#REF!</definedName>
    <definedName name="ccn" localSheetId="0">#REF!</definedName>
    <definedName name="_bdm.B841A5D08DC74BDB9CEDB428BCDFE01C.edm">#REF!</definedName>
    <definedName name="bsf" localSheetId="0">#REF!</definedName>
    <definedName name="Op_Inc">#REF!</definedName>
    <definedName name="sal" localSheetId="0">#REF!</definedName>
    <definedName name="BLPH32">#REF!</definedName>
    <definedName name="rngDates">#REF!</definedName>
    <definedName name="PreTaxInc">#REF!</definedName>
    <definedName name="bnf" localSheetId="0">#REF!</definedName>
    <definedName name="Heilongjiang" localSheetId="0">#REF!</definedName>
    <definedName name="Jiangxi">#REF!</definedName>
    <definedName name="Linking_10">#REF!</definedName>
    <definedName name="Xinjiang" localSheetId="0">#REF!</definedName>
    <definedName name="totalConsumerDemandExposure">#REF!</definedName>
    <definedName name="_bdm.1DF4B3E45DCE4C2A9D635C38C907064B.edm">#REF!</definedName>
    <definedName name="Table14" localSheetId="0">#REF!</definedName>
    <definedName name="rngTotalRegionExposure">#REF!</definedName>
    <definedName name="Linking_Range_12">#REF!</definedName>
    <definedName name="_bdm.75D3B8CC6896425991F38E3D103411E3.edm">#REF!</definedName>
    <definedName name="dataseries1">#REF!</definedName>
    <definedName name="pmi" localSheetId="0">#REF!</definedName>
    <definedName name="bad" localSheetId="0">#REF!</definedName>
    <definedName name="dtd">#REF!</definedName>
    <definedName name="cot">#REF!</definedName>
    <definedName name="_xx400" localSheetId="0">#REF!</definedName>
    <definedName name="bae">#REF!</definedName>
    <definedName name="NetDebt">#REF!</definedName>
    <definedName name="FY2005_" localSheetId="0">#REF!</definedName>
    <definedName name="_xx101" localSheetId="0">#REF!</definedName>
    <definedName name="block.DividendData.blue">#REF!</definedName>
    <definedName name="cdi">#REF!</definedName>
    <definedName name="RR" localSheetId="0">#REF!</definedName>
    <definedName name="pie">#REF!</definedName>
    <definedName name="europe">#REF!</definedName>
    <definedName name="BLPH42" localSheetId="0">#REF!</definedName>
    <definedName name="Linking_Range_7">#REF!</definedName>
    <definedName name="xfx" localSheetId="0">#REF!</definedName>
    <definedName name="FY1998_">#REF!</definedName>
    <definedName name="_bdm.04F94F5C95524416927C11A6688331DE.edm" localSheetId="0">#REF!</definedName>
    <definedName name="Linking_80">#REF!</definedName>
    <definedName name="_xx600" localSheetId="0">#REF!</definedName>
    <definedName name="bst">#REF!</definedName>
    <definedName name="_bdm.B3FA5B3C89BF4F84BDACAE9D59BAC270.edm">#REF!</definedName>
    <definedName name="_xx100" localSheetId="0">#REF!</definedName>
    <definedName name="domesticAndForeignExposure">#REF!</definedName>
    <definedName name="BLPH42">#REF!</definedName>
    <definedName name="_bdm.08BD6A549B8D432697F745E5E0825B0B.edm">#REF!</definedName>
    <definedName name="vep" localSheetId="0">#REF!</definedName>
    <definedName name="Linking_73">#REF!</definedName>
    <definedName name="bpp">#REF!</definedName>
    <definedName name="Linking_64">#REF!</definedName>
    <definedName name="csi" localSheetId="0">#REF!</definedName>
    <definedName name="rev">#REF!</definedName>
    <definedName name="_bdm.C08C8689084D4798B47A167600C028B0.edm">#REF!</definedName>
    <definedName name="daf" localSheetId="0">#REF!</definedName>
    <definedName name="ROE">#REF!</definedName>
    <definedName name="Linking_18">#REF!</definedName>
    <definedName name="developedEuropeExUKCountries">#REF!</definedName>
    <definedName name="irp" localSheetId="0">#REF!</definedName>
    <definedName name="bcp" localSheetId="0">#REF!</definedName>
    <definedName name="epx" localSheetId="0">#REF!</definedName>
    <definedName name="bap" localSheetId="0">#REF!</definedName>
    <definedName name="dpy">#REF!</definedName>
    <definedName name="_bdm.E5E5533BF749489FB5D215D0EC3B0911.edm">#REF!</definedName>
    <definedName name="Recomm">#REF!</definedName>
    <definedName name="china">#REF!</definedName>
    <definedName name="instructions">#REF!</definedName>
    <definedName name="block.CapitalHistory.blue">#REF!</definedName>
    <definedName name="Hei">#REF!</definedName>
    <definedName name="Sichuan" localSheetId="0">#REF!</definedName>
    <definedName name="_bdm.424D9D07DD004975A40B2F21D4C3836B.edm">#REF!</definedName>
    <definedName name="Shaanxi">#REF!</definedName>
    <definedName name="pto" localSheetId="0">#REF!</definedName>
    <definedName name="developedEuropeExUK">#REF!</definedName>
    <definedName name="xxForecast" localSheetId="0">#REF!</definedName>
    <definedName name="Country">#REF!</definedName>
    <definedName name="bcb" localSheetId="0">#REF!</definedName>
    <definedName name="Subs">#REF!</definedName>
    <definedName name="pfx" localSheetId="0">#REF!</definedName>
    <definedName name="Linking_5">#REF!</definedName>
    <definedName name="rngStateWiseValue">#REF!</definedName>
    <definedName name="btl">#REF!</definedName>
    <definedName name="Linking_86">#REF!</definedName>
    <definedName name="ifl">#REF!</definedName>
    <definedName name="_bdm.0EAC942374B849AA9A6471177DD63BFE.edm">#REF!</definedName>
    <definedName name="recommendation" localSheetId="0">#REF!</definedName>
    <definedName name="cfc" localSheetId="0">#REF!</definedName>
    <definedName name="did" localSheetId="0">#REF!</definedName>
    <definedName name="PCase">#REF!</definedName>
    <definedName name="_bdm.DF6734618A3C41EAA54818590D43BC2A.edm">#REF!</definedName>
    <definedName name="Linking_63">#REF!</definedName>
    <definedName name="Exchange" localSheetId="0">#REF!</definedName>
    <definedName name="bca">#REF!</definedName>
    <definedName name="Linking_72">#REF!</definedName>
    <definedName name="middleEastAfricaRegion">#REF!</definedName>
    <definedName name="swa" localSheetId="0">#REF!</definedName>
    <definedName name="latinAmerica">#REF!</definedName>
    <definedName name="peb">#REF!</definedName>
    <definedName name="fxa">#REF!</definedName>
    <definedName name="tnd" localSheetId="0">#REF!</definedName>
    <definedName name="code" localSheetId="0">#REF!</definedName>
    <definedName name="ifo" localSheetId="0">#REF!</definedName>
    <definedName name="irc">#REF!</definedName>
    <definedName name="rns">#REF!</definedName>
    <definedName name="veb">#REF!</definedName>
    <definedName name="BLPH22">#REF!</definedName>
    <definedName name="_bdm.6569FBD361314124893D52D03487FD7B.edm">#REF!</definedName>
    <definedName name="_bdm.3A8040158CCC49BE8B6097F4E73BBA47.edm">#REF!</definedName>
    <definedName name="ihd">#REF!</definedName>
    <definedName name="bpp" localSheetId="0">#REF!</definedName>
    <definedName name="vfa" localSheetId="0">#REF!</definedName>
    <definedName name="_Key2">#REF!</definedName>
    <definedName name="vae" localSheetId="0">#REF!</definedName>
    <definedName name="recommendation">#REF!</definedName>
    <definedName name="AREA1" localSheetId="0">#REF!</definedName>
    <definedName name="BLPH6" localSheetId="0">#REF!</definedName>
    <definedName name="BLPH41">#REF!</definedName>
    <definedName name="BLPH8">#REF!</definedName>
    <definedName name="BLPH17" localSheetId="0">#REF!</definedName>
    <definedName name="_bdm.FB67D38B9AB2446ABF16E8DC7CDD29CF.edm">#REF!</definedName>
    <definedName name="vsp">#REF!</definedName>
    <definedName name="SO">#REF!</definedName>
    <definedName name="_bdm.DB3B2628592D4837A7C214CD684C998C.edm">#REF!</definedName>
    <definedName name="Sichuan">#REF!</definedName>
    <definedName name="pgp" localSheetId="0">#REF!</definedName>
    <definedName name="ipv" localSheetId="0">#REF!</definedName>
    <definedName name="_bdm.50B7E63794294C9E84D8474EFC8ADBE4.edm" localSheetId="0">#REF!</definedName>
    <definedName name="middleEastAfricaStates">#REF!</definedName>
    <definedName name="ict">#REF!</definedName>
    <definedName name="cde" localSheetId="0">#REF!</definedName>
    <definedName name="vep">#REF!</definedName>
    <definedName name="ist" localSheetId="0">#REF!</definedName>
    <definedName name="_bdm.9C189FC3EDA64B39B0954C5C76483230.edm">#REF!</definedName>
    <definedName name="reserves" localSheetId="0">#REF!</definedName>
    <definedName name="rev" localSheetId="0">#REF!</definedName>
    <definedName name="_xx302" localSheetId="0">#REF!</definedName>
    <definedName name="BLPH8" localSheetId="0">#REF!</definedName>
    <definedName name="_bdm.2B786A0C8E23454A813466D7DC51E734.edm">#REF!</definedName>
    <definedName name="_bdm.DD32B9BD57EA48FF908ED759110A8023.edm" localSheetId="0">#REF!</definedName>
    <definedName name="pta">#REF!</definedName>
    <definedName name="table19">#REF!</definedName>
    <definedName name="das" localSheetId="0">#REF!</definedName>
    <definedName name="yrendlist">#REF!</definedName>
    <definedName name="Linking_35">#REF!</definedName>
    <definedName name="_bdm.9DD3CAC000CF4F938B7B35237B6E4E6E.edm">#REF!</definedName>
    <definedName name="Linking_38">#REF!</definedName>
    <definedName name="pdp">#REF!</definedName>
    <definedName name="_bdm.C08C8689084D4798B47A167600C028B0.edm" localSheetId="0">#REF!</definedName>
    <definedName name="cot" localSheetId="0">#REF!</definedName>
    <definedName name="Linking_Range_1">#REF!</definedName>
    <definedName name="_bdm.CC53B34C3C564FCB9A81C246A102D6EA.edm">#REF!</definedName>
    <definedName name="fair_value">DCF!$L$39</definedName>
    <definedName name="rwc">#REF!</definedName>
    <definedName name="ip1_" localSheetId="0">#REF!</definedName>
    <definedName name="_bdm.2B786A0C8E23454A813466D7DC51E734.edm" localSheetId="0">#REF!</definedName>
    <definedName name="_bdm.E835AA6529794D5DA550CAC39C6358C5.edm">#REF!</definedName>
    <definedName name="ext">#REF!</definedName>
    <definedName name="rngContinentWiseValue">#REF!</definedName>
    <definedName name="BLPH43" localSheetId="0">#REF!</definedName>
    <definedName name="FY2003_">#REF!</definedName>
    <definedName name="_bdm.2921CDFFC5774C34BC8A088C2FC12E3A.edm">#REF!</definedName>
    <definedName name="vnd" localSheetId="0">#REF!</definedName>
    <definedName name="irg" localSheetId="0">#REF!</definedName>
    <definedName name="bcb">#REF!</definedName>
    <definedName name="rde">#REF!</definedName>
    <definedName name="btd">#REF!</definedName>
    <definedName name="_bdm.22C32FBD2E5D4791B951AB558B89AF65.edm">#REF!</definedName>
    <definedName name="_bdm.0EAC942374B849AA9A6471177DD63BFE.edm" localSheetId="0">#REF!</definedName>
    <definedName name="bae" localSheetId="0">#REF!</definedName>
    <definedName name="block.Miscellaneous.blue" localSheetId="0">#REF!</definedName>
    <definedName name="ire" localSheetId="0">#REF!</definedName>
    <definedName name="Linking_88">#REF!</definedName>
    <definedName name="Linking_8">#REF!</definedName>
    <definedName name="_bdm.B14B9D3976734237BDAB36F25BE3CACF.edm">#REF!</definedName>
    <definedName name="rre">#REF!</definedName>
    <definedName name="epw">#REF!</definedName>
    <definedName name="xitem">#REF!</definedName>
    <definedName name="iva">#REF!</definedName>
    <definedName name="is3_" localSheetId="0">#REF!</definedName>
    <definedName name="event" localSheetId="0">#REF!</definedName>
    <definedName name="reserves">#REF!</definedName>
    <definedName name="pco" localSheetId="0">#REF!</definedName>
    <definedName name="block.ProfitBreakdown.blue" localSheetId="0">#REF!</definedName>
    <definedName name="BLPH1" localSheetId="0">#REF!</definedName>
    <definedName name="otherDevelopedEurope">#REF!</definedName>
    <definedName name="AREA1">#REF!</definedName>
    <definedName name="_xx301" localSheetId="0">#REF!</definedName>
    <definedName name="UtilityPE">#REF!</definedName>
    <definedName name="xaxis">#REF!</definedName>
    <definedName name="btp">#REF!</definedName>
    <definedName name="bio" localSheetId="0">#REF!</definedName>
    <definedName name="bin">#REF!</definedName>
    <definedName name="is4_" localSheetId="0">#REF!</definedName>
    <definedName name="Linking_31">#REF!</definedName>
    <definedName name="Linking_62">#REF!</definedName>
    <definedName name="pre">#REF!</definedName>
    <definedName name="cashflo" localSheetId="0">#REF!</definedName>
    <definedName name="Linking_9">#REF!</definedName>
    <definedName name="otherCentralEasternEurope">#REF!</definedName>
    <definedName name="bta" localSheetId="0">#REF!</definedName>
    <definedName name="bpu" localSheetId="0">#REF!</definedName>
    <definedName name="BaseName">#REF!</definedName>
    <definedName name="_bdm.4616758E75804FEFB6777E89DA72C5C4.edm">#REF!</definedName>
    <definedName name="_bdm.81D99D13DC2846FEA59AE70444542523.edm">#REF!</definedName>
    <definedName name="_bdm.CFC3CEDB55CA4DC2873A4084E990A0B0.edm">#REF!</definedName>
    <definedName name="_xx302">#REF!</definedName>
    <definedName name="_bdm.2A474125C56A48AF977BCB262ABA6378.edm">#REF!</definedName>
    <definedName name="bnd">#REF!</definedName>
    <definedName name="vey">#REF!</definedName>
    <definedName name="code">#REF!</definedName>
    <definedName name="nas" localSheetId="0">#REF!</definedName>
    <definedName name="bll" localSheetId="0">#REF!</definedName>
    <definedName name="_bdm.DF93250CCC8D4FDA9BAB1E0E264D1002.edm">#REF!</definedName>
    <definedName name="_Table2_Out">#REF!</definedName>
    <definedName name="asiaPacificRegion">#REF!</definedName>
    <definedName name="xpr">#REF!</definedName>
    <definedName name="Sales_p_SqFt">#REF!</definedName>
    <definedName name="bin" localSheetId="0">#REF!</definedName>
    <definedName name="PHedge">#REF!</definedName>
    <definedName name="FY2001_" localSheetId="0">#REF!</definedName>
    <definedName name="veg" localSheetId="0">#REF!</definedName>
    <definedName name="TD" localSheetId="0">#REF!</definedName>
    <definedName name="Linking_81">#REF!</definedName>
    <definedName name="Publication">#REF!</definedName>
    <definedName name="BLPH30" localSheetId="0">#REF!</definedName>
    <definedName name="eat">#REF!</definedName>
    <definedName name="upstream">#REF!</definedName>
    <definedName name="Linking_3">#REF!</definedName>
    <definedName name="block.Outlook.blue">#REF!</definedName>
    <definedName name="actionlist">#REF!</definedName>
    <definedName name="prevreclist">#REF!</definedName>
    <definedName name="Hei" localSheetId="0">#REF!</definedName>
    <definedName name="rot" localSheetId="0">#REF!</definedName>
    <definedName name="Linking_71">#REF!</definedName>
    <definedName name="Xinjiang">#REF!</definedName>
    <definedName name="is2_">#REF!</definedName>
    <definedName name="_bdm.FB67D38B9AB2446ABF16E8DC7CDD29CF.edm" localSheetId="0">#REF!</definedName>
    <definedName name="Linking_82">#REF!</definedName>
    <definedName name="_bdm.D2A246A0CFED4873BA6C5BD8A0116500.edm" localSheetId="0">#REF!</definedName>
    <definedName name="tin" localSheetId="0">#REF!</definedName>
    <definedName name="vey" localSheetId="0">#REF!</definedName>
    <definedName name="FY1995_">#REF!</definedName>
    <definedName name="yrendlist" localSheetId="0">#REF!</definedName>
    <definedName name="_bdm.BEFD4DF2934642218C029351FE43A64E.edm" localSheetId="0">#REF!</definedName>
    <definedName name="eap">#REF!</definedName>
    <definedName name="Linking_55">#REF!</definedName>
    <definedName name="northAmerica">#REF!</definedName>
    <definedName name="_bdm.2146E1E080234E2AA3383C2E53531D68.edm">DCF!$1:$1048576</definedName>
    <definedName name="page1" localSheetId="0">#REF!</definedName>
    <definedName name="Linking_Range_28">#REF!</definedName>
    <definedName name="_bdm.55F0BF1D1299419D8597A4698227263B.edm">#REF!</definedName>
    <definedName name="Linking_34">#REF!</definedName>
    <definedName name="Linking_11">#REF!</definedName>
    <definedName name="bca" localSheetId="0">#REF!</definedName>
    <definedName name="_bdm.7035742CF9664D038721A120112FA6E1.edm">#REF!</definedName>
    <definedName name="via" localSheetId="0">#REF!</definedName>
    <definedName name="Vat">#REF!</definedName>
    <definedName name="BLPH1">#REF!</definedName>
    <definedName name="is4_">#REF!</definedName>
    <definedName name="BLPH17">#REF!</definedName>
    <definedName name="_bdm.10830C3544764627871D4D9E0511F907.edm">#REF!</definedName>
    <definedName name="cta">#REF!</definedName>
    <definedName name="SharePrice">#REF!</definedName>
    <definedName name="event">#REF!</definedName>
    <definedName name="rngBullCase">#REF!</definedName>
    <definedName name="TemplateRegion">#REF!</definedName>
    <definedName name="Linking_78">#REF!</definedName>
    <definedName name="is2_" localSheetId="0">#REF!</definedName>
    <definedName name="cashflow" localSheetId="0">#REF!</definedName>
    <definedName name="bad">#REF!</definedName>
    <definedName name="block.ProfitBreakdown.blue">#REF!</definedName>
    <definedName name="vay" localSheetId="0">#REF!</definedName>
    <definedName name="_bdm.69AA4A7ECCB449BABD4212BE66682464.edm">#REF!</definedName>
    <definedName name="europeRegion">#REF!</definedName>
    <definedName name="icd">#REF!</definedName>
    <definedName name="FY1997_" localSheetId="0">#REF!</definedName>
    <definedName name="ip2_" localSheetId="0">#REF!</definedName>
    <definedName name="nas">#REF!</definedName>
    <definedName name="Linking_83">#REF!</definedName>
    <definedName name="icu">#REF!</definedName>
    <definedName name="allRegions">#REF!</definedName>
    <definedName name="ifd" localSheetId="0">#REF!</definedName>
    <definedName name="_Key1">#REF!</definedName>
    <definedName name="_xx200" localSheetId="0">#REF!</definedName>
    <definedName name="table15_16">#REF!</definedName>
    <definedName name="_bdm.99190C3F24144866AD0CF0DAFF9E58FF.edm">#REF!</definedName>
    <definedName name="ian" localSheetId="0">#REF!</definedName>
    <definedName name="Henan">#REF!</definedName>
    <definedName name="bao" localSheetId="0">#REF!</definedName>
    <definedName name="tfc" localSheetId="0">#REF!</definedName>
    <definedName name="_bdm.088A3F2FA3AB4A58A3B7B2737C05B74B.edm">#REF!</definedName>
    <definedName name="BLPH32" localSheetId="0">#REF!</definedName>
    <definedName name="Linking_79">#REF!</definedName>
    <definedName name="saf">#REF!</definedName>
    <definedName name="dddfs">#REF!</definedName>
    <definedName name="bmi">#REF!</definedName>
    <definedName name="FY2000_">#REF!</definedName>
    <definedName name="Linking_60">#REF!</definedName>
    <definedName name="rus" localSheetId="0">#REF!</definedName>
    <definedName name="bre">#REF!</definedName>
    <definedName name="ROA">#REF!</definedName>
    <definedName name="bcm">#REF!</definedName>
    <definedName name="vva">#REF!</definedName>
    <definedName name="bay">#REF!</definedName>
    <definedName name="CopyrightStamp">#REF!</definedName>
    <definedName name="UnregValue">#REF!</definedName>
    <definedName name="SubmitterUserId">#REF!</definedName>
    <definedName name="_bdm.398597B72BE246D0BA7F092E5CBD82F3.edm">#REF!</definedName>
    <definedName name="vrn" localSheetId="0">#REF!</definedName>
    <definedName name="Linking_42">#REF!</definedName>
    <definedName name="Linking_15">#REF!</definedName>
    <definedName name="latinAmericaCountries">#REF!</definedName>
    <definedName name="ist">#REF!</definedName>
    <definedName name="income" localSheetId="0">#REF!</definedName>
    <definedName name="vcf">#REF!</definedName>
    <definedName name="Shaanxi" localSheetId="0">#REF!</definedName>
    <definedName name="totalDomesticRevenueExposure">#REF!</definedName>
    <definedName name="vev" localSheetId="0">#REF!</definedName>
    <definedName name="_bdm.1705A9935322413CB55FF24B8E9B6E20.edm">#REF!</definedName>
    <definedName name="BLPH25" localSheetId="0">#REF!</definedName>
    <definedName name="_bdm.3535A8FC84BE43809F511FE64FDA17DB.edm">#REF!</definedName>
    <definedName name="BLPH36">#REF!</definedName>
    <definedName name="_bdm.22C32FBD2E5D4791B951AB558B89AF65.edm" localSheetId="0">#REF!</definedName>
    <definedName name="_bdm.6EFD5C2191ED4FD1A5A4F2A4995A5578.edm" localSheetId="0">#REF!</definedName>
    <definedName name="pta" localSheetId="0">#REF!</definedName>
    <definedName name="BLPH40" localSheetId="0">#REF!</definedName>
    <definedName name="Linking_14">#REF!</definedName>
    <definedName name="Linking_56">#REF!</definedName>
    <definedName name="cop" localSheetId="0">#REF!</definedName>
    <definedName name="_bdm.6DD15C8021DD41E7B33858957126E414.edm">#REF!</definedName>
    <definedName name="middleEast">#REF!</definedName>
    <definedName name="_bdm.6EFD5C2191ED4FD1A5A4F2A4995A5578.edm">#REF!</definedName>
    <definedName name="Linking_45">#REF!</definedName>
    <definedName name="americaRegion">#REF!</definedName>
    <definedName name="BLPH20" localSheetId="0">#REF!</definedName>
    <definedName name="ida" localSheetId="0">#REF!</definedName>
    <definedName name="civ" localSheetId="0">#REF!</definedName>
    <definedName name="_bdm.737135B66E7B4A1896157F93CBB5F4FA.edm">#REF!</definedName>
    <definedName name="eaa" localSheetId="0">#REF!</definedName>
    <definedName name="prevreclist" localSheetId="0">#REF!</definedName>
    <definedName name="vcf" localSheetId="0">#REF!</definedName>
    <definedName name="fxe">#REF!</definedName>
    <definedName name="africa">#REF!</definedName>
    <definedName name="ifn">#REF!</definedName>
    <definedName name="Table_12___R_M_Volumes">#REF!</definedName>
    <definedName name="bll">#REF!</definedName>
    <definedName name="iex" localSheetId="0">#REF!</definedName>
    <definedName name="block.Title.blue" localSheetId="0">#REF!</definedName>
    <definedName name="bpu">#REF!</definedName>
    <definedName name="bay" localSheetId="0">#REF!</definedName>
    <definedName name="rcr" localSheetId="0">#REF!</definedName>
    <definedName name="Raw_percent">#REF!</definedName>
    <definedName name="rfs" localSheetId="0">#REF!</definedName>
    <definedName name="_bdm.96D7DC1981E443A8B0A8D27935EDB273.edm">#REF!</definedName>
    <definedName name="socioEconomicRegion">#REF!</definedName>
    <definedName name="FY2002_" localSheetId="0">#REF!</definedName>
    <definedName name="pai" localSheetId="0">#REF!</definedName>
    <definedName name="Linking_22">#REF!</definedName>
    <definedName name="xfx">#REF!</definedName>
    <definedName name="sad">#REF!</definedName>
    <definedName name="nbd" localSheetId="0">#REF!</definedName>
    <definedName name="bce">#REF!</definedName>
    <definedName name="balance">#REF!</definedName>
    <definedName name="iex">#REF!</definedName>
    <definedName name="CopyrightStamp" localSheetId="0">#REF!</definedName>
    <definedName name="_bdm.088A3F2FA3AB4A58A3B7B2737C05B74B.edm" localSheetId="0">#REF!</definedName>
    <definedName name="Premium">#REF!</definedName>
    <definedName name="rcr">#REF!</definedName>
    <definedName name="Table_2__Consolidated_Income_Statement">#REF!</definedName>
    <definedName name="BLPH15" localSheetId="0">#REF!</definedName>
    <definedName name="Revision" localSheetId="0">#REF!</definedName>
    <definedName name="dpy" localSheetId="0">#REF!</definedName>
    <definedName name="monthly2" localSheetId="0">#REF!</definedName>
    <definedName name="BLPH25">#REF!</definedName>
    <definedName name="block.Miscellaneous.blue">#REF!</definedName>
    <definedName name="EEMEA">#REF!</definedName>
    <definedName name="prevtarget">#REF!</definedName>
    <definedName name="sal">#REF!</definedName>
    <definedName name="block.ShareData.blue">#REF!</definedName>
    <definedName name="model_case" localSheetId="0">DCF!$I$190</definedName>
    <definedName name="project" localSheetId="0">#REF!</definedName>
    <definedName name="Linking_49">#REF!</definedName>
    <definedName name="BLPH7">#REF!</definedName>
    <definedName name="Exchange">#REF!</definedName>
    <definedName name="india">#REF!</definedName>
    <definedName name="block.Forecasts.blue" localSheetId="0">#REF!</definedName>
    <definedName name="Stk_Price">#REF!</definedName>
    <definedName name="americas">#REF!</definedName>
    <definedName name="targetprice">#REF!</definedName>
    <definedName name="Jilin" localSheetId="0">#REF!</definedName>
    <definedName name="cfx" localSheetId="0">#REF!</definedName>
    <definedName name="Table9_10" localSheetId="0">#REF!</definedName>
    <definedName name="bcp">#REF!</definedName>
    <definedName name="otherLATAM">#REF!</definedName>
    <definedName name="BLPH44" localSheetId="0">#REF!</definedName>
    <definedName name="_bdm.D30F3D987B2246EC8E1948FBA7F8BA27.edm">#REF!</definedName>
    <definedName name="_bdm.735C5BC0C7634D86A4E6E5E3F20AE788.edm">#REF!</definedName>
    <definedName name="swl" localSheetId="0">#REF!</definedName>
    <definedName name="BLPH34">#REF!</definedName>
    <definedName name="dai" localSheetId="0">#REF!</definedName>
    <definedName name="FY2005_">#REF!</definedName>
    <definedName name="BLPH28">#REF!</definedName>
    <definedName name="dfd" localSheetId="0">#REF!</definedName>
    <definedName name="rad" localSheetId="0">#REF!</definedName>
    <definedName name="Linking_46">#REF!</definedName>
    <definedName name="project">#REF!</definedName>
    <definedName name="Linking_40">#REF!</definedName>
    <definedName name="irf" localSheetId="0">#REF!</definedName>
    <definedName name="Uplift">#REF!</definedName>
    <definedName name="Linking_Range_4">#REF!</definedName>
    <definedName name="rfs">#REF!</definedName>
    <definedName name="_bdm.D25E859411BC4971905BA7631EE5353B.edm">#REF!</definedName>
    <definedName name="Linking_75">#REF!</definedName>
    <definedName name="Linking_68">#REF!</definedName>
    <definedName name="isb" localSheetId="0">#REF!</definedName>
    <definedName name="_bdm.A0DC2E73A33540C88C7AF3BE12B55E4A.edm">#REF!</definedName>
    <definedName name="coi">#REF!</definedName>
    <definedName name="northAmericaCountries">#REF!</definedName>
    <definedName name="FY1995_" localSheetId="0">#REF!</definedName>
    <definedName name="FY2004_" localSheetId="0">#REF!</definedName>
    <definedName name="Linking_Range_11">#REF!</definedName>
    <definedName name="iff" localSheetId="0">#REF!</definedName>
    <definedName name="BLPH19">#REF!</definedName>
    <definedName name="eap" localSheetId="0">#REF!</definedName>
    <definedName name="_bdm.A2852EF9DD99436995B773FCFC829DE6.edm">#REF!</definedName>
    <definedName name="enp">#REF!</definedName>
    <definedName name="ccn">#REF!</definedName>
    <definedName name="Linking_Range_31">#REF!</definedName>
    <definedName name="price" localSheetId="0">#REF!</definedName>
    <definedName name="_xx201" localSheetId="0">#REF!</definedName>
    <definedName name="_bdm.7944833C583046629EE7F9833267280F.edm">#REF!</definedName>
    <definedName name="ip3_">#REF!</definedName>
    <definedName name="ObjectType">#REF!</definedName>
    <definedName name="rngBaseCase">#REF!</definedName>
    <definedName name="Linking_Range_6">#REF!</definedName>
    <definedName name="dfd">#REF!</definedName>
    <definedName name="Tax">#REF!</definedName>
    <definedName name="asiaPacificStates">#REF!</definedName>
    <definedName name="_bdm.CC4736F3F1934C43AB5EAAF179080C95.edm">#REF!</definedName>
    <definedName name="europeStates">#REF!</definedName>
    <definedName name="Linking_6">#REF!</definedName>
    <definedName name="bcl" localSheetId="0">#REF!</definedName>
    <definedName name="FY1994_" localSheetId="0">#REF!</definedName>
    <definedName name="totalRegionCostExposure">#REF!</definedName>
    <definedName name="_bdm.F7594A0F8FA346828BAE4D074E29CECC.edm">#REF!</definedName>
    <definedName name="irf">#REF!</definedName>
    <definedName name="_bdm.D2A246A0CFED4873BA6C5BD8A0116500.edm">#REF!</definedName>
    <definedName name="ise" localSheetId="0">#REF!</definedName>
    <definedName name="BLPH16" localSheetId="0">#REF!</definedName>
    <definedName name="isl" localSheetId="0">#REF!</definedName>
    <definedName name="pre" localSheetId="0">#REF!</definedName>
    <definedName name="table11" localSheetId="0">#REF!</definedName>
    <definedName name="bit" localSheetId="0">#REF!</definedName>
    <definedName name="fxe" localSheetId="0">#REF!</definedName>
    <definedName name="tci">#REF!</definedName>
    <definedName name="BLPH27">#REF!</definedName>
    <definedName name="Linking_Range_2">#REF!</definedName>
    <definedName name="epa">#REF!</definedName>
    <definedName name="eat" localSheetId="0">#REF!</definedName>
    <definedName name="ict" localSheetId="0">#REF!</definedName>
    <definedName name="xxForecast">#REF!</definedName>
    <definedName name="veb" localSheetId="0">#REF!</definedName>
    <definedName name="Linking_85">#REF!</definedName>
    <definedName name="block.BalanceSheet.blue" localSheetId="0">#REF!</definedName>
    <definedName name="BLPH40">#REF!</definedName>
    <definedName name="bmi" localSheetId="0">#REF!</definedName>
    <definedName name="pse">#REF!</definedName>
    <definedName name="_bdm.A552EFC7BDCB4B65921447ED0EB2DE33.edm">#REF!</definedName>
    <definedName name="_bdm.7035742CF9664D038721A120112FA6E1.edm" localSheetId="0">#REF!</definedName>
    <definedName name="vpx" localSheetId="0">#REF!</definedName>
    <definedName name="_bdm.CC53B34C3C564FCB9A81C246A102D6EA.edm" localSheetId="0">#REF!</definedName>
    <definedName name="_bdm.6288C2271B3A4589A2BBF17A864E45B3.edm">#REF!</definedName>
    <definedName name="dsd" localSheetId="0">#REF!</definedName>
    <definedName name="totalDomesticCostExposure">#REF!</definedName>
    <definedName name="bot">#REF!</definedName>
    <definedName name="vev">#REF!</definedName>
    <definedName name="_bdm.4AA2300831804531AB1CF6162AB9EC64.edm">#REF!</definedName>
    <definedName name="sws">#REF!</definedName>
    <definedName name="fxa" localSheetId="0">#REF!</definedName>
    <definedName name="BLPH34" localSheetId="0">#REF!</definedName>
    <definedName name="block.Title.blue">#REF!</definedName>
    <definedName name="_bdm.B2778A02FD534673A50D87457DE52662.edm">#REF!</definedName>
    <definedName name="Table_2__Consolidated_Income_Statement" localSheetId="0">#REF!</definedName>
    <definedName name="asiaPacific">#REF!</definedName>
    <definedName name="Linking_1">#REF!</definedName>
    <definedName name="Linking_13">#REF!</definedName>
    <definedName name="rngCountryWiseValue">#REF!</definedName>
    <definedName name="pii">#REF!</definedName>
    <definedName name="ipr" localSheetId="0">#REF!</definedName>
    <definedName name="Recomm" localSheetId="0">#REF!</definedName>
    <definedName name="block.Expansion.blue">#REF!</definedName>
    <definedName name="bst" localSheetId="0">#REF!</definedName>
    <definedName name="Linking_32">#REF!</definedName>
    <definedName name="ian">#REF!</definedName>
    <definedName name="isf" localSheetId="0">#REF!</definedName>
    <definedName name="middleEastAfrica">#REF!</definedName>
    <definedName name="_xx500" localSheetId="0">#REF!</definedName>
    <definedName name="rde" localSheetId="0">#REF!</definedName>
    <definedName name="tfo" localSheetId="0">#REF!</definedName>
    <definedName name="FY1998_" localSheetId="0">#REF!</definedName>
    <definedName name="Linking_16">#REF!</definedName>
    <definedName name="BLPH26">#REF!</definedName>
    <definedName name="FY2002_">#REF!</definedName>
    <definedName name="Linking_Range_18">#REF!</definedName>
    <definedName name="ML_3y1j4m2m" localSheetId="0">#REF!</definedName>
    <definedName name="Table14">#REF!</definedName>
    <definedName name="bfc" localSheetId="0">#REF!</definedName>
    <definedName name="BLPH39" localSheetId="0">#REF!</definedName>
    <definedName name="Linking_37">#REF!</definedName>
    <definedName name="icu" localSheetId="0">#REF!</definedName>
    <definedName name="Jiangxi" localSheetId="0">#REF!</definedName>
    <definedName name="pop" localSheetId="0">#REF!</definedName>
    <definedName name="list1">#REF!</definedName>
    <definedName name="BLPH22" localSheetId="0">#REF!</definedName>
    <definedName name="ValidDateTable">#REF!</definedName>
    <definedName name="RandM" localSheetId="0">#REF!</definedName>
    <definedName name="Table_15__Valuation" localSheetId="0">#REF!</definedName>
    <definedName name="price">#REF!</definedName>
    <definedName name="FY1993_">#REF!</definedName>
    <definedName name="otherAsiaPacific">#REF!</definedName>
    <definedName name="block.Subsidiaries.blue">#REF!</definedName>
    <definedName name="Linking_21">#REF!</definedName>
    <definedName name="showVersionCheckMessage">#REF!</definedName>
    <definedName name="_bdm.DECF30F0CAE5481D9CFDA17E1F56AD35.edm" localSheetId="0">#REF!</definedName>
    <definedName name="bet">#REF!</definedName>
    <definedName name="tci" localSheetId="0">#REF!</definedName>
    <definedName name="_bdm.BB07DDACC0434320947584FCD403930E.edm">#REF!</definedName>
    <definedName name="_bdm.9CFEC88413C7456AB7E9D2DFFC3FD9FB.edm">#REF!</definedName>
    <definedName name="uk">#REF!</definedName>
    <definedName name="Linking_17">#REF!</definedName>
    <definedName name="_bdm.EB69437DBA4840859E7CF87D29D73D59.edm">#REF!</definedName>
    <definedName name="Henan" localSheetId="0">#REF!</definedName>
    <definedName name="ip4_">#REF!</definedName>
    <definedName name="ip5_" localSheetId="0">#REF!</definedName>
    <definedName name="Depreciation_of_roads" localSheetId="0">#REF!</definedName>
    <definedName name="iff">#REF!</definedName>
    <definedName name="_bdm.4C0F54E9AF7344ABA9A0347E5BDEA6A7.edm">#REF!</definedName>
    <definedName name="block.DividendData.blue" localSheetId="0">#REF!</definedName>
    <definedName name="block.ShareData.blue" localSheetId="0">#REF!</definedName>
    <definedName name="Linking_2">#REF!</definedName>
    <definedName name="_bdm.64E2166FD78B4A0A8E4DD29D7BCDF7D2.edm" localSheetId="0">#REF!</definedName>
    <definedName name="_bdm.1ECA09EBBF0E4256A19746757E15BB40.edm">#REF!</definedName>
    <definedName name="table19" localSheetId="0">#REF!</definedName>
    <definedName name="SouthAmericaPE">#REF!</definedName>
    <definedName name="_bdm.D788F60FC3C14424BB134181BD8AC182.edm">#REF!</definedName>
    <definedName name="BLPH2" localSheetId="0">#REF!</definedName>
    <definedName name="cam" localSheetId="0">#REF!</definedName>
    <definedName name="vbv">#REF!</definedName>
    <definedName name="_xx301">#REF!</definedName>
    <definedName name="dsd">#REF!</definedName>
    <definedName name="pei">#REF!</definedName>
    <definedName name="tfr" localSheetId="0">#REF!</definedName>
    <definedName name="Linking_39">#REF!</definedName>
    <definedName name="BLPH36" localSheetId="0">#REF!</definedName>
    <definedName name="BLPH39">#REF!</definedName>
    <definedName name="RANGE1">#REF!</definedName>
    <definedName name="das">#REF!</definedName>
    <definedName name="BLPH31">#REF!</definedName>
    <definedName name="italy">#REF!</definedName>
    <definedName name="Linking_54">#REF!</definedName>
    <definedName name="bfc">#REF!</definedName>
    <definedName name="ppr">#REF!</definedName>
    <definedName name="pet">#REF!</definedName>
    <definedName name="Print17_18" localSheetId="0">#REF!</definedName>
    <definedName name="_bdm.C489A10E90D34FA1AF582BF3153C1470.edm">#REF!</definedName>
    <definedName name="page2">#REF!</definedName>
    <definedName name="_bdm.86896162E48C4E79A1B0D30F19EFF3C2.edm">#REF!</definedName>
    <definedName name="block.Cashflow.blue" localSheetId="0">#REF!</definedName>
    <definedName name="ifn" localSheetId="0">#REF!</definedName>
    <definedName name="income">#REF!</definedName>
    <definedName name="Table_of_Contents">#REF!</definedName>
    <definedName name="Linking_Range_15">#REF!</definedName>
    <definedName name="rwt" localSheetId="0">#REF!</definedName>
    <definedName name="FinalYear">#REF!</definedName>
    <definedName name="_bdm.0C372C1CAF274B169AB273F617522D1B.edm">#REF!</definedName>
    <definedName name="Guangxi" localSheetId="0">#REF!</definedName>
    <definedName name="bcl">#REF!</definedName>
    <definedName name="cii" localSheetId="0">#REF!</definedName>
    <definedName name="Country" localSheetId="0">#REF!</definedName>
    <definedName name="spa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<sst xmlns="http://schemas.openxmlformats.org/spreadsheetml/2006/main" count="549" uniqueCount="398">
  <si>
    <t>Code</t>
  </si>
  <si>
    <t>ETN US</t>
  </si>
  <si>
    <t>Please enter the ticker in B1, e.g. 700 HK</t>
  </si>
  <si>
    <t>Last annual report</t>
  </si>
  <si>
    <t>Please enter the date in B2, e.g. 2020/3/31</t>
  </si>
  <si>
    <t>Start year</t>
  </si>
  <si>
    <t>Currency</t>
  </si>
  <si>
    <t>US$</t>
  </si>
  <si>
    <t>Unit</t>
  </si>
  <si>
    <t>mn</t>
  </si>
  <si>
    <t>P&amp;L</t>
  </si>
  <si>
    <t>Revenue</t>
  </si>
  <si>
    <t>(+/-)</t>
  </si>
  <si>
    <t>Net profit</t>
  </si>
  <si>
    <t>GPM</t>
  </si>
  <si>
    <t>e.g.  50.5%</t>
  </si>
  <si>
    <t>ROE</t>
  </si>
  <si>
    <t>EBITDA</t>
  </si>
  <si>
    <t>EBIT</t>
  </si>
  <si>
    <t>Interest Revenue</t>
  </si>
  <si>
    <t>Interest Expense</t>
  </si>
  <si>
    <t>Operating Profit</t>
  </si>
  <si>
    <t>Gross Profit</t>
  </si>
  <si>
    <t>Depreciation</t>
  </si>
  <si>
    <t>Pre-Tax Profit</t>
  </si>
  <si>
    <t>Balance Sheet</t>
  </si>
  <si>
    <t>Total Assets</t>
  </si>
  <si>
    <t>Total Liabilities</t>
  </si>
  <si>
    <t>Shareholder Equity</t>
  </si>
  <si>
    <t>Total Equity</t>
  </si>
  <si>
    <t>Cash Flow</t>
  </si>
  <si>
    <t>Profit before tax</t>
  </si>
  <si>
    <t>Net Cash from operations</t>
  </si>
  <si>
    <t>Net Cash from investment activity</t>
  </si>
  <si>
    <t>Net Cash from financing activity</t>
  </si>
  <si>
    <t>Net change in Cash</t>
  </si>
  <si>
    <t>Implied cash at end of period</t>
  </si>
  <si>
    <t>Free Cash Flow</t>
  </si>
  <si>
    <t>EPS</t>
  </si>
  <si>
    <t>EPS1</t>
  </si>
  <si>
    <t>EPS2</t>
  </si>
  <si>
    <t>v2</t>
  </si>
  <si>
    <t>modeltype</t>
  </si>
  <si>
    <t>code</t>
  </si>
  <si>
    <t>smdrmb</t>
  </si>
  <si>
    <t>Supported format: Link and paste as value</t>
  </si>
  <si>
    <t>Eaton</t>
  </si>
  <si>
    <t>Financial Statements</t>
  </si>
  <si>
    <t>Income Statement</t>
  </si>
  <si>
    <t>Cost of goods sold</t>
  </si>
  <si>
    <t>Gross profit</t>
  </si>
  <si>
    <t>YoY</t>
  </si>
  <si>
    <t>Gross margin</t>
  </si>
  <si>
    <t>Other income</t>
  </si>
  <si>
    <t>Other gains</t>
  </si>
  <si>
    <t>Selling and administrative expenses</t>
  </si>
  <si>
    <t>% of revenue</t>
  </si>
  <si>
    <t>R&amp;D expenses</t>
  </si>
  <si>
    <t>Finance expenses</t>
  </si>
  <si>
    <t>Operating profit</t>
  </si>
  <si>
    <t>Operating margin</t>
  </si>
  <si>
    <t>Electrical Americas</t>
  </si>
  <si>
    <t>Electrical Global</t>
  </si>
  <si>
    <t>Aerospace</t>
  </si>
  <si>
    <t>Vehicle</t>
  </si>
  <si>
    <t>eMobility</t>
  </si>
  <si>
    <t>EBITDA margin</t>
  </si>
  <si>
    <t>Finance costs</t>
  </si>
  <si>
    <t>Share of profits/losses of associates</t>
  </si>
  <si>
    <t>Profit before taxation</t>
  </si>
  <si>
    <t>EBT margin</t>
  </si>
  <si>
    <t>Taxation</t>
  </si>
  <si>
    <t>Effective tax rate</t>
  </si>
  <si>
    <t>Profit for the year</t>
  </si>
  <si>
    <t>Minority interest</t>
  </si>
  <si>
    <t>% of profit for the year</t>
  </si>
  <si>
    <t>Net margin</t>
  </si>
  <si>
    <t>Dividends</t>
  </si>
  <si>
    <t>Payout ratio</t>
  </si>
  <si>
    <t>Basic shares outstanding (mn)</t>
  </si>
  <si>
    <t>Fully diluted shares outstanding (mn)</t>
  </si>
  <si>
    <t xml:space="preserve">Basic EPS </t>
  </si>
  <si>
    <t xml:space="preserve">Dilutted EPS </t>
  </si>
  <si>
    <t>Diluted EPS (Rmb)</t>
  </si>
  <si>
    <t>Diluted EPS (HK$)</t>
  </si>
  <si>
    <t>DPS</t>
  </si>
  <si>
    <t>DPS (HK$)</t>
  </si>
  <si>
    <t>Cashflow Statement</t>
  </si>
  <si>
    <t>Operating cashflow</t>
  </si>
  <si>
    <t>D&amp;A</t>
  </si>
  <si>
    <t>Minority interests</t>
  </si>
  <si>
    <t>Change in working capital</t>
  </si>
  <si>
    <t>Others</t>
  </si>
  <si>
    <t>Net operating cashflow</t>
  </si>
  <si>
    <t>Investment cashflow</t>
  </si>
  <si>
    <t>Capex</t>
  </si>
  <si>
    <t>Acquisition of subsidiaries</t>
  </si>
  <si>
    <t>Net Investment cashflow</t>
  </si>
  <si>
    <t>Cashflow before financing</t>
  </si>
  <si>
    <t>Financing cashflow</t>
  </si>
  <si>
    <t>Change in bank loans</t>
  </si>
  <si>
    <t>Dividend</t>
  </si>
  <si>
    <t>Net Financing cashflow</t>
  </si>
  <si>
    <t>Increase in cash</t>
  </si>
  <si>
    <t>Exchange gain/loss</t>
  </si>
  <si>
    <t>Cash BB</t>
  </si>
  <si>
    <t>Cash EB</t>
  </si>
  <si>
    <t>Current assets</t>
  </si>
  <si>
    <t>Cash</t>
  </si>
  <si>
    <t>Short-term investments</t>
  </si>
  <si>
    <t>Accounts receivables</t>
  </si>
  <si>
    <t>Inventories</t>
  </si>
  <si>
    <t>Other receivables, deposits and prepayments</t>
  </si>
  <si>
    <t>Available-for-sale financial assets</t>
  </si>
  <si>
    <t>Non-current assets</t>
  </si>
  <si>
    <t>Good will</t>
  </si>
  <si>
    <t>Net fixed assets</t>
  </si>
  <si>
    <t>Intangible assets</t>
  </si>
  <si>
    <t>Other long-term investment</t>
  </si>
  <si>
    <t>Other assets</t>
  </si>
  <si>
    <t>Total assets</t>
  </si>
  <si>
    <t>Current liabilities</t>
  </si>
  <si>
    <t>Short term borrowings</t>
  </si>
  <si>
    <t>Current portion of non-current borrowings</t>
  </si>
  <si>
    <t xml:space="preserve">Trade payables </t>
  </si>
  <si>
    <t>Notes payables</t>
  </si>
  <si>
    <t>Other payables, accruals and other current liabilities</t>
  </si>
  <si>
    <t>Amount due to related parties,shareholders</t>
  </si>
  <si>
    <t>Current income tax liabilities</t>
  </si>
  <si>
    <t>Bank overdrafts, secured</t>
  </si>
  <si>
    <t>Other current liabilities</t>
  </si>
  <si>
    <t>Non-current liabilities</t>
  </si>
  <si>
    <t>Bank  borrowings</t>
  </si>
  <si>
    <t>Deferred items</t>
  </si>
  <si>
    <t>Other non-current liabilities</t>
  </si>
  <si>
    <t>Total liabilities</t>
  </si>
  <si>
    <t>Shareholders' equity</t>
  </si>
  <si>
    <t xml:space="preserve">Capital </t>
  </si>
  <si>
    <t>Share premium and reserves</t>
  </si>
  <si>
    <t>Equity attributable to equity holders of parent</t>
  </si>
  <si>
    <t>Amortization</t>
  </si>
  <si>
    <t>Other Data</t>
  </si>
  <si>
    <t>Rental income</t>
  </si>
  <si>
    <t>Government incentives</t>
  </si>
  <si>
    <t>Finance costs, net</t>
  </si>
  <si>
    <t>Interest income from structured bank deposits</t>
  </si>
  <si>
    <t>Net foreign exchange gains</t>
  </si>
  <si>
    <t>Net Interest expense</t>
  </si>
  <si>
    <t>Key Ratios</t>
  </si>
  <si>
    <t>Gross Margin</t>
  </si>
  <si>
    <t xml:space="preserve">Other income/Revenue </t>
  </si>
  <si>
    <t>Selling and marketing expenses/Revenue</t>
  </si>
  <si>
    <t>General and administrative costs/Revenue</t>
  </si>
  <si>
    <t>Other expenses/Revenue</t>
  </si>
  <si>
    <t>ROAE</t>
  </si>
  <si>
    <t>ROAA</t>
  </si>
  <si>
    <t>ROCE</t>
  </si>
  <si>
    <t>A/R turnover days</t>
  </si>
  <si>
    <t>Inventory turnover days</t>
  </si>
  <si>
    <t>Other receivables, deposits and prepayments days</t>
  </si>
  <si>
    <t>A/P turnover days</t>
  </si>
  <si>
    <t>Other payables, accruals and other current liabilities days</t>
  </si>
  <si>
    <t>Assets turnover</t>
  </si>
  <si>
    <t>Total Liabilities / Total Assets</t>
  </si>
  <si>
    <t>Debt / Equity</t>
  </si>
  <si>
    <t>(all in USD mn unless otherwise noted)</t>
  </si>
  <si>
    <t>Free cashflow forecast</t>
  </si>
  <si>
    <t>Net Revenue</t>
  </si>
  <si>
    <t>EBIT Margin</t>
  </si>
  <si>
    <t>EBIT*(1 - t)</t>
  </si>
  <si>
    <t>+</t>
  </si>
  <si>
    <t>Depreciation and Amortization</t>
  </si>
  <si>
    <t>-</t>
  </si>
  <si>
    <t>Free Cash Flows</t>
  </si>
  <si>
    <t>DCF Analysis</t>
  </si>
  <si>
    <t>PV of FCF</t>
  </si>
  <si>
    <t>Tax rate</t>
  </si>
  <si>
    <t>Terminal value</t>
  </si>
  <si>
    <t>Debt ratio</t>
  </si>
  <si>
    <t>PV of terminal value</t>
  </si>
  <si>
    <t>Beta</t>
  </si>
  <si>
    <t xml:space="preserve">Enterprise Value </t>
  </si>
  <si>
    <t>Risk free rate</t>
  </si>
  <si>
    <t>Net Cash/(Debt), Minority interests</t>
  </si>
  <si>
    <t>Risk premium</t>
  </si>
  <si>
    <t>Equity Value</t>
  </si>
  <si>
    <t>Equity cost</t>
  </si>
  <si>
    <t>Equity value per share (HK$)</t>
  </si>
  <si>
    <t>Debt cost</t>
  </si>
  <si>
    <t>Debt cost (After tax)</t>
  </si>
  <si>
    <t>WACC</t>
  </si>
  <si>
    <t>Perpetual Growth</t>
  </si>
  <si>
    <t>Equity value per share ($)</t>
  </si>
  <si>
    <t>% change from DCF TP upon WACC/perpetual growth change</t>
  </si>
  <si>
    <t>损益表</t>
  </si>
  <si>
    <r>
      <rPr>
        <sz val="9"/>
        <color theme="1"/>
        <rFont val="楷体_GB2312"/>
        <charset val="134"/>
      </rPr>
      <t>营业收入</t>
    </r>
  </si>
  <si>
    <r>
      <rPr>
        <sz val="9"/>
        <color theme="1"/>
        <rFont val="楷体_GB2312"/>
        <charset val="134"/>
      </rPr>
      <t>营业成本</t>
    </r>
  </si>
  <si>
    <t>Cost of Sales</t>
  </si>
  <si>
    <r>
      <rPr>
        <sz val="9"/>
        <color theme="1"/>
        <rFont val="楷体_GB2312"/>
        <charset val="134"/>
      </rPr>
      <t>其他收入</t>
    </r>
  </si>
  <si>
    <t>Other Income</t>
  </si>
  <si>
    <r>
      <rPr>
        <sz val="9"/>
        <color theme="1"/>
        <rFont val="楷体_GB2312"/>
        <charset val="134"/>
      </rPr>
      <t>销售费用</t>
    </r>
  </si>
  <si>
    <t>Distribution costs</t>
  </si>
  <si>
    <r>
      <rPr>
        <sz val="9"/>
        <color theme="1"/>
        <rFont val="楷体_GB2312"/>
        <charset val="134"/>
      </rPr>
      <t>管理费用</t>
    </r>
  </si>
  <si>
    <t>Administrative expenses</t>
  </si>
  <si>
    <r>
      <rPr>
        <sz val="9"/>
        <color theme="1"/>
        <rFont val="楷体_GB2312"/>
        <charset val="134"/>
      </rPr>
      <t>财务费用</t>
    </r>
  </si>
  <si>
    <t>Finance Income</t>
  </si>
  <si>
    <r>
      <rPr>
        <sz val="9"/>
        <color theme="1"/>
        <rFont val="楷体_GB2312"/>
        <charset val="134"/>
      </rPr>
      <t>税前利润</t>
    </r>
  </si>
  <si>
    <t xml:space="preserve">Profit before taxation </t>
  </si>
  <si>
    <r>
      <rPr>
        <sz val="9"/>
        <color theme="1"/>
        <rFont val="楷体_GB2312"/>
        <charset val="134"/>
      </rPr>
      <t>所得税</t>
    </r>
  </si>
  <si>
    <r>
      <rPr>
        <sz val="9"/>
        <color theme="1"/>
        <rFont val="楷体_GB2312"/>
        <charset val="134"/>
      </rPr>
      <t>净利润</t>
    </r>
  </si>
  <si>
    <t>现金流量表</t>
  </si>
  <si>
    <t>Cash Flow Statement</t>
  </si>
  <si>
    <r>
      <rPr>
        <sz val="9"/>
        <color theme="1"/>
        <rFont val="楷体_GB2312"/>
        <charset val="134"/>
      </rPr>
      <t>经营活动现金流</t>
    </r>
  </si>
  <si>
    <r>
      <rPr>
        <sz val="9"/>
        <color theme="1"/>
        <rFont val="楷体_GB2312"/>
        <charset val="134"/>
      </rPr>
      <t>投资活动现金流</t>
    </r>
  </si>
  <si>
    <r>
      <rPr>
        <sz val="9"/>
        <color theme="1"/>
        <rFont val="楷体_GB2312"/>
        <charset val="134"/>
      </rPr>
      <t>融资活动现金流</t>
    </r>
  </si>
  <si>
    <r>
      <rPr>
        <sz val="9"/>
        <color theme="1"/>
        <rFont val="楷体_GB2312"/>
        <charset val="134"/>
      </rPr>
      <t>货币资金增加额</t>
    </r>
  </si>
  <si>
    <t>Net cash change</t>
  </si>
  <si>
    <r>
      <rPr>
        <sz val="9"/>
        <color theme="1"/>
        <rFont val="楷体_GB2312"/>
        <charset val="134"/>
      </rPr>
      <t>货币资金期初余额</t>
    </r>
  </si>
  <si>
    <r>
      <rPr>
        <sz val="9"/>
        <color theme="1"/>
        <rFont val="楷体_GB2312"/>
        <charset val="134"/>
      </rPr>
      <t>货币资金期末余额</t>
    </r>
  </si>
  <si>
    <t>资产负债表</t>
  </si>
  <si>
    <t>Balance Statement</t>
  </si>
  <si>
    <r>
      <rPr>
        <b/>
        <sz val="9"/>
        <color theme="1"/>
        <rFont val="楷体_GB2312"/>
        <charset val="134"/>
      </rPr>
      <t>流动资产</t>
    </r>
  </si>
  <si>
    <t>Current Assets</t>
  </si>
  <si>
    <r>
      <rPr>
        <sz val="9"/>
        <color rgb="FF000000"/>
        <rFont val="楷体_GB2312"/>
        <charset val="134"/>
      </rPr>
      <t>货币资金</t>
    </r>
  </si>
  <si>
    <t xml:space="preserve">Cash  </t>
  </si>
  <si>
    <r>
      <rPr>
        <sz val="9"/>
        <color theme="1"/>
        <rFont val="楷体_GB2312"/>
        <charset val="134"/>
      </rPr>
      <t>短期存款</t>
    </r>
  </si>
  <si>
    <t>Term deposits / Structured deposits</t>
  </si>
  <si>
    <r>
      <rPr>
        <sz val="9"/>
        <color theme="1"/>
        <rFont val="楷体_GB2312"/>
        <charset val="134"/>
      </rPr>
      <t>应收账款</t>
    </r>
  </si>
  <si>
    <t>A/R receivables</t>
  </si>
  <si>
    <r>
      <rPr>
        <sz val="9"/>
        <color theme="1"/>
        <rFont val="楷体_GB2312"/>
        <charset val="134"/>
      </rPr>
      <t>存货</t>
    </r>
  </si>
  <si>
    <r>
      <rPr>
        <sz val="9"/>
        <color rgb="FF000000"/>
        <rFont val="楷体_GB2312"/>
        <charset val="134"/>
      </rPr>
      <t>其他应收款</t>
    </r>
  </si>
  <si>
    <t>Other receivables</t>
  </si>
  <si>
    <r>
      <rPr>
        <sz val="9"/>
        <color rgb="FF000000"/>
        <rFont val="楷体_GB2312"/>
        <charset val="134"/>
      </rPr>
      <t>可供出售金融资产</t>
    </r>
  </si>
  <si>
    <r>
      <rPr>
        <sz val="9"/>
        <color rgb="FF000000"/>
        <rFont val="楷体_GB2312"/>
        <charset val="134"/>
      </rPr>
      <t>其他资产</t>
    </r>
  </si>
  <si>
    <r>
      <rPr>
        <b/>
        <sz val="9"/>
        <color rgb="FF000000"/>
        <rFont val="楷体_GB2312"/>
        <charset val="134"/>
      </rPr>
      <t>非流动资产</t>
    </r>
  </si>
  <si>
    <t>Non-current Assets</t>
  </si>
  <si>
    <r>
      <rPr>
        <sz val="9"/>
        <color rgb="FF000000"/>
        <rFont val="楷体_GB2312"/>
        <charset val="134"/>
      </rPr>
      <t>长期存款及预付款</t>
    </r>
  </si>
  <si>
    <r>
      <rPr>
        <sz val="9"/>
        <color theme="1"/>
        <rFont val="楷体_GB2312"/>
        <charset val="134"/>
      </rPr>
      <t>固定资产净值</t>
    </r>
  </si>
  <si>
    <r>
      <rPr>
        <sz val="9"/>
        <color rgb="FF000000"/>
        <rFont val="楷体_GB2312"/>
        <charset val="134"/>
      </rPr>
      <t>无形资产</t>
    </r>
  </si>
  <si>
    <r>
      <rPr>
        <sz val="9"/>
        <color rgb="FF000000"/>
        <rFont val="楷体_GB2312"/>
        <charset val="134"/>
      </rPr>
      <t>土地使用权</t>
    </r>
  </si>
  <si>
    <r>
      <rPr>
        <sz val="9"/>
        <color rgb="FF000000"/>
        <rFont val="楷体_GB2312"/>
        <charset val="134"/>
      </rPr>
      <t>递延事项和其他资产</t>
    </r>
  </si>
  <si>
    <r>
      <rPr>
        <b/>
        <sz val="9"/>
        <color rgb="FF000000"/>
        <rFont val="楷体_GB2312"/>
        <charset val="134"/>
      </rPr>
      <t>总资产</t>
    </r>
  </si>
  <si>
    <r>
      <rPr>
        <b/>
        <sz val="9"/>
        <color rgb="FF000000"/>
        <rFont val="楷体_GB2312"/>
        <charset val="134"/>
      </rPr>
      <t>流动负债</t>
    </r>
  </si>
  <si>
    <t>Current Liabilities</t>
  </si>
  <si>
    <r>
      <rPr>
        <sz val="9"/>
        <color theme="1"/>
        <rFont val="楷体_GB2312"/>
        <charset val="134"/>
      </rPr>
      <t>短期借款</t>
    </r>
  </si>
  <si>
    <r>
      <rPr>
        <sz val="9"/>
        <color rgb="FF000000"/>
        <rFont val="楷体_GB2312"/>
        <charset val="134"/>
      </rPr>
      <t>应付账款</t>
    </r>
  </si>
  <si>
    <t>Payables to suppliers</t>
  </si>
  <si>
    <r>
      <rPr>
        <sz val="9"/>
        <color rgb="FF000000"/>
        <rFont val="楷体_GB2312"/>
        <charset val="134"/>
      </rPr>
      <t>其他应付</t>
    </r>
  </si>
  <si>
    <t>Other Payables</t>
  </si>
  <si>
    <r>
      <rPr>
        <sz val="9"/>
        <color rgb="FF000000"/>
        <rFont val="楷体_GB2312"/>
        <charset val="134"/>
      </rPr>
      <t>应付关联方</t>
    </r>
  </si>
  <si>
    <r>
      <rPr>
        <sz val="9"/>
        <color rgb="FF000000"/>
        <rFont val="楷体_GB2312"/>
        <charset val="134"/>
      </rPr>
      <t>应付税金</t>
    </r>
  </si>
  <si>
    <t>Taxation payable</t>
  </si>
  <si>
    <r>
      <rPr>
        <sz val="9"/>
        <color rgb="FF000000"/>
        <rFont val="楷体_GB2312"/>
        <charset val="134"/>
      </rPr>
      <t>其他</t>
    </r>
  </si>
  <si>
    <r>
      <rPr>
        <b/>
        <sz val="9"/>
        <color rgb="FF000000"/>
        <rFont val="楷体_GB2312"/>
        <charset val="134"/>
      </rPr>
      <t>非流动负债</t>
    </r>
  </si>
  <si>
    <t>Non-current Liabilities</t>
  </si>
  <si>
    <r>
      <rPr>
        <sz val="9"/>
        <color rgb="FF000000"/>
        <rFont val="楷体_GB2312"/>
        <charset val="134"/>
      </rPr>
      <t>递延事项</t>
    </r>
  </si>
  <si>
    <t xml:space="preserve">Deferred items </t>
  </si>
  <si>
    <r>
      <rPr>
        <sz val="9"/>
        <color rgb="FF000000"/>
        <rFont val="楷体_GB2312"/>
        <charset val="134"/>
      </rPr>
      <t>其他长期应付</t>
    </r>
  </si>
  <si>
    <t>Other long-term payables</t>
  </si>
  <si>
    <r>
      <rPr>
        <b/>
        <sz val="9"/>
        <color theme="1"/>
        <rFont val="楷体_GB2312"/>
        <charset val="134"/>
      </rPr>
      <t>总负债</t>
    </r>
  </si>
  <si>
    <r>
      <rPr>
        <b/>
        <sz val="9"/>
        <color theme="1"/>
        <rFont val="楷体_GB2312"/>
        <charset val="134"/>
      </rPr>
      <t>股东权益</t>
    </r>
  </si>
  <si>
    <t>Shareholder's Equity</t>
  </si>
  <si>
    <r>
      <rPr>
        <b/>
        <sz val="9"/>
        <color theme="1"/>
        <rFont val="楷体_GB2312"/>
        <charset val="134"/>
      </rPr>
      <t>财务指标</t>
    </r>
  </si>
  <si>
    <t>Financial ratios</t>
  </si>
  <si>
    <r>
      <rPr>
        <sz val="9"/>
        <color theme="1"/>
        <rFont val="楷体_GB2312"/>
        <charset val="134"/>
      </rPr>
      <t>毛利率</t>
    </r>
  </si>
  <si>
    <r>
      <rPr>
        <sz val="9"/>
        <color theme="1"/>
        <rFont val="楷体_GB2312"/>
        <charset val="134"/>
      </rPr>
      <t>营业利润率</t>
    </r>
  </si>
  <si>
    <r>
      <rPr>
        <sz val="9"/>
        <color theme="1"/>
        <rFont val="楷体_GB2312"/>
        <charset val="134"/>
      </rPr>
      <t>净利润率</t>
    </r>
  </si>
  <si>
    <r>
      <rPr>
        <sz val="9"/>
        <color theme="1"/>
        <rFont val="楷体_GB2312"/>
        <charset val="134"/>
      </rPr>
      <t>净资产收益率</t>
    </r>
  </si>
  <si>
    <r>
      <rPr>
        <sz val="9"/>
        <color theme="1"/>
        <rFont val="楷体_GB2312"/>
        <charset val="134"/>
      </rPr>
      <t>应收帐款周转天数</t>
    </r>
  </si>
  <si>
    <t>AR turnover</t>
  </si>
  <si>
    <r>
      <rPr>
        <sz val="9"/>
        <color theme="1"/>
        <rFont val="楷体_GB2312"/>
        <charset val="134"/>
      </rPr>
      <t>存货周转天数</t>
    </r>
  </si>
  <si>
    <t>Inventory turnover</t>
  </si>
  <si>
    <r>
      <rPr>
        <sz val="9"/>
        <color theme="1"/>
        <rFont val="楷体_GB2312"/>
        <charset val="134"/>
      </rPr>
      <t>资产负债率</t>
    </r>
  </si>
  <si>
    <t>Total liabilities/Total assets</t>
  </si>
  <si>
    <t>每股数据（元）</t>
  </si>
  <si>
    <t>Per share data (Rmb)</t>
  </si>
  <si>
    <t>每股收益</t>
  </si>
  <si>
    <t>每股净资产</t>
  </si>
  <si>
    <t>BPS</t>
  </si>
  <si>
    <t>每股分红</t>
  </si>
  <si>
    <t>每股经营利润</t>
  </si>
  <si>
    <t>Operating profit per share</t>
  </si>
  <si>
    <t>每股经营现金流</t>
  </si>
  <si>
    <t>Operating cashflow per share</t>
  </si>
  <si>
    <t>ev/ebitda</t>
  </si>
  <si>
    <t>单位：百万usd</t>
  </si>
  <si>
    <t>年份</t>
  </si>
  <si>
    <t>2020A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</si>
  <si>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</si>
  <si>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</si>
  <si>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</si>
  <si>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</si>
  <si>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</si>
  <si>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</si>
  <si>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</si>
  <si>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</si>
  <si>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</si>
  <si>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</si>
  <si>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</si>
  <si>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</si>
  <si>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Electrical Americans</t>
  </si>
  <si>
    <t>yoy</t>
  </si>
  <si>
    <t>Hydraulics</t>
  </si>
  <si>
    <t>Total</t>
  </si>
  <si>
    <t>Cost</t>
  </si>
  <si>
    <t>2024E</t>
  </si>
  <si>
    <t>others</t>
  </si>
  <si>
    <t>ROA</t>
  </si>
  <si>
    <t>S&amp;C</t>
  </si>
  <si>
    <t>(all in Rmb mn unless otherwise noted)</t>
  </si>
  <si>
    <t>2018A</t>
  </si>
  <si>
    <t>2019A</t>
  </si>
  <si>
    <t>+/-</t>
  </si>
  <si>
    <t>CAGR</t>
  </si>
  <si>
    <t>Category A</t>
  </si>
  <si>
    <t>Category B</t>
  </si>
  <si>
    <t>Category C</t>
  </si>
  <si>
    <t>Retail network (store #)</t>
  </si>
  <si>
    <t>Retail network growth</t>
  </si>
  <si>
    <t>SSSG</t>
  </si>
  <si>
    <t>Other Assumptions</t>
  </si>
  <si>
    <t>HK$/Rmb exchange rate</t>
  </si>
  <si>
    <t>Working Capital</t>
  </si>
  <si>
    <t>Turnover days</t>
  </si>
  <si>
    <t>Inventory</t>
  </si>
  <si>
    <t>Accounts payables</t>
  </si>
  <si>
    <t>Note payables</t>
  </si>
  <si>
    <t>Amount due to related parties</t>
  </si>
  <si>
    <t>Change of working capital</t>
  </si>
  <si>
    <t>Debt</t>
  </si>
  <si>
    <t>Long-term loan</t>
  </si>
  <si>
    <t>Beginning</t>
  </si>
  <si>
    <t>Change</t>
  </si>
  <si>
    <t xml:space="preserve">Ending </t>
  </si>
  <si>
    <t>Interest expense</t>
  </si>
  <si>
    <t>Short-term loan</t>
  </si>
  <si>
    <t>Ending</t>
  </si>
  <si>
    <t>Cash &amp; equivalent</t>
  </si>
  <si>
    <t>Deposit</t>
  </si>
  <si>
    <t>Interest income</t>
  </si>
  <si>
    <t>Interest rates</t>
  </si>
  <si>
    <t>LT loans</t>
  </si>
  <si>
    <t>ST loans</t>
  </si>
  <si>
    <t>Deposits</t>
  </si>
  <si>
    <t>Capital expenditures</t>
  </si>
  <si>
    <t>Fixed assets</t>
  </si>
  <si>
    <t>Gross fixed assets</t>
  </si>
  <si>
    <t>Accumulated depreciation</t>
  </si>
  <si>
    <t xml:space="preserve">Depreciation for the year </t>
  </si>
  <si>
    <t>Depreciation rate</t>
  </si>
  <si>
    <t>Gross intangible assets</t>
  </si>
  <si>
    <t>Accumulated amortization</t>
  </si>
  <si>
    <t>Net intangible assets</t>
  </si>
  <si>
    <t>Amortization for the year</t>
  </si>
  <si>
    <t>Amortization rate</t>
  </si>
  <si>
    <t>Source</t>
  </si>
  <si>
    <t>Amt Hold</t>
  </si>
  <si>
    <t>% Out</t>
  </si>
  <si>
    <t>Latest chg</t>
  </si>
  <si>
    <t>Total Shares Outstanding</t>
  </si>
  <si>
    <t>Profit Leader Holdings Limited</t>
  </si>
  <si>
    <t>HANDY LTD</t>
  </si>
  <si>
    <t>Recent Holding Structure Change</t>
  </si>
  <si>
    <t>ESSEN WORLDWIDE HLDG</t>
  </si>
  <si>
    <t>Change Date</t>
  </si>
  <si>
    <t>Holders name</t>
  </si>
  <si>
    <t>% out</t>
  </si>
  <si>
    <t>Notes</t>
  </si>
  <si>
    <t>JP MORGAN CHASE &amp; CO</t>
  </si>
  <si>
    <t>Tang Yiu were interested in 63.78% of Profit Leader</t>
  </si>
  <si>
    <t>VANGUARD GROUP INC</t>
  </si>
  <si>
    <t>Handy Limited</t>
  </si>
  <si>
    <t>According to the prospectus, Sheng Baijiao has 56.4% interest</t>
  </si>
  <si>
    <t>FIDELITY INTERNATION</t>
  </si>
  <si>
    <t>Essen Worldwide Limited</t>
  </si>
  <si>
    <t>According to the prospectus, Yu Wu etc. have 97% interest</t>
  </si>
  <si>
    <t>Mr. Yu Wu, Mr. Wu Yimin, Mr. Zhang Dongming, Mr. Han Xueye and Ms. Li Zhao,
who were the Individual Distributors and are in aggregate interested in 97.0% of Essen.</t>
  </si>
  <si>
    <t>TANG WING SZE</t>
  </si>
  <si>
    <t>CDH</t>
  </si>
  <si>
    <t>News run</t>
  </si>
  <si>
    <t>CAPITAL WORLD INVEST</t>
  </si>
  <si>
    <t>ARTIO GLOBAL MANAGEM</t>
  </si>
  <si>
    <t>BAIJIAO SHENG</t>
  </si>
  <si>
    <t>SCHRODER INVESTMENT</t>
  </si>
  <si>
    <t>BLACKROCK FUND ADVIS</t>
  </si>
  <si>
    <t>STATE STREET GLOBAL</t>
  </si>
  <si>
    <t>BANK OF NEW YORK MEL</t>
  </si>
  <si>
    <t>Prospectus</t>
  </si>
  <si>
    <t>T ROWE PRICE ASSOCIA</t>
  </si>
  <si>
    <t>WILLIAM BLAIR &amp; COMP</t>
  </si>
  <si>
    <t>MSI</t>
  </si>
  <si>
    <t>Controlled by Morgan Stanley Private Equity</t>
  </si>
  <si>
    <t>FIDELITY MANAGEMENT</t>
  </si>
  <si>
    <t>MSII</t>
  </si>
  <si>
    <t>MATTHEWS INTERNATION</t>
  </si>
  <si>
    <t>CAPITAL RESEARCH GLO</t>
  </si>
  <si>
    <t>HARVEST FUND MANAGEM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</si>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</sst>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\(#,##0.0\)"/>
    <numFmt numFmtId="177" formatCode="0.0%"/>
    <numFmt numFmtId="178" formatCode="#,##0.0;\-#,##0.0"/>
    <numFmt numFmtId="179" formatCode="0_ "/>
    <numFmt numFmtId="180" formatCode="_ * #,##0_ ;_ * \-#,##0_ ;_ * &quot;-&quot;??_ ;_ @_ "/>
    <numFmt numFmtId="181" formatCode="0.00_);[Red]\(0.00\)"/>
    <numFmt numFmtId="182" formatCode="#,##0.00_ "/>
    <numFmt numFmtId="183" formatCode="#,##0_ "/>
    <numFmt numFmtId="184" formatCode="_(* #,##0_);[Red]_(* \(#,##0\);_(* &quot;-&quot;??_)"/>
    <numFmt numFmtId="185" formatCode="0_);[Red]\(0\)"/>
    <numFmt numFmtId="186" formatCode="_ * #,##0.0_ ;_ * \-#,##0.0_ ;_ * &quot;-&quot;??_ ;_ @_ "/>
    <numFmt numFmtId="187" formatCode="&quot;￥&quot;#,##0.00_);[Red]\(&quot;￥&quot;#,##0.00\)"/>
    <numFmt numFmtId="188" formatCode="0.00_ "/>
    <numFmt numFmtId="189" formatCode="#,##0.000_);\(#,##0.000\)"/>
    <numFmt numFmtId="190" formatCode="0.000_ "/>
    <numFmt numFmtId="191" formatCode="0.0_ "/>
    <numFmt numFmtId="192" formatCode="yyyy/mm/dd"/>
    <numFmt numFmtId="193" formatCode="[&gt;=100]##,##0;[&lt;=-100]\-##,##0;0.00"/>
  </numFmts>
  <fonts count="64">
    <font>
      <sz val="12"/>
      <color rgb="FF000000"/>
      <name val="SimSun"/>
      <charset val="134"/>
      <scheme val="minor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b/>
      <i/>
      <sz val="10"/>
      <color theme="1"/>
      <name val="Tahoma"/>
      <charset val="134"/>
    </font>
    <font>
      <sz val="9"/>
      <color theme="1"/>
      <name val="Arial"/>
      <charset val="134"/>
    </font>
    <font>
      <b/>
      <sz val="9"/>
      <color rgb="FF17365D"/>
      <name val="Arial"/>
      <charset val="134"/>
    </font>
    <font>
      <sz val="9"/>
      <color rgb="FF17365D"/>
      <name val="Arial"/>
      <charset val="134"/>
    </font>
    <font>
      <sz val="9"/>
      <color theme="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rgb="FFFF0000"/>
      <name val="Arial"/>
      <charset val="134"/>
    </font>
    <font>
      <sz val="9"/>
      <color rgb="FF0000FF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b/>
      <sz val="9"/>
      <color rgb="FF548DD4"/>
      <name val="Arial"/>
      <charset val="134"/>
    </font>
    <font>
      <sz val="9"/>
      <color rgb="FF548DD4"/>
      <name val="Arial"/>
      <charset val="134"/>
    </font>
    <font>
      <u/>
      <sz val="9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FangSong"/>
      <charset val="134"/>
    </font>
    <font>
      <sz val="12"/>
      <color theme="1"/>
      <name val="FangSong"/>
      <charset val="134"/>
    </font>
    <font>
      <b/>
      <sz val="10"/>
      <color theme="1"/>
      <name val="Arial"/>
      <charset val="134"/>
    </font>
    <font>
      <b/>
      <sz val="10"/>
      <color theme="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rgb="FF0000FF"/>
      <name val="Calibri"/>
      <charset val="134"/>
    </font>
    <font>
      <sz val="12"/>
      <color theme="1"/>
      <name val="SimSun"/>
      <charset val="134"/>
    </font>
    <font>
      <b/>
      <sz val="11"/>
      <color rgb="FFFF0000"/>
      <name val="Arial"/>
      <charset val="134"/>
    </font>
    <font>
      <b/>
      <sz val="9"/>
      <color rgb="FF17365D"/>
      <name val="SimSun"/>
      <charset val="134"/>
    </font>
    <font>
      <sz val="9"/>
      <color rgb="FF0F243E"/>
      <name val="Arial"/>
      <charset val="134"/>
    </font>
    <font>
      <b/>
      <sz val="9"/>
      <color theme="1"/>
      <name val="楷体_GB2312"/>
      <charset val="134"/>
    </font>
    <font>
      <sz val="9"/>
      <color theme="1"/>
      <name val="楷体_GB2312"/>
      <charset val="134"/>
    </font>
    <font>
      <sz val="9"/>
      <color rgb="FFFFFFFF"/>
      <name val="Arial"/>
      <charset val="134"/>
    </font>
    <font>
      <b/>
      <sz val="9"/>
      <color rgb="FFFFFFFF"/>
      <name val="Arial"/>
      <charset val="134"/>
    </font>
    <font>
      <i/>
      <sz val="9"/>
      <color theme="1"/>
      <name val="Arial"/>
      <charset val="134"/>
    </font>
    <font>
      <sz val="12"/>
      <name val="SimSun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SimSun"/>
      <charset val="134"/>
    </font>
    <font>
      <sz val="10"/>
      <color theme="1"/>
      <name val="Times New Roman"/>
      <charset val="134"/>
    </font>
    <font>
      <b/>
      <sz val="10"/>
      <color theme="1"/>
      <name val="SimSun"/>
      <charset val="134"/>
    </font>
    <font>
      <b/>
      <i/>
      <sz val="10"/>
      <color rgb="FF000000"/>
      <name val="Calibri"/>
      <charset val="134"/>
    </font>
    <font>
      <sz val="10"/>
      <color rgb="FF000000"/>
      <name val="Calibri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  <font>
      <sz val="9"/>
      <color rgb="FF000000"/>
      <name val="楷体_GB2312"/>
      <charset val="134"/>
    </font>
    <font>
      <b/>
      <sz val="9"/>
      <color rgb="FF000000"/>
      <name val="楷体_GB2312"/>
      <charset val="134"/>
    </font>
  </fonts>
  <fills count="4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0F243E"/>
        <bgColor rgb="FF0F243E"/>
      </patternFill>
    </fill>
    <fill>
      <patternFill patternType="solid">
        <fgColor rgb="FFD7D7D7"/>
        <bgColor rgb="FFD7D7D7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DDD9C3"/>
        <bgColor rgb="FFDDD9C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2" fillId="0" borderId="0" applyFont="0" applyFill="0" applyBorder="0" applyAlignment="0" applyProtection="0">
      <alignment vertical="center"/>
    </xf>
    <xf numFmtId="44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13" borderId="13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16" applyNumberFormat="0" applyAlignment="0" applyProtection="0">
      <alignment vertical="center"/>
    </xf>
    <xf numFmtId="0" fontId="52" fillId="15" borderId="17" applyNumberFormat="0" applyAlignment="0" applyProtection="0">
      <alignment vertical="center"/>
    </xf>
    <xf numFmtId="0" fontId="53" fillId="15" borderId="16" applyNumberFormat="0" applyAlignment="0" applyProtection="0">
      <alignment vertical="center"/>
    </xf>
    <xf numFmtId="0" fontId="54" fillId="16" borderId="18" applyNumberFormat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</cellStyleXfs>
  <cellXfs count="28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37" fontId="2" fillId="2" borderId="0" xfId="0" applyNumberFormat="1" applyFont="1" applyFill="1" applyBorder="1"/>
    <xf numFmtId="176" fontId="2" fillId="2" borderId="0" xfId="0" applyNumberFormat="1" applyFont="1" applyFill="1" applyBorder="1"/>
    <xf numFmtId="0" fontId="2" fillId="2" borderId="0" xfId="0" applyFont="1" applyFill="1" applyBorder="1"/>
    <xf numFmtId="0" fontId="3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7" fontId="2" fillId="0" borderId="0" xfId="0" applyNumberFormat="1" applyFont="1"/>
    <xf numFmtId="176" fontId="2" fillId="0" borderId="0" xfId="0" applyNumberFormat="1" applyFont="1"/>
    <xf numFmtId="14" fontId="1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49" fontId="5" fillId="3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37" fontId="6" fillId="3" borderId="0" xfId="0" applyNumberFormat="1" applyFont="1" applyFill="1" applyBorder="1" applyAlignment="1">
      <alignment horizontal="right" vertical="center"/>
    </xf>
    <xf numFmtId="176" fontId="4" fillId="3" borderId="0" xfId="0" applyNumberFormat="1" applyFont="1" applyFill="1" applyBorder="1" applyAlignment="1">
      <alignment horizontal="right" vertical="center"/>
    </xf>
    <xf numFmtId="0" fontId="7" fillId="4" borderId="0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right" vertical="center"/>
    </xf>
    <xf numFmtId="0" fontId="9" fillId="3" borderId="0" xfId="0" applyFont="1" applyFill="1" applyBorder="1" applyAlignment="1">
      <alignment vertical="center"/>
    </xf>
    <xf numFmtId="178" fontId="4" fillId="3" borderId="0" xfId="0" applyNumberFormat="1" applyFont="1" applyFill="1" applyBorder="1" applyAlignment="1">
      <alignment horizontal="right" vertical="center"/>
    </xf>
    <xf numFmtId="39" fontId="10" fillId="3" borderId="0" xfId="0" applyNumberFormat="1" applyFont="1" applyFill="1" applyBorder="1" applyAlignment="1">
      <alignment horizontal="right" vertical="center"/>
    </xf>
    <xf numFmtId="178" fontId="11" fillId="3" borderId="0" xfId="0" applyNumberFormat="1" applyFont="1" applyFill="1" applyBorder="1" applyAlignment="1">
      <alignment horizontal="right" vertical="center"/>
    </xf>
    <xf numFmtId="37" fontId="4" fillId="3" borderId="0" xfId="0" applyNumberFormat="1" applyFont="1" applyFill="1" applyBorder="1" applyAlignment="1">
      <alignment horizontal="right" vertical="center"/>
    </xf>
    <xf numFmtId="37" fontId="11" fillId="3" borderId="0" xfId="0" applyNumberFormat="1" applyFont="1" applyFill="1" applyBorder="1" applyAlignment="1">
      <alignment horizontal="right" vertical="center"/>
    </xf>
    <xf numFmtId="0" fontId="12" fillId="5" borderId="0" xfId="0" applyFont="1" applyFill="1" applyBorder="1" applyAlignment="1">
      <alignment vertical="center"/>
    </xf>
    <xf numFmtId="0" fontId="13" fillId="5" borderId="0" xfId="0" applyFont="1" applyFill="1" applyBorder="1" applyAlignment="1">
      <alignment vertical="center"/>
    </xf>
    <xf numFmtId="0" fontId="12" fillId="5" borderId="0" xfId="0" applyFont="1" applyFill="1" applyBorder="1" applyAlignment="1">
      <alignment horizontal="right" vertical="center"/>
    </xf>
    <xf numFmtId="37" fontId="12" fillId="5" borderId="0" xfId="0" applyNumberFormat="1" applyFont="1" applyFill="1" applyBorder="1" applyAlignment="1">
      <alignment horizontal="right" vertical="center"/>
    </xf>
    <xf numFmtId="37" fontId="12" fillId="5" borderId="0" xfId="0" applyNumberFormat="1" applyFont="1" applyFill="1" applyBorder="1" applyAlignment="1">
      <alignment vertical="center"/>
    </xf>
    <xf numFmtId="37" fontId="13" fillId="3" borderId="0" xfId="0" applyNumberFormat="1" applyFont="1" applyFill="1" applyBorder="1" applyAlignment="1">
      <alignment vertical="center"/>
    </xf>
    <xf numFmtId="37" fontId="11" fillId="6" borderId="0" xfId="0" applyNumberFormat="1" applyFont="1" applyFill="1" applyBorder="1" applyAlignment="1">
      <alignment horizontal="right" vertical="center"/>
    </xf>
    <xf numFmtId="0" fontId="13" fillId="3" borderId="0" xfId="0" applyFont="1" applyFill="1" applyBorder="1" applyAlignment="1">
      <alignment vertical="center"/>
    </xf>
    <xf numFmtId="37" fontId="4" fillId="3" borderId="0" xfId="0" applyNumberFormat="1" applyFont="1" applyFill="1" applyBorder="1" applyAlignment="1">
      <alignment vertical="center"/>
    </xf>
    <xf numFmtId="37" fontId="9" fillId="3" borderId="0" xfId="0" applyNumberFormat="1" applyFont="1" applyFill="1" applyBorder="1" applyAlignment="1">
      <alignment vertical="center"/>
    </xf>
    <xf numFmtId="37" fontId="12" fillId="3" borderId="0" xfId="0" applyNumberFormat="1" applyFont="1" applyFill="1" applyBorder="1" applyAlignment="1">
      <alignment horizontal="right" vertical="center"/>
    </xf>
    <xf numFmtId="37" fontId="10" fillId="3" borderId="0" xfId="0" applyNumberFormat="1" applyFont="1" applyFill="1" applyBorder="1" applyAlignment="1">
      <alignment horizontal="right" vertical="center"/>
    </xf>
    <xf numFmtId="10" fontId="11" fillId="3" borderId="0" xfId="0" applyNumberFormat="1" applyFont="1" applyFill="1" applyBorder="1" applyAlignment="1">
      <alignment horizontal="right" vertical="center"/>
    </xf>
    <xf numFmtId="10" fontId="4" fillId="3" borderId="0" xfId="0" applyNumberFormat="1" applyFont="1" applyFill="1" applyBorder="1" applyAlignment="1">
      <alignment horizontal="right" vertical="center"/>
    </xf>
    <xf numFmtId="0" fontId="7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37" fontId="7" fillId="4" borderId="0" xfId="0" applyNumberFormat="1" applyFont="1" applyFill="1" applyBorder="1" applyAlignment="1">
      <alignment horizontal="right" vertical="center"/>
    </xf>
    <xf numFmtId="37" fontId="7" fillId="4" borderId="0" xfId="0" applyNumberFormat="1" applyFont="1" applyFill="1" applyBorder="1" applyAlignment="1">
      <alignment vertical="center"/>
    </xf>
    <xf numFmtId="37" fontId="9" fillId="3" borderId="0" xfId="0" applyNumberFormat="1" applyFont="1" applyFill="1" applyBorder="1" applyAlignment="1">
      <alignment horizontal="right" vertical="center"/>
    </xf>
    <xf numFmtId="37" fontId="14" fillId="3" borderId="0" xfId="0" applyNumberFormat="1" applyFont="1" applyFill="1" applyBorder="1" applyAlignment="1">
      <alignment horizontal="right" vertical="center"/>
    </xf>
    <xf numFmtId="37" fontId="10" fillId="0" borderId="0" xfId="0" applyNumberFormat="1" applyFont="1" applyAlignment="1">
      <alignment horizontal="right" vertical="center"/>
    </xf>
    <xf numFmtId="37" fontId="10" fillId="6" borderId="0" xfId="0" applyNumberFormat="1" applyFont="1" applyFill="1" applyBorder="1" applyAlignment="1">
      <alignment horizontal="right" vertical="center"/>
    </xf>
    <xf numFmtId="179" fontId="9" fillId="3" borderId="0" xfId="0" applyNumberFormat="1" applyFont="1" applyFill="1" applyBorder="1" applyAlignment="1">
      <alignment horizontal="right" vertical="center"/>
    </xf>
    <xf numFmtId="180" fontId="9" fillId="3" borderId="0" xfId="0" applyNumberFormat="1" applyFont="1" applyFill="1" applyBorder="1" applyAlignment="1">
      <alignment vertical="center"/>
    </xf>
    <xf numFmtId="179" fontId="4" fillId="3" borderId="0" xfId="0" applyNumberFormat="1" applyFont="1" applyFill="1" applyBorder="1" applyAlignment="1">
      <alignment horizontal="right" vertical="center"/>
    </xf>
    <xf numFmtId="177" fontId="4" fillId="3" borderId="0" xfId="0" applyNumberFormat="1" applyFont="1" applyFill="1" applyBorder="1" applyAlignment="1">
      <alignment horizontal="right" vertical="center"/>
    </xf>
    <xf numFmtId="177" fontId="11" fillId="3" borderId="0" xfId="0" applyNumberFormat="1" applyFont="1" applyFill="1" applyBorder="1" applyAlignment="1">
      <alignment horizontal="right" vertical="center"/>
    </xf>
    <xf numFmtId="9" fontId="4" fillId="3" borderId="0" xfId="0" applyNumberFormat="1" applyFont="1" applyFill="1" applyBorder="1" applyAlignment="1">
      <alignment horizontal="right" vertical="center"/>
    </xf>
    <xf numFmtId="9" fontId="11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Border="1" applyAlignment="1">
      <alignment vertical="center"/>
    </xf>
    <xf numFmtId="49" fontId="15" fillId="3" borderId="0" xfId="0" applyNumberFormat="1" applyFont="1" applyFill="1" applyBorder="1" applyAlignment="1">
      <alignment horizontal="left" vertical="center"/>
    </xf>
    <xf numFmtId="0" fontId="16" fillId="3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vertical="center"/>
    </xf>
    <xf numFmtId="0" fontId="8" fillId="7" borderId="0" xfId="0" applyFont="1" applyFill="1" applyBorder="1" applyAlignment="1">
      <alignment horizontal="left" vertical="center"/>
    </xf>
    <xf numFmtId="0" fontId="8" fillId="7" borderId="0" xfId="0" applyFont="1" applyFill="1" applyBorder="1" applyAlignment="1">
      <alignment horizontal="right" vertical="center"/>
    </xf>
    <xf numFmtId="38" fontId="13" fillId="3" borderId="0" xfId="0" applyNumberFormat="1" applyFont="1" applyFill="1" applyBorder="1" applyAlignment="1">
      <alignment horizontal="right" vertical="center"/>
    </xf>
    <xf numFmtId="177" fontId="9" fillId="3" borderId="0" xfId="0" applyNumberFormat="1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left" vertical="center"/>
    </xf>
    <xf numFmtId="177" fontId="12" fillId="3" borderId="0" xfId="0" applyNumberFormat="1" applyFont="1" applyFill="1" applyBorder="1" applyAlignment="1">
      <alignment horizontal="right" vertical="center"/>
    </xf>
    <xf numFmtId="177" fontId="12" fillId="3" borderId="0" xfId="0" applyNumberFormat="1" applyFont="1" applyFill="1" applyBorder="1" applyAlignment="1">
      <alignment vertical="center"/>
    </xf>
    <xf numFmtId="180" fontId="4" fillId="3" borderId="0" xfId="0" applyNumberFormat="1" applyFont="1" applyFill="1" applyBorder="1" applyAlignment="1">
      <alignment horizontal="right" vertical="center"/>
    </xf>
    <xf numFmtId="0" fontId="17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177" fontId="4" fillId="3" borderId="0" xfId="0" applyNumberFormat="1" applyFont="1" applyFill="1" applyBorder="1" applyAlignment="1">
      <alignment vertical="center"/>
    </xf>
    <xf numFmtId="38" fontId="9" fillId="3" borderId="0" xfId="0" applyNumberFormat="1" applyFont="1" applyFill="1" applyBorder="1" applyAlignment="1">
      <alignment horizontal="right" vertical="center"/>
    </xf>
    <xf numFmtId="0" fontId="11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180" fontId="10" fillId="6" borderId="0" xfId="0" applyNumberFormat="1" applyFont="1" applyFill="1" applyBorder="1" applyAlignment="1">
      <alignment horizontal="right" vertical="center"/>
    </xf>
    <xf numFmtId="180" fontId="4" fillId="6" borderId="0" xfId="0" applyNumberFormat="1" applyFont="1" applyFill="1" applyBorder="1" applyAlignment="1">
      <alignment horizontal="right" vertical="center"/>
    </xf>
    <xf numFmtId="180" fontId="11" fillId="3" borderId="0" xfId="0" applyNumberFormat="1" applyFont="1" applyFill="1" applyBorder="1" applyAlignment="1">
      <alignment horizontal="right" vertical="center"/>
    </xf>
    <xf numFmtId="177" fontId="11" fillId="3" borderId="0" xfId="0" applyNumberFormat="1" applyFont="1" applyFill="1" applyBorder="1" applyAlignment="1">
      <alignment vertical="center"/>
    </xf>
    <xf numFmtId="177" fontId="12" fillId="6" borderId="0" xfId="0" applyNumberFormat="1" applyFont="1" applyFill="1" applyBorder="1" applyAlignment="1">
      <alignment horizontal="right" vertical="center"/>
    </xf>
    <xf numFmtId="38" fontId="13" fillId="6" borderId="0" xfId="0" applyNumberFormat="1" applyFont="1" applyFill="1" applyBorder="1" applyAlignment="1">
      <alignment horizontal="right" vertical="center"/>
    </xf>
    <xf numFmtId="177" fontId="4" fillId="6" borderId="0" xfId="0" applyNumberFormat="1" applyFont="1" applyFill="1" applyBorder="1" applyAlignment="1">
      <alignment horizontal="right" vertical="center"/>
    </xf>
    <xf numFmtId="177" fontId="11" fillId="6" borderId="0" xfId="0" applyNumberFormat="1" applyFont="1" applyFill="1" applyBorder="1" applyAlignment="1">
      <alignment horizontal="right" vertical="center"/>
    </xf>
    <xf numFmtId="177" fontId="10" fillId="6" borderId="0" xfId="0" applyNumberFormat="1" applyFont="1" applyFill="1" applyBorder="1" applyAlignment="1">
      <alignment horizontal="right" vertical="center"/>
    </xf>
    <xf numFmtId="38" fontId="10" fillId="6" borderId="0" xfId="0" applyNumberFormat="1" applyFont="1" applyFill="1" applyBorder="1" applyAlignment="1">
      <alignment horizontal="right" vertical="center"/>
    </xf>
    <xf numFmtId="38" fontId="12" fillId="6" borderId="0" xfId="0" applyNumberFormat="1" applyFont="1" applyFill="1" applyBorder="1" applyAlignment="1">
      <alignment horizontal="right" vertical="center"/>
    </xf>
    <xf numFmtId="38" fontId="12" fillId="3" borderId="0" xfId="0" applyNumberFormat="1" applyFont="1" applyFill="1" applyBorder="1" applyAlignment="1">
      <alignment horizontal="right" vertical="center"/>
    </xf>
    <xf numFmtId="4" fontId="18" fillId="0" borderId="0" xfId="0" applyNumberFormat="1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right" vertical="center"/>
    </xf>
    <xf numFmtId="10" fontId="20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21" fillId="0" borderId="0" xfId="0" applyNumberFormat="1" applyFont="1" applyAlignment="1">
      <alignment horizontal="left" vertical="center"/>
    </xf>
    <xf numFmtId="4" fontId="21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left" vertical="center"/>
    </xf>
    <xf numFmtId="4" fontId="22" fillId="7" borderId="2" xfId="0" applyNumberFormat="1" applyFont="1" applyFill="1" applyBorder="1" applyAlignment="1">
      <alignment horizontal="center" vertical="center"/>
    </xf>
    <xf numFmtId="14" fontId="22" fillId="7" borderId="3" xfId="0" applyNumberFormat="1" applyFont="1" applyFill="1" applyBorder="1" applyAlignment="1">
      <alignment horizontal="center" vertical="center"/>
    </xf>
    <xf numFmtId="14" fontId="22" fillId="7" borderId="2" xfId="0" applyNumberFormat="1" applyFont="1" applyFill="1" applyBorder="1" applyAlignment="1">
      <alignment horizontal="center" vertical="center"/>
    </xf>
    <xf numFmtId="4" fontId="23" fillId="0" borderId="2" xfId="0" applyNumberFormat="1" applyFont="1" applyBorder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4" fontId="23" fillId="0" borderId="2" xfId="0" applyNumberFormat="1" applyFont="1" applyBorder="1" applyAlignment="1">
      <alignment horizontal="center" vertical="center"/>
    </xf>
    <xf numFmtId="181" fontId="24" fillId="0" borderId="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81" fontId="24" fillId="0" borderId="3" xfId="0" applyNumberFormat="1" applyFont="1" applyBorder="1" applyAlignment="1">
      <alignment horizontal="center" vertical="center"/>
    </xf>
    <xf numFmtId="177" fontId="25" fillId="0" borderId="3" xfId="0" applyNumberFormat="1" applyFont="1" applyBorder="1" applyAlignment="1">
      <alignment horizontal="center" vertical="center"/>
    </xf>
    <xf numFmtId="177" fontId="24" fillId="0" borderId="3" xfId="0" applyNumberFormat="1" applyFont="1" applyBorder="1" applyAlignment="1">
      <alignment horizontal="center" vertical="center"/>
    </xf>
    <xf numFmtId="182" fontId="24" fillId="0" borderId="3" xfId="0" applyNumberFormat="1" applyFont="1" applyBorder="1" applyAlignment="1">
      <alignment horizontal="center" vertical="center"/>
    </xf>
    <xf numFmtId="4" fontId="24" fillId="0" borderId="2" xfId="0" applyNumberFormat="1" applyFont="1" applyBorder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4" fontId="19" fillId="0" borderId="0" xfId="0" applyNumberFormat="1" applyFont="1" applyAlignment="1">
      <alignment horizontal="center" vertical="center"/>
    </xf>
    <xf numFmtId="0" fontId="15" fillId="3" borderId="0" xfId="0" applyFont="1" applyFill="1" applyBorder="1" applyAlignment="1">
      <alignment vertical="center"/>
    </xf>
    <xf numFmtId="0" fontId="28" fillId="3" borderId="0" xfId="0" applyFont="1" applyFill="1" applyBorder="1" applyAlignment="1">
      <alignment vertical="center"/>
    </xf>
    <xf numFmtId="0" fontId="29" fillId="0" borderId="4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8" borderId="0" xfId="0" applyFont="1" applyFill="1" applyBorder="1" applyAlignment="1">
      <alignment horizontal="right" vertical="center"/>
    </xf>
    <xf numFmtId="0" fontId="8" fillId="8" borderId="0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right" vertical="center"/>
    </xf>
    <xf numFmtId="0" fontId="8" fillId="8" borderId="0" xfId="0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vertical="center"/>
    </xf>
    <xf numFmtId="0" fontId="30" fillId="5" borderId="0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right" vertical="center"/>
    </xf>
    <xf numFmtId="0" fontId="9" fillId="5" borderId="6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180" fontId="4" fillId="3" borderId="0" xfId="0" applyNumberFormat="1" applyFont="1" applyFill="1" applyBorder="1" applyAlignment="1">
      <alignment vertical="center"/>
    </xf>
    <xf numFmtId="180" fontId="4" fillId="3" borderId="6" xfId="0" applyNumberFormat="1" applyFont="1" applyFill="1" applyBorder="1" applyAlignment="1">
      <alignment vertical="center"/>
    </xf>
    <xf numFmtId="180" fontId="4" fillId="3" borderId="6" xfId="0" applyNumberFormat="1" applyFont="1" applyFill="1" applyBorder="1" applyAlignment="1">
      <alignment horizontal="right" vertical="center"/>
    </xf>
    <xf numFmtId="179" fontId="4" fillId="3" borderId="0" xfId="0" applyNumberFormat="1" applyFont="1" applyFill="1" applyBorder="1" applyAlignment="1">
      <alignment vertical="center"/>
    </xf>
    <xf numFmtId="179" fontId="4" fillId="3" borderId="6" xfId="0" applyNumberFormat="1" applyFont="1" applyFill="1" applyBorder="1" applyAlignment="1">
      <alignment horizontal="right" vertical="center"/>
    </xf>
    <xf numFmtId="183" fontId="4" fillId="3" borderId="0" xfId="0" applyNumberFormat="1" applyFont="1" applyFill="1" applyBorder="1" applyAlignment="1">
      <alignment horizontal="right" vertical="center"/>
    </xf>
    <xf numFmtId="183" fontId="4" fillId="3" borderId="0" xfId="0" applyNumberFormat="1" applyFont="1" applyFill="1" applyBorder="1" applyAlignment="1">
      <alignment vertical="center"/>
    </xf>
    <xf numFmtId="183" fontId="4" fillId="3" borderId="6" xfId="0" applyNumberFormat="1" applyFont="1" applyFill="1" applyBorder="1" applyAlignment="1">
      <alignment horizontal="right" vertical="center"/>
    </xf>
    <xf numFmtId="184" fontId="4" fillId="3" borderId="0" xfId="0" applyNumberFormat="1" applyFont="1" applyFill="1" applyBorder="1" applyAlignment="1">
      <alignment horizontal="right" vertical="center"/>
    </xf>
    <xf numFmtId="184" fontId="4" fillId="3" borderId="0" xfId="0" applyNumberFormat="1" applyFont="1" applyFill="1" applyBorder="1" applyAlignment="1">
      <alignment vertical="center"/>
    </xf>
    <xf numFmtId="184" fontId="4" fillId="3" borderId="6" xfId="0" applyNumberFormat="1" applyFont="1" applyFill="1" applyBorder="1" applyAlignment="1">
      <alignment horizontal="right" vertical="center"/>
    </xf>
    <xf numFmtId="0" fontId="13" fillId="3" borderId="5" xfId="0" applyFont="1" applyFill="1" applyBorder="1" applyAlignment="1">
      <alignment vertical="center"/>
    </xf>
    <xf numFmtId="37" fontId="4" fillId="3" borderId="5" xfId="0" applyNumberFormat="1" applyFont="1" applyFill="1" applyBorder="1" applyAlignment="1">
      <alignment vertical="center"/>
    </xf>
    <xf numFmtId="37" fontId="12" fillId="3" borderId="0" xfId="0" applyNumberFormat="1" applyFont="1" applyFill="1" applyBorder="1" applyAlignment="1">
      <alignment vertical="center"/>
    </xf>
    <xf numFmtId="37" fontId="12" fillId="3" borderId="5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180" fontId="4" fillId="3" borderId="7" xfId="0" applyNumberFormat="1" applyFont="1" applyFill="1" applyBorder="1" applyAlignment="1">
      <alignment vertical="center"/>
    </xf>
    <xf numFmtId="37" fontId="4" fillId="3" borderId="7" xfId="0" applyNumberFormat="1" applyFont="1" applyFill="1" applyBorder="1" applyAlignment="1">
      <alignment vertical="center"/>
    </xf>
    <xf numFmtId="180" fontId="4" fillId="3" borderId="9" xfId="0" applyNumberFormat="1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180" fontId="9" fillId="3" borderId="6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37" fontId="4" fillId="3" borderId="6" xfId="0" applyNumberFormat="1" applyFont="1" applyFill="1" applyBorder="1" applyAlignment="1">
      <alignment vertical="center"/>
    </xf>
    <xf numFmtId="37" fontId="4" fillId="3" borderId="9" xfId="0" applyNumberFormat="1" applyFont="1" applyFill="1" applyBorder="1" applyAlignment="1">
      <alignment vertical="center"/>
    </xf>
    <xf numFmtId="37" fontId="9" fillId="3" borderId="6" xfId="0" applyNumberFormat="1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left" vertical="center"/>
    </xf>
    <xf numFmtId="185" fontId="4" fillId="3" borderId="0" xfId="0" applyNumberFormat="1" applyFont="1" applyFill="1" applyBorder="1" applyAlignment="1">
      <alignment vertical="center"/>
    </xf>
    <xf numFmtId="185" fontId="4" fillId="3" borderId="5" xfId="0" applyNumberFormat="1" applyFont="1" applyFill="1" applyBorder="1" applyAlignment="1">
      <alignment vertical="center"/>
    </xf>
    <xf numFmtId="177" fontId="4" fillId="3" borderId="6" xfId="0" applyNumberFormat="1" applyFont="1" applyFill="1" applyBorder="1" applyAlignment="1">
      <alignment vertical="center"/>
    </xf>
    <xf numFmtId="186" fontId="4" fillId="3" borderId="0" xfId="0" applyNumberFormat="1" applyFont="1" applyFill="1" applyBorder="1" applyAlignment="1">
      <alignment vertical="center"/>
    </xf>
    <xf numFmtId="186" fontId="4" fillId="3" borderId="6" xfId="0" applyNumberFormat="1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39" fontId="4" fillId="3" borderId="0" xfId="0" applyNumberFormat="1" applyFont="1" applyFill="1" applyBorder="1" applyAlignment="1">
      <alignment vertical="center"/>
    </xf>
    <xf numFmtId="39" fontId="4" fillId="3" borderId="6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39" fontId="4" fillId="3" borderId="11" xfId="0" applyNumberFormat="1" applyFont="1" applyFill="1" applyBorder="1" applyAlignment="1">
      <alignment vertical="center"/>
    </xf>
    <xf numFmtId="39" fontId="4" fillId="3" borderId="12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4" borderId="0" xfId="0" applyFont="1" applyFill="1" applyBorder="1" applyAlignment="1">
      <alignment vertical="center"/>
    </xf>
    <xf numFmtId="0" fontId="32" fillId="8" borderId="0" xfId="0" applyFont="1" applyFill="1" applyBorder="1" applyAlignment="1">
      <alignment vertical="center"/>
    </xf>
    <xf numFmtId="0" fontId="33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vertical="center"/>
    </xf>
    <xf numFmtId="183" fontId="4" fillId="9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177" fontId="34" fillId="9" borderId="0" xfId="0" applyNumberFormat="1" applyFont="1" applyFill="1" applyBorder="1" applyAlignment="1">
      <alignment vertical="center"/>
    </xf>
    <xf numFmtId="177" fontId="34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right" vertical="center"/>
    </xf>
    <xf numFmtId="0" fontId="4" fillId="9" borderId="0" xfId="0" applyFont="1" applyFill="1" applyBorder="1" applyAlignment="1">
      <alignment horizontal="left" vertical="center"/>
    </xf>
    <xf numFmtId="37" fontId="4" fillId="9" borderId="0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vertical="center"/>
    </xf>
    <xf numFmtId="183" fontId="9" fillId="5" borderId="0" xfId="0" applyNumberFormat="1" applyFont="1" applyFill="1" applyBorder="1" applyAlignment="1">
      <alignment horizontal="center" vertical="center"/>
    </xf>
    <xf numFmtId="0" fontId="9" fillId="9" borderId="0" xfId="0" applyFont="1" applyFill="1" applyBorder="1" applyAlignment="1">
      <alignment vertical="center"/>
    </xf>
    <xf numFmtId="0" fontId="34" fillId="9" borderId="0" xfId="0" applyFont="1" applyFill="1" applyBorder="1" applyAlignment="1">
      <alignment vertical="center"/>
    </xf>
    <xf numFmtId="187" fontId="4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177" fontId="11" fillId="3" borderId="0" xfId="0" applyNumberFormat="1" applyFont="1" applyFill="1" applyBorder="1" applyAlignment="1">
      <alignment horizontal="center" vertical="center"/>
    </xf>
    <xf numFmtId="188" fontId="11" fillId="3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177" fontId="4" fillId="9" borderId="0" xfId="0" applyNumberFormat="1" applyFont="1" applyFill="1" applyBorder="1" applyAlignment="1">
      <alignment horizontal="center" vertical="center"/>
    </xf>
    <xf numFmtId="182" fontId="8" fillId="8" borderId="0" xfId="0" applyNumberFormat="1" applyFont="1" applyFill="1" applyBorder="1" applyAlignment="1">
      <alignment horizontal="center" vertical="center"/>
    </xf>
    <xf numFmtId="177" fontId="11" fillId="9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vertical="center"/>
    </xf>
    <xf numFmtId="0" fontId="32" fillId="9" borderId="0" xfId="0" applyFont="1" applyFill="1" applyBorder="1" applyAlignment="1">
      <alignment horizontal="center" vertical="center"/>
    </xf>
    <xf numFmtId="0" fontId="32" fillId="9" borderId="0" xfId="0" applyFont="1" applyFill="1" applyBorder="1" applyAlignment="1">
      <alignment vertical="center"/>
    </xf>
    <xf numFmtId="0" fontId="35" fillId="0" borderId="0" xfId="0" applyFont="1" applyBorder="1"/>
    <xf numFmtId="177" fontId="9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 wrapText="1"/>
    </xf>
    <xf numFmtId="39" fontId="4" fillId="0" borderId="0" xfId="0" applyNumberFormat="1" applyFont="1" applyAlignment="1">
      <alignment horizontal="center" vertical="center"/>
    </xf>
    <xf numFmtId="39" fontId="4" fillId="10" borderId="0" xfId="0" applyNumberFormat="1" applyFont="1" applyFill="1" applyBorder="1" applyAlignment="1">
      <alignment horizontal="center" vertical="center"/>
    </xf>
    <xf numFmtId="39" fontId="9" fillId="10" borderId="0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183" fontId="6" fillId="3" borderId="0" xfId="0" applyNumberFormat="1" applyFont="1" applyFill="1" applyBorder="1" applyAlignment="1">
      <alignment horizontal="right" vertical="center"/>
    </xf>
    <xf numFmtId="182" fontId="4" fillId="3" borderId="0" xfId="0" applyNumberFormat="1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179" fontId="4" fillId="5" borderId="0" xfId="0" applyNumberFormat="1" applyFont="1" applyFill="1" applyBorder="1" applyAlignment="1">
      <alignment horizontal="right" vertical="center"/>
    </xf>
    <xf numFmtId="37" fontId="4" fillId="5" borderId="0" xfId="0" applyNumberFormat="1" applyFont="1" applyFill="1" applyBorder="1" applyAlignment="1">
      <alignment horizontal="right" vertical="center"/>
    </xf>
    <xf numFmtId="9" fontId="4" fillId="3" borderId="0" xfId="0" applyNumberFormat="1" applyFont="1" applyFill="1" applyBorder="1" applyAlignment="1">
      <alignment vertical="center"/>
    </xf>
    <xf numFmtId="37" fontId="11" fillId="0" borderId="0" xfId="0" applyNumberFormat="1" applyFont="1" applyAlignment="1">
      <alignment horizontal="right" vertical="center"/>
    </xf>
    <xf numFmtId="37" fontId="4" fillId="6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37" fontId="4" fillId="6" borderId="0" xfId="0" applyNumberFormat="1" applyFont="1" applyFill="1" applyBorder="1" applyAlignment="1">
      <alignment horizontal="right" vertical="center"/>
    </xf>
    <xf numFmtId="37" fontId="4" fillId="0" borderId="0" xfId="0" applyNumberFormat="1" applyFont="1" applyAlignment="1">
      <alignment horizontal="right" vertical="center"/>
    </xf>
    <xf numFmtId="178" fontId="9" fillId="3" borderId="0" xfId="0" applyNumberFormat="1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left" vertical="center"/>
    </xf>
    <xf numFmtId="189" fontId="9" fillId="3" borderId="0" xfId="0" applyNumberFormat="1" applyFont="1" applyFill="1" applyBorder="1" applyAlignment="1">
      <alignment horizontal="right" vertical="center"/>
    </xf>
    <xf numFmtId="189" fontId="4" fillId="3" borderId="0" xfId="0" applyNumberFormat="1" applyFont="1" applyFill="1" applyBorder="1" applyAlignment="1">
      <alignment horizontal="right" vertical="center"/>
    </xf>
    <xf numFmtId="179" fontId="7" fillId="4" borderId="0" xfId="0" applyNumberFormat="1" applyFont="1" applyFill="1" applyBorder="1" applyAlignment="1">
      <alignment horizontal="right" vertical="center"/>
    </xf>
    <xf numFmtId="190" fontId="4" fillId="3" borderId="0" xfId="0" applyNumberFormat="1" applyFont="1" applyFill="1" applyBorder="1" applyAlignment="1">
      <alignment horizontal="right" vertical="center"/>
    </xf>
    <xf numFmtId="1" fontId="4" fillId="3" borderId="0" xfId="0" applyNumberFormat="1" applyFont="1" applyFill="1" applyBorder="1" applyAlignment="1">
      <alignment horizontal="right" vertical="center"/>
    </xf>
    <xf numFmtId="179" fontId="4" fillId="6" borderId="0" xfId="0" applyNumberFormat="1" applyFont="1" applyFill="1" applyBorder="1" applyAlignment="1">
      <alignment horizontal="right" vertical="center"/>
    </xf>
    <xf numFmtId="183" fontId="9" fillId="3" borderId="0" xfId="0" applyNumberFormat="1" applyFont="1" applyFill="1" applyBorder="1" applyAlignment="1">
      <alignment horizontal="right" vertical="center"/>
    </xf>
    <xf numFmtId="37" fontId="10" fillId="9" borderId="0" xfId="0" applyNumberFormat="1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right" vertical="center"/>
    </xf>
    <xf numFmtId="41" fontId="4" fillId="3" borderId="0" xfId="0" applyNumberFormat="1" applyFont="1" applyFill="1" applyBorder="1" applyAlignment="1">
      <alignment horizontal="right" vertical="center"/>
    </xf>
    <xf numFmtId="39" fontId="4" fillId="3" borderId="0" xfId="0" applyNumberFormat="1" applyFont="1" applyFill="1" applyBorder="1" applyAlignment="1">
      <alignment horizontal="right" vertical="center"/>
    </xf>
    <xf numFmtId="191" fontId="4" fillId="3" borderId="0" xfId="0" applyNumberFormat="1" applyFont="1" applyFill="1" applyBorder="1" applyAlignment="1">
      <alignment horizontal="right" vertical="center"/>
    </xf>
    <xf numFmtId="185" fontId="4" fillId="3" borderId="0" xfId="0" applyNumberFormat="1" applyFont="1" applyFill="1" applyBorder="1" applyAlignment="1">
      <alignment horizontal="left" vertical="center"/>
    </xf>
    <xf numFmtId="0" fontId="36" fillId="0" borderId="0" xfId="0" applyFont="1" applyAlignment="1">
      <alignment vertical="center" wrapText="1"/>
    </xf>
    <xf numFmtId="49" fontId="37" fillId="0" borderId="0" xfId="0" applyNumberFormat="1" applyFont="1" applyAlignment="1">
      <alignment horizontal="right" vertical="center"/>
    </xf>
    <xf numFmtId="0" fontId="23" fillId="6" borderId="0" xfId="0" applyFont="1" applyFill="1" applyBorder="1" applyAlignment="1">
      <alignment horizontal="left" vertical="center"/>
    </xf>
    <xf numFmtId="0" fontId="37" fillId="0" borderId="0" xfId="0" applyFont="1" applyAlignment="1">
      <alignment vertical="center"/>
    </xf>
    <xf numFmtId="192" fontId="37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36" fillId="11" borderId="0" xfId="0" applyFont="1" applyFill="1" applyBorder="1" applyAlignment="1">
      <alignment horizontal="center" vertical="center" wrapText="1"/>
    </xf>
    <xf numFmtId="0" fontId="36" fillId="10" borderId="0" xfId="0" applyFont="1" applyFill="1" applyBorder="1" applyAlignment="1">
      <alignment horizontal="right" vertical="center" wrapText="1"/>
    </xf>
    <xf numFmtId="3" fontId="37" fillId="0" borderId="0" xfId="0" applyNumberFormat="1" applyFont="1" applyAlignment="1">
      <alignment vertical="center"/>
    </xf>
    <xf numFmtId="0" fontId="40" fillId="0" borderId="0" xfId="0" applyFont="1" applyAlignment="1">
      <alignment vertical="center" wrapText="1"/>
    </xf>
    <xf numFmtId="9" fontId="37" fillId="0" borderId="0" xfId="0" applyNumberFormat="1" applyFont="1" applyAlignment="1">
      <alignment vertical="center"/>
    </xf>
    <xf numFmtId="0" fontId="41" fillId="12" borderId="0" xfId="0" applyFont="1" applyFill="1" applyBorder="1" applyAlignment="1">
      <alignment horizontal="center" vertical="center" wrapText="1"/>
    </xf>
    <xf numFmtId="3" fontId="37" fillId="0" borderId="0" xfId="0" applyNumberFormat="1" applyFont="1" applyAlignment="1">
      <alignment horizontal="right" vertical="center"/>
    </xf>
    <xf numFmtId="10" fontId="37" fillId="0" borderId="0" xfId="0" applyNumberFormat="1" applyFont="1" applyAlignment="1">
      <alignment vertical="center"/>
    </xf>
    <xf numFmtId="10" fontId="37" fillId="0" borderId="0" xfId="0" applyNumberFormat="1" applyFont="1" applyAlignment="1">
      <alignment horizontal="right" vertical="center"/>
    </xf>
    <xf numFmtId="177" fontId="37" fillId="0" borderId="0" xfId="0" applyNumberFormat="1" applyFont="1" applyAlignment="1">
      <alignment horizontal="right" vertical="center"/>
    </xf>
    <xf numFmtId="177" fontId="37" fillId="0" borderId="0" xfId="0" applyNumberFormat="1" applyFont="1" applyAlignment="1">
      <alignment vertical="center"/>
    </xf>
    <xf numFmtId="193" fontId="37" fillId="0" borderId="0" xfId="0" applyNumberFormat="1" applyFont="1" applyAlignment="1">
      <alignment horizontal="right" vertical="center"/>
    </xf>
    <xf numFmtId="2" fontId="37" fillId="0" borderId="0" xfId="0" applyNumberFormat="1" applyFont="1" applyAlignment="1">
      <alignment vertical="center"/>
    </xf>
    <xf numFmtId="1" fontId="37" fillId="0" borderId="0" xfId="0" applyNumberFormat="1" applyFont="1" applyAlignment="1">
      <alignment vertical="center"/>
    </xf>
    <xf numFmtId="0" fontId="37" fillId="0" borderId="0" xfId="0" applyFont="1" applyAlignment="1">
      <alignment horizontal="right" vertical="center"/>
    </xf>
    <xf numFmtId="0" fontId="37" fillId="6" borderId="0" xfId="0" applyFont="1" applyFill="1" applyBorder="1" applyAlignment="1">
      <alignment vertical="center"/>
    </xf>
    <xf numFmtId="0" fontId="12" fillId="3" borderId="0" xfId="0" applyFont="1" applyFill="1" applyBorder="1" applyAlignment="1" quotePrefix="1">
      <alignment horizontal="left" vertical="center"/>
    </xf>
    <xf numFmtId="0" fontId="2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0.xml"/><Relationship Id="rId97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87.xml"/><Relationship Id="rId94" Type="http://schemas.openxmlformats.org/officeDocument/2006/relationships/externalLink" Target="externalLinks/externalLink86.xml"/><Relationship Id="rId93" Type="http://schemas.openxmlformats.org/officeDocument/2006/relationships/externalLink" Target="externalLinks/externalLink85.xml"/><Relationship Id="rId92" Type="http://schemas.openxmlformats.org/officeDocument/2006/relationships/externalLink" Target="externalLinks/externalLink84.xml"/><Relationship Id="rId91" Type="http://schemas.openxmlformats.org/officeDocument/2006/relationships/externalLink" Target="externalLinks/externalLink83.xml"/><Relationship Id="rId90" Type="http://schemas.openxmlformats.org/officeDocument/2006/relationships/externalLink" Target="externalLinks/externalLink82.xml"/><Relationship Id="rId9" Type="http://schemas.openxmlformats.org/officeDocument/2006/relationships/externalLink" Target="externalLinks/externalLink1.xml"/><Relationship Id="rId89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0.xml"/><Relationship Id="rId87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77.xml"/><Relationship Id="rId84" Type="http://schemas.openxmlformats.org/officeDocument/2006/relationships/externalLink" Target="externalLinks/externalLink76.xml"/><Relationship Id="rId83" Type="http://schemas.openxmlformats.org/officeDocument/2006/relationships/externalLink" Target="externalLinks/externalLink75.xml"/><Relationship Id="rId82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3.xml"/><Relationship Id="rId80" Type="http://schemas.openxmlformats.org/officeDocument/2006/relationships/externalLink" Target="externalLinks/externalLink72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0.xml"/><Relationship Id="rId77" Type="http://schemas.openxmlformats.org/officeDocument/2006/relationships/externalLink" Target="externalLinks/externalLink69.xml"/><Relationship Id="rId76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67.xml"/><Relationship Id="rId74" Type="http://schemas.openxmlformats.org/officeDocument/2006/relationships/externalLink" Target="externalLinks/externalLink66.xml"/><Relationship Id="rId73" Type="http://schemas.openxmlformats.org/officeDocument/2006/relationships/externalLink" Target="externalLinks/externalLink65.xml"/><Relationship Id="rId72" Type="http://schemas.openxmlformats.org/officeDocument/2006/relationships/externalLink" Target="externalLinks/externalLink64.xml"/><Relationship Id="rId71" Type="http://schemas.openxmlformats.org/officeDocument/2006/relationships/externalLink" Target="externalLinks/externalLink63.xml"/><Relationship Id="rId70" Type="http://schemas.openxmlformats.org/officeDocument/2006/relationships/externalLink" Target="externalLinks/externalLink62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0.xml"/><Relationship Id="rId67" Type="http://schemas.openxmlformats.org/officeDocument/2006/relationships/externalLink" Target="externalLinks/externalLink59.xml"/><Relationship Id="rId66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57.xml"/><Relationship Id="rId64" Type="http://schemas.openxmlformats.org/officeDocument/2006/relationships/externalLink" Target="externalLinks/externalLink56.xml"/><Relationship Id="rId63" Type="http://schemas.openxmlformats.org/officeDocument/2006/relationships/externalLink" Target="externalLinks/externalLink55.xml"/><Relationship Id="rId62" Type="http://schemas.openxmlformats.org/officeDocument/2006/relationships/externalLink" Target="externalLinks/externalLink54.xml"/><Relationship Id="rId61" Type="http://schemas.openxmlformats.org/officeDocument/2006/relationships/externalLink" Target="externalLinks/externalLink53.xml"/><Relationship Id="rId60" Type="http://schemas.openxmlformats.org/officeDocument/2006/relationships/externalLink" Target="externalLinks/externalLink52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0.xml"/><Relationship Id="rId57" Type="http://schemas.openxmlformats.org/officeDocument/2006/relationships/externalLink" Target="externalLinks/externalLink49.xml"/><Relationship Id="rId56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47.xml"/><Relationship Id="rId54" Type="http://schemas.openxmlformats.org/officeDocument/2006/relationships/externalLink" Target="externalLinks/externalLink46.xml"/><Relationship Id="rId53" Type="http://schemas.openxmlformats.org/officeDocument/2006/relationships/externalLink" Target="externalLinks/externalLink45.xml"/><Relationship Id="rId52" Type="http://schemas.openxmlformats.org/officeDocument/2006/relationships/externalLink" Target="externalLinks/externalLink44.xml"/><Relationship Id="rId51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2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39.xml"/><Relationship Id="rId46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37.xml"/><Relationship Id="rId44" Type="http://schemas.openxmlformats.org/officeDocument/2006/relationships/externalLink" Target="externalLinks/externalLink36.xml"/><Relationship Id="rId43" Type="http://schemas.openxmlformats.org/officeDocument/2006/relationships/externalLink" Target="externalLinks/externalLink35.xml"/><Relationship Id="rId42" Type="http://schemas.openxmlformats.org/officeDocument/2006/relationships/externalLink" Target="externalLinks/externalLink34.xml"/><Relationship Id="rId41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2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29.xml"/><Relationship Id="rId36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6.xml"/><Relationship Id="rId33" Type="http://schemas.openxmlformats.org/officeDocument/2006/relationships/externalLink" Target="externalLinks/externalLink25.xml"/><Relationship Id="rId32" Type="http://schemas.openxmlformats.org/officeDocument/2006/relationships/externalLink" Target="externalLinks/externalLink24.xml"/><Relationship Id="rId31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0" Type="http://schemas.openxmlformats.org/officeDocument/2006/relationships/styles" Target="styles.xml"/><Relationship Id="rId16" Type="http://schemas.openxmlformats.org/officeDocument/2006/relationships/externalLink" Target="externalLinks/externalLink8.xml"/><Relationship Id="rId159" Type="http://schemas.openxmlformats.org/officeDocument/2006/relationships/sharedStrings" Target="sharedStrings.xml"/><Relationship Id="rId158" Type="http://schemas.openxmlformats.org/officeDocument/2006/relationships/theme" Target="theme/theme1.xml"/><Relationship Id="rId157" Type="http://schemas.openxmlformats.org/officeDocument/2006/relationships/externalLink" Target="externalLinks/externalLink149.xml"/><Relationship Id="rId156" Type="http://schemas.openxmlformats.org/officeDocument/2006/relationships/externalLink" Target="externalLinks/externalLink148.xml"/><Relationship Id="rId155" Type="http://schemas.openxmlformats.org/officeDocument/2006/relationships/externalLink" Target="externalLinks/externalLink147.xml"/><Relationship Id="rId154" Type="http://schemas.openxmlformats.org/officeDocument/2006/relationships/externalLink" Target="externalLinks/externalLink146.xml"/><Relationship Id="rId153" Type="http://schemas.openxmlformats.org/officeDocument/2006/relationships/externalLink" Target="externalLinks/externalLink145.xml"/><Relationship Id="rId152" Type="http://schemas.openxmlformats.org/officeDocument/2006/relationships/externalLink" Target="externalLinks/externalLink144.xml"/><Relationship Id="rId151" Type="http://schemas.openxmlformats.org/officeDocument/2006/relationships/externalLink" Target="externalLinks/externalLink143.xml"/><Relationship Id="rId150" Type="http://schemas.openxmlformats.org/officeDocument/2006/relationships/externalLink" Target="externalLinks/externalLink142.xml"/><Relationship Id="rId15" Type="http://schemas.openxmlformats.org/officeDocument/2006/relationships/externalLink" Target="externalLinks/externalLink7.xml"/><Relationship Id="rId149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0.xml"/><Relationship Id="rId147" Type="http://schemas.openxmlformats.org/officeDocument/2006/relationships/externalLink" Target="externalLinks/externalLink139.xml"/><Relationship Id="rId146" Type="http://schemas.openxmlformats.org/officeDocument/2006/relationships/externalLink" Target="externalLinks/externalLink138.xml"/><Relationship Id="rId145" Type="http://schemas.openxmlformats.org/officeDocument/2006/relationships/externalLink" Target="externalLinks/externalLink137.xml"/><Relationship Id="rId144" Type="http://schemas.openxmlformats.org/officeDocument/2006/relationships/externalLink" Target="externalLinks/externalLink136.xml"/><Relationship Id="rId143" Type="http://schemas.openxmlformats.org/officeDocument/2006/relationships/externalLink" Target="externalLinks/externalLink135.xml"/><Relationship Id="rId142" Type="http://schemas.openxmlformats.org/officeDocument/2006/relationships/externalLink" Target="externalLinks/externalLink134.xml"/><Relationship Id="rId141" Type="http://schemas.openxmlformats.org/officeDocument/2006/relationships/externalLink" Target="externalLinks/externalLink133.xml"/><Relationship Id="rId140" Type="http://schemas.openxmlformats.org/officeDocument/2006/relationships/externalLink" Target="externalLinks/externalLink132.xml"/><Relationship Id="rId14" Type="http://schemas.openxmlformats.org/officeDocument/2006/relationships/externalLink" Target="externalLinks/externalLink6.xml"/><Relationship Id="rId139" Type="http://schemas.openxmlformats.org/officeDocument/2006/relationships/externalLink" Target="externalLinks/externalLink131.xml"/><Relationship Id="rId138" Type="http://schemas.openxmlformats.org/officeDocument/2006/relationships/externalLink" Target="externalLinks/externalLink130.xml"/><Relationship Id="rId137" Type="http://schemas.openxmlformats.org/officeDocument/2006/relationships/externalLink" Target="externalLinks/externalLink129.xml"/><Relationship Id="rId136" Type="http://schemas.openxmlformats.org/officeDocument/2006/relationships/externalLink" Target="externalLinks/externalLink128.xml"/><Relationship Id="rId135" Type="http://schemas.openxmlformats.org/officeDocument/2006/relationships/externalLink" Target="externalLinks/externalLink127.xml"/><Relationship Id="rId134" Type="http://schemas.openxmlformats.org/officeDocument/2006/relationships/externalLink" Target="externalLinks/externalLink126.xml"/><Relationship Id="rId133" Type="http://schemas.openxmlformats.org/officeDocument/2006/relationships/externalLink" Target="externalLinks/externalLink125.xml"/><Relationship Id="rId132" Type="http://schemas.openxmlformats.org/officeDocument/2006/relationships/externalLink" Target="externalLinks/externalLink124.xml"/><Relationship Id="rId131" Type="http://schemas.openxmlformats.org/officeDocument/2006/relationships/externalLink" Target="externalLinks/externalLink123.xml"/><Relationship Id="rId130" Type="http://schemas.openxmlformats.org/officeDocument/2006/relationships/externalLink" Target="externalLinks/externalLink122.xml"/><Relationship Id="rId13" Type="http://schemas.openxmlformats.org/officeDocument/2006/relationships/externalLink" Target="externalLinks/externalLink5.xml"/><Relationship Id="rId129" Type="http://schemas.openxmlformats.org/officeDocument/2006/relationships/externalLink" Target="externalLinks/externalLink121.xml"/><Relationship Id="rId128" Type="http://schemas.openxmlformats.org/officeDocument/2006/relationships/externalLink" Target="externalLinks/externalLink120.xml"/><Relationship Id="rId127" Type="http://schemas.openxmlformats.org/officeDocument/2006/relationships/externalLink" Target="externalLinks/externalLink119.xml"/><Relationship Id="rId126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17.xml"/><Relationship Id="rId124" Type="http://schemas.openxmlformats.org/officeDocument/2006/relationships/externalLink" Target="externalLinks/externalLink116.xml"/><Relationship Id="rId123" Type="http://schemas.openxmlformats.org/officeDocument/2006/relationships/externalLink" Target="externalLinks/externalLink115.xml"/><Relationship Id="rId122" Type="http://schemas.openxmlformats.org/officeDocument/2006/relationships/externalLink" Target="externalLinks/externalLink114.xml"/><Relationship Id="rId121" Type="http://schemas.openxmlformats.org/officeDocument/2006/relationships/externalLink" Target="externalLinks/externalLink113.xml"/><Relationship Id="rId120" Type="http://schemas.openxmlformats.org/officeDocument/2006/relationships/externalLink" Target="externalLinks/externalLink112.xml"/><Relationship Id="rId12" Type="http://schemas.openxmlformats.org/officeDocument/2006/relationships/externalLink" Target="externalLinks/externalLink4.xml"/><Relationship Id="rId119" Type="http://schemas.openxmlformats.org/officeDocument/2006/relationships/externalLink" Target="externalLinks/externalLink111.xml"/><Relationship Id="rId118" Type="http://schemas.openxmlformats.org/officeDocument/2006/relationships/externalLink" Target="externalLinks/externalLink110.xml"/><Relationship Id="rId117" Type="http://schemas.openxmlformats.org/officeDocument/2006/relationships/externalLink" Target="externalLinks/externalLink109.xml"/><Relationship Id="rId116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07.xml"/><Relationship Id="rId114" Type="http://schemas.openxmlformats.org/officeDocument/2006/relationships/externalLink" Target="externalLinks/externalLink106.xml"/><Relationship Id="rId113" Type="http://schemas.openxmlformats.org/officeDocument/2006/relationships/externalLink" Target="externalLinks/externalLink105.xml"/><Relationship Id="rId112" Type="http://schemas.openxmlformats.org/officeDocument/2006/relationships/externalLink" Target="externalLinks/externalLink104.xml"/><Relationship Id="rId111" Type="http://schemas.openxmlformats.org/officeDocument/2006/relationships/externalLink" Target="externalLinks/externalLink103.xml"/><Relationship Id="rId110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3.xml"/><Relationship Id="rId109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0.xml"/><Relationship Id="rId107" Type="http://schemas.openxmlformats.org/officeDocument/2006/relationships/externalLink" Target="externalLinks/externalLink99.xml"/><Relationship Id="rId106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97.xml"/><Relationship Id="rId104" Type="http://schemas.openxmlformats.org/officeDocument/2006/relationships/externalLink" Target="externalLinks/externalLink96.xml"/><Relationship Id="rId103" Type="http://schemas.openxmlformats.org/officeDocument/2006/relationships/externalLink" Target="externalLinks/externalLink95.xml"/><Relationship Id="rId102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3.xml"/><Relationship Id="rId100" Type="http://schemas.openxmlformats.org/officeDocument/2006/relationships/externalLink" Target="externalLinks/externalLink92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GVAT\Modelware\Tier%201%20-%20Energy\XOMModelwa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doug\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onnecthkuhk-my.sharepoint.com\Mac\Home\Users\shen\Desktop\WindEvaluator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B-SHG-01\VOL1\MATERIAL\STEEL\MAGANG\MAGANG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7ABA691C\BANKST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NTHONY\HK\0000\BANKST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4CD810F1\itcd%20mod29%202Q01E-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lecom\Itcd\itcd%20mod29%202Q01E-o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65A31BD0\ECHOSTAR%20COMMUNICATION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vjayant\Local%20Settings\Temporary%20Internet%20Files\OLK16E\ECHOSTAR%20COMMUNICATION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5C2EA162\GF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y%20Documents\Noel\Global%20Financial\GF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hwang\EM\OLD\OLD_2008\BF%202Q08\Copy%20of%20KS05555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Denise\Steven\Work\Ubanization\MS_Urbanization%20(2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5247E6BC\FB%20Citi%20model_new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Mark\Downloads\FB%20Citi%20model_new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hwang\EM\KS08679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Softlines\Apparel\Models\Working%20Models\GPS_workin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Lopez\ORLY\ORL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TECH\INTERNET\MODELS\MM_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LIB\ER\UTILITIES\Models\Rebuild\NVE\NVE%2011.3.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Sandbox\Bto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Softlines\Apparel\Models\Working%20Models\KSS_workin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Denise\Qing%20Wang\China\broad%20background\China%20Summit08053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Softlines\Apparel\Models\Working%20Models\GPS_working_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LIB\ER\UTILITIES\Models\Rebuild\NVE\NVE%20Model%2011.14.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hwang\EM\OLD\OLD_2007\Copy%20of%20KS00527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Models\CPN\CPN%20Model%2011.6.12%20WIP%20v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FACTSETXLT\Documents%20and%20Settings\yentgals\Local%20Settings\Temporary%20Internet%20Files\OLKC7\Michaels%20Stores%20Inc_LA_Draft_1123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Softlines\Apparel\Analyses\GPS_Traffi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hwang\EM\OLD\OLD_2008\BF%202Q08\Copy%20of%20KS00494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hwang\EM\Open%20Platform\OPCh%20WFH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Jihe WestCashEarning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ODELS\SEN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Transfer\Work\Apparel_Footwear\NKE\NKEQTRI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7F06FFEA\&#29992;&#21451;&#36719;&#20214;-60058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QianBing\ZHU%20WEI\MODEL\&#29992;&#21451;&#36719;&#20214;-60058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account\LISA\Central%20Div%20Str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\F10BF8B8\MODELv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ODELS\MODELv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fig\Joon%20Download\Documents%20and%20Settings\djookim\My%20Documents\&#44048;&#49324;\&#48516;&#48152;&#44592;&#44160;&#53664;\LG&#52852;&#46300;\2002&#45380;&#48152;&#44592;\Book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A3A12D6C\BaoGang-Research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Steel\BaoSteel\Models\BaoGang-Research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19532C98\TWX%20Model%209.28.9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fid05groups\CORP_BOND_RESEARCH\CME%20&amp;%20Telecom%20Research\Cable%20&amp;%20Media\AOL%20Time%20Warner\TWX%20Model%209.28.9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onnecthkuhk-my.sharepoint.com\Users\admin\Nutstore\1\&#20256;&#23186;&#20849;&#20139;\GYX\&#20809;&#32447;&#20256;&#23186;\&#35199;&#37096;&#25253;&#21578;\&#20809;&#32447;&#20256;&#23186;&#20272;&#20540;&#27169;&#22411;-20220107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&#35745;&#31639;&#26426;\Downloads\https:\connecthkuhk-my.sharepoint.com\Mac\Home\Users\shen\Desktop\WindEvaluator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4D8546D3\PCS%20Equity%20Model%201017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EMP\ie5\Temporary%20Internet%20Files\OLK44\PCS%20Equity%20Model%201017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C\UTILITY\Power\Utilities\WEC\Models\Initiation\Previous%20JPM%20WEC%20Model%2007%20Apr%200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MISSETT\EXCEL\MOD_BRU\BKS\oldmodelstuff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F06BC068\DAZHONG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DATABASE\TOURISM\DAZHONG\DAZH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91809920\DH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NTHONY\HK\0223\DHB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wc.sharepoint.com\Users\lneese\AppData\Local\Temp\orion\A-Series%20-%20Other_Glendon%202008%20Tax%20Schedule_6676757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7ABA691C\MACRO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NTHONY\HK\0000\MACRO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C\UTILITY\Power\Models\Working\PNW%20Model%20Jen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Models\SO\Published\SO%20Model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tor\&#26700;&#38754;\Lisa%20coverag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01BDFF52\SIVERSI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y%20Documents\Noel\McCue%20Systems\SIVERSI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PARC1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\IB-SHG-01\VOL1\PROPERTY\SZCOMP\SHUM-YIP\ROB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B-SHG-01\VOL1\PROPERTY\SZCOMP\SHUM-YIP\RO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DOUG\Modelware\COP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TEMP\TO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LIB\ER\UTILITIES\Models\FSLR\Random%20Math%20&amp;%20Analysis\FSLR%20vs%20Imported%20Module%20Cost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1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&#35745;&#31639;&#26426;\Downloads\https:\connecthkuhk-my.sharepoint.com\Users\admin\Nutstore\1\&#20256;&#23186;&#20849;&#20139;\GYX\&#20809;&#32447;&#20256;&#23186;\&#35199;&#37096;&#25253;&#21578;\&#20809;&#32447;&#20256;&#23186;&#20272;&#20540;&#27169;&#22411;-20220107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Volumes\NO%20NAME\UTILITY\Power\Utilities\WEC\Models\Initiation\Previous%20JPM%20WEC%20Model%2007%20Apr%200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230A2570\Huawei%20Model%20112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DOCUME~1\wanglei\LOCALS~1\Temp\Huawei%20Model%20112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6CB6A454\Marketing%20material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Xu%20Yulian\Peter%20Bai\ppt\charts\Marketing%20materia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onnecthkuhk-my.sharepoint.com\Mac\Home\&#20272;&#20540;\&#31454;&#20105;&#23545;&#25163;&#20272;&#20540;&#27169;&#22411;\Wind&#20272;&#20540;&#27169;&#22411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Jihe WestInt_Paid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49FAC9B4\cable%20comps%200127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scoker\Local%20Settings\Temporary%20Internet%20Files\OLKFC\cable%20comps%200127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8C9FD569\AETH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Telecom\draft\China%20Mobile\AETH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&#35745;&#31639;&#26426;\Downloads\https:\connecthkuhk-my.sharepoint.com\IB-SHG-01\VOL1\MATERIAL\STEEL\MAGANG\MAGANG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D42238CB\DCF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-HOTEL\DEALS\Project%20Colors\DCF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63B99620\1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WINNT\Profiles\blmbgrd\&#26700;&#38754;\1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TEMPLATE\Excel\LINKTAB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\NY_PDC\rsearch\Telecom\Itcd\itcd%20mod1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Y_PDC\rsearch\Telecom\Itcd\itcd%20mod1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onnecthkuhk-my.sharepoint.com\Mac\Home\Users\shen\Desktop\Beta&#35745;&#31639;&#22120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&#35745;&#31639;&#26426;\Downloads\https:\connecthkuhk-my.sharepoint.com\Mac\Home\&#20272;&#20540;\&#31454;&#20105;&#23545;&#25163;&#20272;&#20540;&#27169;&#22411;\Wind&#20272;&#20540;&#27169;&#22411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ltdb3\JOBS\F\RefCase%20Spring%202006\Northeast\Report\Tables&amp;Figures\Table%205-4%20Northeast%20Market%20Area%20Summary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\BILOTTI\Cable\Cablevision%20Systems\CVC\cvc_ny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media\BILOTTI\Cable\Cablevision%20Systems\CVC\cvc_ny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Price%20Deck\MS%20New%20Price%20Deck%2012281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523303A5\CellularComp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ELECOM\EXCEL\CELLULAR\CellularComp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FF3F4505\Assumption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ilservice\3%20-%20Models\Assumptions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42926FC2\template_growth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Documents%20and%20Settings\karenc\Local%20Settings\Temporary%20Internet%20Files\OLK12\Karen\Insurance%20Models\template_growth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A584152E\NERDCHRT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NTHONY\Regional\NERDCHR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onnecthkuhk-my.sharepoint.com\Mac\Home\&#20272;&#20540;\&#31454;&#20105;&#23545;&#25163;&#20272;&#20540;&#27169;&#22411;\&#30331;&#28023;&#31181;&#19994;&#65288;002041&#65289;Valuation%20Model-v1-20100224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AAB88775\KONKA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hongwei\vanke\note1\Old%20files\Jeff\KONKA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yangge\Library\Containers\com.kingsoft.wpsoffice.mac\Data\Library\Application%20Support\Kingsoft\WPS%20Cloud%20Files\userdata\qing\filecache\.382557298\cachedata\BC7F9BAC10BF4EA593AB0D861028E474\A:\IDC%20forecast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DC%20forecasts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xdjh\Downloads\GE%20Vernova%20model0129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\INTERNET\MODELS\MM_mode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Models\SCTY\Published\SCTY%20Model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APGOODS\Ben\Latest%20Models\MS_SiemensGamesa.xlsm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abataba\AppData\Local\Microsoft\Windows\Temporary%20Internet%20Files\Content.Outlook\HHRGII86\TPI%20Model%20WIP%20(Initiation%20Restructure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Stephen%20Byrd\Ventyx%202012\Midwest%20Ventyx%20Data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ltdb3\JOBS\F\RefCase%20Fall%202006\MWSE\Tables&amp;Figures\CD%20Folder\Southeast\Southeast%20Fall06%20Ref%20Case_Data%20Supplement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637398E6\Price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EDIA\Companies\Data\Prices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ltipleSecuritie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RVER\Home\Comman%20Access\Book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55565908\Millennial%20Media%20Model_Citi%20Current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Millennial%20Media\Millennial%20Media%20Model_Citi%20Curren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Apparel\Models\Working\WRNC_working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transpor\wern\wernqq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Models\FE\FE%20Model%2002.01.13%20WIP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UTILITIES\Models\DUK\DUK%20Model%2007.17.13%20WIP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General%20Retail\Fashion%20Retail\Models\H&amp;M%2015.10.2003%20wi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&#35745;&#31639;&#26426;\Downloads\https:\connecthkuhk-my.sharepoint.com\Mac\Home\Users\shen\Desktop\Beta&#35745;&#31639;&#22120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Price%20Deck\MS%20New%20Price%20Deck%20092211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D4DB36A5\Standard_wacc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TEMP\Standard_wacc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FACTSETXLT\Documents%20and%20Settings\yentgals\Local%20Settings\Temporary%20Internet%20Files\OLKC7\PSS_draft_091809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retail\missett\excel\mod_bru\km\KM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U\UTILITY\COMPANY\PGN\PGN_ALL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38ADA514\CableSubs-ByDMA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hlomi\CableSubs-ByDM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C\UTILITY\COMPANY\PGN\PGN_ALL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3\Desktop\COSTGRP\1999\VOL&amp;REV\Sep\Revvar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BAD32702\SECTOR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S_DB\WH\INDUS\DURA\SECTOR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\IB-SHG-01\VOL1\PROPERTY\SZCOMP\VANKE\twopage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B-SHG-01\VOL1\PROPERTY\SZCOMP\VANKE\twopage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wc.sharepoint.com\Users\rmichaelson\AppData\Local\Temp\orion\Extension%20Workpapers_2010%20Glendon%20Partners%20Ext_87667983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&#35745;&#31639;&#26426;\Downloads\https:\connecthkuhk-my.sharepoint.com\Mac\Home\&#20272;&#20540;\&#31454;&#20105;&#23545;&#25163;&#20272;&#20540;&#27169;&#22411;\&#30331;&#28023;&#31181;&#19994;&#65288;002041&#65289;Valuation%20Model-v1-20100224.xlsm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angge\Downloads\37162E3B\HECMODEL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qianbing\Local%20Settings\Temporary%20Internet%20Files\OLK3\RESEARCH\JACOBELL\SMR9705\HECMODEL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wc.sharepoint.com\Users\rmichaelson\AppData\Local\Temp\orion\Extension%20Workpapers_E%20Workbook%20-%20MPBC%20Glendon_72933901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DATA\SHARED\M&amp;A\J_H_FELDMAN\TRPRICE\Comps\PUBVAL1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brlPreview"/>
      <sheetName val="MODELWARE"/>
      <sheetName val="XOM"/>
      <sheetName val="IS"/>
      <sheetName val="Share Repurchase"/>
      <sheetName val="MainCode"/>
      <sheetName val="WorkingCapital"/>
      <sheetName val="Pension Adjustments"/>
      <sheetName val="BS"/>
      <sheetName val="US Pension"/>
      <sheetName val="Intl Pension"/>
      <sheetName val="OPEBs"/>
      <sheetName val="DRC"/>
      <sheetName val="ReservesRegion"/>
      <sheetName val="ROCE"/>
      <sheetName val="E&amp;PIS"/>
      <sheetName val="R&amp;MIS"/>
      <sheetName val="ChemsIS"/>
      <sheetName val="Corporate"/>
      <sheetName val="Capex"/>
      <sheetName val="E&amp;P"/>
      <sheetName val="NSOURCE"/>
      <sheetName val="GE Data"/>
      <sheetName val="NY UPLOAD"/>
      <sheetName val="MobilPurchase"/>
      <sheetName val="WACC"/>
      <sheetName val="Global E&amp;P Field Percentages"/>
      <sheetName val="NEPS"/>
      <sheetName val="DIVIS"/>
      <sheetName val="Variance"/>
      <sheetName val="xbrldates"/>
      <sheetName val="xbrlSettings"/>
      <sheetName val="NY UPLOAD shadow"/>
      <sheetName val="Hungary"/>
      <sheetName val="CzechRep"/>
      <sheetName val="Romania"/>
      <sheetName val="Scenario"/>
      <sheetName val="P"/>
      <sheetName val="単独"/>
      <sheetName val="ｾｸﾞﾒﾝﾄ"/>
      <sheetName val="Analysis"/>
      <sheetName val="MACRS"/>
      <sheetName val="Model"/>
      <sheetName val="Annual (Euro)"/>
      <sheetName val="MWA RR"/>
      <sheetName val="DCF"/>
      <sheetName val="Output"/>
      <sheetName val="Old BKS"/>
      <sheetName val="XOMModelware"/>
      <sheetName val="Credit Output"/>
      <sheetName val="IPOcalc"/>
      <sheetName val="FutureAcq"/>
      <sheetName val="CalcsMO"/>
      <sheetName val="MN-FORM"/>
      <sheetName val="VALUATION '04"/>
      <sheetName val="BS_CF"/>
      <sheetName val="CCE"/>
      <sheetName val="2006 Template"/>
      <sheetName val="Income Statement"/>
      <sheetName val="P&amp;L"/>
      <sheetName val="Divisional"/>
      <sheetName val="Multiples"/>
      <sheetName val="Receita"/>
      <sheetName val="DDE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  <sheetName val="DL"/>
      <sheetName val="Scenarios"/>
      <sheetName val="ACM"/>
      <sheetName val="MW Ratios"/>
      <sheetName val="Field"/>
      <sheetName val="REVS"/>
      <sheetName val="earnmodel"/>
      <sheetName val="O_fpage"/>
      <sheetName val="maturityprofile"/>
      <sheetName val="variables"/>
      <sheetName val="IP"/>
      <sheetName val="Vluation"/>
      <sheetName val="ChemiPal JV"/>
      <sheetName val="Old BKS"/>
      <sheetName val="XOM"/>
      <sheetName val="Balance Sheet"/>
      <sheetName val="SectorPSales"/>
      <sheetName val="BMW"/>
      <sheetName val="Plants"/>
      <sheetName val="VeraSun"/>
      <sheetName val="Forecast Change"/>
      <sheetName val="INPUTS"/>
      <sheetName val="AN"/>
      <sheetName val="COP"/>
      <sheetName val="HSCDS-Retail"/>
      <sheetName val="DVC"/>
      <sheetName val="Income Statement"/>
      <sheetName val="Fin. Summary"/>
      <sheetName val="Links"/>
      <sheetName val="CY Link"/>
      <sheetName val="New Source"/>
      <sheetName val="INFAnnual"/>
      <sheetName val="BalanceSheet"/>
      <sheetName val="Add"/>
      <sheetName val="Revenue Model"/>
      <sheetName val="GT"/>
      <sheetName val="LME 2010"/>
      <sheetName val="MERGER"/>
      <sheetName val="RD"/>
      <sheetName val="Input Income Statement"/>
      <sheetName val="Annual"/>
      <sheetName val="Assumptions"/>
      <sheetName val="Master"/>
      <sheetName val="model &amp; valuation"/>
      <sheetName val="Qtrly P&amp;L and BalSheet"/>
      <sheetName val="Reserve"/>
      <sheetName val="Scenario"/>
      <sheetName val="Ratings"/>
      <sheetName val="synthgraph"/>
      <sheetName val="Ex3"/>
      <sheetName val="3Q05 Variance"/>
      <sheetName val="MW ROE Analyzer"/>
      <sheetName val="ｾｸﾞﾒﾝﾄ"/>
      <sheetName val="単独"/>
      <sheetName val="New RGM"/>
      <sheetName val="Budget summary 2011"/>
      <sheetName val="B"/>
      <sheetName val="Print"/>
      <sheetName val="Revenue at Risk"/>
      <sheetName val="c1"/>
      <sheetName val="Distribution"/>
      <sheetName val="Q-Link Source"/>
      <sheetName val="Revenue&amp;EBIT"/>
      <sheetName val="__FDSCACHE__"/>
      <sheetName val="Cover"/>
      <sheetName val="Summary"/>
      <sheetName val="NAV Valuation"/>
      <sheetName val="Sensitivity"/>
      <sheetName val="Workings"/>
      <sheetName val="Inventory_and_Backlog"/>
      <sheetName val="PoC Curves"/>
      <sheetName val="Source"/>
      <sheetName val="DCF Valuation"/>
      <sheetName val="CashFlow Curves"/>
      <sheetName val="MW"/>
      <sheetName val="MacroData"/>
      <sheetName val="MS Disclaimers"/>
      <sheetName val="MS Disclosures"/>
      <sheetName val="SummaryMW"/>
      <sheetName val="MWA RR"/>
      <sheetName val="HIDE&gt;&gt;&gt;"/>
      <sheetName val="Consensus"/>
      <sheetName val="Quarterly Results"/>
      <sheetName val="&gt;&gt;"/>
      <sheetName val="LinkSheet"/>
      <sheetName val="Audit"/>
      <sheetName val="MW-Cache"/>
      <sheetName val="CenarioCal"/>
      <sheetName val="CenarioUpdate"/>
      <sheetName val="Graphs"/>
      <sheetName val="mwareDates"/>
      <sheetName val="mwareSettings"/>
      <sheetName val="SCF &amp; BS"/>
      <sheetName val="Segment_ROCE"/>
      <sheetName val="IQ_GEO_SEG_EARNINGS_OP"/>
      <sheetName val="US CLECS Input"/>
      <sheetName val="RenewProb"/>
      <sheetName val="Sheet2"/>
      <sheetName val="Commodities"/>
      <sheetName val="Data"/>
      <sheetName val="Sputtering"/>
      <sheetName val="Capacity"/>
      <sheetName val="New main"/>
      <sheetName val="P&amp;L"/>
      <sheetName val="A"/>
      <sheetName val="GROUP P&amp;L"/>
      <sheetName val="Bayu_Undan"/>
      <sheetName val="ARCO_-_Alaska"/>
      <sheetName val="Chemical_JV"/>
      <sheetName val="GE_Data"/>
      <sheetName val="NY_UPLOAD"/>
      <sheetName val="NY_UPLOAD_shadow"/>
      <sheetName val="NY_UPLOAD_bak"/>
      <sheetName val="NY_UPLOAD_Shadow_bak"/>
      <sheetName val="B_Sheet"/>
      <sheetName val="Quarterly_Data"/>
      <sheetName val="A-Link_Source"/>
      <sheetName val="MW_Ratios"/>
      <sheetName val="CY_Link"/>
      <sheetName val="ChemiPal_JV"/>
      <sheetName val="Old_BKS"/>
      <sheetName val="Forecast_Change"/>
      <sheetName val="New_Source"/>
      <sheetName val="Balance_Sheet"/>
      <sheetName val="Income_Statement"/>
      <sheetName val="Fin__Summary"/>
      <sheetName val="P&amp;L by Yr"/>
      <sheetName val="P&amp;L by Qtr"/>
      <sheetName val="TRANSACTION"/>
      <sheetName val="Ranges"/>
      <sheetName val="Upstream"/>
      <sheetName val="Segment"/>
      <sheetName val="Reserves &amp; Capex"/>
      <sheetName val="TV"/>
      <sheetName val="KMB"/>
      <sheetName val="Output_Q"/>
      <sheetName val="Cash Flow Statement"/>
      <sheetName val="Output_A"/>
      <sheetName val="New Source Charts"/>
      <sheetName val="Modelware"/>
      <sheetName val="R&amp;MIS"/>
      <sheetName val="E&amp;P Growth &amp; Returns"/>
      <sheetName val="Global Product Sum"/>
      <sheetName val="Quarter"/>
      <sheetName val="COC"/>
      <sheetName val="ERPRO sheet"/>
      <sheetName val="Factset Profile"/>
      <sheetName val="cash"/>
      <sheetName val="Financial Overview ShortProfile"/>
      <sheetName val="Assumptions &amp; Switches"/>
      <sheetName val="cpip"/>
      <sheetName val="CTWC"/>
      <sheetName val="SCA Financials &amp; Debt Paydown"/>
      <sheetName val="Headcount Input Scheudle"/>
      <sheetName val="Capital Expenses"/>
      <sheetName val="Drop Down Lists"/>
      <sheetName val="Manual"/>
      <sheetName val="Dashboard (2)"/>
      <sheetName val="Separation Codes"/>
      <sheetName val="Water Transfer"/>
      <sheetName val="Graph"/>
      <sheetName val="Hist"/>
      <sheetName val="StoreList"/>
      <sheetName val="DSht"/>
      <sheetName val="Spec"/>
      <sheetName val="StoreDetl"/>
      <sheetName val="Ann"/>
      <sheetName val="GAAP Financial Statements"/>
      <sheetName val="Operating"/>
      <sheetName val="Revenue"/>
      <sheetName val="YTD Summaries"/>
      <sheetName val="LBOSHELL"/>
      <sheetName val="Comps"/>
      <sheetName val="Switch "/>
      <sheetName val="RI Valuation"/>
      <sheetName val="Control"/>
      <sheetName val="Tbl of Cont"/>
      <sheetName val="TRM (Prod Adj)"/>
      <sheetName val="Prattmodel"/>
      <sheetName val="Otismodel"/>
      <sheetName val="Flightmodel"/>
      <sheetName val="Sum of the Parts Valuation"/>
      <sheetName val="Control Panel"/>
      <sheetName val="Basic Co Info"/>
      <sheetName val="WY"/>
      <sheetName val="ICI"/>
      <sheetName val="KPN"/>
      <sheetName val="Capital Structure"/>
      <sheetName val="Trading Liquidity"/>
      <sheetName val="Fleet"/>
      <sheetName val="Revenue-CostDrivers"/>
      <sheetName val="FinancialStatements"/>
      <sheetName val="hiddenSheet"/>
      <sheetName val="CIP"/>
      <sheetName val="Cash Flow"/>
      <sheetName val="List"/>
      <sheetName val="Consol by Mth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BD(FC_BDG)"/>
      <sheetName val="RESUMO RANKING"/>
      <sheetName val="CLIENTE MÊS"/>
      <sheetName val="Tab Din"/>
      <sheetName val="R&amp;O MONTH"/>
      <sheetName val="TOP 5"/>
      <sheetName val="CLIENT FY"/>
      <sheetName val="PROSPECT FY"/>
      <sheetName val="ARPU-analys Postpaid"/>
      <sheetName val="CoA"/>
      <sheetName val="Build &amp; Mat Receipts"/>
      <sheetName val="LBO"/>
      <sheetName val="QRE"/>
      <sheetName val="Tables"/>
      <sheetName val="PLP"/>
      <sheetName val="運輸経済月例報告"/>
      <sheetName val="Unique Cost Centres"/>
      <sheetName val="Digital Roster"/>
      <sheetName val="Functional Groupings"/>
      <sheetName val="Graph 1"/>
      <sheetName val="Drop down list"/>
      <sheetName val="Compensation Detail"/>
      <sheetName val="Base Account Detail"/>
      <sheetName val="Interest rates"/>
      <sheetName val="Category names"/>
      <sheetName val="Revenue_Model"/>
      <sheetName val="LME_2010"/>
      <sheetName val="Input_Income_Statement"/>
      <sheetName val="Qtrly_P&amp;L_and_BalSheet"/>
      <sheetName val="3Q05_Variance"/>
      <sheetName val="Hyperion Control"/>
      <sheetName val="Key inputs"/>
      <sheetName val="Raw Data"/>
      <sheetName val="FC Transfer"/>
      <sheetName val="Financials"/>
      <sheetName val="Model Inputs"/>
      <sheetName val="Lookup"/>
      <sheetName val="IPASS"/>
      <sheetName val="ACYS"/>
      <sheetName val="Proj Sum"/>
      <sheetName val="Average Employee Costs"/>
      <sheetName val="MICAP"/>
      <sheetName val="Notes"/>
      <sheetName val="IBES㼀_x000c_[P.XLS]Model㼀_x000e_[P.XLS"/>
      <sheetName val="MS Model"/>
      <sheetName val="6. Financials"/>
      <sheetName val="TSO"/>
      <sheetName val="SHTCOMPS"/>
      <sheetName val="ADATA"/>
      <sheetName val="QDATA"/>
      <sheetName val="Price"/>
      <sheetName val="UP_Code"/>
      <sheetName val="Details (2)"/>
      <sheetName val="Input"/>
      <sheetName val="Output"/>
      <sheetName val="Mgraph"/>
      <sheetName val="Vgraph"/>
      <sheetName val="CPL"/>
      <sheetName val="CBS"/>
      <sheetName val="CPL_published"/>
      <sheetName val="CBS_published"/>
      <sheetName val="Gdata"/>
      <sheetName val="M"/>
      <sheetName val="EX1"/>
      <sheetName val="C"/>
      <sheetName val="LinkingMetadata"/>
      <sheetName val="#!#AstraReportDataWorkSheet#!#"/>
      <sheetName val="PRICE_W"/>
      <sheetName val="Power Plants"/>
      <sheetName val="Scene2"/>
      <sheetName val="Bridge"/>
      <sheetName val="AK"/>
      <sheetName val="Cyc"/>
      <sheetName val="WF G"/>
      <sheetName val="CF"/>
      <sheetName val="FX2"/>
      <sheetName val="KEY_FINANCIALS"/>
      <sheetName val="DATA_IMPORT"/>
      <sheetName val="DCF"/>
      <sheetName val="FX Impact"/>
      <sheetName val="Tracking --&gt;"/>
      <sheetName val="STORAGE"/>
      <sheetName val="IS-ANNUAL"/>
      <sheetName val="Quarters"/>
      <sheetName val="oldSEG"/>
      <sheetName val="E1020"/>
      <sheetName val="Preparer"/>
      <sheetName val="COR"/>
      <sheetName val="2015OK"/>
      <sheetName val="Company Info"/>
      <sheetName val="priv"/>
      <sheetName val="主行业趋势"/>
      <sheetName val="Sum"/>
      <sheetName val="August 2000"/>
      <sheetName val="DetailReport"/>
      <sheetName val="Co. Info"/>
      <sheetName val="Co"/>
      <sheetName val="COO2"/>
      <sheetName val="#REF"/>
      <sheetName val="AcctMgt"/>
      <sheetName val="B2B 05Bud"/>
      <sheetName val="FullFS"/>
      <sheetName val="Quota"/>
      <sheetName val="Content"/>
      <sheetName val="Creative"/>
      <sheetName val="05Bud"/>
      <sheetName val="Hotmedia2"/>
      <sheetName val="MGT"/>
      <sheetName val="m2"/>
      <sheetName val="Config"/>
      <sheetName val="PR2"/>
      <sheetName val="Preparers - Dec03"/>
      <sheetName val="Preparers"/>
      <sheetName val="xxxxSalary Detail"/>
      <sheetName val="sales2"/>
      <sheetName val="IBD"/>
      <sheetName val="产品段mapping"/>
      <sheetName val="成本中心"/>
      <sheetName val="科目"/>
      <sheetName val="上报资产负债表"/>
      <sheetName val="上报损益表"/>
      <sheetName val="补充表"/>
      <sheetName val="_5284"/>
      <sheetName val="6 TRS"/>
      <sheetName val=""/>
      <sheetName val="Segment_ROCE1"/>
      <sheetName val="Bayu_Undan1"/>
      <sheetName val="ARCO_-_Alaska1"/>
      <sheetName val="Chemical_JV1"/>
      <sheetName val="GE_Data1"/>
      <sheetName val="NY_UPLOAD1"/>
      <sheetName val="NY_UPLOAD_shadow1"/>
      <sheetName val="NY_UPLOAD_bak1"/>
      <sheetName val="NY_UPLOAD_Shadow_bak1"/>
      <sheetName val="B_Sheet1"/>
      <sheetName val="Quarterly_Data1"/>
      <sheetName val="A-Link_Source1"/>
      <sheetName val="MW_Ratios1"/>
      <sheetName val="ChemiPal_JV1"/>
      <sheetName val="Old_BKS1"/>
      <sheetName val="Forecast_Change1"/>
      <sheetName val="Balance_Sheet1"/>
      <sheetName val="Income_Statement1"/>
      <sheetName val="Fin__Summary1"/>
      <sheetName val="CY_Link1"/>
      <sheetName val="New_Source1"/>
      <sheetName val="GROUP_P&amp;L"/>
      <sheetName val="SCF_&amp;_BS"/>
      <sheetName val="Budget_summary_2011"/>
      <sheetName val="MW_ROE_Analyzer"/>
      <sheetName val="model_&amp;_valuation"/>
      <sheetName val="Revenue_at_Risk"/>
      <sheetName val="New_RGM"/>
      <sheetName val="Dashboard_(2)"/>
      <sheetName val="Q-Link_Source"/>
      <sheetName val="NAV_Valuation"/>
      <sheetName val="PoC_Curves"/>
      <sheetName val="DCF_Valuation"/>
      <sheetName val="CashFlow_Curves"/>
      <sheetName val="MS_Disclaimers"/>
      <sheetName val="MS_Disclosures"/>
      <sheetName val="MWA_RR"/>
      <sheetName val="Quarterly_Results"/>
      <sheetName val="US_CLECS_Input"/>
      <sheetName val="Basic_Co_Info"/>
      <sheetName val="Cash_Flow_Statement"/>
      <sheetName val="YTD_Summaries"/>
      <sheetName val="Tbl_of_Cont"/>
      <sheetName val="New_main"/>
      <sheetName val="P&amp;L_by_Yr"/>
      <sheetName val="P&amp;L_by_Qtr"/>
      <sheetName val="Reserves_&amp;_Capex"/>
      <sheetName val="Financial_Overview_ShortProfile"/>
      <sheetName val="Assumptions_&amp;_Switches"/>
      <sheetName val="SCA_Financials_&amp;_Debt_Paydown"/>
      <sheetName val="Headcount_Input_Scheudle"/>
      <sheetName val="Capital_Expenses"/>
      <sheetName val="Drop_Down_Lists"/>
      <sheetName val="ERPRO_sheet"/>
      <sheetName val="Water_Transfer"/>
      <sheetName val="Graph_1"/>
      <sheetName val="Company_Info"/>
      <sheetName val="August_2000"/>
      <sheetName val="Co__Info"/>
      <sheetName val="B2B_05Bud"/>
      <sheetName val="Preparers_-_Dec03"/>
      <sheetName val="xxxxSalary_Detail"/>
      <sheetName val="6_TRS"/>
      <sheetName val="TRM_(Prod_Adj)"/>
      <sheetName val="Interest_rates"/>
      <sheetName val="Projections"/>
      <sheetName val="Debt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投资"/>
      <sheetName val="筹资"/>
      <sheetName val="绝对估值"/>
      <sheetName val="首页"/>
      <sheetName val="Price"/>
      <sheetName val="PriceSyn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PS"/>
      <sheetName val="AEPS"/>
      <sheetName val="DPS"/>
      <sheetName val="NBV"/>
      <sheetName val="BV"/>
      <sheetName val="CostIncome Ratio"/>
      <sheetName val="Interest Income total Income"/>
      <sheetName val="Other Income Total Income"/>
      <sheetName val="Loan to deposit"/>
      <sheetName val="Loan to deposit (bonds)"/>
      <sheetName val="Liquidity ratio"/>
      <sheetName val="Loan Growth Rate"/>
      <sheetName val="Deposit Growth Rate"/>
      <sheetName val="ROA"/>
      <sheetName val="ROE"/>
      <sheetName val="SROE"/>
      <sheetName val="ROIEA"/>
      <sheetName val="CIBL"/>
      <sheetName val="Interest Spread"/>
      <sheetName val="Net Int Margin(tot)"/>
      <sheetName val="Net Interest Margin (earning)"/>
      <sheetName val="General Provision"/>
      <sheetName val="Specific Provision"/>
      <sheetName val="NPL"/>
      <sheetName val="Spec Provisions to NPL"/>
      <sheetName val="Tot Provisions to NPL"/>
      <sheetName val="Adj Tier I "/>
      <sheetName val="Tier I"/>
      <sheetName val="CAR"/>
      <sheetName val="Adj. CAR"/>
      <sheetName val="Standardized CAR"/>
      <sheetName val="Specific Cover"/>
      <sheetName val="Total Cover"/>
      <sheetName val="Master for values"/>
      <sheetName val="Master"/>
      <sheetName val="NAV"/>
      <sheetName val="BANKS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PS"/>
      <sheetName val="AEPS"/>
      <sheetName val="DPS"/>
      <sheetName val="NBV"/>
      <sheetName val="BV"/>
      <sheetName val="CostIncome Ratio"/>
      <sheetName val="Interest Income total Income"/>
      <sheetName val="Other Income Total Income"/>
      <sheetName val="Loan to deposit"/>
      <sheetName val="Loan to deposit (bonds)"/>
      <sheetName val="Liquidity ratio"/>
      <sheetName val="Loan Growth Rate"/>
      <sheetName val="Deposit Growth Rate"/>
      <sheetName val="ROA"/>
      <sheetName val="ROE"/>
      <sheetName val="SROE"/>
      <sheetName val="ROIEA"/>
      <sheetName val="CIBL"/>
      <sheetName val="Interest Spread"/>
      <sheetName val="Net Int Margin(tot)"/>
      <sheetName val="Net Interest Margin (earning)"/>
      <sheetName val="General Provision"/>
      <sheetName val="Specific Provision"/>
      <sheetName val="NPL"/>
      <sheetName val="Spec Provisions to NPL"/>
      <sheetName val="Tot Provisions to NPL"/>
      <sheetName val="Adj Tier I "/>
      <sheetName val="Tier I"/>
      <sheetName val="CAR"/>
      <sheetName val="Adj. CAR"/>
      <sheetName val="Standardized CAR"/>
      <sheetName val="Specific Cover"/>
      <sheetName val="Total Cover"/>
      <sheetName val="Master for values"/>
      <sheetName val="Master"/>
      <sheetName val="NAV"/>
      <sheetName val="BANKS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N"/>
      <sheetName val="P&amp;L"/>
      <sheetName val="Graphs"/>
      <sheetName val="KBRO"/>
      <sheetName val="1Q01"/>
      <sheetName val="DCF"/>
      <sheetName val="BS"/>
      <sheetName val="STAT"/>
      <sheetName val="Metrics"/>
      <sheetName val="4Q00"/>
      <sheetName val="3Q00"/>
      <sheetName val="2Q00"/>
      <sheetName val="Guidance"/>
      <sheetName val="4Q99"/>
      <sheetName val="3Q99"/>
      <sheetName val="2Q99"/>
      <sheetName val="1Q99"/>
      <sheetName val="4Q98"/>
      <sheetName val="3Q98"/>
      <sheetName val="Chart1"/>
      <sheetName val="Sheet2"/>
      <sheetName val="2Q00 CC"/>
      <sheetName val="db Sheet"/>
      <sheetName val="Sheet1"/>
      <sheetName val="STATS"/>
      <sheetName val="Statistics"/>
      <sheetName val="Revenue &amp; EBITDA"/>
      <sheetName val="Rev &amp; EBITDA"/>
      <sheetName val="Business Mix"/>
      <sheetName val="EBITDA Chart"/>
      <sheetName val="Chart Data"/>
      <sheetName val="Capital Structure"/>
      <sheetName val="CS Data"/>
      <sheetName val="Comp Table"/>
      <sheetName val="Comp Graph"/>
      <sheetName val="SmartBuild 1"/>
      <sheetName val="SmartBuild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N"/>
      <sheetName val="P&amp;L"/>
      <sheetName val="Graphs"/>
      <sheetName val="KBRO"/>
      <sheetName val="1Q01"/>
      <sheetName val="DCF"/>
      <sheetName val="BS"/>
      <sheetName val="STAT"/>
      <sheetName val="Metrics"/>
      <sheetName val="4Q00"/>
      <sheetName val="3Q00"/>
      <sheetName val="2Q00"/>
      <sheetName val="Guidance"/>
      <sheetName val="4Q99"/>
      <sheetName val="3Q99"/>
      <sheetName val="2Q99"/>
      <sheetName val="1Q99"/>
      <sheetName val="4Q98"/>
      <sheetName val="3Q98"/>
      <sheetName val="Chart1"/>
      <sheetName val="Sheet2"/>
      <sheetName val="2Q00 CC"/>
      <sheetName val="db Sheet"/>
      <sheetName val="Sheet1"/>
      <sheetName val="STATS"/>
      <sheetName val="Statistics"/>
      <sheetName val="Revenue &amp; EBITDA"/>
      <sheetName val="Rev &amp; EBITDA"/>
      <sheetName val="Business Mix"/>
      <sheetName val="EBITDA Chart"/>
      <sheetName val="Chart Data"/>
      <sheetName val="Capital Structure"/>
      <sheetName val="CS Data"/>
      <sheetName val="Comp Table"/>
      <sheetName val="Comp Graph"/>
      <sheetName val="SmartBuild 1"/>
      <sheetName val="SmartBuild 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 refreshError="1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LEHMAN BROTHERS DISCLAIMER"/>
      <sheetName val="Contents"/>
      <sheetName val="Operating Model"/>
      <sheetName val="Financials"/>
      <sheetName val="Valuation"/>
      <sheetName val="Ownership"/>
      <sheetName val="Returns &amp; Multiples"/>
      <sheetName val="Local Mark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EHMAN BROTHERS DISCLAIMER"/>
      <sheetName val="Contents"/>
      <sheetName val="Operating Model"/>
      <sheetName val="Financials"/>
      <sheetName val="Valuation"/>
      <sheetName val="Ownership"/>
      <sheetName val="Returns &amp; Multiples"/>
      <sheetName val="Local Markets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preads"/>
      <sheetName val="Schedules"/>
      <sheetName val="Sp2"/>
      <sheetName val="Sched2"/>
      <sheetName val="Curtrans"/>
      <sheetName val="__FDSCACHE__"/>
      <sheetName val="DCF"/>
      <sheetName val="WACC"/>
      <sheetName val="historicalGR"/>
      <sheetName val="FutureGR"/>
      <sheetName val="Trans Graph"/>
      <sheetName val="EPS"/>
      <sheetName val="Graphs"/>
      <sheetName val="Acq. Matrix"/>
      <sheetName val="Reven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preads"/>
      <sheetName val="Schedules"/>
      <sheetName val="Sp2"/>
      <sheetName val="Sched2"/>
      <sheetName val="Curtrans"/>
      <sheetName val="__FDSCACHE__"/>
      <sheetName val="DCF"/>
      <sheetName val="WACC"/>
      <sheetName val="historicalGR"/>
      <sheetName val="FutureGR"/>
      <sheetName val="Trans Graph"/>
      <sheetName val="EPS"/>
      <sheetName val="Graphs"/>
      <sheetName val="Acq. Matrix"/>
      <sheetName val="Reven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Cash Flow"/>
      <sheetName val="upside_downside"/>
      <sheetName val="Income Statement"/>
      <sheetName val="Balance Sheet"/>
      <sheetName val="RI"/>
      <sheetName val="BULLBEAR"/>
      <sheetName val="Sheet2"/>
      <sheetName val="DCF"/>
      <sheetName val="MWA RR"/>
      <sheetName val="REVENUE BY GEOGRAPHY"/>
      <sheetName val="NonQtr"/>
      <sheetName val="Data 20d"/>
      <sheetName val="Data"/>
      <sheetName val="Risk-Reward_View_Chart"/>
      <sheetName val="Valsum"/>
      <sheetName val="CPB"/>
      <sheetName val="Total_Food_Promo"/>
      <sheetName val="CPB_2yr"/>
      <sheetName val="Interims"/>
      <sheetName val="Financial Statements"/>
      <sheetName val="Good 12-00 (2)"/>
      <sheetName val="Good 11-36"/>
      <sheetName val="Good 11-50"/>
      <sheetName val="Sheet3 (5)"/>
      <sheetName val="Inputs"/>
      <sheetName val="FX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Sheet4"/>
      <sheetName val="ForeignStake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Commodity Index"/>
      <sheetName val="Prices_Quarterly"/>
      <sheetName val="Inflation_Monthly"/>
      <sheetName val="Inflation_Quarterly"/>
      <sheetName val="Prices_Monthly"/>
      <sheetName val="Exposure"/>
      <sheetName val="NewChubb_INPUT"/>
      <sheetName val="P&amp;L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Comps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FOR NOTE"/>
      <sheetName val="Top Line"/>
      <sheetName val="BS"/>
      <sheetName val="CFS"/>
      <sheetName val="Margin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RI Valuation"/>
      <sheetName val="Production"/>
      <sheetName val="NAV"/>
      <sheetName val="Prec-Transactions Valuation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BEV"/>
      <sheetName val="Refresh Charts"/>
      <sheetName val="MEG standalone cap table"/>
      <sheetName val="Historical financials"/>
      <sheetName val="LIN standalone"/>
      <sheetName val="MEG standalone"/>
      <sheetName val="Summary proj. financials"/>
      <sheetName val="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SIDUAL INCOME"/>
      <sheetName val="MAIN"/>
      <sheetName val="P&amp;L"/>
      <sheetName val="BS"/>
      <sheetName val="Update"/>
      <sheetName val="AFFILIATES (2)"/>
      <sheetName val="AFFILIATES"/>
      <sheetName val="Ratio"/>
      <sheetName val="Ace-In"/>
      <sheetName val="Ace-Out"/>
      <sheetName val="Cover"/>
      <sheetName val="QQ"/>
      <sheetName val="Financial Tables"/>
      <sheetName val="Earnings Tables"/>
      <sheetName val="RI Valuation"/>
      <sheetName val="Copy of KS055550"/>
      <sheetName val="Number of shares"/>
      <sheetName val="Earnings per share"/>
      <sheetName val="IS segment PY"/>
      <sheetName val="IS segment CY"/>
      <sheetName val="EARNINGS"/>
      <sheetName val="Consolidated input"/>
      <sheetName val="Monitor"/>
      <sheetName val="FCF"/>
      <sheetName val="Financial Statements"/>
      <sheetName val="EM"/>
      <sheetName val="6902"/>
      <sheetName val="FY19"/>
      <sheetName val="Rent analysis"/>
      <sheetName val="Timeline"/>
      <sheetName val="store profile and sales mix"/>
      <sheetName val="reconciliation of note 2"/>
      <sheetName val="Valuations"/>
      <sheetName val="P"/>
      <sheetName val="Model (Yue Yuen)"/>
      <sheetName val="CREDIT MODEL"/>
      <sheetName val="IS"/>
      <sheetName val="Revision"/>
      <sheetName val="2181 Persol"/>
      <sheetName val="Currencies"/>
      <sheetName val="4324 Dentsu"/>
      <sheetName val="Chartdata FY"/>
      <sheetName val="Earnings Support"/>
      <sheetName val="IS-ANNUAL"/>
      <sheetName val="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stimation"/>
      <sheetName val="Industrialization"/>
      <sheetName val="International"/>
      <sheetName val="Benchmark"/>
      <sheetName val="urbanization-overall"/>
      <sheetName val="Urbanization--by province"/>
      <sheetName val="Liews"/>
      <sheetName val="Cities"/>
      <sheetName val="GDP"/>
      <sheetName val="Service"/>
      <sheetName val="Secondary"/>
      <sheetName val="GCF"/>
      <sheetName val="Highway"/>
      <sheetName val="Railway"/>
      <sheetName val="Cement"/>
      <sheetName val="Steel"/>
      <sheetName val="Wage"/>
      <sheetName val="Sheet2"/>
      <sheetName val="Details"/>
      <sheetName val="Consumption"/>
      <sheetName val="Consumption (2)"/>
      <sheetName val="Investment"/>
      <sheetName val="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Questions &amp; To Dos"/>
      <sheetName val="MODEL"/>
      <sheetName val="QUICK CALC"/>
      <sheetName val="OldvsNew"/>
      <sheetName val="Charts"/>
      <sheetName val="TAM"/>
      <sheetName val="Exhibits"/>
      <sheetName val="Valuation"/>
      <sheetName val="SOP"/>
      <sheetName val="UpDownCase"/>
      <sheetName val="Shares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Questions &amp; To Dos"/>
      <sheetName val="MODEL"/>
      <sheetName val="QUICK CALC"/>
      <sheetName val="OldvsNew"/>
      <sheetName val="Charts"/>
      <sheetName val="TAM"/>
      <sheetName val="Exhibits"/>
      <sheetName val="Valuation"/>
      <sheetName val="SOP"/>
      <sheetName val="UpDownCase"/>
      <sheetName val="Share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ESIDUAL INCOME"/>
      <sheetName val="MAIN"/>
      <sheetName val="P&amp;L"/>
      <sheetName val="BS"/>
      <sheetName val="Update"/>
      <sheetName val="AFFILIATES"/>
      <sheetName val="Ratio"/>
      <sheetName val="Ace-In"/>
      <sheetName val="Ace-Out"/>
      <sheetName val="Results"/>
      <sheetName val="Cover"/>
      <sheetName val="AFFILIATES (2)"/>
      <sheetName val="Charts"/>
      <sheetName val="For report"/>
      <sheetName val="valuationExhibits"/>
      <sheetName val="Exhibits"/>
      <sheetName val="目標株価"/>
      <sheetName val="Annual"/>
      <sheetName val="CREDIT MODEL"/>
      <sheetName val="quaterly model"/>
      <sheetName val="Valuation_ROC RI"/>
      <sheetName val="PBPSBand"/>
      <sheetName val="Summary"/>
      <sheetName val="PEBandChart"/>
      <sheetName val="annual model"/>
      <sheetName val="RI-USGAAP"/>
      <sheetName val="Core biz -RI(USGAAP)"/>
      <sheetName val="PEBand_2353_Core"/>
      <sheetName val="Exhibit"/>
      <sheetName val="Valuation_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Variance"/>
      <sheetName val="Productivity"/>
      <sheetName val="Divisional Comps"/>
      <sheetName val="__FDSCACHE__"/>
      <sheetName val="Income Statement"/>
      <sheetName val="Balance Sheet"/>
      <sheetName val="ScenariosXla"/>
      <sheetName val="Cash Flow"/>
      <sheetName val="Intrinsic Value"/>
      <sheetName val="Val-Cur"/>
      <sheetName val="VALUATION"/>
      <sheetName val="Val (Simple)"/>
      <sheetName val="RNOA - ROE"/>
      <sheetName val="MW-Cache"/>
      <sheetName val="P Map"/>
      <sheetName val="ROE Map"/>
      <sheetName val="Leases"/>
      <sheetName val="mwareDates"/>
      <sheetName val="MWA RR"/>
      <sheetName val="mwareSettings"/>
      <sheetName val="NY UPLOAD shadow"/>
      <sheetName val="mwareTaxoPres"/>
      <sheetName val="Model_Template"/>
      <sheetName val="Disclosures"/>
      <sheetName val="SG&amp;A"/>
      <sheetName val="LBO"/>
      <sheetName val="LEASES (LBO)"/>
      <sheetName val="Div Profits"/>
      <sheetName val="Income"/>
      <sheetName val="mwareValPrintout"/>
      <sheetName val="Monthly Div Comps"/>
      <sheetName val="LEASES NEW"/>
      <sheetName val="Chart1"/>
      <sheetName val="DCF"/>
      <sheetName val="LINKED DATA"/>
      <sheetName val="mwarePreview"/>
      <sheetName val="Debt"/>
      <sheetName val="mwareSettingsOld"/>
      <sheetName val="GPS_working"/>
      <sheetName val="Statutory tax rate-Current"/>
      <sheetName val="Changes in shareholders' equity"/>
      <sheetName val="Consolidated-GPS.N Validation P"/>
      <sheetName val="MWare_Cached"/>
      <sheetName val="Questions"/>
      <sheetName val="LTM Divisional"/>
      <sheetName val="#REF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atement"/>
      <sheetName val="Balance Sheet"/>
      <sheetName val="Valsum"/>
      <sheetName val="__FDSCACHE__"/>
      <sheetName val="upside_downside"/>
      <sheetName val="Open Platform"/>
      <sheetName val="Cash Flow"/>
      <sheetName val="RNOA_ROE"/>
      <sheetName val="Residual Income &amp; DCF"/>
      <sheetName val="Leases"/>
      <sheetName val="Lease-Own Mix"/>
      <sheetName val="Stores by State"/>
      <sheetName val="Chart1"/>
      <sheetName val="LBO"/>
      <sheetName val="mwareDates"/>
      <sheetName val="mwareSettings"/>
      <sheetName val="pe chart"/>
      <sheetName val="LTM-ROIC"/>
      <sheetName val="MW Valuation"/>
      <sheetName val="IS_Variance"/>
      <sheetName val="DCF"/>
      <sheetName val="Cover"/>
      <sheetName val="Revenue Model"/>
      <sheetName val="RNOA -- ROE"/>
      <sheetName val="Debt Schedule &amp; Leverage"/>
      <sheetName val="Scenarios"/>
      <sheetName val="DCF Analysis"/>
      <sheetName val="Fin. Summary"/>
      <sheetName val="Scorecard"/>
      <sheetName val="MW-Cache"/>
      <sheetName val="MWA RR"/>
      <sheetName val="Risk-Reward_View_Chart"/>
      <sheetName val="REPORT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Act vs. Ests"/>
      <sheetName val="Estimate Changes"/>
      <sheetName val="MW-Cache"/>
      <sheetName val="Model"/>
      <sheetName val="Drivers &amp; Metrics"/>
      <sheetName val="DCF"/>
      <sheetName val="RR &amp; marketing book chart"/>
      <sheetName val="Marketing book chart"/>
      <sheetName val="MWA RR"/>
      <sheetName val="Scenario charts"/>
      <sheetName val="mwareDates"/>
      <sheetName val="mwareSettings"/>
      <sheetName val="TAM"/>
      <sheetName val="Gen_Assumptions"/>
      <sheetName val="Curtrans"/>
      <sheetName val="复杂FCFF"/>
      <sheetName val="公司说明"/>
      <sheetName val="Sheet1"/>
      <sheetName val="REQUEST_TABLE"/>
      <sheetName val="Sheet4"/>
      <sheetName val="Sheet2"/>
      <sheetName val="China"/>
      <sheetName val="Inputs"/>
      <sheetName val="AcqIS"/>
      <sheetName val="AcqBSCF"/>
      <sheetName val="price chart"/>
      <sheetName val="EPS + PE"/>
      <sheetName val="Five_Drivers"/>
      <sheetName val="Three_Drivers"/>
      <sheetName val="Four_Drivers"/>
      <sheetName val="Details"/>
      <sheetName val="Investment"/>
      <sheetName val="GCF"/>
      <sheetName val="Highway"/>
      <sheetName val="Urbanization--by province"/>
      <sheetName val="GDP"/>
      <sheetName val="Wage"/>
      <sheetName val="Secondary"/>
      <sheetName val="Cement"/>
      <sheetName val="Railway"/>
      <sheetName val="Service"/>
      <sheetName val="International"/>
      <sheetName val="Cities"/>
      <sheetName val="Steel"/>
      <sheetName val="Consumption (2)"/>
      <sheetName val="Consolidated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Valuation Summary"/>
      <sheetName val="__FDSCACHE__"/>
      <sheetName val="Financial Summary"/>
      <sheetName val="NVE - Consolidated"/>
      <sheetName val="Nevada Power"/>
      <sheetName val="Sierra Power"/>
      <sheetName val="Parent"/>
      <sheetName val="Debt"/>
      <sheetName val="EPS Walk"/>
      <sheetName val="MWA RR"/>
      <sheetName val="Note Tables"/>
      <sheetName val="mwareDates"/>
      <sheetName val="Capex Chart"/>
      <sheetName val="FCF-Div. Working Chart"/>
      <sheetName val="MW FDS"/>
      <sheetName val="mwareSettings"/>
      <sheetName val="MW-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Good 2-32"/>
      <sheetName val="Good 12-00 (3)"/>
      <sheetName val="Good 12-43"/>
      <sheetName val="Good 12-07"/>
      <sheetName val="Good 12-00 (2)"/>
      <sheetName val="Good 12-00"/>
      <sheetName val="Good 11-50"/>
      <sheetName val="Good 11-40"/>
      <sheetName val="Good 11-36"/>
      <sheetName val="Good 11-18"/>
      <sheetName val="Good 10-48 pm (2)"/>
      <sheetName val="Samples"/>
      <sheetName val="Good 10-48 pm"/>
      <sheetName val="Good 11-04 pm"/>
      <sheetName val="Sheet3 (6)"/>
      <sheetName val="Sheet3 (5)"/>
      <sheetName val="Sheet3 (3)"/>
      <sheetName val="Sheet3 (2)"/>
      <sheetName val="Sheet1"/>
      <sheetName val="Sheet2"/>
      <sheetName val="Sheet3"/>
      <sheetName val="Sheet3 (4)"/>
      <sheetName val="Good 12-22_tbnt"/>
      <sheetName val="DCF Model"/>
      <sheetName val="SoP Model"/>
      <sheetName val="LBO Summary"/>
      <sheetName val="Sheet4"/>
      <sheetName val="ForeignStake"/>
      <sheetName val="Risk-Reward_View_Chart"/>
      <sheetName val="c1"/>
      <sheetName val="PE_1yr_Forward"/>
      <sheetName val="Summary"/>
      <sheetName val="Quarterly"/>
      <sheetName val="Cust-Supplier"/>
      <sheetName val="Pork Poultry Egg"/>
      <sheetName val="Tourists"/>
      <sheetName val="CHINA CPI"/>
      <sheetName val="Fish"/>
      <sheetName val="NOPAT"/>
      <sheetName val="ROE"/>
      <sheetName val="Earnings developmen"/>
      <sheetName val="TWC ex-OTA"/>
      <sheetName val="TWC consensus"/>
      <sheetName val="Telco Video Build"/>
      <sheetName val="ex-OTA CHARTS"/>
      <sheetName val="Comcast-CLWR"/>
      <sheetName val="Reported telco footprint"/>
      <sheetName val="Stock Rankings"/>
      <sheetName val="Financial Tables"/>
      <sheetName val="TOX IBES Prospective"/>
      <sheetName val="DCF Table for 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Variance"/>
      <sheetName val="Sensitivity Analysis"/>
      <sheetName val="Productivity"/>
      <sheetName val="Income"/>
      <sheetName val="NY UPLOAD shadow"/>
      <sheetName val="Bal Sht"/>
      <sheetName val="__FDSCACHE__"/>
      <sheetName val="mwareTaxoPres"/>
      <sheetName val="mwareValPrintout"/>
      <sheetName val="CF"/>
      <sheetName val="Margins"/>
      <sheetName val="RNOA - ROE"/>
      <sheetName val="LEASES NEW"/>
      <sheetName val="LEASES"/>
      <sheetName val="VALUATION"/>
      <sheetName val="Capex-sq ft"/>
      <sheetName val="Capex-sq ft vs RNOA"/>
      <sheetName val="LINKED DATA"/>
      <sheetName val="NY UPLOAD"/>
      <sheetName val="mwarePreview"/>
      <sheetName val="mwareDates"/>
      <sheetName val="StoreLocations"/>
      <sheetName val="mwareSettings"/>
      <sheetName val="MainCode"/>
      <sheetName val="KSS_working"/>
      <sheetName val="MWare_Cached"/>
      <sheetName val="Credit Analysis"/>
      <sheetName val="Cash Flow"/>
      <sheetName val="Store Productivity"/>
      <sheetName val="P Map"/>
      <sheetName val="MW-Cache"/>
      <sheetName val="MWA RR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Financial market"/>
      <sheetName val="Agri"/>
      <sheetName val="Shoes,Steel"/>
      <sheetName val="Chart1"/>
      <sheetName val="Chart3"/>
      <sheetName val="Chart4"/>
      <sheetName val="Chart4a"/>
      <sheetName val="Chart5"/>
      <sheetName val="Auto"/>
      <sheetName val="GDP"/>
      <sheetName val="Sheet2"/>
      <sheetName val="Sheet3"/>
      <sheetName val="urban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Variance"/>
      <sheetName val="Productivity"/>
      <sheetName val="Divisional Comps"/>
      <sheetName val="Income Statement"/>
      <sheetName val="Balance Sheet"/>
      <sheetName val="ScenariosXla"/>
      <sheetName val="Cash Flow"/>
      <sheetName val="__FDSCACHE__"/>
      <sheetName val="Intrinsic Value"/>
      <sheetName val="Val-Cur"/>
      <sheetName val="VALUATION"/>
      <sheetName val="Val (Simple)"/>
      <sheetName val="RNOA - ROE"/>
      <sheetName val="P Map"/>
      <sheetName val="ROE Map"/>
      <sheetName val="Leases"/>
      <sheetName val="mwareDates"/>
      <sheetName val="mwareSettings"/>
      <sheetName val="NY UPLOAD shadow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Valuation Summary"/>
      <sheetName val="__FDSCACHE__"/>
      <sheetName val="Financial Summary"/>
      <sheetName val="NVE - Consolidated"/>
      <sheetName val="Nevada Power"/>
      <sheetName val="Sierra Power"/>
      <sheetName val="Parent"/>
      <sheetName val="Debt"/>
      <sheetName val="EPS Walk"/>
      <sheetName val="Note Tables"/>
      <sheetName val="mwareDates"/>
      <sheetName val="Capex Chart"/>
      <sheetName val="FCF-Div. Working Chart"/>
      <sheetName val="MW FDS"/>
      <sheetName val="MWA RR (2)"/>
      <sheetName val="mwareSettings"/>
      <sheetName val="MW-Cache"/>
      <sheetName val="Summary"/>
      <sheetName val="Financials"/>
      <sheetName val="MWA 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ESIDUAL INCOME"/>
      <sheetName val="MAIN"/>
      <sheetName val="P&amp;L"/>
      <sheetName val="BS"/>
      <sheetName val="Update"/>
      <sheetName val="AFFILIATES"/>
      <sheetName val="Ratio"/>
      <sheetName val="Ace-In"/>
      <sheetName val="Ace-Out"/>
      <sheetName val="Cover"/>
      <sheetName val="Intrinsic Value"/>
      <sheetName val="Charts"/>
      <sheetName val="Changes to the Model"/>
      <sheetName val="Acq"/>
      <sheetName val="Results"/>
      <sheetName val="MWA RR"/>
      <sheetName val="Financial Tables"/>
      <sheetName val="Valuation Summary"/>
      <sheetName val="Cash Flow Statement"/>
      <sheetName val="Segment Reporting"/>
      <sheetName val="Balance Sheet"/>
      <sheetName val="Annual"/>
      <sheetName val="CREDIT MODEL"/>
      <sheetName val="Sputtering"/>
      <sheetName val="Capa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Cover Sheet"/>
      <sheetName val="Valuation Summary"/>
      <sheetName val="SE Asset Sale PPAs"/>
      <sheetName val="Dispatch Assumptions"/>
      <sheetName val="Consolidated"/>
      <sheetName val="Southeast"/>
      <sheetName val="West"/>
      <sheetName val="Texas"/>
      <sheetName val="MW-Cache"/>
      <sheetName val="Northeast"/>
      <sheetName val="Parent"/>
      <sheetName val="Market Prices"/>
      <sheetName val="Debts"/>
      <sheetName val="SE Assets &amp; RFPs"/>
      <sheetName val="CPN Operating Plants"/>
      <sheetName val="Trading Vol"/>
      <sheetName val="Peak Dmnd"/>
      <sheetName val="New Resources"/>
      <sheetName val="ERCOT Res Margin"/>
      <sheetName val="ERCOT Margin Upside"/>
      <sheetName val="TX Brownfield"/>
      <sheetName val="mwareDates"/>
      <sheetName val="Sheet3"/>
      <sheetName val="Sheet2"/>
      <sheetName val="Plant Details"/>
      <sheetName val="Note Summary"/>
      <sheetName val="Financial Summary"/>
      <sheetName val="MWA RR"/>
      <sheetName val="Plants"/>
      <sheetName val="mwareSettings"/>
      <sheetName val="Bal Sheet &amp; Cash Flow"/>
      <sheetName val="Gas"/>
      <sheetName val="Off Peak"/>
      <sheetName val="Peak"/>
      <sheetName val="Summary"/>
      <sheetName val="ModelPa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Remarks"/>
      <sheetName val="Index"/>
      <sheetName val="IS"/>
      <sheetName val="BS"/>
      <sheetName val="CF"/>
      <sheetName val="CF Cumulative"/>
      <sheetName val="RNOA_ROE"/>
      <sheetName val="Stores_per_State"/>
      <sheetName val="DIS"/>
      <sheetName val="Operating_Lease_Module"/>
      <sheetName val="mwareDates"/>
      <sheetName val="mwareSetting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Traffic"/>
      <sheetName val="PSF"/>
      <sheetName val="Comps"/>
      <sheetName val="__FDSCACHE__"/>
      <sheetName val="P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RESIDUAL INCOME"/>
      <sheetName val="MAIN"/>
      <sheetName val="P&amp;L"/>
      <sheetName val="BS"/>
      <sheetName val="Update"/>
      <sheetName val="AFFILIATES"/>
      <sheetName val="Ratio"/>
      <sheetName val="Ace-In"/>
      <sheetName val="Ace-Out"/>
      <sheetName val="Cover"/>
      <sheetName val="PS 1yr forward"/>
      <sheetName val="FIM"/>
      <sheetName val="Annual"/>
      <sheetName val="Summary RI"/>
      <sheetName val="Exhibit_200707"/>
      <sheetName val="Valuation_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Risk-Reward_View_Chart"/>
      <sheetName val="Bear_to_Bull_Chart"/>
      <sheetName val="Bear_to_Bull_Data"/>
      <sheetName val="Comparative_Risk-Reward_Chart"/>
      <sheetName val="Comparative_Risk-Reward_Data"/>
      <sheetName val="Value_of_Growth_Chart"/>
      <sheetName val="Value_of_Growth_Data"/>
      <sheetName val="Ace-Out"/>
      <sheetName val="Sheet1"/>
      <sheetName val="RI Valuation"/>
      <sheetName val="Annual"/>
      <sheetName val="US GAAP RI"/>
      <sheetName val="Summary"/>
      <sheetName val="Modelware"/>
      <sheetName val="Exhibit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Jihe WestCashEarnings"/>
      <sheetName val="SMR"/>
      <sheetName val="钢材价格"/>
      <sheetName val="P&amp;L"/>
      <sheetName val="Layout"/>
      <sheetName val="耀皮B股"/>
      <sheetName val="DCF Inputs"/>
      <sheetName val="Supply monthly"/>
      <sheetName val="Revenues"/>
      <sheetName val="Balance Sheet"/>
      <sheetName val="Costs"/>
      <sheetName val="Capex and Depreciation"/>
      <sheetName val="PNL"/>
      <sheetName val="复杂FCFF"/>
      <sheetName val="公司说明"/>
      <sheetName val="NERD"/>
      <sheetName val="HK rates"/>
      <sheetName val="price vs. volume"/>
      <sheetName val="ISBSCF"/>
      <sheetName val="调整分录汇总本年"/>
      <sheetName val="PL"/>
      <sheetName val="SOC"/>
      <sheetName val="Fin position"/>
      <sheetName val="SOCsupp"/>
      <sheetName val="Model"/>
      <sheetName val="Jihe_WestCashEarnings"/>
      <sheetName val="上海"/>
      <sheetName val="纯碱价格(月)"/>
      <sheetName val="股价"/>
      <sheetName val="煤炭周价格 "/>
      <sheetName val="批发价格"/>
      <sheetName val="US Total"/>
      <sheetName val="BS"/>
      <sheetName val="Gen_Assumptions"/>
      <sheetName val="Summary"/>
      <sheetName val="Depreciation"/>
      <sheetName val="TSS"/>
      <sheetName val="Cash Flow"/>
      <sheetName val="Infrastructure &amp; Other"/>
      <sheetName val="FXRATES"/>
      <sheetName val="上报资产负债表"/>
      <sheetName val="SETUP"/>
      <sheetName val="DCF"/>
      <sheetName val="FormerEB monthly prod"/>
      <sheetName val="Data"/>
      <sheetName val="Parameter"/>
      <sheetName val="Price"/>
      <sheetName val="DB"/>
      <sheetName val="DATA INPUT"/>
      <sheetName val="Dev Sum"/>
      <sheetName val="VOCs行业新闻更新"/>
      <sheetName val="FDI"/>
      <sheetName val="old Model"/>
      <sheetName val="DCX HP"/>
      <sheetName val="平板玻璃产量"/>
      <sheetName val="5MM浮白价格"/>
      <sheetName val="供给-玻璃信息"/>
      <sheetName val="纯碱重油日价格"/>
      <sheetName val="城镇固投"/>
      <sheetName val="粉磨开工率"/>
      <sheetName val="全国固投"/>
      <sheetName val="区域交通运输固投"/>
      <sheetName val="全国房地产"/>
      <sheetName val="熟料价格"/>
      <sheetName val="熟料库存"/>
      <sheetName val="水泥产量"/>
      <sheetName val="水泥库存"/>
      <sheetName val="熟料产量"/>
      <sheetName val="Calculations"/>
      <sheetName val="price chart"/>
      <sheetName val="SOTP"/>
      <sheetName val="EXTERNAL"/>
      <sheetName val="TABLE"/>
      <sheetName val="CHARTS"/>
      <sheetName val="INTERIMS"/>
      <sheetName val="VALUATION"/>
      <sheetName val="COST ASSUMPTIONS"/>
      <sheetName val="USDEAL"/>
      <sheetName val="PROFIT &amp; LOSS"/>
      <sheetName val="ROIC"/>
      <sheetName val="GROWTH ASSUMPTIONS"/>
      <sheetName val="GEMiner"/>
      <sheetName val="Dial cash  flow"/>
      <sheetName val="Dial P&amp;L"/>
      <sheetName val="Calc"/>
      <sheetName val="Vendor Data"/>
      <sheetName val="Link"/>
      <sheetName val="Global Assumptions"/>
      <sheetName val="投资"/>
      <sheetName val="筹资"/>
      <sheetName val="绝对估值"/>
      <sheetName val="首页"/>
      <sheetName val="PriceS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Price"/>
      <sheetName val="PriceSyn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NKEQTRIN"/>
      <sheetName val="NKEANNL"/>
      <sheetName val="NKEBALST"/>
      <sheetName val="CAL"/>
      <sheetName val="NKEFCF"/>
      <sheetName val="NKEDCF"/>
      <sheetName val="NKERI"/>
      <sheetName val="NKEEVA"/>
      <sheetName val="NKEFUTUR"/>
      <sheetName val="mStartup"/>
      <sheetName val="NY UPLOAD"/>
      <sheetName val="NY UPLOAD shadow"/>
      <sheetName val="SQLSheet"/>
      <sheetName val="Data"/>
      <sheetName val="PV Graph Data"/>
      <sheetName val="Switches"/>
      <sheetName val="Scenario"/>
      <sheetName val="UNIV-EBS DATA"/>
      <sheetName val="SALESCAT"/>
      <sheetName val="Express"/>
      <sheetName val="Bal Sheet &amp; Cash Flow"/>
      <sheetName val="RAH Acquisition"/>
      <sheetName val="IS Consolidated"/>
      <sheetName val="BS"/>
      <sheetName val="P&amp;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output"/>
      <sheetName val="Segment Analysis"/>
      <sheetName val="Valuation"/>
      <sheetName val="Front table"/>
      <sheetName val="Factsheet"/>
      <sheetName val="Summary"/>
      <sheetName val="charts"/>
      <sheetName val="Consolidated Financials"/>
      <sheetName val="CICC universe"/>
      <sheetName val="Module1"/>
      <sheetName val="Module2"/>
      <sheetName val="Module3"/>
      <sheetName val="Module4"/>
      <sheetName val="Module5"/>
      <sheetName val="Module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output"/>
      <sheetName val="Segment Analysis"/>
      <sheetName val="Valuation"/>
      <sheetName val="Front table"/>
      <sheetName val="Factsheet"/>
      <sheetName val="Summary"/>
      <sheetName val="charts"/>
      <sheetName val="Consolidated Financials"/>
      <sheetName val="CICC universe"/>
      <sheetName val="Module1"/>
      <sheetName val="Module2"/>
      <sheetName val="Module3"/>
      <sheetName val="Module4"/>
      <sheetName val="Module5"/>
      <sheetName val="Module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entral Div Stores"/>
      <sheetName val="Store-Map"/>
      <sheetName val="input"/>
      <sheetName val="Central_Div_Stores"/>
      <sheetName val="Financial Summary"/>
      <sheetName val="Scenarios"/>
      <sheetName val="Deal Summary"/>
      <sheetName val="Sensitivities"/>
      <sheetName val="LDMI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Matrix"/>
      <sheetName val="Contrib"/>
      <sheetName val="AcqIS"/>
      <sheetName val="AcqBSCF"/>
      <sheetName val="AcqRat"/>
      <sheetName val="AcqDCF1"/>
      <sheetName val="AcqDCF2"/>
      <sheetName val="TargIS"/>
      <sheetName val="TargBSCF"/>
      <sheetName val="TargRat"/>
      <sheetName val="TargDCF1"/>
      <sheetName val="TargDCF2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Matrix"/>
      <sheetName val="Contrib"/>
      <sheetName val="AcqIS"/>
      <sheetName val="AcqBSCF"/>
      <sheetName val="AcqRat"/>
      <sheetName val="AcqDCF1"/>
      <sheetName val="AcqDCF2"/>
      <sheetName val="TargIS"/>
      <sheetName val="TargBSCF"/>
      <sheetName val="TargRat"/>
      <sheetName val="TargDCF1"/>
      <sheetName val="TargDCF2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Graphs"/>
      <sheetName val="Fleet life"/>
      <sheetName val="Assumptions"/>
      <sheetName val="LBO"/>
      <sheetName val="04"/>
      <sheetName val="09"/>
      <sheetName val="10"/>
      <sheetName val="11"/>
      <sheetName val="Europe"/>
      <sheetName val="US"/>
      <sheetName val="DIV Y"/>
      <sheetName val="NESTLE"/>
      <sheetName val="Stock Price"/>
      <sheetName val="Quarters"/>
      <sheetName val="oldSEG"/>
      <sheetName val="Screening"/>
      <sheetName val="Aggregates"/>
      <sheetName val="Screen Criteria"/>
      <sheetName val=""/>
      <sheetName val="Returns"/>
      <sheetName val="FTS Universe Inputs"/>
      <sheetName val="Rel.1Yr"/>
      <sheetName val="Global Equity Indices"/>
      <sheetName val="company"/>
      <sheetName val="graphdialog"/>
      <sheetName val="Quarterly rates"/>
      <sheetName val="MktAss"/>
      <sheetName val="IS -CDN$ (2)"/>
      <sheetName val="Input and controls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DIV_Y"/>
      <sheetName val="Population_IBGE"/>
      <sheetName val="Heathcare_SD"/>
      <sheetName val="Delhaize"/>
      <sheetName val="Route 1"/>
      <sheetName val="Financing"/>
      <sheetName val="Route_1"/>
      <sheetName val="Total_Program_Mgmt"/>
      <sheetName val="Total_Perf_Impr"/>
      <sheetName val="Renewal_Counts"/>
      <sheetName val="Schedule"/>
      <sheetName val="A1 - Income Statement"/>
      <sheetName val="sandeep"/>
      <sheetName val="vedant"/>
      <sheetName val="swati"/>
      <sheetName val="nachiket"/>
      <sheetName val="kakde"/>
      <sheetName val="Curr"/>
      <sheetName val="Lists"/>
      <sheetName val="Series Description"/>
      <sheetName val="Economic Series Chart"/>
      <sheetName val="Series Values"/>
      <sheetName val="Admin"/>
      <sheetName val="FS ing"/>
      <sheetName val="Extra 2"/>
      <sheetName val="TB_ HSG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data"/>
      <sheetName val="P &amp;L"/>
      <sheetName val="Balance"/>
      <sheetName val="Situation"/>
      <sheetName val="DETBIL"/>
      <sheetName val="Aus-P"/>
      <sheetName val="SEC bridge"/>
      <sheetName val="EMC format"/>
      <sheetName val="Overview"/>
      <sheetName val="M A Private Placements"/>
      <sheetName val="Multiples"/>
      <sheetName val="Historical Volatility Co 1"/>
      <sheetName val="GL Profit Analysis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GZ-Sum"/>
      <sheetName val="NA Wood Total I"/>
      <sheetName val="Inventory-FG by Submrkt + RM"/>
      <sheetName val="FX"/>
      <sheetName val="科技"/>
      <sheetName val="货龄分析表"/>
      <sheetName val="Sheet4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2005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૘"/>
      <sheetName val="Book1.xls"/>
      <sheetName val="A430"/>
      <sheetName val="Dongguan"/>
      <sheetName val="Salm2003"/>
      <sheetName val="Control"/>
      <sheetName val="TEMPLATE"/>
      <sheetName val="LoadCAP"/>
      <sheetName val="YE LOAD"/>
      <sheetName val="EVDRE_DATACACHE"/>
      <sheetName val="Period Cost"/>
      <sheetName val="Orders to Revenue"/>
      <sheetName val="LISTPRICE"/>
      <sheetName val="Drop Down"/>
      <sheetName val="Transaction Clients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ProForma"/>
      <sheetName val="Sheet5"/>
      <sheetName val="Sheet6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  <sheetName val="Inputs"/>
      <sheetName val="Month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Gap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Prior Fund Raising MGD"/>
      <sheetName val="Summary"/>
      <sheetName val="Managed Accounts - Gross Tradin"/>
      <sheetName val="Managed Accounts"/>
      <sheetName val="Notice"/>
      <sheetName val="P&amp;L"/>
      <sheetName val="Bal Sheet Link &amp; Int Exp"/>
      <sheetName val="_CIQHiddenCacheSheet"/>
      <sheetName val="Dúvidas"/>
      <sheetName val="Capa "/>
      <sheetName val="Instruções"/>
      <sheetName val="Ajustes de EBITDA"/>
      <sheetName val="Calculadora ajuste PJ,PLR e DSR"/>
      <sheetName val="Painel de controle"/>
      <sheetName val="Suporte SPED"/>
      <sheetName val="Projeções"/>
      <sheetName val="Projeções Receita Bruta"/>
      <sheetName val="Faturamento Clientes (Interno)"/>
      <sheetName val="Dados &gt;&gt;"/>
      <sheetName val="SPED"/>
      <sheetName val="Balancete 1 Sem 19"/>
      <sheetName val="Comps"/>
      <sheetName val="Transactions"/>
      <sheetName val="Suporte&gt;&gt;"/>
      <sheetName val="Formatação"/>
      <sheetName val="Macro"/>
      <sheetName val="Capital Structure Summary"/>
      <sheetName val="Representação comercial x IRRJ"/>
      <sheetName val="Pie Chart"/>
      <sheetName val="Line Graph"/>
      <sheetName val="DT Man-hours Chart"/>
      <sheetName val="JAN00"/>
      <sheetName val="Capital Structure Details"/>
      <sheetName val="Key Stats"/>
      <sheetName val="Income Statement"/>
      <sheetName val="Cash Flow"/>
      <sheetName val="Historical Capitalization"/>
      <sheetName val="Ratios"/>
      <sheetName val="Supplemental"/>
      <sheetName val="Industry Specific"/>
      <sheetName val="Pension OPEB"/>
      <sheetName val="Segments"/>
      <sheetName val="E-1"/>
      <sheetName val="E-1a"/>
      <sheetName val="E-1b"/>
      <sheetName val="E_1"/>
      <sheetName val="Revenue Statement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S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DETAILS 1 (3)"/>
      <sheetName val="Accounts Payable _11_"/>
      <sheetName val="Sources &amp; Uses"/>
      <sheetName val=" Cons. Financials - EIG"/>
      <sheetName val="LTM"/>
      <sheetName val="CREDIT STATS"/>
      <sheetName val="DropZone"/>
      <sheetName val="Model Summary"/>
      <sheetName val="IV Remit Testing"/>
      <sheetName val="Financials"/>
      <sheetName val="Juros Financ. Siemsa"/>
      <sheetName val="Juros Conta Garantida"/>
      <sheetName val="_REF"/>
      <sheetName val="开孞썝豼쌀疋謈ె䶋忴"/>
      <sheetName val="Book1_xls"/>
      <sheetName val="SD NA - Revenue - SD"/>
      <sheetName val="Customize Your Invoice"/>
      <sheetName val="Global_Equity_Indices"/>
      <sheetName val="Stock_Price"/>
      <sheetName val="Quarterly_rates"/>
      <sheetName val="top 30"/>
      <sheetName val="sum"/>
      <sheetName val="Input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Tally(L)"/>
      <sheetName val="Run Sheet"/>
      <sheetName val="Single"/>
      <sheetName val="Deal &amp; Company Information"/>
      <sheetName val="Model"/>
      <sheetName val="Amortization Table $610K"/>
      <sheetName val="General"/>
      <sheetName val="Index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DF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wpl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Monthly Revenue"/>
      <sheetName val="Profit and Loss"/>
      <sheetName val="FA"/>
      <sheetName val="Cover"/>
      <sheetName val="PL-yearly"/>
      <sheetName val="Sheet1汇总表"/>
      <sheetName val="S&amp;M Dept"/>
      <sheetName val="Gastos_MadridWE"/>
      <sheetName val="NEW WARRANTS"/>
      <sheetName val="Sources_Uses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BANKS_94"/>
      <sheetName val="Operations"/>
      <sheetName val="Football(1)"/>
      <sheetName val="Tuluwaka"/>
      <sheetName val="Exercise"/>
      <sheetName val="General Assumptions"/>
      <sheetName val="QuickLink"/>
      <sheetName val="Company Outputs"/>
      <sheetName val="Corp. Trust Structure"/>
      <sheetName val="Comp Data"/>
      <sheetName val="Float Matrix"/>
      <sheetName val="Data Master"/>
      <sheetName val="Int. Rate Data"/>
      <sheetName val="Rsch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Base"/>
      <sheetName val="100%"/>
      <sheetName val="HelpScreens"/>
      <sheetName val="PUblic Float data"/>
      <sheetName val="Build-up"/>
      <sheetName val="Computations"/>
      <sheetName val="Inputs-Sensitivities"/>
      <sheetName val="Worksheet"/>
      <sheetName val="Market Data"/>
      <sheetName val="Project Info"/>
      <sheetName val="Taxes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J-31 NRV"/>
      <sheetName val="A-1"/>
      <sheetName val="BS"/>
      <sheetName val="subordinated notes"/>
      <sheetName val="senior note"/>
      <sheetName val="PS B"/>
      <sheetName val="PS A"/>
      <sheetName val="Splash Screen"/>
      <sheetName val="Sales"/>
      <sheetName val="CN Detail"/>
      <sheetName val="l"/>
      <sheetName val="Initial"/>
      <sheetName val="Precalculation"/>
      <sheetName val="laroux"/>
      <sheetName val="XXXXXXXXXXXXX"/>
      <sheetName val="XXXXXX"/>
      <sheetName val="WORKINGS"/>
      <sheetName val="ANNEXURE 5 c"/>
      <sheetName val="21 (i)(B)(b)"/>
      <sheetName val="remittance"/>
      <sheetName val="DEC-MEMO"/>
      <sheetName val="Scope of supply"/>
      <sheetName val="Dep"/>
      <sheetName val="BS Schdl- 1 &amp; 2"/>
      <sheetName val="Cabinet details"/>
      <sheetName val="Retirals"/>
      <sheetName val="provision for new Salary"/>
      <sheetName val="TDS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Sales Summary"/>
      <sheetName val="Corporate MARS COA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Planning Materiality Mar 06"/>
      <sheetName val="Sheet2 (3)"/>
      <sheetName val="Sheet2 (2)"/>
      <sheetName val="TDS_Deposit"/>
      <sheetName val="CRITERIA1"/>
      <sheetName val="BS Schdl-3-Fixed Assets"/>
      <sheetName val="April'00"/>
      <sheetName val="EXPENSES"/>
      <sheetName val="TDS Entries Apr to Sept"/>
      <sheetName val="Add to FA"/>
      <sheetName val="Capex &amp; Opex"/>
      <sheetName val="Interconnect"/>
      <sheetName val="CF"/>
      <sheetName val="Emp"/>
      <sheetName val="Annexuture"/>
      <sheetName val="SPS DETAIL"/>
      <sheetName val="factor"/>
      <sheetName val="list - do not delete"/>
      <sheetName val="____00"/>
      <sheetName val="MAIN LATEST"/>
      <sheetName val="currency (2)"/>
      <sheetName val="Factors"/>
      <sheetName val="entitlements"/>
      <sheetName val="currency"/>
      <sheetName val="Outgoing"/>
      <sheetName val="Incoming"/>
      <sheetName val="Consol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Final"/>
      <sheetName val="Summary-Price_New"/>
      <sheetName val="AN-2K"/>
      <sheetName val="Switch V16"/>
      <sheetName val="EBT"/>
      <sheetName val="MSU"/>
      <sheetName val="Scenarios"/>
      <sheetName val="Component Pricing, Costs"/>
      <sheetName val="AR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ffff_翿_xffff__xffff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_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LANGUAGE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sEP2003"/>
      <sheetName val="Satco"/>
      <sheetName val="list_-_do_not_delete"/>
      <sheetName val="Operating Companies"/>
      <sheetName val="Management Companies"/>
      <sheetName val="Contacts"/>
      <sheetName val="PCAP Data"/>
      <sheetName val="RCN-Building"/>
      <sheetName val="Rent Roll"/>
      <sheetName val="Run_Sheet"/>
      <sheetName val="Deal_&amp;_Company_Information"/>
      <sheetName val="Amortization_Table_$610K"/>
      <sheetName val="Route_11"/>
      <sheetName val="A1_-_Income_Statement"/>
      <sheetName val="R1040"/>
      <sheetName val="base de dados"/>
      <sheetName val="Database: [2]. Exceeded number"/>
      <sheetName val="ERE `ODBCDriver`.`Component_` ="/>
      <sheetName val="elfReg`, `FileAction` Where `Se"/>
      <sheetName val="௔按਱ဵ"/>
      <sheetName val="1-11%20MOI.xls_x0016_&#13;_x000c_ň_x0002_"/>
      <sheetName val="ல"/>
      <sheetName val="Database: [2]. Exceeded number "/>
      <sheetName val="1-11%20MOI.xls_x0016_&#13;_x000c_ň_x0002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Form No. 3CD"/>
      <sheetName val="Base Info"/>
      <sheetName val="APPORT"/>
      <sheetName val="Paul"/>
      <sheetName val="ImportData"/>
      <sheetName val="ROIPRO01"/>
      <sheetName val="Summary SC"/>
      <sheetName val="Expanded P&amp;L"/>
      <sheetName val="44526 Dalkey"/>
      <sheetName val="table"/>
      <sheetName val="1601 Detail information"/>
      <sheetName val="품의서"/>
      <sheetName val="Macro1"/>
      <sheetName val="주행"/>
      <sheetName val="표지★"/>
      <sheetName val="MX628EX"/>
      <sheetName val="p2-1"/>
      <sheetName val="2.대외공문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근태현황"/>
      <sheetName val="Ç°ÀÇ¼­"/>
      <sheetName val="ÁÖÇà"/>
      <sheetName val="Ç¥Áö¡Ú"/>
      <sheetName val="2.´ë¿Ü°ø¹®"/>
      <sheetName val="외주현황.wq1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27"/>
      <sheetName val="Payroll"/>
      <sheetName val="6+6detail"/>
      <sheetName val="HR"/>
      <sheetName val="statistics"/>
      <sheetName val="lookup"/>
      <sheetName val="Budget Data"/>
      <sheetName val="Rev &amp; PC"/>
      <sheetName val="Non Rev&amp;PC"/>
      <sheetName val="Salary Fcst"/>
      <sheetName val="Accts"/>
      <sheetName val="Categories"/>
      <sheetName val="Tables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SalesStat"/>
      <sheetName val="GRO Cost"/>
      <sheetName val="owssvr(1)"/>
      <sheetName val="PMO"/>
      <sheetName val="CFM"/>
      <sheetName val="16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HICAP suspension salvage"/>
      <sheetName val="rev1"/>
      <sheetName val="OH &amp; Scrap Rate Model"/>
      <sheetName val="Services（携帯電話)"/>
      <sheetName val="Ativo"/>
      <sheetName val="Model Workings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Assets"/>
      <sheetName val="Liab&amp;Equity"/>
      <sheetName val="Dropdown"/>
      <sheetName val="Accretion_dilution"/>
      <sheetName val="DADOS"/>
      <sheetName val="PM2"/>
      <sheetName val="lead"/>
      <sheetName val="links"/>
      <sheetName val="Balanço+DRE"/>
      <sheetName val="xref"/>
      <sheetName val="MLP IPO Yields vs MLP Index"/>
      <sheetName val="sales vol."/>
      <sheetName val="consolidated"/>
      <sheetName val="Page A-1"/>
      <sheetName val="Source_Use"/>
      <sheetName val="CAPEX"/>
      <sheetName val="Labels and Vlookups"/>
      <sheetName val="기안지"/>
      <sheetName val="FO-BO-ER"/>
      <sheetName val="차수"/>
      <sheetName val="사구"/>
      <sheetName val="BASF"/>
      <sheetName val="Tooling Cost (2)"/>
      <sheetName val="UDI'S"/>
      <sheetName val="ia12"/>
      <sheetName val="INPC"/>
      <sheetName val="RDO CONT"/>
      <sheetName val="A. FIJO"/>
      <sheetName val="ABX"/>
      <sheetName val="BB Info"/>
      <sheetName val="nethouse input (CURRENT PERIOD)"/>
      <sheetName val="Dealer names"/>
      <sheetName val="Расчет-выпуск"/>
      <sheetName val="Рез-т"/>
      <sheetName val="BB DATA"/>
      <sheetName val="bloomberg"/>
      <sheetName val="Hasbro"/>
      <sheetName val="FCB_ALL"/>
      <sheetName val="ER LavSal Vs Ant"/>
      <sheetName val="Tooling Assembly"/>
      <sheetName val="Carole_Worksheet_Table"/>
      <sheetName val="TOSH06ISR "/>
      <sheetName val="ajuste IVA"/>
      <sheetName val="IMPAC"/>
      <sheetName val="DEPFIST US2000"/>
      <sheetName val="Hoja1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inventory snapshot 20020313"/>
      <sheetName val="Total by Function QSplit"/>
      <sheetName val="On Hand"/>
      <sheetName val="Eur_sub2 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Prepays"/>
      <sheetName val="Q2 Est"/>
      <sheetName val="EPSP Splitout"/>
      <sheetName val="Appendix"/>
      <sheetName val="Cover Page"/>
      <sheetName val="Asset Quality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Pull Sheet"/>
      <sheetName val="Hotel Directory"/>
      <sheetName val="propertie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Sheet7"/>
      <sheetName val="Sheet8"/>
      <sheetName val="Sheet12"/>
      <sheetName val="Sheet13"/>
      <sheetName val="Sheet14"/>
      <sheetName val="Sheet15"/>
      <sheetName val="Sheet16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App_Dep"/>
      <sheetName val="Unreal_Market_GL"/>
      <sheetName val="App_Dep (2)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ed EBITDA"/>
      <sheetName val="BD-GL Account"/>
      <sheetName val="FGGT"/>
      <sheetName val="SG&amp;A-BD"/>
      <sheetName val="NG"/>
      <sheetName val="DO NOT USE"/>
      <sheetName val="BD_GL Account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Credit Health Panel"/>
      <sheetName val="Disclaimer"/>
      <sheetName val="COMBINED_IS"/>
      <sheetName val="COMBINED_BS"/>
      <sheetName val="HAS_GETS"/>
      <sheetName val="TRANS_SUM"/>
      <sheetName val="Sch G-2  LOC Analysis 2004 (2)"/>
      <sheetName val="Subject"/>
      <sheetName val="Data WIP"/>
      <sheetName val="Details BS"/>
      <sheetName val="Details PL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AP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NOTE2004"/>
      <sheetName val="CA2000"/>
      <sheetName val="Contents"/>
      <sheetName val="CB"/>
      <sheetName val="US - FINAL"/>
      <sheetName val="Summ"/>
      <sheetName val="Swell "/>
      <sheetName val="SSA Monthly Journal"/>
      <sheetName val="P&amp;L and BS"/>
      <sheetName val="Budget"/>
      <sheetName val="2 YR Reg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IS_Statutory (optional)"/>
      <sheetName val="BS_Statutory (optional)"/>
      <sheetName val="IS_AGA_final"/>
      <sheetName val="BS_AGA_final"/>
      <sheetName val="IS_AGA_prelim"/>
      <sheetName val="BS_AGA_prelim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AtlasParameters"/>
      <sheetName val="SHTCOMPS"/>
      <sheetName val="Revenue Detail"/>
      <sheetName val="Actual INPUT"/>
      <sheetName val="Accounts"/>
      <sheetName val="Master Assumption Page"/>
      <sheetName val="Kelley 15-15 Assumptions"/>
      <sheetName val="CCP"/>
      <sheetName val="폐토수익화 "/>
      <sheetName val="종합일지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Dimeco Financials"/>
      <sheetName val="coas"/>
      <sheetName val="Gill"/>
      <sheetName val="mich"/>
      <sheetName val="Departments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5__x0008_Ā_x0008_眹宀Ј⧠సㅾ℀㄀_x0004__x0005__x000c_樸౓"/>
      <sheetName val="e &amp;Support_x0005__x0019_Ā&#10;Send Feedbac&amp;kr"/>
      <sheetName val="SOAD 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Competitors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Actual month $"/>
      <sheetName val="fme idex"/>
      <sheetName val="fma idex"/>
      <sheetName val="fme fm"/>
      <sheetName val="History"/>
      <sheetName val="EAT"/>
      <sheetName val="KRA"/>
      <sheetName val="Graph"/>
      <sheetName val="Macros"/>
      <sheetName val="basic working"/>
      <sheetName val="June analysis "/>
      <sheetName val="D&amp;O list IMl"/>
      <sheetName val="Act-PL"/>
      <sheetName val="Bud-HC"/>
      <sheetName val="H&amp;Q"/>
      <sheetName val="PNW"/>
      <sheetName val="TM - USA"/>
      <sheetName val="German Co.- Attrition study"/>
      <sheetName val="Comp IS"/>
      <sheetName val="RB AD"/>
      <sheetName val="NTM PE"/>
      <sheetName val="Inc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group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"/>
      <sheetName val="问题ᾕ"/>
      <sheetName val="问题㠀茞"/>
      <sheetName val="问题ꠀ继"/>
      <sheetName val="问题耀⒚"/>
      <sheetName val="问题㩔"/>
      <sheetName val="Broker Consensus"/>
      <sheetName val="Essbase Budget (3)"/>
      <sheetName val="Essbase Budget (2)"/>
      <sheetName val="2006"/>
      <sheetName val="2007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대차대조표"/>
      <sheetName val="재산이용명세"/>
      <sheetName val="추정99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Trend"/>
      <sheetName val="ARTARG"/>
      <sheetName val="Capa_"/>
      <sheetName val="Ajustes_de_EBITDA"/>
      <sheetName val="Calculadora_ajuste_PJ,PLR_e_DSR"/>
      <sheetName val="Painel_de_controle"/>
      <sheetName val="Suporte_SPED"/>
      <sheetName val="Projeções_Receita_Bruta"/>
      <sheetName val="Faturamento_Clientes_(Interno)"/>
      <sheetName val="Dados_&gt;&gt;"/>
      <sheetName val="Balancete_1_Sem_19"/>
      <sheetName val="Capital_Structure_Summary"/>
      <sheetName val="Representação_comercial_x_IRRJ"/>
      <sheetName val="Pie_Chart"/>
      <sheetName val="Line_Graph"/>
      <sheetName val="DT_Man-hours_Chart"/>
      <sheetName val="ER per Market - Key Accounts"/>
      <sheetName val="P&amp;L - CO &amp; SI Ind."/>
      <sheetName val="Staff FY03"/>
      <sheetName val="ER per SO - 3 Year Plan"/>
      <sheetName val="Cadastro"/>
      <sheetName val="Plan2"/>
      <sheetName val="REVENUE"/>
      <sheetName val="Book1_xls1"/>
      <sheetName val="summsht"/>
      <sheetName val="Erlang and Infra"/>
      <sheetName val="GSM"/>
      <sheetName val="Network Summary"/>
      <sheetName val="Calc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assumption"/>
      <sheetName val="BREAKUP"/>
      <sheetName val="Top Sheet"/>
      <sheetName val="Break up of RMcost"/>
      <sheetName val="March "/>
      <sheetName val="Deal Inputs (In)"/>
      <sheetName val="CompLink"/>
      <sheetName val="Control (In)"/>
      <sheetName val="Combo"/>
      <sheetName val="DCF I (In)"/>
      <sheetName val="manager"/>
      <sheetName val="ELTA"/>
      <sheetName val="CSCCincSKR"/>
      <sheetName val="SOTP"/>
      <sheetName val="Interpool"/>
      <sheetName val="TAL"/>
      <sheetName val="Cronos"/>
      <sheetName val="OpCo"/>
      <sheetName val="Synergies"/>
      <sheetName val="LBO inputs"/>
      <sheetName val="DCF"/>
      <sheetName val="DIV INC"/>
      <sheetName val="Outputs"/>
      <sheetName val="Infrastructure model"/>
      <sheetName val="WC"/>
      <sheetName val="OPTIONS"/>
      <sheetName val="suspended"/>
      <sheetName val="Structure"/>
      <sheetName val="TALE (2)"/>
      <sheetName val="FField (Eq)"/>
      <sheetName val="pl atual"/>
      <sheetName val="Sales 2003"/>
      <sheetName val="ps"/>
      <sheetName val="BASE FINAL"/>
      <sheetName val="ENTRADA"/>
      <sheetName val="Spacenet Inc"/>
      <sheetName val="Tabs"/>
      <sheetName val="Parametros"/>
      <sheetName val="Yellow"/>
      <sheetName val="Oranget"/>
      <sheetName val="BASECASE"/>
      <sheetName val="Regression"/>
      <sheetName val="Forex"/>
      <sheetName val="FCF acier"/>
      <sheetName val="Dave Hypothesis"/>
      <sheetName val="Scenarii "/>
      <sheetName val="Route_12"/>
      <sheetName val="A1_-_Income_Statement1"/>
      <sheetName val="DIV_Y1"/>
      <sheetName val="Stock_Price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P_&amp;L1"/>
      <sheetName val="Series_Description1"/>
      <sheetName val="Economic_Series_Chart1"/>
      <sheetName val="Series_Values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top_30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Key_Stats"/>
      <sheetName val="Income_Statement"/>
      <sheetName val="Balance_Sheet"/>
      <sheetName val="Cash_Flow"/>
      <sheetName val="Historical_Capitalization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IS_-CDN$_(2)"/>
      <sheetName val="Input_and_controls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Historical_Volatility_Co_1"/>
      <sheetName val="GL_Profit_Analysis"/>
      <sheetName val="Screen_Criteria"/>
      <sheetName val="wo_Lan-hub_MBOM"/>
      <sheetName val="wo_Lan-_Hub_(2USB)_function"/>
      <sheetName val="Intel_Lan_+_AD1885_EBOM"/>
      <sheetName val="Intel_Lan_+_AD1885_function"/>
      <sheetName val="NA_Wood_Total_I"/>
      <sheetName val="Inventory-FG_by_Submrkt_+_RM"/>
      <sheetName val="YTD_(2)"/>
      <sheetName val="pfc-sbu_look"/>
      <sheetName val="YE_LOAD"/>
      <sheetName val="Source_--&gt;"/>
      <sheetName val="2014-2015_BBR"/>
      <sheetName val="2013_BBR"/>
      <sheetName val="Run_Sheet1"/>
      <sheetName val="Deal_&amp;_Company_Information1"/>
      <sheetName val="Amortization_Table_$610K1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2_RJE1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Trial_Balance{C}"/>
      <sheetName val="FY03_Qualified_Additions"/>
      <sheetName val="Monthly_Revenue"/>
      <sheetName val="Profit_and_Loss"/>
      <sheetName val="S&amp;M_Dept"/>
      <sheetName val="NEW_WARRANTS"/>
      <sheetName val="Print_Controls1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Splash_Screen"/>
      <sheetName val="CN_Detail"/>
      <sheetName val="ANNEXURE_5_c"/>
      <sheetName val="21_(i)(B)(b)"/>
      <sheetName val="Scope_of_supply"/>
      <sheetName val="BS_Schdl-_1_&amp;_2"/>
      <sheetName val="Cabinet_details"/>
      <sheetName val="provision_for_new_Salary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Sales_Summary"/>
      <sheetName val="Corporate_MARS_COA"/>
      <sheetName val="ANN_9"/>
      <sheetName val="DIR_REMN"/>
      <sheetName val="80IA_(CONT)"/>
      <sheetName val="80_IA"/>
      <sheetName val="Raw_Material-old"/>
      <sheetName val="By_Product"/>
      <sheetName val="80_HHC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Planning_Materiality_Mar_06"/>
      <sheetName val="Sheet2_(3)"/>
      <sheetName val="Sheet2_(2)"/>
      <sheetName val="BS_Schdl-3-Fixed_Assets"/>
      <sheetName val="TDS_Entries_Apr_to_Sept"/>
      <sheetName val="Add_to_FA"/>
      <sheetName val="Capex_&amp;_Opex1"/>
      <sheetName val="SPS_DETAIL1"/>
      <sheetName val="list_-_do_not_delete1"/>
      <sheetName val="MAIN_LATEST1"/>
      <sheetName val="currency_(2)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Operating_Companies"/>
      <sheetName val="Management_Companies"/>
      <sheetName val="PCAP_Data"/>
      <sheetName val="Rent_Roll"/>
      <sheetName val="base_de_dados"/>
      <sheetName val="Database:_[2]__Exceeded_number"/>
      <sheetName val="ERE_`ODBCDriver`_`Component_`_="/>
      <sheetName val="elfReg`,_`FileAction`_Where_`Se"/>
      <sheetName val="1-11%20MOI_xls&#10;ň"/>
      <sheetName val="Database:_[2]__Exceeded_number_"/>
      <sheetName val="1-11%20MOI_xls&#10;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Form_No__3CD"/>
      <sheetName val="Base_Info"/>
      <sheetName val="Summary_SC"/>
      <sheetName val="Expanded_P&amp;L"/>
      <sheetName val="44526_Dalkey"/>
      <sheetName val="1601_Detail_information"/>
      <sheetName val="2_대외공문1"/>
      <sheetName val="2_????"/>
      <sheetName val="2_´ë¿Ü°ø¹®"/>
      <sheetName val="외주현황_wq1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Segment_Metrics1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GRO_Cost3"/>
      <sheetName val="Amex_19_Jun3"/>
      <sheetName val="Amex_12_Jun3"/>
      <sheetName val="Amex_5_Jun3"/>
      <sheetName val="Detail_13"/>
      <sheetName val="Detail_23"/>
      <sheetName val="Detail_33"/>
      <sheetName val="Detail_43"/>
      <sheetName val="Detail_53"/>
      <sheetName val="HICAP_suspension_salvage"/>
      <sheetName val="OH_&amp;_Scrap_Rate_Model"/>
      <sheetName val="Dimeco_Financials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sales_vol_"/>
      <sheetName val="Page_A-1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Sources_&amp;_Uses"/>
      <sheetName val="Sch_G-2__LOC_Analysis_2004_(2)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Pull_Sheet"/>
      <sheetName val="Hotel_Directory"/>
      <sheetName val="CD001-_AUG_TAL_INC"/>
      <sheetName val="Capital_Structure_Details"/>
      <sheetName val="Data_WIP"/>
      <sheetName val="장할생활_(2)"/>
      <sheetName val="Site_Stats"/>
      <sheetName val="Cash_Reg_Orders_Recd"/>
      <sheetName val="Orders_Settled"/>
      <sheetName val="Q-1_"/>
      <sheetName val="Trial_Balance"/>
      <sheetName val="เงินกู้_MGC"/>
      <sheetName val="Stock_Aging"/>
      <sheetName val="Hyp_-_Expense"/>
      <sheetName val="Service_Delivery"/>
      <sheetName val="K-1_Tax_Attributes_Cf_"/>
      <sheetName val="폐토수익화_"/>
      <sheetName val="final_TB(월)"/>
      <sheetName val="nude_TB"/>
      <sheetName val="As_is_Value"/>
      <sheetName val="On_Going_Value"/>
      <sheetName val="Deferred_Add"/>
      <sheetName val="Returns_Analysis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&#10;Send_Feedbac&amp;kr"/>
      <sheetName val="SOAD_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Juros_Financ__Siemsa"/>
      <sheetName val="Juros_Conta_Garantida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US_-_FINAL"/>
      <sheetName val="Details_BS"/>
      <sheetName val="Details_PL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Summary_Table_3"/>
      <sheetName val="Essbase_Budget_(3)"/>
      <sheetName val="Essbase_Budget_(2)"/>
      <sheetName val="E3_(2)"/>
      <sheetName val="F6_Stock_Take_recon"/>
      <sheetName val="F5_1_stk_valuation"/>
      <sheetName val="A2_4_SAD"/>
      <sheetName val="E2_(&lt;)"/>
      <sheetName val="A2|3_AJE"/>
      <sheetName val="A2|2_RJE"/>
      <sheetName val="A2|1_OJE"/>
      <sheetName val="Page_3"/>
      <sheetName val="Bakat_-_consol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Staff_Sal"/>
      <sheetName val="gen_ledger_data"/>
      <sheetName val="1st_Q_2002"/>
      <sheetName val="Page_A-7_"/>
      <sheetName val="Actual_month_$"/>
      <sheetName val="fme_idex"/>
      <sheetName val="fma_idex"/>
      <sheetName val="fme_fm"/>
      <sheetName val="Transaction_Summary"/>
      <sheetName val="Transaction-Assum_"/>
      <sheetName val="应收帐款_AR_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CEP_register_-_ALL_(2)"/>
      <sheetName val="Spend_June_2008_(2)"/>
      <sheetName val="Estimate_Trending"/>
      <sheetName val="Sales_to_CM_Summary"/>
      <sheetName val="Estimate_Database"/>
      <sheetName val="Version_Verification"/>
      <sheetName val="Data_Sheet_Source_Example"/>
      <sheetName val="Erlang_and_Infra"/>
      <sheetName val="Network_Summary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Top_Sheet"/>
      <sheetName val="Break_up_of_RMcost"/>
      <sheetName val="March_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BB_Info"/>
      <sheetName val="nethouse_input_(CURRENT_PERIOD)"/>
      <sheetName val="Dealer_names"/>
      <sheetName val="BB_DATA"/>
      <sheetName val="ER_LavSal_Vs_Ant"/>
      <sheetName val="Tooling_Assembly"/>
      <sheetName val="TOSH06ISR_"/>
      <sheetName val="ajuste_IVA"/>
      <sheetName val="DEPFIST_US2000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U1-Turnover_and_COS"/>
      <sheetName val="U2_4"/>
      <sheetName val="U1_1_Analysis"/>
      <sheetName val="U1_Lead"/>
      <sheetName val="T2_Reserves_Lead"/>
      <sheetName val="Route_13"/>
      <sheetName val="A1_-_Income_Statement2"/>
      <sheetName val="DIV_Y2"/>
      <sheetName val="Stock_Price2"/>
      <sheetName val="FTS_Universe_Inputs1"/>
      <sheetName val="Rel_1Yr1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P_&amp;L2"/>
      <sheetName val="Series_Description2"/>
      <sheetName val="Economic_Series_Chart2"/>
      <sheetName val="Series_Values2"/>
      <sheetName val="SEC_bridge2"/>
      <sheetName val="EMC_format2"/>
      <sheetName val="M_A_Private_Placements2"/>
      <sheetName val="Period_Cost2"/>
      <sheetName val="Orders_to_Revenue2"/>
      <sheetName val="Drop_Down1"/>
      <sheetName val="Transaction_Clients1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Key_Stats1"/>
      <sheetName val="Income_Statement1"/>
      <sheetName val="Balance_Sheet1"/>
      <sheetName val="Cash_Flow1"/>
      <sheetName val="Historical_Capitalization1"/>
      <sheetName val="Capital_Structure_Summary1"/>
      <sheetName val="Industry_Specific1"/>
      <sheetName val="Pension_OPEB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Quarterly_rates1"/>
      <sheetName val="Global_Equity_Indices1"/>
      <sheetName val="IS_-CDN$_(2)1"/>
      <sheetName val="Input_and_controls1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Historical_Volatility_Co_11"/>
      <sheetName val="GL_Profit_Analysis1"/>
      <sheetName val="Screen_Criteria1"/>
      <sheetName val="wo_Lan-hub_MBOM1"/>
      <sheetName val="wo_Lan-_Hub_(2USB)_function1"/>
      <sheetName val="Intel_Lan_+_AD1885_EBOM1"/>
      <sheetName val="Intel_Lan_+_AD1885_function1"/>
      <sheetName val="NA_Wood_Total_I1"/>
      <sheetName val="Inventory-FG_by_Submrkt_+_RM1"/>
      <sheetName val="YTD_(2)1"/>
      <sheetName val="pfc-sbu_look1"/>
      <sheetName val="YE_LOAD1"/>
      <sheetName val="Source_--&gt;1"/>
      <sheetName val="2014-2015_BBR1"/>
      <sheetName val="2013_BBR1"/>
      <sheetName val="Run_Sheet2"/>
      <sheetName val="Deal_&amp;_Company_Information2"/>
      <sheetName val="Amortization_Table_$610K2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2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C-8220_1"/>
      <sheetName val="AFS_(2)1"/>
      <sheetName val="콜론(4_1-9_30)1"/>
      <sheetName val="명세(기타유형)_(2)1"/>
      <sheetName val="(D7_1)1"/>
      <sheetName val="(D10_1)1"/>
      <sheetName val="고정부채_1"/>
      <sheetName val="JOB_ASSIGN1"/>
      <sheetName val="급여_(2)1"/>
      <sheetName val="평균급여_(2)1"/>
      <sheetName val="제품수불(확)_(2)1"/>
      <sheetName val="원료수불_(확)1"/>
      <sheetName val="제품별매출_(2)1"/>
      <sheetName val="EPS_(2)1"/>
      <sheetName val="부가세_대사1"/>
      <sheetName val="재고실사_refer1"/>
      <sheetName val="수정사항_(2)1"/>
      <sheetName val="수정사항_정리표1"/>
      <sheetName val="재고관련_Issue1"/>
      <sheetName val="A521_(2)1"/>
      <sheetName val="A621_(2)1"/>
      <sheetName val="U2_11"/>
      <sheetName val="S_BDW_(2)1"/>
      <sheetName val="Sheet1_(2)1"/>
      <sheetName val="ALGO-LS14_5(92)V1"/>
      <sheetName val="sum_(3)1"/>
      <sheetName val="månres_jfrt_få1"/>
      <sheetName val="Matcost_(2)1"/>
      <sheetName val="upgsales_(2)1"/>
      <sheetName val="Trial_Balance{C}1"/>
      <sheetName val="FY03_Qualified_Additions1"/>
      <sheetName val="Monthly_Revenue1"/>
      <sheetName val="Profit_and_Loss1"/>
      <sheetName val="S&amp;M_Dept1"/>
      <sheetName val="NEW_WARRANTS1"/>
      <sheetName val="Print_Controls2"/>
      <sheetName val="Prior_Year1"/>
      <sheetName val="Trading_Stats1"/>
      <sheetName val="MergeCo_Summary1"/>
      <sheetName val="General_Assumptions1"/>
      <sheetName val="Company_Outputs1"/>
      <sheetName val="Corp__Trust_Structure1"/>
      <sheetName val="Comp_Data1"/>
      <sheetName val="Float_Matrix1"/>
      <sheetName val="Data_Master1"/>
      <sheetName val="Int__Rate_Data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PUblic_Float_data1"/>
      <sheetName val="Market_Data1"/>
      <sheetName val="Project_Info1"/>
      <sheetName val="Old_Model1"/>
      <sheetName val="Model_Assumptions1"/>
      <sheetName val="Profit_&amp;_Loss1"/>
      <sheetName val="Monthly_Budget_1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Splash_Screen1"/>
      <sheetName val="CN_Detail1"/>
      <sheetName val="ANNEXURE_5_c1"/>
      <sheetName val="21_(i)(B)(b)1"/>
      <sheetName val="Scope_of_supply1"/>
      <sheetName val="BS_Schdl-_1_&amp;_21"/>
      <sheetName val="Cabinet_details1"/>
      <sheetName val="provision_for_new_Salary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Sales_Summary1"/>
      <sheetName val="Corporate_MARS_COA1"/>
      <sheetName val="ANN_91"/>
      <sheetName val="DIR_REMN1"/>
      <sheetName val="80IA_(CONT)1"/>
      <sheetName val="80_IA1"/>
      <sheetName val="Raw_Material-old1"/>
      <sheetName val="By_Product1"/>
      <sheetName val="80_HHC1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Planning_Materiality_Mar_061"/>
      <sheetName val="Sheet2_(3)1"/>
      <sheetName val="Sheet2_(2)1"/>
      <sheetName val="BS_Schdl-3-Fixed_Assets1"/>
      <sheetName val="TDS_Entries_Apr_to_Sept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Operating_Companies1"/>
      <sheetName val="Management_Companies1"/>
      <sheetName val="PCAP_Data1"/>
      <sheetName val="Rent_Roll1"/>
      <sheetName val="base_de_dados1"/>
      <sheetName val="ERE_`ODBCDriver`_`Component_`_1"/>
      <sheetName val="elfReg`,_`FileAction`_Where_`S1"/>
      <sheetName val="Database:_[2]__Exceeded_number1"/>
      <sheetName val="Dept_Score-Assoc-Avg_Dept_Wise1"/>
      <sheetName val="Dept_Score-Assoc-Avg_Dept_W_(21"/>
      <sheetName val="Encl_II1"/>
      <sheetName val="Other_notes1"/>
      <sheetName val="Enclosure_XV_(2)1"/>
      <sheetName val="Enclosure_X_contd1"/>
      <sheetName val="Clause_201"/>
      <sheetName val="Enclosure_VIII1"/>
      <sheetName val="Form_No__3CD1"/>
      <sheetName val="Base_Info1"/>
      <sheetName val="Summary_SC1"/>
      <sheetName val="Expanded_P&amp;L1"/>
      <sheetName val="44526_Dalkey1"/>
      <sheetName val="1601_Detail_information1"/>
      <sheetName val="2_대외공문2"/>
      <sheetName val="2_????1"/>
      <sheetName val="2_´ë¿Ü°ø¹®1"/>
      <sheetName val="외주현황_wq11"/>
      <sheetName val="Prior_Fund_Raising_MGD2"/>
      <sheetName val="Managed_Accounts_-_Gross_Tradi2"/>
      <sheetName val="Managed_Accounts2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GRO_Cost4"/>
      <sheetName val="Amex_19_Jun4"/>
      <sheetName val="Amex_12_Jun4"/>
      <sheetName val="Amex_5_Jun4"/>
      <sheetName val="Detail_14"/>
      <sheetName val="Detail_24"/>
      <sheetName val="Detail_34"/>
      <sheetName val="Detail_44"/>
      <sheetName val="Detail_54"/>
      <sheetName val="HICAP_suspension_salvage1"/>
      <sheetName val="OH_&amp;_Scrap_Rate_Model1"/>
      <sheetName val="Dimeco_Financials1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MLP_IPO_Yields_vs_MLP_Index1"/>
      <sheetName val="sales_vol_1"/>
      <sheetName val="Page_A-1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Credit_Health_Panel1"/>
      <sheetName val="Sources_&amp;_Uses1"/>
      <sheetName val="Sch_G-2__LOC_Analysis_2004_(2)1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Pull_Sheet1"/>
      <sheetName val="Hotel_Directory1"/>
      <sheetName val="CD001-_AUG_TAL_INC1"/>
      <sheetName val="DT_Man-hours_Chart1"/>
      <sheetName val="Capital_Structure_Details1"/>
      <sheetName val="Data_WIP1"/>
      <sheetName val="장할생활_(2)1"/>
      <sheetName val="Site_Stats1"/>
      <sheetName val="Cash_Reg_Orders_Recd1"/>
      <sheetName val="Orders_Settled1"/>
      <sheetName val="Q-1_1"/>
      <sheetName val="Trial_Balance1"/>
      <sheetName val="เงินกู้_MGC1"/>
      <sheetName val="Stock_Aging1"/>
      <sheetName val="Hyp_-_Expense1"/>
      <sheetName val="Service_Delivery1"/>
      <sheetName val="K-1_Tax_Attributes_Cf_1"/>
      <sheetName val="폐토수익화_1"/>
      <sheetName val="final_TB(월)1"/>
      <sheetName val="nude_TB1"/>
      <sheetName val="As_is_Value1"/>
      <sheetName val="On_Going_Value1"/>
      <sheetName val="Deferred_Add1"/>
      <sheetName val="Returns_Analysis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Juros_Financ__Siemsa1"/>
      <sheetName val="Juros_Conta_Garantida1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US_-_FINAL1"/>
      <sheetName val="Details_BS1"/>
      <sheetName val="Details_PL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Summary_Table_31"/>
      <sheetName val="Essbase_Budget_(3)1"/>
      <sheetName val="Essbase_Budget_(2)1"/>
      <sheetName val="E3_(2)1"/>
      <sheetName val="F6_Stock_Take_recon1"/>
      <sheetName val="F5_1_stk_valuation1"/>
      <sheetName val="A2_4_SAD1"/>
      <sheetName val="E2_(&lt;)1"/>
      <sheetName val="A2|3_AJE1"/>
      <sheetName val="A2|2_RJE1"/>
      <sheetName val="A2|1_OJE1"/>
      <sheetName val="Page_31"/>
      <sheetName val="Bakat_-_consol1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1"/>
      <sheetName val="gen_ledger_data1"/>
      <sheetName val="1st_Q_20021"/>
      <sheetName val="Page_A-7_1"/>
      <sheetName val="Actual_month_$1"/>
      <sheetName val="fme_idex1"/>
      <sheetName val="fma_idex1"/>
      <sheetName val="fme_fm1"/>
      <sheetName val="Transaction_Summary1"/>
      <sheetName val="Transaction-Assum_1"/>
      <sheetName val="应收帐款_AR_1"/>
      <sheetName val="basic_working1"/>
      <sheetName val="June_analysis_1"/>
      <sheetName val="D&amp;O_list_IMl1"/>
      <sheetName val="TM_-_USA1"/>
      <sheetName val="German_Co_-_Attrition_study1"/>
      <sheetName val="Comp_IS1"/>
      <sheetName val="RB_AD1"/>
      <sheetName val="NTM_PE1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tock_Chart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CEP_register_-_ALL_(2)1"/>
      <sheetName val="Spend_June_2008_(2)1"/>
      <sheetName val="Estimate_Trending1"/>
      <sheetName val="Sales_to_CM_Summary1"/>
      <sheetName val="Estimate_Database1"/>
      <sheetName val="Version_Verification1"/>
      <sheetName val="Data_Sheet_Source_Example1"/>
      <sheetName val="Erlang_and_Infra1"/>
      <sheetName val="Network_Summary1"/>
      <sheetName val="margin_1"/>
      <sheetName val="CVK_p&amp;L1"/>
      <sheetName val="lot_no_861"/>
      <sheetName val="Sales_&amp;Sale_Cost1"/>
      <sheetName val="Stock_Cal1"/>
      <sheetName val="rawmat_break_up1"/>
      <sheetName val="cell_rel1"/>
      <sheetName val="Contract_Details1"/>
      <sheetName val="COST_SHEET1"/>
      <sheetName val="OTHER_RM1"/>
      <sheetName val="Top_Sheet1"/>
      <sheetName val="Break_up_of_RMcost1"/>
      <sheetName val="March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BB_Info1"/>
      <sheetName val="nethouse_input_(CURRENT_PERIOD1"/>
      <sheetName val="Dealer_names1"/>
      <sheetName val="BB_DATA1"/>
      <sheetName val="ER_LavSal_Vs_Ant1"/>
      <sheetName val="Tooling_Assembly1"/>
      <sheetName val="TOSH06ISR_1"/>
      <sheetName val="ajuste_IVA1"/>
      <sheetName val="DEPFIST_US2000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U1-Turnover_and_COS1"/>
      <sheetName val="U2_41"/>
      <sheetName val="U1_1_Analysis1"/>
      <sheetName val="U1_Lead1"/>
      <sheetName val="T2_Reserves_Lead1"/>
      <sheetName val="Revenue_Statement"/>
      <sheetName val="Ark1"/>
      <sheetName val="Bex Query P&amp;L"/>
      <sheetName val="Bex Query Branded"/>
      <sheetName val="Bex Query Unbranded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まとめグロサリー"/>
      <sheetName val="指数"/>
      <sheetName val="P４（７月）"/>
      <sheetName val="l37쳸d⨀䂤 ⋌,9"/>
      <sheetName val="l37쳸d⨀䂤 "/>
      <sheetName val="_725415"/>
      <sheetName val="_7254_515"/>
      <sheetName val="予算計画"/>
      <sheetName val="2月"/>
      <sheetName val="_7254"/>
      <sheetName val="台帳"/>
      <sheetName val="l37쳸d⨀䂤 ?⋌,9"/>
      <sheetName val="_7254??15"/>
      <sheetName val="予算・過去実績"/>
      <sheetName val="1_1006divson210"/>
      <sheetName val="2_1006divson220"/>
      <sheetName val="3_1006divson230"/>
      <sheetName val="4_1006divson240"/>
      <sheetName val="5_1006divson250"/>
      <sheetName val="6_1006divson270"/>
      <sheetName val="7_1006divson280"/>
      <sheetName val="8_1006divson999"/>
      <sheetName val="l37쳸d⨀䂤 _⋌,9"/>
      <sheetName val="_7254__15"/>
      <sheetName val="基本cvs動向"/>
      <sheetName val="表紙"/>
      <sheetName val="l37쳸d⨀䂤  ⋌,9"/>
      <sheetName val="_7254  15"/>
      <sheetName val="④回答結果"/>
      <sheetName val="Sheet1¤_x0014__x0001_ļ䷨փ_x0004_䭸փ"/>
      <sheetName val="oue\My DocumentsALLUSERSPROFIL"/>
      <sheetName val="oue_My Documents"/>
      <sheetName val="Sheet1¤_x0014__x0001_ļ䷨փ_x0004_䭸փ丈փ_x0001__x000e_[Book"/>
      <sheetName val="豆畑倉敷"/>
      <sheetName val="上期実績"/>
      <sheetName val="POP案内"/>
      <sheetName val="5-6月キャンペーン"/>
      <sheetName val="人口移動第４表"/>
      <sheetName val="ﾌﾙｰﾂ村pet"/>
      <sheetName val="⑤弁当"/>
      <sheetName val="行楽ﾌｪｱ"/>
      <sheetName val="489社"/>
      <sheetName val="カレドミルク"/>
      <sheetName val="原紙"/>
      <sheetName val="ﾒｲﾃﾝ"/>
      <sheetName val="銘店"/>
      <sheetName val="原紙 (3)"/>
      <sheetName val="原紙 (4)"/>
      <sheetName val="45週"/>
      <sheetName val="8月"/>
      <sheetName val="８月 （２）"/>
      <sheetName val="プチぐるみ"/>
      <sheetName val="８月（３）"/>
      <sheetName val="８月（４）"/>
      <sheetName val="298均一"/>
      <sheetName val="９９円均一"/>
      <sheetName val="ＣＢキット"/>
      <sheetName val="ダースキット"/>
      <sheetName val="001"/>
      <sheetName val="東北"/>
      <sheetName val="東北 (２)"/>
      <sheetName val="長野"/>
      <sheetName val="7月度"/>
      <sheetName val="ワイン 表 (2)"/>
      <sheetName val="ﾌﾙｰﾂﾜｲﾝ"/>
      <sheetName val="ﾌﾙｰﾂﾜｲﾝ (2)"/>
      <sheetName val="商品ﾏｽﾀｰ"/>
      <sheetName val="商談報告書"/>
      <sheetName val="ﾒ-ｶ-別対比"/>
      <sheetName val="アニマーレ"/>
      <sheetName val="イカワ"/>
      <sheetName val="フェレロ"/>
      <sheetName val="輸入"/>
      <sheetName val="輸入 (2)"/>
      <sheetName val="ホテルオ－クラ"/>
      <sheetName val="陳指38"/>
      <sheetName val="延岡040オープン"/>
      <sheetName val="０４２基本"/>
      <sheetName val="１2月度ﾏﾈｷﾝ計画"/>
      <sheetName val="コンタクト (2)"/>
      <sheetName val="シルバーおむつ (2)"/>
      <sheetName val="５月VP  (3)"/>
      <sheetName val="花粉吊り下げ２ (3)"/>
      <sheetName val="ｺﾝﾀｸﾄ3月度 (2)"/>
      <sheetName val="表紙 (2)"/>
      <sheetName val="特保ケース売り (2)"/>
      <sheetName val="カルピス健康フェア (2)"/>
      <sheetName val="バディエット企画書 (2)"/>
      <sheetName val="スリムリング (2)"/>
      <sheetName val="ダイエット (2)"/>
      <sheetName val="B-UPドロップ発注表  (2)"/>
      <sheetName val="TVマスク台紙 (2)"/>
      <sheetName val="救急衛生 (2)"/>
      <sheetName val="コンタクトケア (2)"/>
      <sheetName val="ホテルオ−クラ"/>
      <sheetName val="按分係数修正"/>
      <sheetName val="収支表"/>
      <sheetName val="全件ﾘｽﾄ"/>
      <sheetName val="カット"/>
      <sheetName val="新規リスト"/>
      <sheetName val="マット全件リスト"/>
      <sheetName val="ﾊﾟｰﾙ"/>
      <sheetName val="ニトムズ"/>
      <sheetName val="岩崎工業"/>
      <sheetName val="おたふく"/>
      <sheetName val="カゴメ"/>
      <sheetName val="リス"/>
      <sheetName val="関屋化学"/>
      <sheetName val="理研"/>
      <sheetName val="ｽｹｰﾀｰ"/>
      <sheetName val="清掃体系図"/>
      <sheetName val="02.02月POP"/>
      <sheetName val="サニタリー"/>
      <sheetName val="２本 (3)"/>
      <sheetName val="返品承認"/>
      <sheetName val="ラップ２－２"/>
      <sheetName val="ラップ２－１"/>
      <sheetName val="収納３－１ "/>
      <sheetName val="収納３－３"/>
      <sheetName val="収納３－２"/>
      <sheetName val="たわし3本"/>
      <sheetName val="新規"/>
      <sheetName val="都市ﾗｯﾌﾟ２本"/>
      <sheetName val="マスター登録用紙"/>
      <sheetName val="流し廻"/>
      <sheetName val="２００３年実績"/>
      <sheetName val="12月本部導入台帳"/>
      <sheetName val="商品登録票原紙 ﾌﾟﾘﾝﾄ"/>
      <sheetName val="03.10.11月"/>
      <sheetName val="依頼書"/>
      <sheetName val="山梨 (2)"/>
      <sheetName val="山梨"/>
      <sheetName val="月度数値"/>
      <sheetName val="週取組"/>
      <sheetName val="品質管理基準"/>
      <sheetName val="組織図"/>
      <sheetName val="管理基準"/>
      <sheetName val="ラップ２−２"/>
      <sheetName val="ラップ２−１"/>
      <sheetName val="収納３−１ "/>
      <sheetName val="収納３−３"/>
      <sheetName val="収納３−２"/>
      <sheetName val="05障子紙・清掃全件 (5)"/>
      <sheetName val="製菓"/>
      <sheetName val="新生活Ｋ"/>
      <sheetName val="5大塚"/>
      <sheetName val="年末年始."/>
      <sheetName val="PP大分"/>
      <sheetName val="PP大分 (2)"/>
      <sheetName val="PP大分 (3)"/>
      <sheetName val="イワタニ (15)"/>
      <sheetName val="リスト (2)"/>
      <sheetName val="リスト (3)"/>
      <sheetName val="リスト (4)"/>
      <sheetName val="まな板"/>
      <sheetName val="全件確定 (2)"/>
      <sheetName val="５月２日 "/>
      <sheetName val="５月２日  "/>
      <sheetName val="清掃"/>
      <sheetName val="2 (2)"/>
      <sheetName val="EXCEL_DATA_951042_221745"/>
      <sheetName val="マスター"/>
      <sheetName val="マスター作成"/>
      <sheetName val="追加カット"/>
      <sheetName val="画像"/>
      <sheetName val="&amp;B)...ﾌｧｲﾙの種類(&amp;T)自動的に更新する(&amp;C)"/>
      <sheetName val="６月販売目標修正"/>
      <sheetName val="新色ライブリッシュ予約状況５月２５日現在"/>
      <sheetName val="チラシ原稿01,05の②"/>
      <sheetName val="チラシ原稿01,05の①"/>
      <sheetName val="２月度活動実績"/>
      <sheetName val="１月度活動実績"/>
      <sheetName val="１２月度活動実績"/>
      <sheetName val="１１月度活動実績"/>
      <sheetName val="１０月度活動実績"/>
      <sheetName val="２００２年度下半期活動実績"/>
      <sheetName val="UV実績"/>
      <sheetName val="作成用値"/>
      <sheetName val="新規登録原紙 (5)"/>
      <sheetName val="社員"/>
      <sheetName val="部門順位"/>
      <sheetName val="９月"/>
      <sheetName val="0409重点 (2)"/>
      <sheetName val="売上"/>
      <sheetName val="売上伸率"/>
      <sheetName val="1次PL"/>
      <sheetName val="利益率"/>
      <sheetName val="3次PL"/>
      <sheetName val="昨年差"/>
      <sheetName val="荒利率"/>
      <sheetName val="1値下率"/>
      <sheetName val="後藤会議用"/>
      <sheetName val="目薬"/>
      <sheetName val="ごとう (2)"/>
      <sheetName val="ドライアイ"/>
      <sheetName val="サンテ"/>
      <sheetName val="アスピリン"/>
      <sheetName val="ｋｌｋ元 (2)"/>
      <sheetName val="&amp;B)..."/>
      <sheetName val="今後の対応①"/>
      <sheetName val="今後の対応②"/>
      <sheetName val="東北② (2)"/>
      <sheetName val="箱ﾓｼﾞｭｰﾙ"/>
      <sheetName val="_x0010_ʝ② (2)"/>
      <sheetName val="She}_x0013_kÞÌ"/>
      <sheetName val="1"/>
      <sheetName val="2"/>
      <sheetName val="3"/>
      <sheetName val="4"/>
      <sheetName val="5"/>
      <sheetName val="6"/>
      <sheetName val="7"/>
      <sheetName val="8"/>
      <sheetName val="9"/>
      <sheetName val="12"/>
      <sheetName val="２６０単品"/>
      <sheetName val="２７０単品"/>
      <sheetName val="汎用分析レポート"/>
      <sheetName val="③"/>
      <sheetName val="04,08"/>
      <sheetName val="31-33"/>
      <sheetName val="カテゴリ別店舗べスト"/>
      <sheetName val="単品作業表紙 (271)"/>
      <sheetName val="28-29"/>
      <sheetName val="28-29 (2)"/>
      <sheetName val="230"/>
      <sheetName val="241"/>
      <sheetName val="242"/>
      <sheetName val="243"/>
      <sheetName val="3 (3)"/>
      <sheetName val="月間行為計画書数値"/>
      <sheetName val="7月BSG375"/>
      <sheetName val="7月BSG375(2)"/>
      <sheetName val="7月BSG375(3)"/>
      <sheetName val="7月BSG375(4)"/>
      <sheetName val="7月BSG375(5)"/>
      <sheetName val="ｱｽﾍﾞﾙ"/>
      <sheetName val="ｱｽﾍﾞﾙ(2)"/>
      <sheetName val="ﾎｰｸｽｾｰﾙ商品ﾘｽﾄ (4)"/>
      <sheetName val="ｻﾘﾌﾞﾌﾗｲﾊﾟﾝｶﾊﾞｰ16～20変更"/>
      <sheetName val="3怑"/>
      <sheetName val="戦略展開"/>
      <sheetName val="半期販売計画"/>
      <sheetName val="&amp;B)...?ﾌｧｲﾙの種類(&amp;T)?自動的に更新する(&amp;C)"/>
      <sheetName val="デリカ荒利対策"/>
      <sheetName val="美ら海 (2)"/>
      <sheetName val="⑤原材料調査書 (2)"/>
      <sheetName val="⑥原材料リスト (3)"/>
      <sheetName val="ｻﾘﾌﾞﾌﾗｲﾊﾟﾝｶﾊﾞｰ16〜20変更"/>
      <sheetName val="3_"/>
      <sheetName val="&amp;B)..._ﾌｧｲﾙの種類(&amp;T)_自動的に更新する(&amp;C)"/>
      <sheetName val="She}_x0013_"/>
      <sheetName val="ギフト受注データ"/>
      <sheetName val="農産乾物"/>
      <sheetName val="かつおぶし"/>
      <sheetName val="のり"/>
      <sheetName val="海産乾物"/>
      <sheetName val="店舗別配布表"/>
      <sheetName val="購入平均売価"/>
      <sheetName val="06"/>
      <sheetName val="05"/>
      <sheetName val="橋本"/>
      <sheetName val="板本"/>
      <sheetName val="谷口"/>
      <sheetName val="藤川"/>
      <sheetName val="山崎"/>
      <sheetName val="奥本"/>
      <sheetName val="正地"/>
      <sheetName val="福田"/>
      <sheetName val="石井"/>
      <sheetName val="山縣"/>
      <sheetName val="She}_x0013_?kÞÌ"/>
      <sheetName val="08年６月"/>
      <sheetName val="１２月"/>
      <sheetName val="ユーカリ新聞"/>
      <sheetName val="３月売場計画"/>
      <sheetName val="11月コメント"/>
      <sheetName val="5月売場計画"/>
      <sheetName val="She}_x0013__kÞÌ"/>
      <sheetName val="見積り2 (3)"/>
      <sheetName val="変わります"/>
      <sheetName val="B_THKP(XDM)"/>
      <sheetName val="TKKTNTRAM"/>
      <sheetName val="THKLNTR"/>
      <sheetName val="XL4Poppy"/>
      <sheetName val="XL4Test5"/>
      <sheetName val="TSTT"/>
      <sheetName val="BKL"/>
      <sheetName val="TKT"/>
      <sheetName val="00000000"/>
      <sheetName val="10000000"/>
      <sheetName val="20000000"/>
      <sheetName val="XL4Test5 (2)"/>
      <sheetName val="XL4Test5 (3)"/>
      <sheetName val="XL4Test5 (4)"/>
      <sheetName val="XL4Test5 (5)"/>
      <sheetName val="VatLieu"/>
      <sheetName val="THVL"/>
      <sheetName val="nh_cb"/>
      <sheetName val="DG"/>
      <sheetName val="構成比"/>
      <sheetName val="売上推移"/>
      <sheetName val="売上推移グラフ"/>
      <sheetName val="予実"/>
      <sheetName val="買場別"/>
      <sheetName val="開発実績"/>
      <sheetName val="売店調査リスト（既存）"/>
      <sheetName val="全支店 計"/>
      <sheetName val="ｹｰｽ実績"/>
      <sheetName val="7月"/>
      <sheetName val="労保料"/>
      <sheetName val="介護保険 松本工場"/>
      <sheetName val="標準報酬"/>
      <sheetName val="１月"/>
      <sheetName val="２月"/>
      <sheetName val="３月"/>
      <sheetName val="４月"/>
      <sheetName val="５月"/>
      <sheetName val="６月"/>
      <sheetName val="７月"/>
      <sheetName val="東北② (2_x0002_"/>
      <sheetName val="_x0012_"/>
      <sheetName val="_x0012__x0013_&gt;_x0013_"/>
      <sheetName val="新生఻"/>
      <sheetName val="05障子紙・清掃全件 (ȵ"/>
      <sheetName val="_x0012_Ž"/>
      <sheetName val="_x0012__x0013_&gt;’_x0013_"/>
      <sheetName val="_x0012__x0013_"/>
      <sheetName val="カネボウ"/>
      <sheetName val="コーセー"/>
      <sheetName val="244"/>
      <sheetName val="暖房・冬物関連 (2)"/>
      <sheetName val="一覧"/>
      <sheetName val="直営マックスバリュVD傾向"/>
      <sheetName val="Sheet7 (2)"/>
      <sheetName val="仕事リストの設定(&amp;I)仕事リストのビュー(&amp;K)連絡先(&amp;A"/>
      <sheetName val="ＭＹ坂井醤油"/>
      <sheetName val="180"/>
      <sheetName val="430"/>
      <sheetName val="oue\My Documents"/>
      <sheetName val="Sheet1¤_x0014__x0001_ļ䷨փ_x0004_䭸փ丈փ_x0001__x000e_[Book1.x"/>
      <sheetName val="AP(ｴﾝｼﾞﾆｱ)②"/>
      <sheetName val="2012果物供物（日別）"/>
      <sheetName val="2012生花（日別）"/>
      <sheetName val="34"/>
      <sheetName val="●改廃FVﾁｪｯｸ3（20140329通報～）.xls"/>
      <sheetName val="基本量販店動向_(2)"/>
      <sheetName val="基本量販店動向_tomato"/>
      <sheetName val="基本量販店動向_(3)"/>
      <sheetName val="l37쳸d⨀䂤 _⋌,91"/>
      <sheetName val="_7254__151"/>
      <sheetName val="Sheet1¤ļ䷨փ䭸փ"/>
      <sheetName val="oue\My_DocumentsALLUSERSPROFIL"/>
      <sheetName val="Sheet1¤ļ䷨փ䭸փ丈փ[Book"/>
      <sheetName val="oue_My_Documents"/>
      <sheetName val="原紙_(3)"/>
      <sheetName val="原紙_(4)"/>
      <sheetName val="８月_（２）"/>
      <sheetName val="東北_(２)"/>
      <sheetName val="ワイン_表_(2)"/>
      <sheetName val="ﾌﾙｰﾂﾜｲﾝ_(2)"/>
      <sheetName val="輸入_(2)"/>
      <sheetName val="コンタクト_(2)"/>
      <sheetName val="シルバーおむつ_(2)"/>
      <sheetName val="５月VP__(3)"/>
      <sheetName val="花粉吊り下げ２_(3)"/>
      <sheetName val="ｺﾝﾀｸﾄ3月度_(2)"/>
      <sheetName val="表紙_(2)"/>
      <sheetName val="特保ケース売り_(2)"/>
      <sheetName val="カルピス健康フェア_(2)"/>
      <sheetName val="バディエット企画書_(2)"/>
      <sheetName val="スリムリング_(2)"/>
      <sheetName val="ダイエット_(2)"/>
      <sheetName val="B-UPドロップ発注表__(2)"/>
      <sheetName val="TVマスク台紙_(2)"/>
      <sheetName val="救急衛生_(2)"/>
      <sheetName val="コンタクトケア_(2)"/>
      <sheetName val="02_02月POP"/>
      <sheetName val="２本_(3)"/>
      <sheetName val="収納３－１_"/>
      <sheetName val="商品登録票原紙_ﾌﾟﾘﾝﾄ"/>
      <sheetName val="03_10_11月"/>
      <sheetName val="山梨_(2)"/>
      <sheetName val="収納３−１_"/>
      <sheetName val="05障子紙・清掃全件_(5)"/>
      <sheetName val="年末年始_"/>
      <sheetName val="PP大分_(2)"/>
      <sheetName val="PP大分_(3)"/>
      <sheetName val="イワタニ_(15)"/>
      <sheetName val="リスト_(2)"/>
      <sheetName val="リスト_(3)"/>
      <sheetName val="リスト_(4)"/>
      <sheetName val="全件確定_(2)"/>
      <sheetName val="５月２日_"/>
      <sheetName val="５月２日__"/>
      <sheetName val="2_(2)"/>
      <sheetName val="&amp;B)___ﾌｧｲﾙの種類(&amp;T)自動的に更新する(&amp;C)"/>
      <sheetName val="新規登録原紙_(5)"/>
      <sheetName val="0409重点_(2)"/>
      <sheetName val="ごとう_(2)"/>
      <sheetName val="ｋｌｋ元_(2)"/>
      <sheetName val="&amp;B)___"/>
      <sheetName val="東北②_(2)"/>
      <sheetName val="ʝ②_(2)"/>
      <sheetName val="She}kÞÌ"/>
      <sheetName val="単品作業表紙_(271)"/>
      <sheetName val="28-29_(2)"/>
      <sheetName val="3_(3)"/>
      <sheetName val="ﾎｰｸｽｾｰﾙ商品ﾘｽﾄ_(4)"/>
      <sheetName val="&amp;B)___?ﾌｧｲﾙの種類(&amp;T)?自動的に更新する(&amp;C)"/>
      <sheetName val="美ら海_(2)"/>
      <sheetName val="⑤原材料調査書_(2)"/>
      <sheetName val="⑥原材料リスト_(3)"/>
      <sheetName val="&amp;B)____ﾌｧｲﾙの種類(&amp;T)_自動的に更新する(&amp;C)"/>
      <sheetName val="She}"/>
      <sheetName val="She}?kÞÌ"/>
      <sheetName val="She}_kÞÌ"/>
      <sheetName val="見積り2_(3)"/>
      <sheetName val="XL4Test5_(2)"/>
      <sheetName val="XL4Test5_(3)"/>
      <sheetName val="XL4Test5_(4)"/>
      <sheetName val="XL4Test5_(5)"/>
      <sheetName val="全支店_計"/>
      <sheetName val="介護保険_松本工場"/>
      <sheetName val="東北②_(2"/>
      <sheetName val=""/>
      <sheetName val="&gt;"/>
      <sheetName val="05障子紙・清掃全件_(ȵ"/>
      <sheetName val="Ž"/>
      <sheetName val="&gt;’"/>
      <sheetName val=""/>
      <sheetName val="暖房・冬物関連_(2)"/>
      <sheetName val="Sheet7_(2)"/>
      <sheetName val="oue\My_Documents"/>
      <sheetName val="Sheet1¤ļ䷨փ䭸փ丈փ[Book1_x"/>
      <sheetName val="刺身"/>
      <sheetName val="丸魚切り身"/>
      <sheetName val="SF"/>
      <sheetName val="合計"/>
      <sheetName val="DPT"/>
      <sheetName val="０３年"/>
      <sheetName val="０４年上期"/>
      <sheetName val="０２年７月分析シート.xls"/>
      <sheetName val="発注実績照会 (3)"/>
      <sheetName val=" ʝ② (2)"/>
      <sheetName val="She} "/>
      <sheetName val="東北② (2 "/>
      <sheetName val=" Ž"/>
      <sheetName val="  "/>
      <sheetName val="?_x0012_"/>
      <sheetName val="???_x0012__x0013_?&gt;_x0013_?????????"/>
      <sheetName val="新生఻?"/>
      <sheetName val="05障子紙・清掃全件 (ȵ?"/>
      <sheetName val="_x0012__x0013_?&gt;’_x0013_?"/>
      <sheetName val="She} ?kÞÌ"/>
      <sheetName val="? "/>
      <sheetName val="???  ?&gt; ?????????"/>
      <sheetName val="  ?&gt;’ ?"/>
      <sheetName val="fficeGlobal"/>
      <sheetName val="__x0012_"/>
      <sheetName val="____x0012__x0013__&gt;_x0013__________"/>
      <sheetName val="新生఻_"/>
      <sheetName val="05障子紙・清掃全件 (ȵ_"/>
      <sheetName val="_x0012__x0013__&gt;’_x0013__"/>
      <sheetName val="１品"/>
      <sheetName val="１品 (2)"/>
      <sheetName val="商品台帳（ＭＤコーナー）"/>
      <sheetName val="店名"/>
      <sheetName val="oue_My_DocumentsALLUSERSPROFIL"/>
      <sheetName val="Sheet1¤ļ䷨փ䭸փ丈փ_Book"/>
      <sheetName val="She} _kÞÌ"/>
      <sheetName val="_ "/>
      <sheetName val="Sheet1¤ļ䷨փ䭸փ丈փ_Book1_x"/>
      <sheetName val="Sheet1??¤_x0014_??????_x0001_ļ䷨փ?_x0004_??????䭸փ?"/>
      <sheetName val="Sheet1__¤_x0014________x0001_ļ䷨փ__x0004_______䭸փ_"/>
      <sheetName val="l37쳸d⨀䂤 _x005f_x0000_⋌,9"/>
      <sheetName val="_7254_x005f_x0000__x005f_x0000_15"/>
      <sheetName val="Sheet1_x005f_x0000__x005f_x0000_¤_x005f_x0014__x0"/>
      <sheetName val="Sheet1__¤_x005f_x0014________x005f_x0001_ļ䷨"/>
      <sheetName val="l37쳸d⨀䂤 _x005f_x005f_x005f_x0000_⋌,9"/>
      <sheetName val="_7254_x005f_x005f_x005f_x0000__x005f_x005f_x005f_x0000_"/>
      <sheetName val="___  _&gt; _________"/>
      <sheetName val="  _&gt;’ _"/>
      <sheetName val="[Book1.xls]oue\My DocumentsALL"/>
      <sheetName val="[Book1.xls]oue\My Documents"/>
      <sheetName val="[Book1.xls]oue\My_DocumentsALLU"/>
      <sheetName val="[Book1.xls]oue\My_Documents"/>
      <sheetName val="[Book1.xls][Book1.xls][Book1.xl"/>
      <sheetName val="[Book1.xls][Book1.xls]oue\My Do"/>
      <sheetName val="[Book1.xls][Book1.xls]oue\My_Do"/>
      <sheetName val="７月本部発注企画"/>
      <sheetName val="＜うなぎ企画」「料理のための清酒」"/>
      <sheetName val="集約表(帳合ﾍﾞｰｽ）"/>
      <sheetName val="商品台帳（大部門別）"/>
      <sheetName val="25DJ40"/>
      <sheetName val="Q9　日本酒掲載要望　男女"/>
      <sheetName val="A表　右"/>
      <sheetName val="ext Box 81Text Box 85倠㪡_x0001_垘ө_x0002_"/>
      <sheetName val="冷蔵庫3(400L以上)"/>
      <sheetName val="下書2 (2)"/>
      <sheetName val="下書2"/>
      <sheetName val="She} kÞÌ"/>
      <sheetName val=" "/>
      <sheetName val="  &gt; "/>
      <sheetName val="  &gt;’ "/>
      <sheetName val="fficeGlobalInfoPathRibbonUIA"/>
      <sheetName val="販促物-用"/>
      <sheetName val="0108発売ｻﾏﾘｰ"/>
      <sheetName val="緑黄色野菜のお豆腐バーグ"/>
      <sheetName val="いわしの魚バーグ"/>
      <sheetName val="ひじきのお豆腐バーグ"/>
      <sheetName val="鶏肉と根菜のお豆腐バーグ"/>
      <sheetName val="発売提案チーズかまぼこ"/>
      <sheetName val="ベーコン"/>
      <sheetName val="ハーフベーコン"/>
      <sheetName val="ミニカットベーコン"/>
      <sheetName val="ﾌﾟﾚｰﾝ"/>
      <sheetName val="ﾁｰｽﾞ"/>
      <sheetName val="ﾁｮｺ"/>
      <sheetName val="ﾁｮｺﾊﾞﾅﾅ"/>
      <sheetName val="関東-月間"/>
      <sheetName val="赤どり"/>
      <sheetName val="●改廃FVﾁｪｯｸ3（20140329通報～）_xls"/>
      <sheetName val="ドライエイド"/>
      <sheetName val="'Sheet4'!$B$7:$I$8"/>
      <sheetName val="導入アイテム②"/>
      <sheetName val="虫さされ企画明細"/>
      <sheetName val="ｸﾘｰﾝﾃﾞﾝﾀﾙ企画明細"/>
      <sheetName val="ｶﾛﾔﾝｼﾞｪｯﾄ企画明細"/>
      <sheetName val="ｼﾃｨｰｽﾎﾜｲﾄ吊下げ企画明細"/>
      <sheetName val="ｻﾝｼｰﾗ･ﾋﾟｭｱ1000企画明細"/>
      <sheetName val="検索結果"/>
      <sheetName val="検索結果 (2)"/>
      <sheetName val="殺虫(3月)"/>
      <sheetName val="アクネージア"/>
      <sheetName val="配荷案"/>
      <sheetName val="配荷まとめ"/>
      <sheetName val="自然発注見込み"/>
      <sheetName val="メラノ"/>
      <sheetName val="リフレア"/>
      <sheetName val="Sheet1¤ļ䷨փ䭸փ退흰簷ثĂ"/>
      <sheetName val="IHP Detailed QA"/>
      <sheetName val="Profit &amp; Loss (2)"/>
      <sheetName val="M-2 Discounted"/>
      <sheetName val="PE EV charts"/>
      <sheetName val="Herramientas para análisis-VBA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old data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AL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OUTPUT"/>
      <sheetName val="3-2004"/>
      <sheetName val="CF summary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Unadjusted_Transactions"/>
      <sheetName val="Tabel ratios"/>
      <sheetName val="Feuil1"/>
      <sheetName val="Output TK"/>
      <sheetName val="VLCC"/>
      <sheetName val="OBO"/>
      <sheetName val="BULK"/>
      <sheetName val="@"/>
      <sheetName val="Summary Cash Flow"/>
      <sheetName val="TK Fleet Composition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Crossholdings"/>
      <sheetName val="Ⅱ-6予算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전사 (2)"/>
      <sheetName val="BA (2)"/>
      <sheetName val="CP (2)"/>
      <sheetName val="Capacity Red. C200 - 50 ms"/>
      <sheetName val="procurement"/>
      <sheetName val="EPC  PAYMENTS"/>
      <sheetName val="As per PCA"/>
      <sheetName val="Constr, Op &amp; Fin Assmp"/>
      <sheetName val="HIOS 93 thru 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/>
      <sheetData sheetId="34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 refreshError="1"/>
      <sheetData sheetId="709" refreshError="1"/>
      <sheetData sheetId="710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 refreshError="1"/>
      <sheetData sheetId="734"/>
      <sheetData sheetId="735" refreshError="1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 refreshError="1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/>
      <sheetData sheetId="792" refreshError="1"/>
      <sheetData sheetId="793" refreshError="1"/>
      <sheetData sheetId="794" refreshError="1"/>
      <sheetData sheetId="795"/>
      <sheetData sheetId="796" refreshError="1"/>
      <sheetData sheetId="797"/>
      <sheetData sheetId="798"/>
      <sheetData sheetId="799"/>
      <sheetData sheetId="800"/>
      <sheetData sheetId="801" refreshError="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 refreshError="1"/>
      <sheetData sheetId="930" refreshError="1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 refreshError="1"/>
      <sheetData sheetId="1108"/>
      <sheetData sheetId="1109" refreshError="1"/>
      <sheetData sheetId="1110" refreshError="1"/>
      <sheetData sheetId="111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 refreshError="1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/>
      <sheetData sheetId="1208"/>
      <sheetData sheetId="1209"/>
      <sheetData sheetId="1210" refreshError="1"/>
      <sheetData sheetId="1211" refreshError="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/>
      <sheetData sheetId="1222"/>
      <sheetData sheetId="1223"/>
      <sheetData sheetId="1224"/>
      <sheetData sheetId="1225" refreshError="1"/>
      <sheetData sheetId="1226" refreshError="1"/>
      <sheetData sheetId="1227"/>
      <sheetData sheetId="1228" refreshError="1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/>
      <sheetData sheetId="1553" refreshError="1"/>
      <sheetData sheetId="1554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/>
      <sheetData sheetId="1587" refreshError="1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 refreshError="1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 refreshError="1"/>
      <sheetData sheetId="1749" refreshError="1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/>
      <sheetData sheetId="1781" refreshError="1"/>
      <sheetData sheetId="1782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/>
      <sheetData sheetId="1797"/>
      <sheetData sheetId="1798" refreshError="1"/>
      <sheetData sheetId="1799" refreshError="1"/>
      <sheetData sheetId="1800"/>
      <sheetData sheetId="180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/>
      <sheetData sheetId="2025"/>
      <sheetData sheetId="2026"/>
      <sheetData sheetId="2027" refreshError="1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/>
      <sheetData sheetId="2079"/>
      <sheetData sheetId="2080"/>
      <sheetData sheetId="208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/>
      <sheetData sheetId="2204"/>
      <sheetData sheetId="2205"/>
      <sheetData sheetId="2206"/>
      <sheetData sheetId="2207"/>
      <sheetData sheetId="2208"/>
      <sheetData sheetId="2209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 refreshError="1"/>
      <sheetData sheetId="2368"/>
      <sheetData sheetId="2369"/>
      <sheetData sheetId="2370"/>
      <sheetData sheetId="2371" refreshError="1"/>
      <sheetData sheetId="2372" refreshError="1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/>
      <sheetData sheetId="2557"/>
      <sheetData sheetId="2558"/>
      <sheetData sheetId="2559" refreshError="1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/>
      <sheetData sheetId="2726"/>
      <sheetData sheetId="2727" refreshError="1"/>
      <sheetData sheetId="2728" refreshError="1"/>
      <sheetData sheetId="2729" refreshError="1"/>
      <sheetData sheetId="2730" refreshError="1"/>
      <sheetData sheetId="2731"/>
      <sheetData sheetId="2732" refreshError="1"/>
      <sheetData sheetId="2733" refreshError="1"/>
      <sheetData sheetId="2734"/>
      <sheetData sheetId="2735"/>
      <sheetData sheetId="2736"/>
      <sheetData sheetId="2737"/>
      <sheetData sheetId="2738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/>
      <sheetData sheetId="2775"/>
      <sheetData sheetId="2776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/>
      <sheetData sheetId="2850"/>
      <sheetData sheetId="2851"/>
      <sheetData sheetId="2852" refreshError="1"/>
      <sheetData sheetId="2853" refreshError="1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/>
      <sheetData sheetId="2862"/>
      <sheetData sheetId="2863" refreshError="1"/>
      <sheetData sheetId="2864"/>
      <sheetData sheetId="2865"/>
      <sheetData sheetId="2866" refreshError="1"/>
      <sheetData sheetId="2867"/>
      <sheetData sheetId="2868" refreshError="1"/>
      <sheetData sheetId="2869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 refreshError="1"/>
      <sheetData sheetId="2935" refreshError="1"/>
      <sheetData sheetId="2936" refreshError="1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 refreshError="1"/>
      <sheetData sheetId="5086" refreshError="1"/>
      <sheetData sheetId="5087" refreshError="1"/>
      <sheetData sheetId="5088" refreshError="1"/>
      <sheetData sheetId="5089"/>
      <sheetData sheetId="5090"/>
      <sheetData sheetId="5091"/>
      <sheetData sheetId="5092"/>
      <sheetData sheetId="5093"/>
      <sheetData sheetId="5094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 refreshError="1"/>
      <sheetData sheetId="5567" refreshError="1"/>
      <sheetData sheetId="5568"/>
      <sheetData sheetId="5569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/>
      <sheetData sheetId="5583"/>
      <sheetData sheetId="5584"/>
      <sheetData sheetId="5585" refreshError="1"/>
      <sheetData sheetId="5586" refreshError="1"/>
      <sheetData sheetId="5587" refreshError="1"/>
      <sheetData sheetId="5588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 refreshError="1"/>
      <sheetData sheetId="5808"/>
      <sheetData sheetId="5809"/>
      <sheetData sheetId="5810"/>
      <sheetData sheetId="5811" refreshError="1"/>
      <sheetData sheetId="5812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Val"/>
      <sheetName val="Summary"/>
      <sheetName val="DCF_Matrix"/>
      <sheetName val="生产物流图"/>
      <sheetName val="Basic_Assum"/>
      <sheetName val="PP&amp;E"/>
      <sheetName val="Price_Assum"/>
      <sheetName val="P&amp;L_Model"/>
      <sheetName val="B sht"/>
      <sheetName val="Prod_Vol"/>
      <sheetName val="Sales(2)"/>
      <sheetName val="CAPEX&amp;WC"/>
      <sheetName val="CF"/>
      <sheetName val="Prod_line"/>
      <sheetName val="WACC"/>
      <sheetName val="Charts"/>
      <sheetName val="shee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Val"/>
      <sheetName val="Summary"/>
      <sheetName val="DCF_Matrix"/>
      <sheetName val="生产物流图"/>
      <sheetName val="Basic_Assum"/>
      <sheetName val="PP&amp;E"/>
      <sheetName val="Price_Assum"/>
      <sheetName val="P&amp;L_Model"/>
      <sheetName val="B sht"/>
      <sheetName val="Prod_Vol"/>
      <sheetName val="Sales(2)"/>
      <sheetName val="CAPEX&amp;WC"/>
      <sheetName val="CF"/>
      <sheetName val="Prod_line"/>
      <sheetName val="WACC"/>
      <sheetName val="Charts"/>
      <sheetName val="shee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Revised Model 3.2.00"/>
      <sheetName val="Internet Summary"/>
      <sheetName val="old Model"/>
      <sheetName val="Headlines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Revised Model 3.2.00"/>
      <sheetName val="Internet Summary"/>
      <sheetName val="old Model"/>
      <sheetName val="Headlines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年度数据重构"/>
      <sheetName val="会计科目代码"/>
      <sheetName val="操作指南"/>
      <sheetName val="假设"/>
      <sheetName val="home"/>
      <sheetName val="输出"/>
      <sheetName val="历史数据"/>
      <sheetName val="历史数据（简化）"/>
      <sheetName val="年度数据 (函数)"/>
      <sheetName val="年度数据"/>
      <sheetName val="收入成本预测"/>
      <sheetName val="报告期历史数据"/>
      <sheetName val="季度利润表预测"/>
      <sheetName val="资本投资"/>
      <sheetName val="债务"/>
      <sheetName val="利润表"/>
      <sheetName val="资产负债"/>
      <sheetName val="现金流量"/>
      <sheetName val="营运资本"/>
      <sheetName val="财务分析"/>
      <sheetName val="可比公司估值"/>
      <sheetName val="估值"/>
      <sheetName val="Cache"/>
      <sheetName val="预测合理性检验"/>
      <sheetName val="相对估值"/>
      <sheetName val="绝对估值"/>
      <sheetName val="单产品敏感性分析"/>
      <sheetName val="情景表"/>
      <sheetName val="绝对估值敏感性分析"/>
      <sheetName val="单公司Beta"/>
      <sheetName val="季度数据"/>
      <sheetName val="季度财务分析"/>
      <sheetName val="GraphData"/>
      <sheetName val="季度分析"/>
      <sheetName val="Jihe WestCashEarnings"/>
      <sheetName val="投资"/>
      <sheetName val="筹资"/>
      <sheetName val="首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投资"/>
      <sheetName val="筹资"/>
      <sheetName val="绝对估值"/>
      <sheetName val="首页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Val Sum-03-10 "/>
      <sheetName val="Model"/>
      <sheetName val="S&amp;U"/>
      <sheetName val="Shares"/>
      <sheetName val="Voting Analysis"/>
      <sheetName val="Cable Partners"/>
      <sheetName val="Historical Share $"/>
      <sheetName val="DCF Flexer"/>
      <sheetName val="Euro Comps"/>
      <sheetName val="Data Switch"/>
      <sheetName val="Sprint Group Growth '02"/>
      <sheetName val="Subs,GA,NA"/>
      <sheetName val="REV,EBITDA,NI,FCF"/>
      <sheetName val="Summary"/>
      <sheetName val="Summary Short"/>
      <sheetName val="Aff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Val Sum-03-10 "/>
      <sheetName val="Model"/>
      <sheetName val="S&amp;U"/>
      <sheetName val="Shares"/>
      <sheetName val="Voting Analysis"/>
      <sheetName val="Cable Partners"/>
      <sheetName val="Historical Share $"/>
      <sheetName val="DCF Flexer"/>
      <sheetName val="Euro Comps"/>
      <sheetName val="Data Switch"/>
      <sheetName val="Sprint Group Growth '02"/>
      <sheetName val="Subs,GA,NA"/>
      <sheetName val="REV,EBITDA,NI,FCF"/>
      <sheetName val="Summary"/>
      <sheetName val="Summary Short"/>
      <sheetName val="Aff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Income Statement"/>
      <sheetName val="Cash Flow"/>
      <sheetName val="Balance Sheet"/>
      <sheetName val="Fin Stats"/>
      <sheetName val="PTF Worksheet"/>
      <sheetName val="Power Plants"/>
      <sheetName val="Op Co"/>
      <sheetName val="DCF - Valuation"/>
      <sheetName val="New Resources"/>
      <sheetName val="Trading Vol"/>
      <sheetName val="TX Brownfield"/>
      <sheetName val="ERCOT Res Margin"/>
      <sheetName val="SE Assets &amp; RF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Old BKS"/>
      <sheetName val="MODEL"/>
      <sheetName val="SCF &amp; BS"/>
      <sheetName val="Report Stats"/>
      <sheetName val="Report Income Statement"/>
      <sheetName val="DCF + ROCE"/>
      <sheetName val="Report CFBS"/>
      <sheetName val="SEARS"/>
      <sheetName val="AITDATA"/>
      <sheetName val="NKEBALST"/>
      <sheetName val="NKEQTRIN"/>
      <sheetName val="ImportantDisclosures"/>
      <sheetName val="IndexInformation"/>
      <sheetName val="Income"/>
      <sheetName val="FOA Val"/>
      <sheetName val="WOW Val"/>
      <sheetName val="oldmodelstuff"/>
      <sheetName val="table for quarterly"/>
      <sheetName val="Pension_Old"/>
      <sheetName val="SQLSheet"/>
      <sheetName val="Qtr Income"/>
      <sheetName val=" Qtr Margin"/>
      <sheetName val="Qtr Sales"/>
      <sheetName val="res"/>
      <sheetName val="Macro1"/>
      <sheetName val="Macro2"/>
      <sheetName val="Key Assumptions &amp; Outputs"/>
      <sheetName val="Divisional Modelling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Layout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Layout"/>
    </sheetNames>
    <sheetDataSet>
      <sheetData sheetId="0"/>
      <sheetData sheetId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P &amp; L"/>
      <sheetName val="Balance Sheet"/>
      <sheetName val="NPL"/>
      <sheetName val="CAR"/>
      <sheetName val="Off BS"/>
      <sheetName val="Book"/>
      <sheetName val="Shares"/>
      <sheetName val="Cashflow"/>
      <sheetName val="Interim"/>
      <sheetName val="Historical"/>
      <sheetName val="Tables"/>
      <sheetName val="Charts"/>
      <sheetName val=" FLASH"/>
      <sheetName val="Flash 2"/>
      <sheetName val="Page 1"/>
      <sheetName val="Page 2"/>
      <sheetName val="Page 3"/>
      <sheetName val="Page 4"/>
      <sheetName val="Template"/>
      <sheetName val="NERD"/>
      <sheetName val="NERD2"/>
      <sheetName val="Grabber"/>
      <sheetName val="OTB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P &amp; L"/>
      <sheetName val="Balance Sheet"/>
      <sheetName val="NPL"/>
      <sheetName val="CAR"/>
      <sheetName val="Off BS"/>
      <sheetName val="Book"/>
      <sheetName val="Shares"/>
      <sheetName val="Cashflow"/>
      <sheetName val="Interim"/>
      <sheetName val="Historical"/>
      <sheetName val="Tables"/>
      <sheetName val="Charts"/>
      <sheetName val=" FLASH"/>
      <sheetName val="Flash 2"/>
      <sheetName val="Page 1"/>
      <sheetName val="Page 2"/>
      <sheetName val="Page 3"/>
      <sheetName val="Page 4"/>
      <sheetName val="Template"/>
      <sheetName val="NERD"/>
      <sheetName val="NERD2"/>
      <sheetName val="Grabber"/>
      <sheetName val="OTB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Joe"/>
      <sheetName val="Index"/>
      <sheetName val="A-1 Book to Tax Reconciliation"/>
      <sheetName val="A-3 Balance Sheet"/>
      <sheetName val="A-4 Income Statement"/>
      <sheetName val="A-4a Gross Receipts"/>
      <sheetName val="F-1 Form 1118 Worksheet"/>
      <sheetName val="F-2 Form 1118 Sch B Attachment"/>
      <sheetName val="F-3 Form 1118 AMT"/>
      <sheetName val="G-1 Depreciation Form 4562"/>
      <sheetName val="G-07 Depreciation Detail"/>
      <sheetName val="G-08 AMT Form 4626"/>
      <sheetName val="G-10 AMT Depreciation Detail "/>
      <sheetName val="K-1 Retained Earnings Rollfwd"/>
      <sheetName val="O-1.1 Pro-Forma 1120"/>
      <sheetName val="O-1.2 Officer Comp"/>
      <sheetName val="O-1.3 Sch J Tax Computation"/>
      <sheetName val="O-1.4 Sch K Other information"/>
      <sheetName val="O-1.5 Schedule L"/>
      <sheetName val="O-1.6 Dividends &amp; Interest"/>
      <sheetName val="O-1.7 Salaries &amp; Wages"/>
      <sheetName val="O-1.8 Repairs and Maintenance"/>
      <sheetName val="O-1.9 Tax &amp; Licenses"/>
      <sheetName val="O-1.10 Employee benefits"/>
      <sheetName val="O-1.11 Other Deductions"/>
      <sheetName val="O-2 Interest Expense "/>
      <sheetName val="O-3 UK Operations Jan-Jun 2008"/>
      <sheetName val="S-1 State Apportionment"/>
      <sheetName val="A-1_Book_to_Tax_Reconciliation"/>
      <sheetName val="A-3_Balance_Sheet"/>
      <sheetName val="A-4_Income_Statement"/>
      <sheetName val="A-4a_Gross_Receipts"/>
      <sheetName val="F-1_Form_1118_Worksheet"/>
      <sheetName val="F-2_Form_1118_Sch_B_Attachment"/>
      <sheetName val="F-3_Form_1118_AMT"/>
      <sheetName val="G-1_Depreciation_Form_4562"/>
      <sheetName val="G-07_Depreciation_Detail"/>
      <sheetName val="G-08_AMT_Form_4626"/>
      <sheetName val="G-10_AMT_Depreciation_Detail_"/>
      <sheetName val="K-1_Retained_Earnings_Rollfwd"/>
      <sheetName val="O-1_1_Pro-Forma_1120"/>
      <sheetName val="O-1_2_Officer_Comp"/>
      <sheetName val="O-1_3_Sch_J_Tax_Computation"/>
      <sheetName val="O-1_4_Sch_K_Other_information"/>
      <sheetName val="O-1_5_Schedule_L"/>
      <sheetName val="O-1_6_Dividends_&amp;_Interest"/>
      <sheetName val="O-1_7_Salaries_&amp;_Wages"/>
      <sheetName val="O-1_8_Repairs_and_Maintenance"/>
      <sheetName val="O-1_9_Tax_&amp;_Licenses"/>
      <sheetName val="O-1_10_Employee_benefits"/>
      <sheetName val="O-1_11_Other_Deductions"/>
      <sheetName val="O-2_Interest_Expense_"/>
      <sheetName val="O-3_UK_Operations_Jan-Jun_2008"/>
      <sheetName val="S-1_State_Apportionment"/>
      <sheetName val="Co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HK rates"/>
      <sheetName val="Int'l rates"/>
      <sheetName val="Summary"/>
      <sheetName val="NPL"/>
      <sheetName val="LDR"/>
      <sheetName val="Margin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ans"/>
      <sheetName val="Trade Finance"/>
      <sheetName val="Credit Card"/>
      <sheetName val="loan breakdown"/>
      <sheetName val="Mrates"/>
      <sheetName val="deposits"/>
      <sheetName val="property"/>
      <sheetName val="Foreign Banks"/>
      <sheetName val="Mortgage NPL"/>
      <sheetName val="Page 1"/>
      <sheetName val="LD ratio"/>
      <sheetName val="MACRO"/>
      <sheetName val="Office"/>
      <sheetName val="#REF"/>
      <sheetName val="Unemployment"/>
      <sheetName val="Chi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HK rates"/>
      <sheetName val="Int'l rates"/>
      <sheetName val="Summary"/>
      <sheetName val="NPL"/>
      <sheetName val="LDR"/>
      <sheetName val="Margin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ans"/>
      <sheetName val="Trade Finance"/>
      <sheetName val="Credit Card"/>
      <sheetName val="loan breakdown"/>
      <sheetName val="Mrates"/>
      <sheetName val="deposits"/>
      <sheetName val="property"/>
      <sheetName val="Foreign Banks"/>
      <sheetName val="Mortgage NPL"/>
      <sheetName val="Page 1"/>
      <sheetName val="LD ratio"/>
      <sheetName val="MACRO"/>
      <sheetName val="Office"/>
      <sheetName val="#REF"/>
      <sheetName val="Unemployment"/>
      <sheetName val="Chi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atement"/>
      <sheetName val="Fin Stats"/>
      <sheetName val="Model Introduction"/>
      <sheetName val="Quarterly"/>
      <sheetName val="Cash Flow"/>
      <sheetName val="Balance Sheet"/>
      <sheetName val="APS"/>
      <sheetName val="Power Pl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__snloffice"/>
      <sheetName val="Cover"/>
      <sheetName val="Valuation"/>
      <sheetName val="Financial"/>
      <sheetName val="SO"/>
      <sheetName val="MW-Cache"/>
      <sheetName val="Georgia"/>
      <sheetName val="Alabama"/>
      <sheetName val="Mississippi"/>
      <sheetName val="Southern Power"/>
      <sheetName val="SO Gas"/>
      <sheetName val="Parent"/>
      <sheetName val="SNL Pipeline Financials"/>
      <sheetName val="Debt"/>
      <sheetName val="Regulatory Radar"/>
      <sheetName val="NOT FOR PUBLICATION &gt;&gt;"/>
      <sheetName val="Gulf Power"/>
      <sheetName val="YoY comps"/>
      <sheetName val="mwareSettings"/>
      <sheetName val="mwareDates_43179_4416398"/>
      <sheetName val="mwareDates"/>
      <sheetName val="MWA RR"/>
      <sheetName val="Gas Pipeline Financials"/>
      <sheetName val="MW GEG"/>
      <sheetName val="SO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CL_A"/>
      <sheetName val="kejian"/>
      <sheetName val="Bird"/>
      <sheetName val="BYD"/>
      <sheetName val="data"/>
      <sheetName val="HK rates"/>
      <sheetName val="old Model"/>
      <sheetName val="Model"/>
      <sheetName val="P&amp;L"/>
      <sheetName val="Layout"/>
      <sheetName val="industry output"/>
      <sheetName val="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Summary"/>
      <sheetName val="Matrix"/>
      <sheetName val="EPS"/>
      <sheetName val="LTM facts"/>
      <sheetName val="Owners"/>
      <sheetName val="Val2"/>
      <sheetName val="Valuation"/>
      <sheetName val="DCF"/>
      <sheetName val="ISBS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Summary"/>
      <sheetName val="Matrix"/>
      <sheetName val="EPS"/>
      <sheetName val="LTM facts"/>
      <sheetName val="Owners"/>
      <sheetName val="Val2"/>
      <sheetName val="Valuation"/>
      <sheetName val="DCF"/>
      <sheetName val="ISBS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SPARC"/>
      <sheetName val="Data"/>
      <sheetName val="FlowChart"/>
      <sheetName val="Dev Sum"/>
      <sheetName val="环卫机械"/>
      <sheetName val="Investment"/>
      <sheetName val="Sheet1"/>
      <sheetName val="DDETABLE "/>
      <sheetName val="BS"/>
      <sheetName val="下游家电行业数据"/>
      <sheetName val="Assumptions"/>
      <sheetName val="Cover"/>
      <sheetName val="HK rates"/>
      <sheetName val="ISBSCF"/>
      <sheetName val="Inputs"/>
      <sheetName val="Summary"/>
      <sheetName val="KeyMultInputs"/>
      <sheetName val="单产品敏感性分析"/>
      <sheetName val="假设"/>
      <sheetName val="年度数据"/>
      <sheetName val="单公司Beta"/>
      <sheetName val="利润表"/>
      <sheetName val="现金流量"/>
      <sheetName val="资本投资"/>
      <sheetName val="资产负债"/>
      <sheetName val="Jihe WestCashEarn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  <sheetName val="PL"/>
      <sheetName val="Shares"/>
      <sheetName val="P&amp;L"/>
      <sheetName val="Layout"/>
      <sheetName val="Jihe WestCashEarnings"/>
      <sheetName val="SM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BS"/>
      <sheetName val="Modelware"/>
      <sheetName val="Segment ROCE"/>
      <sheetName val="E&amp;PIS"/>
      <sheetName val="E&amp;P"/>
      <sheetName val="R&amp;MIS"/>
      <sheetName val="NEW SOURCE"/>
      <sheetName val="CHEMIS"/>
      <sheetName val="Midstream"/>
      <sheetName val="ALASKA"/>
      <sheetName val="Working Cap"/>
      <sheetName val="Corp"/>
      <sheetName val="Capex"/>
      <sheetName val="SYNCRUDE"/>
      <sheetName val="ShareRepurchase"/>
      <sheetName val="OP"/>
      <sheetName val="Debt Schedule"/>
      <sheetName val="COP_Bear_to_Bull_Chart"/>
      <sheetName val="COP_Bear_to_Bull_Data"/>
      <sheetName val="COP_Risk-Reward_View_Chart"/>
      <sheetName val="COP-EN"/>
      <sheetName val="Reserves"/>
      <sheetName val="COP-BR"/>
      <sheetName val="A-Link Source"/>
      <sheetName val="COP-BR Updat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Variance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Settings"/>
      <sheetName val="Global Product Sum"/>
      <sheetName val="mwareDates"/>
      <sheetName val="NY UPLOAD shadow"/>
      <sheetName val="COP - RRV"/>
      <sheetName val="mwareDates_39111_8204615"/>
      <sheetName val="MWare_Cached"/>
      <sheetName val="NewReserves"/>
      <sheetName val="DEKA"/>
      <sheetName val="GE Data"/>
      <sheetName val="NY UPLOAD"/>
      <sheetName val="__FDSCACHE__"/>
      <sheetName val="Sensitivity Analysis"/>
      <sheetName val="Lukoil"/>
      <sheetName val="TOS"/>
      <sheetName val="TSO"/>
      <sheetName val="MW Valuation"/>
      <sheetName val="MW-Cache"/>
      <sheetName val="MW ROE Analyzer"/>
      <sheetName val="P"/>
      <sheetName val="COC"/>
      <sheetName val="VLOVAL"/>
      <sheetName val="R-Stats1"/>
      <sheetName val="NEWREF"/>
      <sheetName val="REPLCOST"/>
      <sheetName val="ROCE"/>
      <sheetName val="PBook"/>
      <sheetName val="VLOVAL1"/>
      <sheetName val="VLO"/>
      <sheetName val="XOM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TOS"/>
      <sheetName val="BS"/>
      <sheetName val="Nymex"/>
      <sheetName val="Stats"/>
      <sheetName val="Variance"/>
      <sheetName val="quarterly"/>
      <sheetName val="ROCE"/>
      <sheetName val="XON Acq."/>
      <sheetName val="Wood R. Avon"/>
      <sheetName val="Alliance"/>
      <sheetName val="Cork"/>
      <sheetName val="INPC-Whitegate"/>
      <sheetName val="Retail"/>
      <sheetName val="WACC"/>
      <sheetName val="Book Value"/>
      <sheetName val="Chart"/>
      <sheetName val="E PWR"/>
      <sheetName val="Acq."/>
      <sheetName val="UCL"/>
      <sheetName val="Notes"/>
      <sheetName val="Old - Refineries"/>
      <sheetName val="Debt"/>
      <sheetName val="Data"/>
      <sheetName val="GE Data"/>
      <sheetName val="IndexInformation"/>
      <sheetName val="MainCode"/>
      <sheetName val="NY UPLOAD.bak"/>
      <sheetName val="NY UPLOAD Shadow.bak"/>
      <sheetName val="NY UPLOAD"/>
      <sheetName val="NY UPLOAD Shadow"/>
      <sheetName val="P"/>
      <sheetName val="Divisional Comps"/>
      <sheetName val="DCF + ROCE"/>
      <sheetName val="Report Stats"/>
      <sheetName val="Report CFBS"/>
      <sheetName val="VLOVAL"/>
      <sheetName val="R-Stats1"/>
      <sheetName val="Diffs"/>
      <sheetName val="NEWREF"/>
      <sheetName val="REPLCOST"/>
      <sheetName val="PBook"/>
      <sheetName val="CAPEX"/>
      <sheetName val="VLOVAL1"/>
      <sheetName val="VLO"/>
      <sheetName val="Front Page"/>
      <sheetName val="Report Income Statement"/>
      <sheetName val="Sum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FSLR vs Imported Module Cost"/>
    </sheetNames>
    <definedNames>
      <definedName name="Choices_Wrapper"/>
    </definedNames>
    <sheetDataSet>
      <sheetData sheetId="0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c1"/>
      <sheetName val="Sheet1"/>
      <sheetName val="Scenario"/>
      <sheetName val="GWP-WLine"/>
      <sheetName val="Cover"/>
      <sheetName val="ImportantDisclosures"/>
      <sheetName val="IndexInformation"/>
      <sheetName val="Income"/>
      <sheetName val="GWP"/>
      <sheetName val="Euro vs. PM"/>
      <sheetName val="Ruble"/>
      <sheetName val="Income Statement"/>
      <sheetName val="Margins"/>
      <sheetName val="MS_IRI_Methodology"/>
      <sheetName val="MARKET_SHARE ($)_RAW_DATA"/>
      <sheetName val="NEXXUS_RAW_DATA"/>
      <sheetName val="HAIR_CARE_MARKET SHARE ROLL-UP"/>
      <sheetName val="TOTAL_ACV_DOLLAR_SALES"/>
      <sheetName val="Comps"/>
      <sheetName val="Switches"/>
      <sheetName val="SSB Nielsen Sales"/>
      <sheetName val="TimeSeries"/>
      <sheetName val="Valuation Analyzer"/>
      <sheetName val="EBITDA"/>
      <sheetName val="TS_Stnd_Dev_Band"/>
      <sheetName val="Print "/>
      <sheetName val="Lookup"/>
      <sheetName val="Input"/>
      <sheetName val="99 cons YTD"/>
      <sheetName val="KPN"/>
      <sheetName val="B"/>
      <sheetName val="Ratios"/>
      <sheetName val="C"/>
      <sheetName val="Data"/>
      <sheetName val="summary"/>
      <sheetName val="Realizations vs Average"/>
      <sheetName val="Oil Consumption – barrels"/>
      <sheetName val="rev change analysis"/>
      <sheetName val="SOP"/>
      <sheetName val="BBG"/>
      <sheetName val="Data2"/>
      <sheetName val="Val"/>
      <sheetName val="Mom"/>
      <sheetName val="Prod"/>
      <sheetName val="Prof"/>
      <sheetName val="O1000"/>
      <sheetName val="Global penetration"/>
      <sheetName val="penetration province"/>
      <sheetName val="graphy"/>
      <sheetName val="Private Auto"/>
      <sheetName val="sector"/>
      <sheetName val="value driver"/>
      <sheetName val="收益率曲线"/>
      <sheetName val="海外市场"/>
      <sheetName val="公开市场"/>
      <sheetName val="货币市场"/>
      <sheetName val="DCF Analysis"/>
      <sheetName val="HK rates"/>
      <sheetName val="Assumptions"/>
      <sheetName val="Dev Sum"/>
      <sheetName val="Investment"/>
      <sheetName val="Customer Name"/>
      <sheetName val="FMV 05"/>
      <sheetName val="DIRECTV US"/>
      <sheetName val="FCF"/>
      <sheetName val="DIRECTV US FCF"/>
      <sheetName val="Rev and OCF"/>
      <sheetName val="Scorecard"/>
      <sheetName val="FMV 06"/>
      <sheetName val="TCL_A"/>
      <sheetName val="kejian"/>
      <sheetName val="Bird"/>
      <sheetName val="BYD"/>
      <sheetName val="Database"/>
      <sheetName val="AFRICA"/>
      <sheetName val="LAMERICA"/>
      <sheetName val="EUROPE"/>
      <sheetName val="RUSSIA_CASPIAN"/>
      <sheetName val="产业在线电视"/>
      <sheetName val="冰箱"/>
      <sheetName val="家空行业"/>
      <sheetName val="冰行业"/>
      <sheetName val="洗行业"/>
      <sheetName val="家用空调"/>
      <sheetName val="电视机"/>
      <sheetName val="洗衣机"/>
      <sheetName val="家电下乡"/>
      <sheetName val="PZN DCF"/>
      <sheetName val="Model"/>
      <sheetName val="Prices"/>
      <sheetName val="R3000"/>
      <sheetName val="Manager"/>
      <sheetName val="E&amp;P Reuters"/>
      <sheetName val="perf charts 4"/>
      <sheetName val="Title"/>
      <sheetName val="Raw Data"/>
      <sheetName val="ISBSCF"/>
      <sheetName val="OpMrgn(net)"/>
      <sheetName val="1经营"/>
      <sheetName val="3损益"/>
      <sheetName val="Sheet5"/>
      <sheetName val="Dem-HH"/>
      <sheetName val="BigRED Downloader"/>
      <sheetName val="BigRED Downloader (Banks)"/>
      <sheetName val="Backpage Template (Banks)"/>
      <sheetName val="query results"/>
      <sheetName val="GEMiner"/>
      <sheetName val="NERD"/>
      <sheetName val="Jihe WestCashEarnings"/>
      <sheetName val="PE-Band(港股)"/>
      <sheetName val="首页"/>
      <sheetName val="Loan_Q"/>
      <sheetName val="user"/>
      <sheetName val="Inputs_NonTimeBased"/>
      <sheetName val="单产品敏感性分析"/>
      <sheetName val="假设"/>
      <sheetName val="年度数据"/>
      <sheetName val="单公司Beta"/>
      <sheetName val="利润表"/>
      <sheetName val="现金流量"/>
      <sheetName val="资本投资"/>
      <sheetName val="资产负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年度数据重构"/>
      <sheetName val="会计科目代码"/>
      <sheetName val="操作指南"/>
      <sheetName val="假设"/>
      <sheetName val="home"/>
      <sheetName val="输出"/>
      <sheetName val="历史数据"/>
      <sheetName val="历史数据（简化）"/>
      <sheetName val="年度数据 (函数)"/>
      <sheetName val="年度数据"/>
      <sheetName val="收入成本预测"/>
      <sheetName val="报告期历史数据"/>
      <sheetName val="季度利润表预测"/>
      <sheetName val="资本投资"/>
      <sheetName val="债务"/>
      <sheetName val="利润表"/>
      <sheetName val="资产负债"/>
      <sheetName val="现金流量"/>
      <sheetName val="营运资本"/>
      <sheetName val="财务分析"/>
      <sheetName val="可比公司估值"/>
      <sheetName val="估值"/>
      <sheetName val="Cache"/>
      <sheetName val="预测合理性检验"/>
      <sheetName val="相对估值"/>
      <sheetName val="绝对估值"/>
      <sheetName val="单产品敏感性分析"/>
      <sheetName val="情景表"/>
      <sheetName val="绝对估值敏感性分析"/>
      <sheetName val="单公司Beta"/>
      <sheetName val="季度数据"/>
      <sheetName val="季度财务分析"/>
      <sheetName val="GraphData"/>
      <sheetName val="季度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Income Statement"/>
      <sheetName val="Cash Flow"/>
      <sheetName val="Balance Sheet"/>
      <sheetName val="Fin Stats"/>
      <sheetName val="PTF Worksheet"/>
      <sheetName val="Power Plants"/>
      <sheetName val="Op Co"/>
      <sheetName val="DCF -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ummary"/>
      <sheetName val="Assumptions"/>
      <sheetName val="Market"/>
      <sheetName val="Total_Revenue"/>
      <sheetName val="Total_Revenue_rolling"/>
      <sheetName val="Domestic_Revenue"/>
      <sheetName val="Dome_Rev_rolling"/>
      <sheetName val="Inter_Revenue"/>
      <sheetName val="BS"/>
      <sheetName val="P&amp;L"/>
      <sheetName val="CF"/>
      <sheetName val="DCF"/>
      <sheetName val="COGS"/>
      <sheetName val="S&amp;M"/>
      <sheetName val="R&amp;D"/>
      <sheetName val="Capex"/>
      <sheetName val="long-term"/>
      <sheetName val="long-term within 1 yr"/>
      <sheetName val="short-term"/>
      <sheetName val="EBIT_Fixed"/>
      <sheetName val="EBIT_Optical"/>
      <sheetName val="EBIT_Wireless"/>
      <sheetName val="EBIT_Software"/>
      <sheetName val="Cases_Domestic_Market"/>
      <sheetName val="Cases_Operating"/>
      <sheetName val="Output"/>
      <sheetName val="Template"/>
      <sheetName val="Customer_Service"/>
      <sheetName val="Output_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ummary"/>
      <sheetName val="Assumptions"/>
      <sheetName val="Market"/>
      <sheetName val="Total_Revenue"/>
      <sheetName val="Total_Revenue_rolling"/>
      <sheetName val="Domestic_Revenue"/>
      <sheetName val="Dome_Rev_rolling"/>
      <sheetName val="Inter_Revenue"/>
      <sheetName val="BS"/>
      <sheetName val="P&amp;L"/>
      <sheetName val="CF"/>
      <sheetName val="DCF"/>
      <sheetName val="COGS"/>
      <sheetName val="S&amp;M"/>
      <sheetName val="R&amp;D"/>
      <sheetName val="Capex"/>
      <sheetName val="long-term"/>
      <sheetName val="long-term within 1 yr"/>
      <sheetName val="short-term"/>
      <sheetName val="EBIT_Fixed"/>
      <sheetName val="EBIT_Optical"/>
      <sheetName val="EBIT_Wireless"/>
      <sheetName val="EBIT_Software"/>
      <sheetName val="Cases_Domestic_Market"/>
      <sheetName val="Cases_Operating"/>
      <sheetName val="Output"/>
      <sheetName val="Template"/>
      <sheetName val="Customer_Service"/>
      <sheetName val="Output_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GDP FAI"/>
      <sheetName val="地价"/>
      <sheetName val="全国住宅建设情况c9"/>
      <sheetName val="可支配收入C3 11&amp;12"/>
      <sheetName val="Beijing"/>
      <sheetName val="Shanghai"/>
      <sheetName val="Investment"/>
      <sheetName val="Shenzhen"/>
      <sheetName val="3Q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GDP FAI"/>
      <sheetName val="地价"/>
      <sheetName val="全国住宅建设情况c9"/>
      <sheetName val="可支配收入C3 11&amp;12"/>
      <sheetName val="Beijing"/>
      <sheetName val="Shanghai"/>
      <sheetName val="Investment"/>
      <sheetName val="Shenzhen"/>
      <sheetName val="3Q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c1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Jihe WestInt_Paid"/>
      <sheetName val="Jihe WestCashEarnings"/>
      <sheetName val="民用燃煤消费量"/>
      <sheetName val="PL"/>
      <sheetName val="902"/>
      <sheetName val="ACE-OUT"/>
      <sheetName val="BS Growth"/>
      <sheetName val="Data"/>
      <sheetName val="Valuation"/>
      <sheetName val="PZN DCF"/>
      <sheetName val="CVC NY GAAP Fin. Statements"/>
      <sheetName val="DCF"/>
      <sheetName val="主营构成"/>
      <sheetName val="十大股东"/>
      <sheetName val="战略优势"/>
      <sheetName val="生产端"/>
      <sheetName val="控股或参股公司"/>
      <sheetName val="销售"/>
      <sheetName val="成本优势"/>
      <sheetName val="快速应对客户需求"/>
      <sheetName val="竞争对手对比"/>
      <sheetName val="全球继电器市场 子领域"/>
      <sheetName val="市场判断-细分赛道"/>
      <sheetName val="调研资料整理"/>
      <sheetName val="新能源车市场总表"/>
      <sheetName val="高压直流继电器"/>
      <sheetName val="汽车继电器"/>
      <sheetName val="家电 通用"/>
      <sheetName val="电力继电器"/>
      <sheetName val="商品房销售面积"/>
      <sheetName val="工控"/>
      <sheetName val="通信"/>
      <sheetName val="低压电器"/>
      <sheetName val="Sheet1"/>
      <sheetName val="绝对估值"/>
      <sheetName val="Jihe_WestInt_Paid"/>
      <sheetName val="_Control"/>
      <sheetName val="GEMiner"/>
      <sheetName val="EX-IM main"/>
      <sheetName val="Comps Raw"/>
      <sheetName val="Consolidated Financials"/>
      <sheetName val="GYSTD LIST"/>
      <sheetName val="Info"/>
      <sheetName val="毛利率分析表"/>
      <sheetName val="LTM"/>
      <sheetName val="CREDIT STATS"/>
      <sheetName val="DropZone"/>
      <sheetName val="MAIN"/>
      <sheetName val="CopperSupplyDemand"/>
      <sheetName val="P&amp;L"/>
      <sheetName val="Layout"/>
      <sheetName val="VOCs行业新闻更新"/>
      <sheetName val="c1"/>
      <sheetName val="NDF"/>
      <sheetName val="国别GDP"/>
      <sheetName val="Inputs_NonTimeBased"/>
      <sheetName val="Costs_Table"/>
      <sheetName val="FORECAST_OUTSAM"/>
      <sheetName val="Global Assumptions"/>
      <sheetName val="Essbase RESEAU"/>
      <sheetName val="PetroConsultants"/>
      <sheetName val="B"/>
      <sheetName val="Ratios"/>
      <sheetName val="C"/>
      <sheetName val="进口大豆价格-data"/>
      <sheetName val="水泥固投"/>
      <sheetName val="FXRATES"/>
      <sheetName val="AP"/>
      <sheetName val="未来10年保费预测"/>
      <sheetName val="(13)商用车"/>
      <sheetName val="Report1"/>
      <sheetName val="首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Graphs_Equity Summary"/>
      <sheetName val="Graphs_Credit Summary"/>
      <sheetName val="Equity Summary"/>
      <sheetName val="Credit Summary"/>
      <sheetName val="Investments"/>
      <sheetName val="ADLAC"/>
      <sheetName val="CVC"/>
      <sheetName val="CHTR"/>
      <sheetName val="CLSC"/>
      <sheetName val="cmcsk"/>
      <sheetName val="CMCSKA"/>
      <sheetName val="COX"/>
      <sheetName val="Cox Sprint PCS"/>
      <sheetName val="COX &amp; AT&amp;T"/>
      <sheetName val="ICCI"/>
      <sheetName val="MCCC"/>
      <sheetName val="Prices"/>
      <sheetName val="Deal Lis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Graphs_Equity Summary"/>
      <sheetName val="Graphs_Credit Summary"/>
      <sheetName val="Equity Summary"/>
      <sheetName val="Credit Summary"/>
      <sheetName val="Investments"/>
      <sheetName val="ADLAC"/>
      <sheetName val="CVC"/>
      <sheetName val="CHTR"/>
      <sheetName val="CLSC"/>
      <sheetName val="cmcsk"/>
      <sheetName val="CMCSKA"/>
      <sheetName val="COX"/>
      <sheetName val="Cox Sprint PCS"/>
      <sheetName val="COX &amp; AT&amp;T"/>
      <sheetName val="ICCI"/>
      <sheetName val="MCCC"/>
      <sheetName val="Prices"/>
      <sheetName val="Deal Lis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onsolidated Financials"/>
      <sheetName val="segment"/>
      <sheetName val="Segment Analysis"/>
      <sheetName val="Valuation"/>
      <sheetName val="hist performance"/>
      <sheetName val="Factsheet"/>
      <sheetName val="Summary"/>
      <sheetName val="financial performance"/>
      <sheetName val="Module1"/>
      <sheetName val="Module2"/>
      <sheetName val="Module3"/>
      <sheetName val="Module4"/>
      <sheetName val="Module5"/>
      <sheetName val="Module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Consolidated Financials"/>
      <sheetName val="segment"/>
      <sheetName val="Segment Analysis"/>
      <sheetName val="Valuation"/>
      <sheetName val="hist performance"/>
      <sheetName val="Factsheet"/>
      <sheetName val="Summary"/>
      <sheetName val="financial performance"/>
      <sheetName val="Module1"/>
      <sheetName val="Module2"/>
      <sheetName val="Module3"/>
      <sheetName val="Module4"/>
      <sheetName val="Module5"/>
      <sheetName val="Module7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BS ComSize"/>
      <sheetName val="SU ComSize"/>
      <sheetName val="Proj Growth"/>
      <sheetName val="Credit Stats"/>
      <sheetName val="Returns"/>
      <sheetName val="FFO DCF"/>
      <sheetName val="ServCo A DCF"/>
      <sheetName val="ServCo B DCF"/>
      <sheetName val="PZN DCF"/>
      <sheetName val="OpCo DCF"/>
      <sheetName val="Sheet1"/>
      <sheetName val="Interest Calc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BS ComSize"/>
      <sheetName val="SU ComSize"/>
      <sheetName val="Proj Growth"/>
      <sheetName val="Credit Stats"/>
      <sheetName val="Returns"/>
      <sheetName val="FFO DCF"/>
      <sheetName val="ServCo A DCF"/>
      <sheetName val="ServCo B DCF"/>
      <sheetName val="PZN DCF"/>
      <sheetName val="OpCo DCF"/>
      <sheetName val="Sheet1"/>
      <sheetName val="Interest Calc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</sheetNames>
    <sheetDataSet>
      <sheetData sheetId="0" refreshError="1"/>
      <sheetData sheetId="1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</sheetNames>
    <sheetDataSet>
      <sheetData sheetId="0"/>
      <sheetData sheetId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Mining"/>
      <sheetName val="Insurance"/>
      <sheetName val="Banks"/>
      <sheetName val="Oils"/>
      <sheetName val="General Europe"/>
      <sheetName val="General UK"/>
      <sheetName val="Latest_Chart"/>
      <sheetName val="Add4Sheet"/>
      <sheetName val="Module2"/>
      <sheetName val="Module1"/>
      <sheetName val="LINKTAB"/>
      <sheetName val="Model"/>
      <sheetName val="P"/>
      <sheetName val="Market_Share"/>
      <sheetName val="Assumptions"/>
      <sheetName val="Summary"/>
      <sheetName val="Consol_Income"/>
      <sheetName val="Balance Sheet"/>
      <sheetName val="Rate Case"/>
      <sheetName val="Sheet9"/>
      <sheetName val="Leases"/>
      <sheetName val="Graph"/>
      <sheetName val="Income"/>
      <sheetName val="Financial Summary"/>
      <sheetName val="Exclusion List"/>
      <sheetName val="c1"/>
      <sheetName val="Cash flow"/>
      <sheetName val="Profit &amp; Loss"/>
      <sheetName val="Inputs, sensitivity &amp; val"/>
      <sheetName val="CFOld"/>
      <sheetName val="PLOld"/>
      <sheetName val="Headline"/>
      <sheetName val="MTT old"/>
      <sheetName val="BizJet Deliveries"/>
      <sheetName val="CENMODEL"/>
      <sheetName val="KQ"/>
      <sheetName val="Monthly figures"/>
      <sheetName val="DOMNETREV1002B"/>
      <sheetName val="Consolidated"/>
      <sheetName val="Customize Your Statement"/>
      <sheetName val="Sainsbury"/>
      <sheetName val="Presentation Tables"/>
      <sheetName val="BS"/>
      <sheetName val="CLS"/>
      <sheetName val="Ratios_NEW"/>
      <sheetName val="Ratios"/>
      <sheetName val="Interims"/>
      <sheetName val="Traffic"/>
      <sheetName val="P&amp;L"/>
      <sheetName val="Quarters"/>
      <sheetName val="Valuation"/>
      <sheetName val="Working capital"/>
      <sheetName val="Bal Sheet &amp; Cash Flow"/>
      <sheetName val="Revenue at Risk"/>
      <sheetName val="variables"/>
      <sheetName val="Valuation Summary"/>
      <sheetName val="Control"/>
      <sheetName val="Summary Output (Old to New)"/>
      <sheetName val="Table"/>
      <sheetName val="NKEANNL"/>
      <sheetName val="NKEQTRIN"/>
      <sheetName val="NKEBALST"/>
      <sheetName val="Express"/>
    </sheetNames>
    <definedNames>
      <definedName name="Download_series"/>
      <definedName name="Update_This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DCF"/>
      <sheetName val="BS"/>
      <sheetName val="Summary"/>
      <sheetName val="KBRO"/>
      <sheetName val="BS Data"/>
      <sheetName val="Access Lines"/>
      <sheetName val="Metrics"/>
      <sheetName val="2Q99"/>
      <sheetName val="1Q99"/>
      <sheetName val="4Q98"/>
      <sheetName val="3Q98"/>
      <sheetName val="Revenue &amp; EBITDA"/>
      <sheetName val="Rev &amp; EBITDA"/>
      <sheetName val="Business Mix"/>
      <sheetName val="EBITDA Chart"/>
      <sheetName val="Chart Data"/>
      <sheetName val="Capital Structure"/>
      <sheetName val="CS Data"/>
      <sheetName val="Comp Table"/>
      <sheetName val="Comp Graph"/>
      <sheetName val="SmartBuild 1"/>
      <sheetName val="SmartBuild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ache"/>
      <sheetName val="Jihe WestInt_Paid"/>
      <sheetName val="首页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Table 5-4"/>
      <sheetName val="Assumptions"/>
      <sheetName val="c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Funding"/>
      <sheetName val="CVC NY GAAP Fin. Statements"/>
      <sheetName val="Cash Flow"/>
      <sheetName val="Rev &amp; OCF - NY"/>
      <sheetName val="Rev &amp; OCF - total co"/>
      <sheetName val="Tax Analysis"/>
      <sheetName val="FMV 2002 - RMG &amp; CVC"/>
      <sheetName val="FMV 2002"/>
      <sheetName val="FMV 2003"/>
      <sheetName val="Northcoast"/>
      <sheetName val="ROI"/>
      <sheetName val="Capex"/>
      <sheetName val="MSG &amp; NY Sports"/>
      <sheetName val="News 12 &amp; Metro Channels"/>
      <sheetName val="Theaters"/>
      <sheetName val="Wiz"/>
      <sheetName val="Modeling Assumptions"/>
      <sheetName val="CVC CATV"/>
      <sheetName val="OptimumTV"/>
      <sheetName val="DVC"/>
      <sheetName val="@Home Aff"/>
      <sheetName val="Lightpath"/>
      <sheetName val="Wireline Tel Forecast "/>
      <sheetName val="Telephony Valuation"/>
      <sheetName val="comps"/>
      <sheetName val="Valuation Assumptions"/>
      <sheetName val="Sheet2"/>
      <sheetName val="Multiples"/>
      <sheetName val="Systems"/>
      <sheetName val="mStartup"/>
      <sheetName val="Global Comps Template"/>
      <sheetName val="NY UPLOAD"/>
      <sheetName val="CVC Reporting Format"/>
      <sheetName val="NY UPLOAD shadow"/>
      <sheetName val="FMV 2001"/>
      <sheetName val="Trading Sta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Funding"/>
      <sheetName val="CVC NY GAAP Fin. Statements"/>
      <sheetName val="Cash Flow"/>
      <sheetName val="Rev &amp; OCF - NY"/>
      <sheetName val="Rev &amp; OCF - total co"/>
      <sheetName val="Tax Analysis"/>
      <sheetName val="FMV 2002 - RMG &amp; CVC"/>
      <sheetName val="FMV 2002"/>
      <sheetName val="FMV 2003"/>
      <sheetName val="Northcoast"/>
      <sheetName val="ROI"/>
      <sheetName val="Capex"/>
      <sheetName val="MSG &amp; NY Sports"/>
      <sheetName val="News 12 &amp; Metro Channels"/>
      <sheetName val="Theaters"/>
      <sheetName val="Wiz"/>
      <sheetName val="Modeling Assumptions"/>
      <sheetName val="CVC CATV"/>
      <sheetName val="OptimumTV"/>
      <sheetName val="DVC"/>
      <sheetName val="@Home Aff"/>
      <sheetName val="Lightpath"/>
      <sheetName val="Wireline Tel Forecast "/>
      <sheetName val="Telephony Valuation"/>
      <sheetName val="comps"/>
      <sheetName val="Valuation Assumptions"/>
      <sheetName val="Sheet2"/>
      <sheetName val="Multiples"/>
      <sheetName val="Systems"/>
      <sheetName val="mStartup"/>
      <sheetName val="Global Comps Template"/>
      <sheetName val="NY UPLOAD"/>
      <sheetName val="CVC Reporting Format"/>
      <sheetName val="NY UPLOAD shadow"/>
      <sheetName val="FMV 2001"/>
      <sheetName val="Trading Stat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Model Price Deck"/>
      <sheetName val="Prior Week"/>
      <sheetName val="Price Change"/>
      <sheetName val="Analyzer"/>
      <sheetName val="Summary"/>
      <sheetName val="Price Deck"/>
      <sheetName val="Off Peak"/>
      <sheetName val="Peak"/>
      <sheetName val="Historicals"/>
      <sheetName val="Ga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FXRATES"/>
      <sheetName val="SHARES"/>
      <sheetName val="Multiples"/>
      <sheetName val="Comps Export"/>
      <sheetName val="Web - ValnComp"/>
      <sheetName val="CDSPric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FXRATES"/>
      <sheetName val="SHARES"/>
      <sheetName val="Multiples"/>
      <sheetName val="Comps Export"/>
      <sheetName val="Web - ValnComp"/>
      <sheetName val="CDSPric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Global Assumptions"/>
      <sheetName val="Industry Segments"/>
      <sheetName val="Market Regression Forecast"/>
      <sheetName val="Company Share"/>
      <sheetName val="Hist. Prices"/>
      <sheetName val="Rig Count"/>
      <sheetName val="Other Indicators"/>
      <sheetName val="Regression Graphs"/>
      <sheetName val="Day rate forecast"/>
      <sheetName val="Rig count forecast 6 month lag"/>
      <sheetName val="GlobalAssumption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Global Assumptions"/>
      <sheetName val="Industry Segments"/>
      <sheetName val="Market Regression Forecast"/>
      <sheetName val="Company Share"/>
      <sheetName val="Hist. Prices"/>
      <sheetName val="Rig Count"/>
      <sheetName val="Other Indicators"/>
      <sheetName val="Regression Graphs"/>
      <sheetName val="Day rate forecast"/>
      <sheetName val="Rig count forecast 6 month lag"/>
      <sheetName val="GlobalAssumption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QP&amp;L Growth"/>
      <sheetName val="BS Growth"/>
      <sheetName val="#REF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QP&amp;L Growth"/>
      <sheetName val="BS Growth"/>
      <sheetName val="#REF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Table"/>
    </sheetNames>
    <sheetDataSet>
      <sheetData sheetId="0" refreshError="1"/>
      <sheetData sheetId="1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Table"/>
    </sheetNames>
    <sheetDataSet>
      <sheetData sheetId="0" refreshError="1"/>
      <sheetData sheetId="1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Amzn"/>
      <sheetName val="Jihe WestInt_Pai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GEMiner (3)"/>
      <sheetName val="GEMiner (2)"/>
      <sheetName val="Chart data"/>
      <sheetName val="Bkdwn of exports"/>
      <sheetName val="Cost structure"/>
      <sheetName val="China Monitor"/>
      <sheetName val="KONKA.XLS"/>
      <sheetName val="K.XLS (12-04-96)"/>
      <sheetName val="K.XLS (13-1-97)"/>
      <sheetName val="K.XLS (15-4-97)"/>
      <sheetName val="K.XLS (2-6-97)"/>
      <sheetName val="Previous forecast"/>
      <sheetName val="Stresstest"/>
      <sheetName val="Master "/>
      <sheetName val="GEMiner"/>
      <sheetName val="GE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GEMiner (3)"/>
      <sheetName val="GEMiner (2)"/>
      <sheetName val="Chart data"/>
      <sheetName val="Bkdwn of exports"/>
      <sheetName val="Cost structure"/>
      <sheetName val="China Monitor"/>
      <sheetName val="KONKA.XLS"/>
      <sheetName val="K.XLS (12-04-96)"/>
      <sheetName val="K.XLS (13-1-97)"/>
      <sheetName val="K.XLS (15-4-97)"/>
      <sheetName val="K.XLS (2-6-97)"/>
      <sheetName val="Previous forecast"/>
      <sheetName val="Stresstest"/>
      <sheetName val="Master "/>
      <sheetName val="GEMiner"/>
      <sheetName val="GE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Amzn"/>
      <sheetName val="Ebay"/>
    </sheetNames>
    <sheetDataSet>
      <sheetData sheetId="0"/>
      <sheetData sheetId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Amzn"/>
      <sheetName val="Ebay"/>
    </sheetNames>
    <sheetDataSet>
      <sheetData sheetId="0" refreshError="1"/>
      <sheetData sheetId="1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XN"/>
      <sheetName val="XN-output"/>
      <sheetName val="Value-PL-CF-BS"/>
      <sheetName val="DCF Valuation"/>
      <sheetName val="PL-CF-BS"/>
      <sheetName val="Power"/>
      <sheetName val="Wind"/>
      <sheetName val="Electrification"/>
      <sheetName val="product descriptions"/>
      <sheetName val="Pic-Rev. by segments"/>
      <sheetName val="GEV sites"/>
      <sheetName val="GTs and RICEs"/>
      <sheetName val="industry capex cycles"/>
      <sheetName val="capacity expansion plans"/>
      <sheetName val="Power equipment order price"/>
      <sheetName val="Competitor"/>
      <sheetName val="Corporat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Act vs. Ests"/>
      <sheetName val="Estimate Changes"/>
      <sheetName val="MW-Cache"/>
      <sheetName val="Model"/>
      <sheetName val="Drivers &amp; Metrics"/>
      <sheetName val="DCF"/>
      <sheetName val="RR &amp; marketing book chart"/>
      <sheetName val="Marketing book chart"/>
      <sheetName val="MWA RR"/>
      <sheetName val="Scenario charts"/>
      <sheetName val="mwareDates"/>
      <sheetName val="mwareSettings"/>
      <sheetName val="T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Operating Metrics"/>
      <sheetName val="Income Statement"/>
      <sheetName val="Balance Sheet"/>
      <sheetName val="Cash Flow"/>
      <sheetName val="Valuation"/>
      <sheetName val="What's Changed"/>
      <sheetName val="Annual Output"/>
      <sheetName val="mwareDates"/>
      <sheetName val="MWA RR"/>
      <sheetName val="mwareSettings"/>
      <sheetName val="MW-Cache"/>
      <sheetName val="__FDSCACHE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 Summary"/>
      <sheetName val="EstChange"/>
      <sheetName val="Comp sheet"/>
      <sheetName val="Key metrics"/>
      <sheetName val="Key Assumptions"/>
      <sheetName val="Orders"/>
      <sheetName val="Mix Estimates"/>
      <sheetName val="IS"/>
      <sheetName val="MW-Cache"/>
      <sheetName val="BS"/>
      <sheetName val="CF"/>
      <sheetName val="Risk reward"/>
      <sheetName val="SOTP"/>
      <sheetName val="DCF"/>
      <sheetName val="Key Assumptions (old)"/>
      <sheetName val="IS (old)"/>
      <sheetName val="BS (old)"/>
      <sheetName val="CF (old)"/>
      <sheetName val="mwareDates"/>
      <sheetName val="Sheet1"/>
      <sheetName val="Sheet2"/>
      <sheetName val="MW GEG"/>
      <sheetName val="mwareSettings"/>
      <sheetName val="_Log"/>
      <sheetName val="ValuationAnalysis"/>
      <sheetName val="Onshore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S"/>
      <sheetName val="BS"/>
      <sheetName val="CF"/>
      <sheetName val="Build-up"/>
      <sheetName val="Incremental Capacity Build"/>
      <sheetName val="Multiple Analysis"/>
      <sheetName val="DCF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1. Topology"/>
      <sheetName val="2. Capacity Mix"/>
      <sheetName val="3. Initial Entry"/>
      <sheetName val="4. Generic Char"/>
      <sheetName val="5. Generic Additions"/>
      <sheetName val="6. Renewables"/>
      <sheetName val="7. Retirements"/>
      <sheetName val="8. Load Forecast"/>
      <sheetName val="9. Gas Prices"/>
      <sheetName val="10. Oil Prices"/>
      <sheetName val="11. Coal Prices"/>
      <sheetName val="12. Emission Costs"/>
      <sheetName val="13. Annual MCPs"/>
      <sheetName val="14. Monthly MCPs"/>
      <sheetName val="15. Capacity Prices"/>
      <sheetName val="16. REC"/>
      <sheetName val="Competitive"/>
      <sheetName val="Gas"/>
      <sheetName val="Off Peak"/>
      <sheetName val="Pe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1. Topology"/>
      <sheetName val="2. Capacity Mix"/>
      <sheetName val="3. Initial Entry"/>
      <sheetName val="4. Generic Char"/>
      <sheetName val="5. Generic Additions"/>
      <sheetName val="6. Renewables"/>
      <sheetName val="7. Retirements"/>
      <sheetName val="8. Load Forecast"/>
      <sheetName val="9. Load&amp;Resources"/>
      <sheetName val="10. Gas Prices"/>
      <sheetName val="11. Oil Prices"/>
      <sheetName val="12. Coal Prices"/>
      <sheetName val="13. Emission Costs"/>
      <sheetName val="14. Annual MCPs"/>
      <sheetName val="15. Monthly MCPs"/>
      <sheetName val="16. ICAP"/>
      <sheetName val="Competi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Indexes"/>
      <sheetName val="Stock Prices"/>
      <sheetName val="Misc Stock prices "/>
      <sheetName val="97PE"/>
      <sheetName val="98PE"/>
      <sheetName val="99PE"/>
      <sheetName val="00PE"/>
      <sheetName val="01PE"/>
      <sheetName val="Relative"/>
      <sheetName val="Relative (2)"/>
      <sheetName val="RelCharts"/>
      <sheetName val="RelCharts (2)"/>
      <sheetName val="Exchange rates"/>
      <sheetName val="No Shares"/>
      <sheetName val="Prices"/>
      <sheetName val="USA_misc Stock prices "/>
      <sheetName val="Forecasts_VDF"/>
      <sheetName val="MODEL"/>
      <sheetName val="02PE"/>
      <sheetName val="Template"/>
      <sheetName val="DataPage"/>
      <sheetName val="Output"/>
      <sheetName val="DCF"/>
      <sheetName val="Template1"/>
      <sheetName val="DPage"/>
      <sheetName val="Qs"/>
      <sheetName val="Sheet3"/>
      <sheetName val="MTH"/>
      <sheetName val="USA_misc Stock prices"/>
      <sheetName val="Sheet2"/>
      <sheetName val="USA Stock prices "/>
      <sheetName val="TEMPLATE_1"/>
      <sheetName val="EURO"/>
      <sheetName val="CABEQ.XLS"/>
      <sheetName val="#REF"/>
      <sheetName val="actualrelative"/>
      <sheetName val="Financials"/>
      <sheetName val="Marketing"/>
      <sheetName val="MARKETS"/>
      <sheetName val="ASSUMPTIONS"/>
      <sheetName val="TELE+"/>
      <sheetName val="MSDW ConFins"/>
      <sheetName val="Chart1"/>
      <sheetName val="WKING_DATA"/>
      <sheetName val="Consumer"/>
      <sheetName val="Val"/>
      <sheetName val="Comps"/>
      <sheetName val="Misc Stock Prices"/>
      <sheetName val=" Stock prices "/>
      <sheetName val="PXMODEL"/>
      <sheetName val="DCF Reuters"/>
      <sheetName val="Se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MultipleSecurities"/>
      <sheetName val="Model_Template"/>
      <sheetName val="Q&amp;A"/>
      <sheetName val="mwareDates"/>
      <sheetName val="mwareSettings"/>
      <sheetName val="Quarterly"/>
      <sheetName val="INPUT"/>
      <sheetName val="Val"/>
      <sheetName val="PRINT SHEET"/>
      <sheetName val="Key Metrics"/>
      <sheetName val="Profile"/>
      <sheetName val="STA GRAPHS"/>
      <sheetName val="RESIDUAL INCOME"/>
      <sheetName val="Employee"/>
      <sheetName val="Individual"/>
      <sheetName val="Assumptions"/>
      <sheetName val="BS"/>
      <sheetName val="UPS-GAS"/>
      <sheetName val="Combo Box"/>
      <sheetName val="MMD"/>
      <sheetName val="Model"/>
      <sheetName val="MATQTRS"/>
      <sheetName val="UNIV-EBS DATA"/>
      <sheetName val="Ratios"/>
      <sheetName val="MATINC"/>
      <sheetName val="MATBAL"/>
      <sheetName val="Macro1"/>
      <sheetName val="Macro2"/>
      <sheetName val="Valuation"/>
      <sheetName val="Analysis"/>
      <sheetName val="MACRS"/>
      <sheetName val="yearly"/>
      <sheetName val="OnAir"/>
      <sheetName val="LXK"/>
      <sheetName val="RELPE"/>
      <sheetName val="SALESCAT"/>
      <sheetName val="MATCASH"/>
      <sheetName val="FinSum"/>
      <sheetName val="DATA"/>
      <sheetName val="FutureAcq"/>
      <sheetName val="Credit Output"/>
      <sheetName val="CalcsMO"/>
      <sheetName val=" Capital"/>
      <sheetName val="New Business"/>
      <sheetName val="Scenario"/>
      <sheetName val="Aladdin Macro1"/>
      <sheetName val="Gas"/>
      <sheetName val="Off Peak"/>
      <sheetName val="Peak"/>
      <sheetName val="WY"/>
      <sheetName val="changes in EST"/>
      <sheetName val="US peers EBIT Margins"/>
      <sheetName val="Sheet7"/>
      <sheetName val="Model (Euro)"/>
      <sheetName val="Monthly Spot"/>
      <sheetName val="NKEBALST"/>
      <sheetName val="NKEQTRIN"/>
      <sheetName val="main"/>
      <sheetName val="Sheet1"/>
      <sheetName val="premium detail - P&amp;C"/>
      <sheetName val="DMK"/>
      <sheetName val="Sainsbury"/>
      <sheetName val="Cashflow Model"/>
      <sheetName val="Monthly figures"/>
      <sheetName val="Operations"/>
      <sheetName val="Balance Sheet"/>
      <sheetName val="Annual"/>
      <sheetName val="Accounts&amp;Forecasts"/>
      <sheetName val="macros"/>
      <sheetName val="単独"/>
      <sheetName val="ｾｸﾞﾒﾝﾄ"/>
      <sheetName val="dist"/>
      <sheetName val="LLCConsSort"/>
      <sheetName val="NY UPLOAD"/>
      <sheetName val="Output"/>
      <sheetName val="Transaction Summary"/>
      <sheetName val="XOM"/>
      <sheetName val="Notes"/>
      <sheetName val="summary"/>
      <sheetName val="Hidden"/>
      <sheetName val="Income Statement"/>
      <sheetName val="Income"/>
      <sheetName val="MDRN"/>
      <sheetName val="P&amp;L"/>
      <sheetName val="Core Model Inputs"/>
      <sheetName val="Published"/>
      <sheetName val="EEV P&amp;L"/>
      <sheetName val="Capital"/>
      <sheetName val="IFRS"/>
      <sheetName val="NKEANNL"/>
      <sheetName val="Global"/>
      <sheetName val="Bal Sheet &amp; Cash Flow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Issues Sheet"/>
      <sheetName val="#REF"/>
      <sheetName val="Exclusion List"/>
      <sheetName val="IndexInformation"/>
      <sheetName val="MATINC"/>
      <sheetName val="MATQTRS"/>
      <sheetName val="UNIV-EBS DATA"/>
      <sheetName val="RELPE"/>
      <sheetName val="Ratios"/>
      <sheetName val="SALESCAT"/>
      <sheetName val="MATBAL"/>
      <sheetName val="MATCASH"/>
      <sheetName val="FinSum"/>
      <sheetName val="Macro1"/>
      <sheetName val="Macro2"/>
      <sheetName val="MultipleSecurities"/>
      <sheetName val="FX"/>
      <sheetName val="SkyEurope"/>
      <sheetName val="Exhibits"/>
      <sheetName val="XOM"/>
      <sheetName val="Earnings"/>
      <sheetName val="c1"/>
      <sheetName val="RJR_BS"/>
      <sheetName val="RJR_IS"/>
      <sheetName val="RAH Acquisition"/>
      <sheetName val="Summary Tables"/>
      <sheetName val="Front Page"/>
      <sheetName val="annual"/>
      <sheetName val="P&amp;L"/>
      <sheetName val="US Grocery Brands"/>
      <sheetName val="Net Leverage"/>
      <sheetName val="DCF"/>
      <sheetName val="p&amp;leuro"/>
      <sheetName val="INPUT"/>
      <sheetName val="Sainsbury"/>
      <sheetName val="sales"/>
      <sheetName val="Food_Val"/>
      <sheetName val="EPS Guid_Summary"/>
      <sheetName val="Commodity Comparison"/>
      <sheetName val="EPS_Walk"/>
      <sheetName val="Pricing Sensitivity"/>
      <sheetName val="Segment Guidance Table"/>
      <sheetName val="IS"/>
      <sheetName val="BS"/>
      <sheetName val="Variance"/>
      <sheetName val="Guidance"/>
      <sheetName val="Green Giant (2)"/>
      <sheetName val="BUFF Accretion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Valuation"/>
      <sheetName val="Follow On"/>
      <sheetName val="Post-IPO Shares Calc"/>
      <sheetName val="Valuation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Valuation"/>
      <sheetName val="Follow On"/>
      <sheetName val="Post-IPO Shares Calc"/>
      <sheetName val="Valuation 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mwareTaxoPres"/>
      <sheetName val="Variance"/>
      <sheetName val="Productivity"/>
      <sheetName val="__FDSCACHE__"/>
      <sheetName val="Instructions"/>
      <sheetName val="Income Statement"/>
      <sheetName val="Balance Sheet"/>
      <sheetName val="Cash Flow"/>
      <sheetName val="mwareValPrintout"/>
      <sheetName val="Leases"/>
      <sheetName val="Pension"/>
      <sheetName val="OPEB"/>
      <sheetName val="Debt"/>
      <sheetName val="RNOA - ROE"/>
      <sheetName val="P Map"/>
      <sheetName val="ROE Map"/>
      <sheetName val="Val-Cur"/>
      <sheetName val="Intrinsic Value"/>
      <sheetName val="VALUATION"/>
      <sheetName val="mwareSettings"/>
      <sheetName val="mwareDates"/>
      <sheetName val="NY UPLOAD shadow"/>
      <sheetName val="#REF"/>
      <sheetName val="c1"/>
      <sheetName val="Divisional Comps"/>
      <sheetName val="Scena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MultipleSecurities"/>
      <sheetName val="variables"/>
      <sheetName val="Income Statement"/>
      <sheetName val="P&amp;L"/>
      <sheetName val="Annual (Dollar)"/>
      <sheetName val="M&amp;A"/>
      <sheetName val="CUS Image"/>
      <sheetName val="FX Impact"/>
      <sheetName val="Main forecast sheet"/>
      <sheetName val="Volumes"/>
      <sheetName val="Scenario"/>
      <sheetName val="Ratios, Margins &amp; Multiples"/>
      <sheetName val="BS"/>
      <sheetName val="GEMiner"/>
      <sheetName val="Ratios"/>
      <sheetName val="DDETABLE"/>
      <sheetName val="Net Profit Change"/>
      <sheetName val="worksheet lookup table"/>
      <sheetName val="VDF data"/>
      <sheetName val="BALANCE &amp; RESULTAT"/>
      <sheetName val="MATQTRS"/>
      <sheetName val="UNIV-EBS DATA"/>
      <sheetName val="MATINC"/>
      <sheetName val="RELPE"/>
      <sheetName val="SALESCAT"/>
      <sheetName val="MATBAL"/>
      <sheetName val="MATCASH"/>
      <sheetName val="FinSum"/>
      <sheetName val="Macro1"/>
      <sheetName val="Mac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Cover"/>
      <sheetName val="Valuation Old"/>
      <sheetName val="Valuation"/>
      <sheetName val="Financial"/>
      <sheetName val="FirstEnergy"/>
      <sheetName val="Distribution"/>
      <sheetName val="Competitive"/>
      <sheetName val="Transmission"/>
      <sheetName val="Parent"/>
      <sheetName val="Debt"/>
      <sheetName val="FE Plants"/>
      <sheetName val="Heat Rates"/>
      <sheetName val="Plants SNL"/>
      <sheetName val="Map Order Plants"/>
      <sheetName val="Market Prices"/>
      <sheetName val="Comp Energy Subsids."/>
      <sheetName val="PP&amp;E Detail"/>
      <sheetName val="MWA RR"/>
      <sheetName val="mwareSettings"/>
      <sheetName val="MW-Cache"/>
      <sheetName val="mwareDates"/>
      <sheetName val="Gas"/>
      <sheetName val="Off Peak"/>
      <sheetName val="Pe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Cover"/>
      <sheetName val="Duke Valuation"/>
      <sheetName val="Non-Reg Valuation"/>
      <sheetName val="Financial"/>
      <sheetName val="DUK"/>
      <sheetName val="Carolinas (DUK)"/>
      <sheetName val="Carolinas (PGN)"/>
      <sheetName val="Florida"/>
      <sheetName val="Indiana"/>
      <sheetName val="Ohio"/>
      <sheetName val="Commercial Power"/>
      <sheetName val="Int'l Energy"/>
      <sheetName val="Parent"/>
      <sheetName val="Debt"/>
      <sheetName val="Market Prices"/>
      <sheetName val="Generation profile "/>
      <sheetName val="MWA RR"/>
      <sheetName val="mwareDates"/>
      <sheetName val="mwareSettings"/>
      <sheetName val="MW-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__FDSCACHE__"/>
      <sheetName val="Summary Page"/>
      <sheetName val="Valuation"/>
      <sheetName val="Stores&amp;LFLs"/>
      <sheetName val="Geo P&amp;Ls"/>
      <sheetName val="P&amp;L-Q and H"/>
      <sheetName val="Page 2"/>
      <sheetName val="Front Page"/>
      <sheetName val="Q3 Results"/>
      <sheetName val="Assumptions"/>
      <sheetName val="Inventory vs Sales graph"/>
      <sheetName val="Ratios"/>
      <sheetName val="P&amp;L"/>
      <sheetName val="BS and CF"/>
      <sheetName val="GE Upload1"/>
      <sheetName val="Monthly Sales Data"/>
      <sheetName val="Figure Monthly Sales"/>
      <sheetName val="HMb"/>
      <sheetName val="Important Disclosures"/>
      <sheetName val="xbrldates"/>
      <sheetName val="xbrlSettings"/>
      <sheetName val="mwareTaxoPres"/>
      <sheetName val="Model"/>
      <sheetName val="Balance Sheet"/>
      <sheetName val="MultipleSecurities"/>
      <sheetName val="Scenario"/>
      <sheetName val="AITDATA"/>
      <sheetName val="Annual (Euro)"/>
      <sheetName val="Globals"/>
      <sheetName val="B-Sbis"/>
      <sheetName val="Financials"/>
      <sheetName val="00"/>
      <sheetName val="P"/>
      <sheetName val="Profit &amp; Loss"/>
      <sheetName val="is"/>
      <sheetName val="inputs"/>
      <sheetName val="Old BKS"/>
      <sheetName val="H&amp;M 15.10.2003 wip"/>
      <sheetName val="B"/>
      <sheetName val="SQLSheet"/>
      <sheetName val="New With SW"/>
      <sheetName val="InvDay"/>
      <sheetName val="Timeline"/>
      <sheetName val="MWA 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Cache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Model Price Deck"/>
      <sheetName val="Prior Week"/>
      <sheetName val="Price Change"/>
      <sheetName val="Analyzer"/>
      <sheetName val="Summary"/>
      <sheetName val="Price Deck"/>
      <sheetName val="Off Peak"/>
      <sheetName val="Peak"/>
      <sheetName val="Historicals"/>
      <sheetName val="Gas"/>
      <sheetName val="Income Statement"/>
      <sheetName val="Data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</sheet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</sheetNames>
    <sheetDataSet>
      <sheetData sheetId="0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mwareTaxoPres"/>
      <sheetName val="Variance"/>
      <sheetName val="__FDSCACHE__"/>
      <sheetName val="Consensus Comparison"/>
      <sheetName val="LTM Analyses"/>
      <sheetName val="MW-Cache"/>
      <sheetName val="Sheet1"/>
      <sheetName val="Income Statement"/>
      <sheetName val="Balance Sheet"/>
      <sheetName val="Cash Flow"/>
      <sheetName val="Debt"/>
      <sheetName val="RNOA - ROE"/>
      <sheetName val="Leases"/>
      <sheetName val="mwareValPrintout"/>
      <sheetName val="Val-Cur"/>
      <sheetName val="Intrinsic Value"/>
      <sheetName val="VALUATION"/>
      <sheetName val="mwareDates"/>
      <sheetName val="mwareSettings"/>
      <sheetName val="NY UPLOAD shadow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Store "/>
      <sheetName val="ROI"/>
      <sheetName val="Disclaimer"/>
      <sheetName val="IndexInformation"/>
      <sheetName val="Old Charts"/>
      <sheetName val="Comps"/>
      <sheetName val="KM"/>
      <sheetName val="ROE"/>
      <sheetName val="Valuation"/>
      <sheetName val="Lease"/>
      <sheetName val="Linked_Data"/>
      <sheetName val="MainCode"/>
      <sheetName val="NY UPLOAD"/>
      <sheetName val="NY UPLOAD shadow"/>
      <sheetName val="ReportOutput"/>
      <sheetName val="Model"/>
      <sheetName val="Old B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Rate Case"/>
      <sheetName val="Forecast"/>
      <sheetName val="Incremental Items"/>
      <sheetName val="Supporting Calcns"/>
      <sheetName val="More VPC"/>
      <sheetName val="More Coyote"/>
      <sheetName val="Leases"/>
      <sheetName val="Report Info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ByPenetration-OLD"/>
      <sheetName val="Alpha"/>
      <sheetName val="ByPenetration"/>
      <sheetName val="DMAvsPenetration"/>
      <sheetName val="ByPenetration-Graphs"/>
      <sheetName val="Stations per DMA"/>
      <sheetName val="ByPenetration-old2"/>
      <sheetName val="PerOperator-Karim2"/>
      <sheetName val="PerOperator-KarimOld"/>
      <sheetName val="MarketD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ByPenetration-OLD"/>
      <sheetName val="Alpha"/>
      <sheetName val="ByPenetration"/>
      <sheetName val="DMAvsPenetration"/>
      <sheetName val="ByPenetration-Graphs"/>
      <sheetName val="Stations per DMA"/>
      <sheetName val="ByPenetration-old2"/>
      <sheetName val="PerOperator-Karim2"/>
      <sheetName val="PerOperator-KarimOld"/>
      <sheetName val="MarketD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Rate Case"/>
      <sheetName val="Forecast"/>
      <sheetName val="Incremental Items"/>
      <sheetName val="Supporting Calcns"/>
      <sheetName val="More VPC"/>
      <sheetName val="More Coyote"/>
      <sheetName val="Leases"/>
      <sheetName val="Report Info"/>
      <sheetName val="Quarter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1999 Actuals"/>
      <sheetName val="1998 Actuals"/>
      <sheetName val="1997"/>
      <sheetName val="1999 BP"/>
      <sheetName val="1999 GLActuals"/>
      <sheetName val="1998 BP"/>
      <sheetName val="final report"/>
      <sheetName val="final report (Per Day)"/>
      <sheetName val="final report YTD"/>
      <sheetName val="domair haddow"/>
      <sheetName val="variables"/>
      <sheetName val="YTD variance"/>
      <sheetName val="tracking"/>
      <sheetName val="legend4"/>
      <sheetName val="IndexInformation"/>
      <sheetName val="Front Page"/>
      <sheetName val="Macro2"/>
      <sheetName val="UTX"/>
      <sheetName val="Exclusion List"/>
      <sheetName val="Model"/>
      <sheetName val="P&amp;L"/>
      <sheetName val="Bal Sheet &amp; Cash Flow"/>
      <sheetName val="Inputs"/>
      <sheetName val="BALANCE SHEET"/>
      <sheetName val="w_dn_idd"/>
      <sheetName val="Summary"/>
      <sheetName val="GVAT RI Valuation"/>
      <sheetName val="TaupoSM"/>
      <sheetName val="Cash Flow-Industrial"/>
      <sheetName val="Geo"/>
      <sheetName val="DCF"/>
      <sheetName val="Annual-consolidated"/>
      <sheetName val="Qtrly Inc St"/>
      <sheetName val="Bal Sheet - Cons."/>
      <sheetName val="Bal Sheet-Industrial"/>
      <sheetName val="Cash Flow - Cons."/>
      <sheetName val="Prev_Year_02"/>
      <sheetName val="Index_Jan 2003"/>
      <sheetName val="RI Valuation"/>
      <sheetName val="Cover"/>
      <sheetName val="Profo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Sample Layout"/>
      <sheetName val="Inputs"/>
    </sheetNames>
    <sheetDataSet>
      <sheetData sheetId="0" refreshError="1"/>
      <sheetData sheetId="1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Sample Layout"/>
      <sheetName val="Inputs"/>
    </sheetNames>
    <sheetDataSet>
      <sheetData sheetId="0"/>
      <sheetData sheetId="1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#REF!"/>
      <sheetName val="GEMin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Fed Tax Liab. Calc."/>
      <sheetName val="E1 - Book-Tax Reconciliation"/>
      <sheetName val="E1a - Accrued Vacation Summary"/>
      <sheetName val="E5 - PBC Draft Trial Balance"/>
      <sheetName val="Sheet2"/>
      <sheetName val="Sheet3"/>
      <sheetName val="E6 - Tax Expense Detail"/>
      <sheetName val="Fed_Tax_Liab__Calc_"/>
      <sheetName val="E1_-_Book-Tax_Reconciliation"/>
      <sheetName val="E1a_-_Accrued_Vacation_Summary"/>
      <sheetName val="E5_-_PBC_Draft_Trial_Balance"/>
      <sheetName val="E6_-_Tax_Expense_Detail"/>
      <sheetName val="CE w_tax"/>
      <sheetName val="1040128"/>
      <sheetName val="Alg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SMR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SMR"/>
    </sheetNames>
    <sheetDataSet>
      <sheetData sheetId="0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Fed Tax Liab. Calc."/>
      <sheetName val="E1 - Book-Tax Reconciliation"/>
      <sheetName val="E1a - M Adj Summary"/>
      <sheetName val="E2 - Estimated Payments Made"/>
      <sheetName val="E3 - Final Balance Sheet"/>
      <sheetName val="E4a - Final Income Statement"/>
      <sheetName val="E4 - Q4 Est Income Stmt"/>
      <sheetName val="E5 - Q4 Est Gifts"/>
      <sheetName val="E6 - Tax Expense Detail"/>
      <sheetName val="E7 - State Apportionment"/>
      <sheetName val="E11 - Q4 Est UK P&amp;L"/>
      <sheetName val="Q4 Tax Depreciation"/>
      <sheetName val="Q4 GAAP Depreciation"/>
      <sheetName val="Q4 Est Form 4562 Summary"/>
      <sheetName val="Q4 Est Form 4626 AMT Adj"/>
      <sheetName val="Fed_Tax_Liab__Calc_"/>
      <sheetName val="E1_-_Book-Tax_Reconciliation"/>
      <sheetName val="E1a_-_M_Adj_Summary"/>
      <sheetName val="E2_-_Estimated_Payments_Made"/>
      <sheetName val="E3_-_Final_Balance_Sheet"/>
      <sheetName val="E4a_-_Final_Income_Statement"/>
      <sheetName val="E4_-_Q4_Est_Income_Stmt"/>
      <sheetName val="E5_-_Q4_Est_Gifts"/>
      <sheetName val="E6_-_Tax_Expense_Detail"/>
      <sheetName val="E7_-_State_Apportionment"/>
      <sheetName val="E11_-_Q4_Est_UK_P&amp;L"/>
      <sheetName val="Q4_Tax_Depreciation"/>
      <sheetName val="Q4_GAAP_Depreciation"/>
      <sheetName val="Q4_Est_Form_4562_Summary"/>
      <sheetName val="Q4_Est_Form_4626_AMT_Adj"/>
      <sheetName val="Avg_Fx_2021 Predecessor"/>
      <sheetName val="Bajas"/>
      <sheetName val="Trending"/>
      <sheetName val="Trav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Comps"/>
      <sheetName val="PL-CF-B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2" workbookViewId="0">
      <selection activeCell="E18" sqref="E18"/>
    </sheetView>
  </sheetViews>
  <sheetFormatPr defaultColWidth="11.2166666666667" defaultRowHeight="15" customHeight="1"/>
  <cols>
    <col min="1" max="1" width="30.4416666666667" customWidth="1"/>
    <col min="2" max="2" width="20.8916666666667" customWidth="1"/>
    <col min="3" max="3" width="16.4416666666667" customWidth="1"/>
    <col min="4" max="4" width="17.6666666666667" customWidth="1"/>
    <col min="5" max="5" width="18.4416666666667" customWidth="1"/>
    <col min="6" max="6" width="17.2166666666667" customWidth="1"/>
    <col min="7" max="7" width="22.7833333333333" customWidth="1"/>
    <col min="8" max="26" width="27.8916666666667" customWidth="1"/>
  </cols>
  <sheetData>
    <row r="1" ht="12" customHeight="1" spans="1:26">
      <c r="A1" s="261" t="s">
        <v>0</v>
      </c>
      <c r="B1" s="262" t="s">
        <v>1</v>
      </c>
      <c r="C1" s="263" t="s">
        <v>2</v>
      </c>
      <c r="D1" s="263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</row>
    <row r="2" ht="12" customHeight="1" spans="1:26">
      <c r="A2" s="261" t="s">
        <v>3</v>
      </c>
      <c r="B2" s="265">
        <v>46022</v>
      </c>
      <c r="C2" s="263" t="s">
        <v>4</v>
      </c>
      <c r="D2" s="263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</row>
    <row r="3" ht="12" customHeight="1" spans="1:26">
      <c r="A3" s="261" t="s">
        <v>5</v>
      </c>
      <c r="B3" s="264">
        <v>2024</v>
      </c>
      <c r="C3" s="266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</row>
    <row r="4" ht="12" customHeight="1" spans="1:26">
      <c r="A4" s="261" t="s">
        <v>6</v>
      </c>
      <c r="B4" s="267" t="s">
        <v>7</v>
      </c>
      <c r="C4" s="264"/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</row>
    <row r="5" ht="12" customHeight="1" spans="1:26">
      <c r="A5" s="261" t="s">
        <v>8</v>
      </c>
      <c r="B5" s="268" t="s">
        <v>9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</row>
    <row r="6" ht="12" customHeight="1" spans="1:26">
      <c r="A6" s="269" t="str">
        <f>B4&amp;" "&amp;B5</f>
        <v>US$ mn</v>
      </c>
      <c r="B6" s="270" t="str">
        <f>TEXT(DATE($B$3+1,MONTH($B$2),DAY($B$2)),"mmm-yy")&amp;IF($B$3+1&gt;YEAR($B$2),"E","A")</f>
        <v>Dec-25A</v>
      </c>
      <c r="C6" s="270" t="str">
        <f>TEXT(DATE($B$3+2,MONTH($B$2),DAY($B$2)),"mmm-yy")&amp;IF($B$3+2&gt;YEAR($B$2),"E","A")</f>
        <v>Dec-26E</v>
      </c>
      <c r="D6" s="270" t="str">
        <f t="shared" ref="D6:E6" si="0">TEXT(DATE($B$3+3,MONTH($B$2),DAY($B$2)),"mmm-yy")&amp;IF($B$3+3&gt;YEAR($B$2),"E","A")</f>
        <v>Dec-27E</v>
      </c>
      <c r="E6" s="270" t="str">
        <f t="shared" si="0"/>
        <v>Dec-27E</v>
      </c>
      <c r="F6" s="264"/>
      <c r="G6" s="264"/>
      <c r="H6" s="271"/>
      <c r="I6" s="271"/>
      <c r="J6" s="271"/>
      <c r="K6" s="271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</row>
    <row r="7" ht="12" customHeight="1" spans="1:26">
      <c r="A7" s="272" t="s">
        <v>10</v>
      </c>
      <c r="B7" s="264"/>
      <c r="C7" s="264"/>
      <c r="D7" s="264"/>
      <c r="E7" s="264"/>
      <c r="F7" s="264"/>
      <c r="G7" s="271"/>
      <c r="H7" s="271"/>
      <c r="I7" s="271"/>
      <c r="J7" s="271"/>
      <c r="K7" s="273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</row>
    <row r="8" ht="12" customHeight="1" spans="1:26">
      <c r="A8" s="274" t="s">
        <v>11</v>
      </c>
      <c r="B8" s="275">
        <f>SumFS!M6</f>
        <v>27450</v>
      </c>
      <c r="C8" s="275">
        <f>SumFS!N6</f>
        <v>29504.545</v>
      </c>
      <c r="D8" s="275">
        <f>SumFS!O6</f>
        <v>31735.358475</v>
      </c>
      <c r="E8" s="275">
        <f>SumFS!P6</f>
        <v>34158.608594875</v>
      </c>
      <c r="F8" s="264"/>
      <c r="G8" s="276"/>
      <c r="H8" s="276"/>
      <c r="I8" s="276"/>
      <c r="J8" s="276"/>
      <c r="K8" s="271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</row>
    <row r="9" ht="12" customHeight="1" spans="1:26">
      <c r="A9" s="274" t="s">
        <v>12</v>
      </c>
      <c r="B9" s="277">
        <f>DCF!M6</f>
        <v>0.103384516440228</v>
      </c>
      <c r="C9" s="277">
        <f>DCF!N6</f>
        <v>0.0748468123861565</v>
      </c>
      <c r="D9" s="277">
        <f>DCF!O6</f>
        <v>0.0756091468280566</v>
      </c>
      <c r="E9" s="277">
        <f>DCF!P6</f>
        <v>0.0763580509665254</v>
      </c>
      <c r="F9" s="264"/>
      <c r="G9" s="264"/>
      <c r="H9" s="273"/>
      <c r="I9" s="273"/>
      <c r="J9" s="273"/>
      <c r="K9" s="273"/>
      <c r="L9" s="264"/>
      <c r="M9" s="264"/>
      <c r="N9" s="264" t="e">
        <f>'[149]PL-CF-BS'!B115</f>
        <v>#REF!</v>
      </c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</row>
    <row r="10" ht="12" customHeight="1" spans="1:26">
      <c r="A10" s="274" t="s">
        <v>13</v>
      </c>
      <c r="B10" s="275">
        <f>'PL-CF-BS'!M42</f>
        <v>4089</v>
      </c>
      <c r="C10" s="275">
        <f>'PL-CF-BS'!N42</f>
        <v>4723.54030586865</v>
      </c>
      <c r="D10" s="275">
        <f>'PL-CF-BS'!O42</f>
        <v>5115.76304751694</v>
      </c>
      <c r="E10" s="275">
        <f>'PL-CF-BS'!P42</f>
        <v>5543.5681901028</v>
      </c>
      <c r="F10" s="264"/>
      <c r="G10" s="271"/>
      <c r="H10" s="271"/>
      <c r="I10" s="271"/>
      <c r="J10" s="271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</row>
    <row r="11" ht="12" customHeight="1" spans="1:26">
      <c r="A11" s="274" t="s">
        <v>12</v>
      </c>
      <c r="B11" s="278">
        <f>'PL-CF-BS'!M43</f>
        <v>0.0777543489720611</v>
      </c>
      <c r="C11" s="278">
        <f>'PL-CF-BS'!N43</f>
        <v>0.155182270938776</v>
      </c>
      <c r="D11" s="278">
        <f>'PL-CF-BS'!O43</f>
        <v>0.0830357562866511</v>
      </c>
      <c r="E11" s="278">
        <f>'PL-CF-BS'!P43</f>
        <v>0.083624894001592</v>
      </c>
      <c r="F11" s="264"/>
      <c r="G11" s="279"/>
      <c r="H11" s="276"/>
      <c r="I11" s="276"/>
      <c r="J11" s="276"/>
      <c r="K11" s="273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</row>
    <row r="12" ht="12" customHeight="1" spans="1:26">
      <c r="A12" s="274" t="str">
        <f>"Diluted EPS ("&amp;B4&amp;")"</f>
        <v>Diluted EPS (US$)</v>
      </c>
      <c r="B12" s="280">
        <f>SumFS!M64</f>
        <v>10.3257575757576</v>
      </c>
      <c r="C12" s="280">
        <f>SumFS!N64</f>
        <v>11.9281320855269</v>
      </c>
      <c r="D12" s="280">
        <f>SumFS!O64</f>
        <v>12.9185935543357</v>
      </c>
      <c r="E12" s="280">
        <f>SumFS!P64</f>
        <v>13.9989095709667</v>
      </c>
      <c r="F12" s="264"/>
      <c r="G12" s="264"/>
      <c r="H12" s="276"/>
      <c r="I12" s="276"/>
      <c r="J12" s="276"/>
      <c r="K12" s="273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</row>
    <row r="13" ht="12" customHeight="1" spans="1:26">
      <c r="A13" s="274" t="s">
        <v>14</v>
      </c>
      <c r="B13" s="278">
        <f>SumFS!M55</f>
        <v>0.37591985428051</v>
      </c>
      <c r="C13" s="278">
        <f>SumFS!N55</f>
        <v>0.37691985428051</v>
      </c>
      <c r="D13" s="278">
        <f>SumFS!O55</f>
        <v>0.37791985428051</v>
      </c>
      <c r="E13" s="278">
        <f>SumFS!P55</f>
        <v>0.37891985428051</v>
      </c>
      <c r="F13" s="269" t="s">
        <v>15</v>
      </c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</row>
    <row r="14" ht="12" customHeight="1" spans="1:26">
      <c r="A14" s="274" t="s">
        <v>16</v>
      </c>
      <c r="B14" s="278">
        <f t="shared" ref="B14:E14" si="1">B10/B27</f>
        <v>0.210026195490267</v>
      </c>
      <c r="C14" s="278">
        <f t="shared" si="1"/>
        <v>0.225252216859284</v>
      </c>
      <c r="D14" s="278">
        <f t="shared" si="1"/>
        <v>0.230323620783549</v>
      </c>
      <c r="E14" s="278">
        <f t="shared" si="1"/>
        <v>0.235650473693826</v>
      </c>
      <c r="F14" s="269" t="s">
        <v>15</v>
      </c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</row>
    <row r="15" ht="12" customHeight="1" spans="1:26">
      <c r="A15" s="274" t="s">
        <v>17</v>
      </c>
      <c r="B15" s="275">
        <f>'PL-CF-BS'!M28</f>
        <v>5976</v>
      </c>
      <c r="C15" s="275">
        <f>'PL-CF-BS'!N28</f>
        <v>6608.07044716021</v>
      </c>
      <c r="D15" s="275">
        <f>'PL-CF-BS'!O28</f>
        <v>7117.7671833155</v>
      </c>
      <c r="E15" s="275">
        <f>'PL-CF-BS'!P28</f>
        <v>7670.79079250212</v>
      </c>
      <c r="F15" s="266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</row>
    <row r="16" ht="12" customHeight="1" spans="1:26">
      <c r="A16" s="274" t="s">
        <v>18</v>
      </c>
      <c r="B16" s="275">
        <f>DCF!M7</f>
        <v>4970</v>
      </c>
      <c r="C16" s="275">
        <f>DCF!N7</f>
        <v>5838.51414254098</v>
      </c>
      <c r="D16" s="275">
        <f>DCF!O7</f>
        <v>6311.69457407705</v>
      </c>
      <c r="E16" s="275">
        <f>DCF!P7</f>
        <v>6827.80187864444</v>
      </c>
      <c r="F16" s="266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</row>
    <row r="17" ht="12" customHeight="1" spans="1:26">
      <c r="A17" s="274" t="s">
        <v>19</v>
      </c>
      <c r="B17" s="264">
        <v>0</v>
      </c>
      <c r="C17" s="264">
        <v>0</v>
      </c>
      <c r="D17" s="275">
        <v>-140</v>
      </c>
      <c r="E17" s="275">
        <v>-140</v>
      </c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</row>
    <row r="18" ht="12" customHeight="1" spans="1:26">
      <c r="A18" s="274" t="s">
        <v>20</v>
      </c>
      <c r="B18" s="264">
        <v>0</v>
      </c>
      <c r="C18" s="264">
        <v>0</v>
      </c>
      <c r="D18" s="264">
        <v>0</v>
      </c>
      <c r="E18" s="264">
        <v>0</v>
      </c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</row>
    <row r="19" ht="12" customHeight="1" spans="1:26">
      <c r="A19" s="274" t="s">
        <v>21</v>
      </c>
      <c r="B19" s="275">
        <f>XN!B16</f>
        <v>4970</v>
      </c>
      <c r="C19" s="275">
        <f t="shared" ref="C19:E19" si="2">C16</f>
        <v>5838.51414254098</v>
      </c>
      <c r="D19" s="275">
        <f t="shared" si="2"/>
        <v>6311.69457407705</v>
      </c>
      <c r="E19" s="275">
        <f t="shared" si="2"/>
        <v>6827.80187864444</v>
      </c>
      <c r="F19" s="264"/>
      <c r="G19" s="273"/>
      <c r="H19" s="273"/>
      <c r="I19" s="273"/>
      <c r="J19" s="273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</row>
    <row r="20" ht="12" customHeight="1" spans="1:26">
      <c r="A20" s="274" t="s">
        <v>22</v>
      </c>
      <c r="B20" s="275">
        <f>'PL-CF-BS'!M8</f>
        <v>10319</v>
      </c>
      <c r="C20" s="275">
        <f>'PL-CF-BS'!N8</f>
        <v>11120.8488020127</v>
      </c>
      <c r="D20" s="275">
        <f>'PL-CF-BS'!O8</f>
        <v>11993.4220504117</v>
      </c>
      <c r="E20" s="275">
        <f>'PL-CF-BS'!P8</f>
        <v>12943.374991195</v>
      </c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</row>
    <row r="21" ht="12" customHeight="1" spans="1:26">
      <c r="A21" s="274" t="s">
        <v>23</v>
      </c>
      <c r="B21" s="275">
        <f>'PL-CF-BS'!M66</f>
        <v>1006</v>
      </c>
      <c r="C21" s="275">
        <f>'PL-CF-BS'!N66</f>
        <v>769.556304619226</v>
      </c>
      <c r="D21" s="275">
        <f>'PL-CF-BS'!O66</f>
        <v>806.072609238452</v>
      </c>
      <c r="E21" s="275">
        <f>'PL-CF-BS'!P66</f>
        <v>842.988913857678</v>
      </c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</row>
    <row r="22" ht="12" customHeight="1" spans="1:26">
      <c r="A22" s="274" t="s">
        <v>24</v>
      </c>
      <c r="B22" s="275">
        <f>SumFS!M12</f>
        <v>4933</v>
      </c>
      <c r="C22" s="275">
        <f>SumFS!N12</f>
        <v>5698.51414254098</v>
      </c>
      <c r="D22" s="275">
        <f>SumFS!O12</f>
        <v>6171.69457407705</v>
      </c>
      <c r="E22" s="275">
        <f>SumFS!P12</f>
        <v>6687.80187864444</v>
      </c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</row>
    <row r="23" ht="12" customHeight="1" spans="1:26">
      <c r="A23" s="272" t="s">
        <v>25</v>
      </c>
      <c r="B23" s="275"/>
      <c r="C23" s="275"/>
      <c r="D23" s="275"/>
      <c r="E23" s="275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</row>
    <row r="24" ht="12" customHeight="1" spans="1:26">
      <c r="A24" s="274" t="s">
        <v>26</v>
      </c>
      <c r="B24" s="275">
        <f>SumFS!M39</f>
        <v>41250</v>
      </c>
      <c r="C24" s="275">
        <f>SumFS!N39</f>
        <v>41133.9231390106</v>
      </c>
      <c r="D24" s="275">
        <f>SumFS!O39</f>
        <v>42528.7433741726</v>
      </c>
      <c r="E24" s="275">
        <f>SumFS!P39</f>
        <v>44442.9633310103</v>
      </c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</row>
    <row r="25" ht="12" customHeight="1" spans="1:26">
      <c r="A25" s="274" t="s">
        <v>27</v>
      </c>
      <c r="B25" s="275">
        <f>SumFS!M52</f>
        <v>21782</v>
      </c>
      <c r="C25" s="275">
        <f>SumFS!N52</f>
        <v>20916.2351429849</v>
      </c>
      <c r="D25" s="275">
        <f>SumFS!O52</f>
        <v>21069.8653920631</v>
      </c>
      <c r="E25" s="275">
        <f>SumFS!P52</f>
        <v>21670.7446008846</v>
      </c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</row>
    <row r="26" ht="12" customHeight="1" spans="1:26">
      <c r="A26" s="274" t="s">
        <v>28</v>
      </c>
      <c r="B26" s="275">
        <f>'PL-CF-BS'!M134</f>
        <v>19425</v>
      </c>
      <c r="C26" s="275">
        <f>'PL-CF-BS'!N134</f>
        <v>20922.5403058687</v>
      </c>
      <c r="D26" s="275">
        <f>'PL-CF-BS'!O134</f>
        <v>22159.9769808391</v>
      </c>
      <c r="E26" s="275">
        <f>'PL-CF-BS'!P134</f>
        <v>23469.2505474979</v>
      </c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</row>
    <row r="27" ht="12" customHeight="1" spans="1:26">
      <c r="A27" s="274" t="s">
        <v>29</v>
      </c>
      <c r="B27" s="275">
        <f>'PL-CF-BS'!M138</f>
        <v>19469</v>
      </c>
      <c r="C27" s="275">
        <f>'PL-CF-BS'!N138</f>
        <v>20970.0058526815</v>
      </c>
      <c r="D27" s="275">
        <f>'PL-CF-BS'!O138</f>
        <v>22211.1958387653</v>
      </c>
      <c r="E27" s="275">
        <f>'PL-CF-BS'!P138</f>
        <v>23524.5365867815</v>
      </c>
      <c r="F27" s="264"/>
      <c r="G27" s="275"/>
      <c r="H27" s="275"/>
      <c r="I27" s="275"/>
      <c r="J27" s="275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</row>
    <row r="28" ht="12" customHeight="1" spans="1:26">
      <c r="A28" s="272" t="s">
        <v>30</v>
      </c>
      <c r="B28" s="275"/>
      <c r="C28" s="275"/>
      <c r="D28" s="275"/>
      <c r="E28" s="275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</row>
    <row r="29" ht="12" customHeight="1" spans="1:26">
      <c r="A29" s="274" t="s">
        <v>31</v>
      </c>
      <c r="B29" s="275">
        <f t="shared" ref="B29:E29" si="3">B22</f>
        <v>4933</v>
      </c>
      <c r="C29" s="275">
        <f t="shared" si="3"/>
        <v>5698.51414254098</v>
      </c>
      <c r="D29" s="275">
        <f t="shared" si="3"/>
        <v>6171.69457407705</v>
      </c>
      <c r="E29" s="275">
        <f t="shared" si="3"/>
        <v>6687.80187864444</v>
      </c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</row>
    <row r="30" ht="12" customHeight="1" spans="1:26">
      <c r="A30" s="274" t="s">
        <v>32</v>
      </c>
      <c r="B30" s="275">
        <f>SumFS!M16</f>
        <v>4472</v>
      </c>
      <c r="C30" s="275">
        <f>SumFS!N16</f>
        <v>5711.99540925476</v>
      </c>
      <c r="D30" s="275">
        <f>SumFS!O16</f>
        <v>5022.30182592744</v>
      </c>
      <c r="E30" s="275">
        <f>SumFS!P16</f>
        <v>6529.54562727133</v>
      </c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</row>
    <row r="31" ht="12" customHeight="1" spans="1:26">
      <c r="A31" s="274" t="s">
        <v>33</v>
      </c>
      <c r="B31" s="275">
        <f>SumFS!M17</f>
        <v>-1101</v>
      </c>
      <c r="C31" s="275">
        <f>SumFS!N17</f>
        <v>-1529</v>
      </c>
      <c r="D31" s="275">
        <f>SumFS!O17</f>
        <v>-1539</v>
      </c>
      <c r="E31" s="275">
        <f>SumFS!P17</f>
        <v>-1549</v>
      </c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</row>
    <row r="32" ht="12" customHeight="1" spans="1:26">
      <c r="A32" s="274" t="s">
        <v>34</v>
      </c>
      <c r="B32" s="275">
        <f>SumFS!M18</f>
        <v>-3173</v>
      </c>
      <c r="C32" s="275">
        <f>SumFS!N18</f>
        <v>-3396</v>
      </c>
      <c r="D32" s="275">
        <f>SumFS!O18</f>
        <v>-4048.32637254645</v>
      </c>
      <c r="E32" s="275">
        <f>SumFS!P18</f>
        <v>-4404.29462344401</v>
      </c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</row>
    <row r="33" ht="12" customHeight="1" spans="1:26">
      <c r="A33" s="274" t="s">
        <v>35</v>
      </c>
      <c r="B33" s="275">
        <f>SumFS!M19</f>
        <v>198</v>
      </c>
      <c r="C33" s="275">
        <f>SumFS!N19</f>
        <v>786.995409254763</v>
      </c>
      <c r="D33" s="275">
        <f>SumFS!O19</f>
        <v>-565.024546619014</v>
      </c>
      <c r="E33" s="275">
        <f>SumFS!P19</f>
        <v>576.251003827322</v>
      </c>
      <c r="F33" s="264"/>
      <c r="G33" s="275"/>
      <c r="H33" s="275"/>
      <c r="I33" s="275"/>
      <c r="J33" s="275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</row>
    <row r="34" ht="12" customHeight="1" spans="1:26">
      <c r="A34" s="274" t="s">
        <v>36</v>
      </c>
      <c r="B34" s="275">
        <f>SumFS!M21</f>
        <v>623</v>
      </c>
      <c r="C34" s="275">
        <f>SumFS!N21</f>
        <v>1278.99540925476</v>
      </c>
      <c r="D34" s="275">
        <f>SumFS!O21</f>
        <v>582.97086263575</v>
      </c>
      <c r="E34" s="275">
        <f>SumFS!P21</f>
        <v>1028.22186646307</v>
      </c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</row>
    <row r="35" ht="12" customHeight="1" spans="1:26">
      <c r="A35" s="274" t="s">
        <v>37</v>
      </c>
      <c r="B35" s="275">
        <f>DCF!M14</f>
        <v>3637.00993044459</v>
      </c>
      <c r="C35" s="275">
        <f>DCF!N14</f>
        <v>4699.1275803474</v>
      </c>
      <c r="D35" s="275">
        <f>DCF!O14</f>
        <v>3999.43399702008</v>
      </c>
      <c r="E35" s="275">
        <f>DCF!P14</f>
        <v>5496.67779836397</v>
      </c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</row>
    <row r="36" ht="12" customHeight="1" spans="1:26">
      <c r="A36" s="264"/>
      <c r="B36" s="275"/>
      <c r="C36" s="275"/>
      <c r="D36" s="275"/>
      <c r="E36" s="275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</row>
    <row r="37" ht="12" customHeight="1" spans="1:26">
      <c r="A37" s="264"/>
      <c r="B37" s="275"/>
      <c r="C37" s="275"/>
      <c r="D37" s="275"/>
      <c r="E37" s="275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</row>
    <row r="38" ht="12" customHeight="1" spans="1:26">
      <c r="A38" s="264"/>
      <c r="B38" s="275"/>
      <c r="C38" s="275"/>
      <c r="D38" s="275"/>
      <c r="E38" s="275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</row>
    <row r="39" ht="12" hidden="1" customHeight="1" spans="1:26">
      <c r="A39" s="264"/>
      <c r="B39" s="275"/>
      <c r="C39" s="275"/>
      <c r="D39" s="275"/>
      <c r="E39" s="275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</row>
    <row r="40" ht="12" hidden="1" customHeight="1" spans="1:26">
      <c r="A40" s="264" t="s">
        <v>38</v>
      </c>
      <c r="B40" s="281">
        <f t="shared" ref="B40:E40" si="4">B12</f>
        <v>10.3257575757576</v>
      </c>
      <c r="C40" s="281">
        <f t="shared" si="4"/>
        <v>11.9281320855269</v>
      </c>
      <c r="D40" s="281">
        <f t="shared" si="4"/>
        <v>12.9185935543357</v>
      </c>
      <c r="E40" s="281">
        <f t="shared" si="4"/>
        <v>13.9989095709667</v>
      </c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</row>
    <row r="41" ht="12" hidden="1" customHeight="1" spans="1:26">
      <c r="A41" s="264" t="s">
        <v>39</v>
      </c>
      <c r="B41" s="281">
        <f ca="1">IF(A43-YEAR($B$2)&gt;=0,VLOOKUP((A43-B3+1),A45:B48,2,FALSE),"na")</f>
        <v>12.9185935543357</v>
      </c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</row>
    <row r="42" ht="12" hidden="1" customHeight="1" spans="1:26">
      <c r="A42" s="264" t="s">
        <v>40</v>
      </c>
      <c r="B42" s="281">
        <f ca="1">IF(A43-YEAR($B$2)&gt;=0,VLOOKUP((A43-B3+2),A45:B48,2,FALSE),"na")</f>
        <v>13.9989095709667</v>
      </c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</row>
    <row r="43" ht="12" hidden="1" customHeight="1" spans="1:26">
      <c r="A43" s="282">
        <f ca="1" t="shared" ref="A43:A44" si="5">YEAR(TODAY())</f>
        <v>2026</v>
      </c>
      <c r="B43" s="281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</row>
    <row r="44" ht="12" hidden="1" customHeight="1" spans="1:26">
      <c r="A44" s="282">
        <f ca="1" t="shared" si="5"/>
        <v>2026</v>
      </c>
      <c r="B44" s="281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</row>
    <row r="45" ht="12" hidden="1" customHeight="1" spans="1:26">
      <c r="A45" s="264">
        <v>1</v>
      </c>
      <c r="B45" s="281">
        <f>B40</f>
        <v>10.3257575757576</v>
      </c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</row>
    <row r="46" ht="12" hidden="1" customHeight="1" spans="1:26">
      <c r="A46" s="264">
        <v>2</v>
      </c>
      <c r="B46" s="281">
        <f>C40</f>
        <v>11.9281320855269</v>
      </c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</row>
    <row r="47" ht="12" hidden="1" customHeight="1" spans="1:26">
      <c r="A47" s="264">
        <v>3</v>
      </c>
      <c r="B47" s="281">
        <f>D40</f>
        <v>12.9185935543357</v>
      </c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</row>
    <row r="48" ht="12" hidden="1" customHeight="1" spans="1:26">
      <c r="A48" s="264">
        <v>4</v>
      </c>
      <c r="B48" s="281">
        <f>E40</f>
        <v>13.9989095709667</v>
      </c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</row>
    <row r="49" ht="12" hidden="1" customHeight="1" spans="1:26">
      <c r="A49" s="283" t="s">
        <v>41</v>
      </c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</row>
    <row r="50" ht="12" hidden="1" customHeight="1" spans="1:26">
      <c r="A50" s="283" t="s">
        <v>42</v>
      </c>
      <c r="B50" s="264">
        <v>1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  <c r="Z50" s="264"/>
    </row>
    <row r="51" ht="12" hidden="1" customHeight="1" spans="1:26">
      <c r="A51" s="283" t="s">
        <v>43</v>
      </c>
      <c r="B51" s="283" t="s">
        <v>44</v>
      </c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</row>
    <row r="52" ht="12" customHeight="1" spans="1:26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</row>
    <row r="53" ht="12" customHeight="1" spans="1:26">
      <c r="A53" s="284" t="s">
        <v>45</v>
      </c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</row>
    <row r="54" ht="12" customHeight="1" spans="1:26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</row>
    <row r="55" ht="12" customHeight="1" spans="1:26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</row>
    <row r="56" ht="12" customHeight="1" spans="1:26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</row>
    <row r="57" ht="12" customHeight="1" spans="1:26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</row>
    <row r="58" ht="12" customHeight="1" spans="1:26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</row>
    <row r="59" ht="12" customHeight="1" spans="1:26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</row>
    <row r="60" ht="12" customHeight="1" spans="1:26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</row>
    <row r="61" ht="12" customHeight="1" spans="1:26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</row>
    <row r="62" ht="12" customHeight="1" spans="1:26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</row>
    <row r="63" ht="12" customHeight="1" spans="1:26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</row>
    <row r="64" ht="12" customHeight="1" spans="1:26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</row>
    <row r="65" ht="12" customHeight="1" spans="1:26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</row>
    <row r="66" ht="12" customHeight="1" spans="1:26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</row>
    <row r="67" ht="12" customHeight="1" spans="1:26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</row>
    <row r="68" ht="12" customHeight="1" spans="1:26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</row>
    <row r="69" ht="12" customHeight="1" spans="1:26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</row>
    <row r="70" ht="12" customHeight="1" spans="1:26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</row>
    <row r="71" ht="12" customHeight="1" spans="1:26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</row>
    <row r="72" ht="12" customHeight="1" spans="1:26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</row>
    <row r="73" ht="12" customHeight="1" spans="1:26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64"/>
    </row>
    <row r="74" ht="12" customHeight="1" spans="1:26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</row>
    <row r="75" ht="12" customHeight="1" spans="1:26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</row>
    <row r="76" ht="12" customHeight="1" spans="1:26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</row>
    <row r="77" ht="12" customHeight="1" spans="1:26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</row>
    <row r="78" ht="12" customHeight="1" spans="1:26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</row>
    <row r="79" ht="12" customHeight="1" spans="1:26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</row>
    <row r="80" ht="12" customHeight="1" spans="1:26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</row>
    <row r="81" ht="12" customHeight="1" spans="1:26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</row>
    <row r="82" ht="12" customHeight="1" spans="1:26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</row>
    <row r="83" ht="12" customHeight="1" spans="1:26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</row>
    <row r="84" ht="12" customHeight="1" spans="1:26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</row>
    <row r="85" ht="12" customHeight="1" spans="1:26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</row>
    <row r="86" ht="12" customHeight="1" spans="1:26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</row>
    <row r="87" ht="12" customHeight="1" spans="1:26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</row>
    <row r="88" ht="12" customHeight="1" spans="1:26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</row>
    <row r="89" ht="12" customHeight="1" spans="1:26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</row>
    <row r="90" ht="12" customHeight="1" spans="1:26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</row>
    <row r="91" ht="12" customHeight="1" spans="1:26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</row>
    <row r="92" ht="12" customHeight="1" spans="1:26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</row>
    <row r="93" ht="12" customHeight="1" spans="1:26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</row>
    <row r="94" ht="12" customHeight="1" spans="1:26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</row>
    <row r="95" ht="12" customHeight="1" spans="1:26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</row>
    <row r="96" ht="12" customHeight="1" spans="1:26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</row>
    <row r="97" ht="12" customHeight="1" spans="1:26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</row>
    <row r="98" ht="12" customHeight="1" spans="1:26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</row>
    <row r="99" ht="12" customHeight="1" spans="1:26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</row>
    <row r="100" ht="12" customHeight="1" spans="1:26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</row>
    <row r="101" ht="12" customHeight="1" spans="1:26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</row>
    <row r="102" ht="12" customHeight="1" spans="1:26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</row>
    <row r="103" ht="12" customHeight="1" spans="1:26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</row>
    <row r="104" ht="12" customHeight="1" spans="1:26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</row>
    <row r="105" ht="12" customHeight="1" spans="1:26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</row>
    <row r="106" ht="12" customHeight="1" spans="1:26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</row>
    <row r="107" ht="12" customHeight="1" spans="1:26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</row>
    <row r="108" ht="12" customHeight="1" spans="1:26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</row>
    <row r="109" ht="12" customHeight="1" spans="1:26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</row>
    <row r="110" ht="12" customHeight="1" spans="1:26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</row>
    <row r="111" ht="12" customHeight="1" spans="1:26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</row>
    <row r="112" ht="12" customHeight="1" spans="1:26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</row>
    <row r="113" ht="12" customHeight="1" spans="1:26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</row>
    <row r="114" ht="12" customHeight="1" spans="1:26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</row>
    <row r="115" ht="12" customHeight="1" spans="1:26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</row>
    <row r="116" ht="12" customHeight="1" spans="1:26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</row>
    <row r="117" ht="12" customHeight="1" spans="1:26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</row>
    <row r="118" ht="12" customHeight="1" spans="1:26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</row>
    <row r="119" ht="12" customHeight="1" spans="1:26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</row>
    <row r="120" ht="12" customHeight="1" spans="1:26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</row>
    <row r="121" ht="12" customHeight="1" spans="1:26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</row>
    <row r="122" ht="12" customHeight="1" spans="1:26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</row>
    <row r="123" ht="12" customHeight="1" spans="1:26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</row>
    <row r="124" ht="12" customHeight="1" spans="1:26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</row>
    <row r="125" ht="12" customHeight="1" spans="1:26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</row>
    <row r="126" ht="12" customHeight="1" spans="1:26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</row>
    <row r="127" ht="12" customHeight="1" spans="1:26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</row>
    <row r="128" ht="12" customHeight="1" spans="1:26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</row>
    <row r="129" ht="12" customHeight="1" spans="1:26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</row>
    <row r="130" ht="12" customHeight="1" spans="1:26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</row>
    <row r="131" ht="12" customHeight="1" spans="1:26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</row>
    <row r="132" ht="12" customHeight="1" spans="1:26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</row>
    <row r="133" ht="12" customHeight="1" spans="1:26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</row>
    <row r="134" ht="12" customHeight="1" spans="1:26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</row>
    <row r="135" ht="12" customHeight="1" spans="1:26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</row>
    <row r="136" ht="12" customHeight="1" spans="1:26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</row>
    <row r="137" ht="12" customHeight="1" spans="1:26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</row>
    <row r="138" ht="12" customHeight="1" spans="1:26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</row>
    <row r="139" ht="12" customHeight="1" spans="1:26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</row>
    <row r="140" ht="12" customHeight="1" spans="1:26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</row>
    <row r="141" ht="12" customHeight="1" spans="1:26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</row>
    <row r="142" ht="12" customHeight="1" spans="1:26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</row>
    <row r="143" ht="12" customHeight="1" spans="1:26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</row>
    <row r="144" ht="12" customHeight="1" spans="1:26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</row>
    <row r="145" ht="12" customHeight="1" spans="1:26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</row>
    <row r="146" ht="12" customHeight="1" spans="1:26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</row>
    <row r="147" ht="12" customHeight="1" spans="1:26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</row>
    <row r="148" ht="12" customHeight="1" spans="1:26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</row>
    <row r="149" ht="12" customHeight="1" spans="1:26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</row>
    <row r="150" ht="12" customHeight="1" spans="1:26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</row>
    <row r="151" ht="12" customHeight="1" spans="1:26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</row>
    <row r="152" ht="12" customHeight="1" spans="1:26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</row>
    <row r="153" ht="12" customHeight="1" spans="1:26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</row>
    <row r="154" ht="12" customHeight="1" spans="1:26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</row>
    <row r="155" ht="12" customHeight="1" spans="1:26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  <c r="X155" s="264"/>
      <c r="Y155" s="264"/>
      <c r="Z155" s="264"/>
    </row>
    <row r="156" ht="12" customHeight="1" spans="1:26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  <c r="X156" s="264"/>
      <c r="Y156" s="264"/>
      <c r="Z156" s="264"/>
    </row>
    <row r="157" ht="12" customHeight="1" spans="1:26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  <c r="X157" s="264"/>
      <c r="Y157" s="264"/>
      <c r="Z157" s="264"/>
    </row>
    <row r="158" ht="12" customHeight="1" spans="1:26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  <c r="Y158" s="264"/>
      <c r="Z158" s="264"/>
    </row>
    <row r="159" ht="12" customHeight="1" spans="1:26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  <c r="P159" s="264"/>
      <c r="Q159" s="264"/>
      <c r="R159" s="264"/>
      <c r="S159" s="264"/>
      <c r="T159" s="264"/>
      <c r="U159" s="264"/>
      <c r="V159" s="264"/>
      <c r="W159" s="264"/>
      <c r="X159" s="264"/>
      <c r="Y159" s="264"/>
      <c r="Z159" s="264"/>
    </row>
    <row r="160" ht="12" customHeight="1" spans="1:26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  <c r="Y160" s="264"/>
      <c r="Z160" s="264"/>
    </row>
    <row r="161" ht="12" customHeight="1" spans="1:26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</row>
    <row r="162" ht="12" customHeight="1" spans="1:26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  <c r="X162" s="264"/>
      <c r="Y162" s="264"/>
      <c r="Z162" s="264"/>
    </row>
    <row r="163" ht="12" customHeight="1" spans="1:26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  <c r="X163" s="264"/>
      <c r="Y163" s="264"/>
      <c r="Z163" s="264"/>
    </row>
    <row r="164" ht="12" customHeight="1" spans="1:26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  <c r="P164" s="264"/>
      <c r="Q164" s="264"/>
      <c r="R164" s="264"/>
      <c r="S164" s="264"/>
      <c r="T164" s="264"/>
      <c r="U164" s="264"/>
      <c r="V164" s="264"/>
      <c r="W164" s="264"/>
      <c r="X164" s="264"/>
      <c r="Y164" s="264"/>
      <c r="Z164" s="264"/>
    </row>
    <row r="165" ht="12" customHeight="1" spans="1:26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  <c r="P165" s="264"/>
      <c r="Q165" s="264"/>
      <c r="R165" s="264"/>
      <c r="S165" s="264"/>
      <c r="T165" s="264"/>
      <c r="U165" s="264"/>
      <c r="V165" s="264"/>
      <c r="W165" s="264"/>
      <c r="X165" s="264"/>
      <c r="Y165" s="264"/>
      <c r="Z165" s="264"/>
    </row>
    <row r="166" ht="12" customHeight="1" spans="1:26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  <c r="P166" s="264"/>
      <c r="Q166" s="264"/>
      <c r="R166" s="264"/>
      <c r="S166" s="264"/>
      <c r="T166" s="264"/>
      <c r="U166" s="264"/>
      <c r="V166" s="264"/>
      <c r="W166" s="264"/>
      <c r="X166" s="264"/>
      <c r="Y166" s="264"/>
      <c r="Z166" s="264"/>
    </row>
    <row r="167" ht="12" customHeight="1" spans="1:26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</row>
    <row r="168" ht="12" customHeight="1" spans="1:26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  <c r="P168" s="264"/>
      <c r="Q168" s="264"/>
      <c r="R168" s="264"/>
      <c r="S168" s="264"/>
      <c r="T168" s="264"/>
      <c r="U168" s="264"/>
      <c r="V168" s="264"/>
      <c r="W168" s="264"/>
      <c r="X168" s="264"/>
      <c r="Y168" s="264"/>
      <c r="Z168" s="264"/>
    </row>
    <row r="169" ht="12" customHeight="1" spans="1:26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  <c r="X169" s="264"/>
      <c r="Y169" s="264"/>
      <c r="Z169" s="264"/>
    </row>
    <row r="170" ht="12" customHeight="1" spans="1:26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  <c r="X170" s="264"/>
      <c r="Y170" s="264"/>
      <c r="Z170" s="264"/>
    </row>
    <row r="171" ht="12" customHeight="1" spans="1:26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  <c r="P171" s="264"/>
      <c r="Q171" s="264"/>
      <c r="R171" s="264"/>
      <c r="S171" s="264"/>
      <c r="T171" s="264"/>
      <c r="U171" s="264"/>
      <c r="V171" s="264"/>
      <c r="W171" s="264"/>
      <c r="X171" s="264"/>
      <c r="Y171" s="264"/>
      <c r="Z171" s="264"/>
    </row>
    <row r="172" ht="12" customHeight="1" spans="1:26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  <c r="P172" s="264"/>
      <c r="Q172" s="264"/>
      <c r="R172" s="264"/>
      <c r="S172" s="264"/>
      <c r="T172" s="264"/>
      <c r="U172" s="264"/>
      <c r="V172" s="264"/>
      <c r="W172" s="264"/>
      <c r="X172" s="264"/>
      <c r="Y172" s="264"/>
      <c r="Z172" s="264"/>
    </row>
    <row r="173" ht="12" customHeight="1" spans="1:26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  <c r="P173" s="264"/>
      <c r="Q173" s="264"/>
      <c r="R173" s="264"/>
      <c r="S173" s="264"/>
      <c r="T173" s="264"/>
      <c r="U173" s="264"/>
      <c r="V173" s="264"/>
      <c r="W173" s="264"/>
      <c r="X173" s="264"/>
      <c r="Y173" s="264"/>
      <c r="Z173" s="264"/>
    </row>
    <row r="174" ht="12" customHeight="1" spans="1:26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  <c r="P174" s="264"/>
      <c r="Q174" s="264"/>
      <c r="R174" s="264"/>
      <c r="S174" s="264"/>
      <c r="T174" s="264"/>
      <c r="U174" s="264"/>
      <c r="V174" s="264"/>
      <c r="W174" s="264"/>
      <c r="X174" s="264"/>
      <c r="Y174" s="264"/>
      <c r="Z174" s="264"/>
    </row>
    <row r="175" ht="12" customHeight="1" spans="1:26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</row>
    <row r="176" ht="12" customHeight="1" spans="1:26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</row>
    <row r="177" ht="12" customHeight="1" spans="1:26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</row>
    <row r="178" ht="12" customHeight="1" spans="1:26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</row>
    <row r="179" ht="12" customHeight="1" spans="1:26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</row>
    <row r="180" ht="12" customHeight="1" spans="1:26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</row>
    <row r="181" ht="12" customHeight="1" spans="1:26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</row>
    <row r="182" ht="12" customHeight="1" spans="1:26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</row>
    <row r="183" ht="12" customHeight="1" spans="1:26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</row>
    <row r="184" ht="12" customHeight="1" spans="1:26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</row>
    <row r="185" ht="12" customHeight="1" spans="1:26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</row>
    <row r="186" ht="12" customHeight="1" spans="1:26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</row>
    <row r="187" ht="12" customHeight="1" spans="1:26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</row>
    <row r="188" ht="12" customHeight="1" spans="1:26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</row>
    <row r="189" ht="12" customHeight="1" spans="1:26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</row>
    <row r="190" ht="12" customHeight="1" spans="1:26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</row>
    <row r="191" ht="12" customHeight="1" spans="1:26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</row>
    <row r="192" ht="12" customHeight="1" spans="1:26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</row>
    <row r="193" ht="12" customHeight="1" spans="1:26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</row>
    <row r="194" ht="12" customHeight="1" spans="1:26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</row>
    <row r="195" ht="12" customHeight="1" spans="1:26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</row>
    <row r="196" ht="12" customHeight="1" spans="1:26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</row>
    <row r="197" ht="12" customHeight="1" spans="1:26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</row>
    <row r="198" ht="12" customHeight="1" spans="1:26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</row>
    <row r="199" ht="12" customHeight="1" spans="1:26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</row>
    <row r="200" ht="12" customHeight="1" spans="1:26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</row>
    <row r="201" ht="12" customHeight="1" spans="1:26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</row>
    <row r="202" ht="12" customHeight="1" spans="1:26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</row>
    <row r="203" ht="12" customHeight="1" spans="1:26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</row>
    <row r="204" ht="12" customHeight="1" spans="1:26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</row>
    <row r="205" ht="12" customHeight="1" spans="1:26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</row>
    <row r="206" ht="12" customHeight="1" spans="1:26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</row>
    <row r="207" ht="12" customHeight="1" spans="1:26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</row>
    <row r="208" ht="12" customHeight="1" spans="1:26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</row>
    <row r="209" ht="12" customHeight="1" spans="1:26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</row>
    <row r="210" ht="12" customHeight="1" spans="1:26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</row>
    <row r="211" ht="12" customHeight="1" spans="1:26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</row>
    <row r="212" ht="12" customHeight="1" spans="1:26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</row>
    <row r="213" ht="12" customHeight="1" spans="1:26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</row>
    <row r="214" ht="12" customHeight="1" spans="1:26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</row>
    <row r="215" ht="12" customHeight="1" spans="1:26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</row>
    <row r="216" ht="12" customHeight="1" spans="1:26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</row>
    <row r="217" ht="12" customHeight="1" spans="1:26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</row>
    <row r="218" ht="12" customHeight="1" spans="1:26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</row>
    <row r="219" ht="12" customHeight="1" spans="1:26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</row>
    <row r="220" ht="12" customHeight="1" spans="1:26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</row>
    <row r="221" ht="12" customHeight="1" spans="1:26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</row>
    <row r="222" ht="12" customHeight="1" spans="1:26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</row>
    <row r="223" ht="12" customHeight="1" spans="1:26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</row>
    <row r="224" ht="12" customHeight="1" spans="1:26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</row>
    <row r="225" ht="12" customHeight="1" spans="1:26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</row>
    <row r="226" ht="12" customHeight="1" spans="1:26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</row>
    <row r="227" ht="12" customHeight="1" spans="1:26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</row>
    <row r="228" ht="12" customHeight="1" spans="1:26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</row>
    <row r="229" ht="12" customHeight="1" spans="1:26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</row>
    <row r="230" ht="12" customHeight="1" spans="1:26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</row>
    <row r="231" ht="12" customHeight="1" spans="1:26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</row>
    <row r="232" ht="12" customHeight="1" spans="1:26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</row>
    <row r="233" ht="12" customHeight="1" spans="1:26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</row>
    <row r="234" ht="12" customHeight="1" spans="1:26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</row>
    <row r="235" ht="12" customHeight="1" spans="1:26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</row>
    <row r="236" ht="12" customHeight="1" spans="1:26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</row>
    <row r="237" ht="12" customHeight="1" spans="1:26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</row>
    <row r="238" ht="12" customHeight="1" spans="1:26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</row>
    <row r="239" ht="12" customHeight="1" spans="1:26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</row>
    <row r="240" ht="12" customHeight="1" spans="1:26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</row>
    <row r="241" ht="12" customHeight="1" spans="1:26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</row>
    <row r="242" ht="12" customHeight="1" spans="1:26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</row>
    <row r="243" ht="12" customHeight="1" spans="1:26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</row>
    <row r="244" ht="12" customHeight="1" spans="1:26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</row>
    <row r="245" ht="12" customHeight="1" spans="1:26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</row>
    <row r="246" ht="12" customHeight="1" spans="1:26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</row>
    <row r="247" ht="12" customHeight="1" spans="1:26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</row>
    <row r="248" ht="12" customHeight="1" spans="1:26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</row>
    <row r="249" ht="12" customHeight="1" spans="1:26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</row>
    <row r="250" ht="12" customHeight="1" spans="1:26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</row>
    <row r="251" ht="12" customHeight="1" spans="1:26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</row>
    <row r="252" ht="12" customHeight="1" spans="1:26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</row>
    <row r="253" ht="12" customHeight="1" spans="1:26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</row>
    <row r="254" ht="12" customHeight="1" spans="1:26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</row>
    <row r="255" ht="12" customHeight="1" spans="1:26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</row>
    <row r="256" ht="12" customHeight="1" spans="1:26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</row>
    <row r="257" ht="12" customHeight="1" spans="1:26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</row>
    <row r="258" ht="12" customHeight="1" spans="1:26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</row>
    <row r="259" ht="12" customHeight="1" spans="1:26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</row>
    <row r="260" ht="12" customHeight="1" spans="1:26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</row>
    <row r="261" ht="12" customHeight="1" spans="1:26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</row>
    <row r="262" ht="12" customHeight="1" spans="1:26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</row>
    <row r="263" ht="12" customHeight="1" spans="1:26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</row>
    <row r="264" ht="12" customHeight="1" spans="1:26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</row>
    <row r="265" ht="12" customHeight="1" spans="1:26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</row>
    <row r="266" ht="12" customHeight="1" spans="1:26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</row>
    <row r="267" ht="12" customHeight="1" spans="1:26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</row>
    <row r="268" ht="12" customHeight="1" spans="1:26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</row>
    <row r="269" ht="12" customHeight="1" spans="1:26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</row>
    <row r="270" ht="12" customHeight="1" spans="1:26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</row>
    <row r="271" ht="12" customHeight="1" spans="1:26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</row>
    <row r="272" ht="12" customHeight="1" spans="1:26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</row>
    <row r="273" ht="12" customHeight="1" spans="1:26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</row>
    <row r="274" ht="12" customHeight="1" spans="1:26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</row>
    <row r="275" ht="12" customHeight="1" spans="1:26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</row>
    <row r="276" ht="12" customHeight="1" spans="1:26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</row>
    <row r="277" ht="12" customHeight="1" spans="1:26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</row>
    <row r="278" ht="12" customHeight="1" spans="1:26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</row>
    <row r="279" ht="12" customHeight="1" spans="1:26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</row>
    <row r="280" ht="12" customHeight="1" spans="1:26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</row>
    <row r="281" ht="12" customHeight="1" spans="1:26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</row>
    <row r="282" ht="12" customHeight="1" spans="1:26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</row>
    <row r="283" ht="12" customHeight="1" spans="1:26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</row>
    <row r="284" ht="12" customHeight="1" spans="1:26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</row>
    <row r="285" ht="12" customHeight="1" spans="1:26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</row>
    <row r="286" ht="12" customHeight="1" spans="1:26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</row>
    <row r="287" ht="12" customHeight="1" spans="1:26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</row>
    <row r="288" ht="12" customHeight="1" spans="1:26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</row>
    <row r="289" ht="12" customHeight="1" spans="1:26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</row>
    <row r="290" ht="12" customHeight="1" spans="1:26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</row>
    <row r="291" ht="12" customHeight="1" spans="1:26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</row>
    <row r="292" ht="12" customHeight="1" spans="1:26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</row>
    <row r="293" ht="12" customHeight="1" spans="1:26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</row>
    <row r="294" ht="12" customHeight="1" spans="1:26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</row>
    <row r="295" ht="12" customHeight="1" spans="1:26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</row>
    <row r="296" ht="12" customHeight="1" spans="1:26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</row>
    <row r="297" ht="12" customHeight="1" spans="1:26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</row>
    <row r="298" ht="12" customHeight="1" spans="1:26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</row>
    <row r="299" ht="12" customHeight="1" spans="1:26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</row>
    <row r="300" ht="12" customHeight="1" spans="1:26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</row>
    <row r="301" ht="12" customHeight="1" spans="1:26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</row>
    <row r="302" ht="12" customHeight="1" spans="1:26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</row>
    <row r="303" ht="12" customHeight="1" spans="1:26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</row>
    <row r="304" ht="12" customHeight="1" spans="1:26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</row>
    <row r="305" ht="12" customHeight="1" spans="1:26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</row>
    <row r="306" ht="12" customHeight="1" spans="1:26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</row>
    <row r="307" ht="12" customHeight="1" spans="1:26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</row>
    <row r="308" ht="12" customHeight="1" spans="1:26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</row>
    <row r="309" ht="12" customHeight="1" spans="1:26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</row>
    <row r="310" ht="12" customHeight="1" spans="1:26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</row>
    <row r="311" ht="12" customHeight="1" spans="1:26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</row>
    <row r="312" ht="12" customHeight="1" spans="1:26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</row>
    <row r="313" ht="12" customHeight="1" spans="1:26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</row>
    <row r="314" ht="12" customHeight="1" spans="1:26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</row>
    <row r="315" ht="12" customHeight="1" spans="1:26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</row>
    <row r="316" ht="12" customHeight="1" spans="1:26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</row>
    <row r="317" ht="12" customHeight="1" spans="1:26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</row>
    <row r="318" ht="12" customHeight="1" spans="1:26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</row>
    <row r="319" ht="12" customHeight="1" spans="1:26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</row>
    <row r="320" ht="12" customHeight="1" spans="1:26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</row>
    <row r="321" ht="12" customHeight="1" spans="1:26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</row>
    <row r="322" ht="12" customHeight="1" spans="1:26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</row>
    <row r="323" ht="12" customHeight="1" spans="1:26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</row>
    <row r="324" ht="12" customHeight="1" spans="1:26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</row>
    <row r="325" ht="12" customHeight="1" spans="1:26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</row>
    <row r="326" ht="12" customHeight="1" spans="1:26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</row>
    <row r="327" ht="12" customHeight="1" spans="1:26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</row>
    <row r="328" ht="12" customHeight="1" spans="1:26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</row>
    <row r="329" ht="12" customHeight="1" spans="1:26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</row>
    <row r="330" ht="12" customHeight="1" spans="1:26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</row>
    <row r="331" ht="12" customHeight="1" spans="1:26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</row>
    <row r="332" ht="12" customHeight="1" spans="1:26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</row>
    <row r="333" ht="12" customHeight="1" spans="1:26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</row>
    <row r="334" ht="12" customHeight="1" spans="1:26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</row>
    <row r="335" ht="12" customHeight="1" spans="1:26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</row>
    <row r="336" ht="12" customHeight="1" spans="1:26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</row>
    <row r="337" ht="12" customHeight="1" spans="1:26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</row>
    <row r="338" ht="12" customHeight="1" spans="1:26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</row>
    <row r="339" ht="12" customHeight="1" spans="1:26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</row>
    <row r="340" ht="12" customHeight="1" spans="1:26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</row>
    <row r="341" ht="12" customHeight="1" spans="1:26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</row>
    <row r="342" ht="12" customHeight="1" spans="1:26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</row>
    <row r="343" ht="12" customHeight="1" spans="1:26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</row>
    <row r="344" ht="12" customHeight="1" spans="1:26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</row>
    <row r="345" ht="12" customHeight="1" spans="1:26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</row>
    <row r="346" ht="12" customHeight="1" spans="1:26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</row>
    <row r="347" ht="12" customHeight="1" spans="1:26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</row>
    <row r="348" ht="12" customHeight="1" spans="1:26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</row>
    <row r="349" ht="12" customHeight="1" spans="1:26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</row>
    <row r="350" ht="12" customHeight="1" spans="1:26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</row>
    <row r="351" ht="12" customHeight="1" spans="1:26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</row>
    <row r="352" ht="12" customHeight="1" spans="1:26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</row>
    <row r="353" ht="12" customHeight="1" spans="1:26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</row>
    <row r="354" ht="12" customHeight="1" spans="1:26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</row>
    <row r="355" ht="12" customHeight="1" spans="1:26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</row>
    <row r="356" ht="12" customHeight="1" spans="1:26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</row>
    <row r="357" ht="12" customHeight="1" spans="1:26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</row>
    <row r="358" ht="12" customHeight="1" spans="1:26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</row>
    <row r="359" ht="12" customHeight="1" spans="1:26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</row>
    <row r="360" ht="12" customHeight="1" spans="1:26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</row>
    <row r="361" ht="12" customHeight="1" spans="1:26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</row>
    <row r="362" ht="12" customHeight="1" spans="1:26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</row>
    <row r="363" ht="12" customHeight="1" spans="1:26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</row>
    <row r="364" ht="12" customHeight="1" spans="1:26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</row>
    <row r="365" ht="12" customHeight="1" spans="1:26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</row>
    <row r="366" ht="12" customHeight="1" spans="1:26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</row>
    <row r="367" ht="12" customHeight="1" spans="1:26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</row>
    <row r="368" ht="12" customHeight="1" spans="1:26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</row>
    <row r="369" ht="12" customHeight="1" spans="1:26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</row>
    <row r="370" ht="12" customHeight="1" spans="1:26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</row>
    <row r="371" ht="12" customHeight="1" spans="1:26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</row>
    <row r="372" ht="12" customHeight="1" spans="1:26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</row>
    <row r="373" ht="12" customHeight="1" spans="1:26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</row>
    <row r="374" ht="12" customHeight="1" spans="1:26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</row>
    <row r="375" ht="12" customHeight="1" spans="1:26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</row>
    <row r="376" ht="12" customHeight="1" spans="1:26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</row>
    <row r="377" ht="12" customHeight="1" spans="1:26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</row>
    <row r="378" ht="12" customHeight="1" spans="1:26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</row>
    <row r="379" ht="12" customHeight="1" spans="1:26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</row>
    <row r="380" ht="12" customHeight="1" spans="1:26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</row>
    <row r="381" ht="12" customHeight="1" spans="1:26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</row>
    <row r="382" ht="12" customHeight="1" spans="1:26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</row>
    <row r="383" ht="12" customHeight="1" spans="1:26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</row>
    <row r="384" ht="12" customHeight="1" spans="1:26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</row>
    <row r="385" ht="12" customHeight="1" spans="1:26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</row>
    <row r="386" ht="12" customHeight="1" spans="1:26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</row>
    <row r="387" ht="12" customHeight="1" spans="1:26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</row>
    <row r="388" ht="12" customHeight="1" spans="1:26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</row>
    <row r="389" ht="12" customHeight="1" spans="1:26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</row>
    <row r="390" ht="12" customHeight="1" spans="1:26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</row>
    <row r="391" ht="12" customHeight="1" spans="1:26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</row>
    <row r="392" ht="12" customHeight="1" spans="1:26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</row>
    <row r="393" ht="12" customHeight="1" spans="1:26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</row>
    <row r="394" ht="12" customHeight="1" spans="1:26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</row>
    <row r="395" ht="12" customHeight="1" spans="1:26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</row>
    <row r="396" ht="12" customHeight="1" spans="1:26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</row>
    <row r="397" ht="12" customHeight="1" spans="1:26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</row>
    <row r="398" ht="12" customHeight="1" spans="1:26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</row>
    <row r="399" ht="12" customHeight="1" spans="1:26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</row>
    <row r="400" ht="12" customHeight="1" spans="1:26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</row>
    <row r="401" ht="12" customHeight="1" spans="1:26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</row>
    <row r="402" ht="12" customHeight="1" spans="1:26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</row>
    <row r="403" ht="12" customHeight="1" spans="1:26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</row>
    <row r="404" ht="12" customHeight="1" spans="1:26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</row>
    <row r="405" ht="12" customHeight="1" spans="1:26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</row>
    <row r="406" ht="12" customHeight="1" spans="1:26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</row>
    <row r="407" ht="12" customHeight="1" spans="1:26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</row>
    <row r="408" ht="12" customHeight="1" spans="1:26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</row>
    <row r="409" ht="12" customHeight="1" spans="1:26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</row>
    <row r="410" ht="12" customHeight="1" spans="1:26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</row>
    <row r="411" ht="12" customHeight="1" spans="1:26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</row>
    <row r="412" ht="12" customHeight="1" spans="1:26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</row>
    <row r="413" ht="12" customHeight="1" spans="1:26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</row>
    <row r="414" ht="12" customHeight="1" spans="1:26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</row>
    <row r="415" ht="12" customHeight="1" spans="1:26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</row>
    <row r="416" ht="12" customHeight="1" spans="1:26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</row>
    <row r="417" ht="12" customHeight="1" spans="1:26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</row>
    <row r="418" ht="12" customHeight="1" spans="1:26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</row>
    <row r="419" ht="12" customHeight="1" spans="1:26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</row>
    <row r="420" ht="12" customHeight="1" spans="1:26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</row>
    <row r="421" ht="12" customHeight="1" spans="1:26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</row>
    <row r="422" ht="12" customHeight="1" spans="1:26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</row>
    <row r="423" ht="12" customHeight="1" spans="1:26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</row>
    <row r="424" ht="12" customHeight="1" spans="1:26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</row>
    <row r="425" ht="12" customHeight="1" spans="1:26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</row>
    <row r="426" ht="12" customHeight="1" spans="1:26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</row>
    <row r="427" ht="12" customHeight="1" spans="1:26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</row>
    <row r="428" ht="12" customHeight="1" spans="1:26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</row>
    <row r="429" ht="12" customHeight="1" spans="1:26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</row>
    <row r="430" ht="12" customHeight="1" spans="1:26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</row>
    <row r="431" ht="12" customHeight="1" spans="1:26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</row>
    <row r="432" ht="12" customHeight="1" spans="1:26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</row>
    <row r="433" ht="12" customHeight="1" spans="1:26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</row>
    <row r="434" ht="12" customHeight="1" spans="1:26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</row>
    <row r="435" ht="12" customHeight="1" spans="1:26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</row>
    <row r="436" ht="12" customHeight="1" spans="1:26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</row>
    <row r="437" ht="12" customHeight="1" spans="1:26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</row>
    <row r="438" ht="12" customHeight="1" spans="1:26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</row>
    <row r="439" ht="12" customHeight="1" spans="1:26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</row>
    <row r="440" ht="12" customHeight="1" spans="1:26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</row>
    <row r="441" ht="12" customHeight="1" spans="1:26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</row>
    <row r="442" ht="12" customHeight="1" spans="1:26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</row>
    <row r="443" ht="12" customHeight="1" spans="1:26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</row>
    <row r="444" ht="12" customHeight="1" spans="1:26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</row>
    <row r="445" ht="12" customHeight="1" spans="1:26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</row>
    <row r="446" ht="12" customHeight="1" spans="1:26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</row>
    <row r="447" ht="12" customHeight="1" spans="1:26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</row>
    <row r="448" ht="12" customHeight="1" spans="1:26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</row>
    <row r="449" ht="12" customHeight="1" spans="1:26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</row>
    <row r="450" ht="12" customHeight="1" spans="1:26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</row>
    <row r="451" ht="12" customHeight="1" spans="1:26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</row>
    <row r="452" ht="12" customHeight="1" spans="1:26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</row>
    <row r="453" ht="12" customHeight="1" spans="1:26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</row>
    <row r="454" ht="12" customHeight="1" spans="1:26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</row>
    <row r="455" ht="12" customHeight="1" spans="1:26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</row>
    <row r="456" ht="12" customHeight="1" spans="1:26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</row>
    <row r="457" ht="12" customHeight="1" spans="1:26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</row>
    <row r="458" ht="12" customHeight="1" spans="1:26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</row>
    <row r="459" ht="12" customHeight="1" spans="1:26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</row>
    <row r="460" ht="12" customHeight="1" spans="1:26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</row>
    <row r="461" ht="12" customHeight="1" spans="1:26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</row>
    <row r="462" ht="12" customHeight="1" spans="1:26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</row>
    <row r="463" ht="12" customHeight="1" spans="1:26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</row>
    <row r="464" ht="12" customHeight="1" spans="1:26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</row>
    <row r="465" ht="12" customHeight="1" spans="1:26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</row>
    <row r="466" ht="12" customHeight="1" spans="1:26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</row>
    <row r="467" ht="12" customHeight="1" spans="1:26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</row>
    <row r="468" ht="12" customHeight="1" spans="1:26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</row>
    <row r="469" ht="12" customHeight="1" spans="1:26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</row>
    <row r="470" ht="12" customHeight="1" spans="1:26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</row>
    <row r="471" ht="12" customHeight="1" spans="1:26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</row>
    <row r="472" ht="12" customHeight="1" spans="1:26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</row>
    <row r="473" ht="12" customHeight="1" spans="1:26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</row>
    <row r="474" ht="12" customHeight="1" spans="1:26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</row>
    <row r="475" ht="12" customHeight="1" spans="1:26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</row>
    <row r="476" ht="12" customHeight="1" spans="1:26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</row>
    <row r="477" ht="12" customHeight="1" spans="1:26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</row>
    <row r="478" ht="12" customHeight="1" spans="1:26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</row>
    <row r="479" ht="12" customHeight="1" spans="1:26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</row>
    <row r="480" ht="12" customHeight="1" spans="1:26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</row>
    <row r="481" ht="12" customHeight="1" spans="1:26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</row>
    <row r="482" ht="12" customHeight="1" spans="1:26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</row>
    <row r="483" ht="12" customHeight="1" spans="1:26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</row>
    <row r="484" ht="12" customHeight="1" spans="1:26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</row>
    <row r="485" ht="12" customHeight="1" spans="1:26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</row>
    <row r="486" ht="12" customHeight="1" spans="1:26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</row>
    <row r="487" ht="12" customHeight="1" spans="1:26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</row>
    <row r="488" ht="12" customHeight="1" spans="1:26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</row>
    <row r="489" ht="12" customHeight="1" spans="1:26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</row>
    <row r="490" ht="12" customHeight="1" spans="1:26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</row>
    <row r="491" ht="12" customHeight="1" spans="1:26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</row>
    <row r="492" ht="12" customHeight="1" spans="1:26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</row>
    <row r="493" ht="12" customHeight="1" spans="1:26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</row>
    <row r="494" ht="12" customHeight="1" spans="1:26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</row>
    <row r="495" ht="12" customHeight="1" spans="1:26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</row>
    <row r="496" ht="12" customHeight="1" spans="1:26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</row>
    <row r="497" ht="12" customHeight="1" spans="1:26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</row>
    <row r="498" ht="12" customHeight="1" spans="1:26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</row>
    <row r="499" ht="12" customHeight="1" spans="1:26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</row>
    <row r="500" ht="12" customHeight="1" spans="1:26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</row>
    <row r="501" ht="12" customHeight="1" spans="1:26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</row>
    <row r="502" ht="12" customHeight="1" spans="1:26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</row>
    <row r="503" ht="12" customHeight="1" spans="1:26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</row>
    <row r="504" ht="12" customHeight="1" spans="1:26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</row>
    <row r="505" ht="12" customHeight="1" spans="1:26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</row>
    <row r="506" ht="12" customHeight="1" spans="1:26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</row>
    <row r="507" ht="12" customHeight="1" spans="1:26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</row>
    <row r="508" ht="12" customHeight="1" spans="1:26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</row>
    <row r="509" ht="12" customHeight="1" spans="1:26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</row>
    <row r="510" ht="12" customHeight="1" spans="1:26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</row>
    <row r="511" ht="12" customHeight="1" spans="1:26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</row>
    <row r="512" ht="12" customHeight="1" spans="1:26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</row>
    <row r="513" ht="12" customHeight="1" spans="1:26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</row>
    <row r="514" ht="12" customHeight="1" spans="1:26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</row>
    <row r="515" ht="12" customHeight="1" spans="1:26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</row>
    <row r="516" ht="12" customHeight="1" spans="1:26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</row>
    <row r="517" ht="12" customHeight="1" spans="1:26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</row>
    <row r="518" ht="12" customHeight="1" spans="1:26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</row>
    <row r="519" ht="12" customHeight="1" spans="1:26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</row>
    <row r="520" ht="12" customHeight="1" spans="1:26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</row>
    <row r="521" ht="12" customHeight="1" spans="1:26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</row>
    <row r="522" ht="12" customHeight="1" spans="1:26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</row>
    <row r="523" ht="12" customHeight="1" spans="1:26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</row>
    <row r="524" ht="12" customHeight="1" spans="1:26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</row>
    <row r="525" ht="12" customHeight="1" spans="1:26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</row>
    <row r="526" ht="12" customHeight="1" spans="1:26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</row>
    <row r="527" ht="12" customHeight="1" spans="1:26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</row>
    <row r="528" ht="12" customHeight="1" spans="1:26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</row>
    <row r="529" ht="12" customHeight="1" spans="1:26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</row>
    <row r="530" ht="12" customHeight="1" spans="1:26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</row>
    <row r="531" ht="12" customHeight="1" spans="1:26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</row>
    <row r="532" ht="12" customHeight="1" spans="1:26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</row>
    <row r="533" ht="12" customHeight="1" spans="1:26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</row>
    <row r="534" ht="12" customHeight="1" spans="1:26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</row>
    <row r="535" ht="12" customHeight="1" spans="1:26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</row>
    <row r="536" ht="12" customHeight="1" spans="1:26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</row>
    <row r="537" ht="12" customHeight="1" spans="1:26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</row>
    <row r="538" ht="12" customHeight="1" spans="1:26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</row>
    <row r="539" ht="12" customHeight="1" spans="1:26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</row>
    <row r="540" ht="12" customHeight="1" spans="1:26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</row>
    <row r="541" ht="12" customHeight="1" spans="1:26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</row>
    <row r="542" ht="12" customHeight="1" spans="1:26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</row>
    <row r="543" ht="12" customHeight="1" spans="1:26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</row>
    <row r="544" ht="12" customHeight="1" spans="1:26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</row>
    <row r="545" ht="12" customHeight="1" spans="1:26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</row>
    <row r="546" ht="12" customHeight="1" spans="1:26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</row>
    <row r="547" ht="12" customHeight="1" spans="1:26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</row>
    <row r="548" ht="12" customHeight="1" spans="1:26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</row>
    <row r="549" ht="12" customHeight="1" spans="1:26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</row>
    <row r="550" ht="12" customHeight="1" spans="1:26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</row>
    <row r="551" ht="12" customHeight="1" spans="1:26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</row>
    <row r="552" ht="12" customHeight="1" spans="1:26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</row>
    <row r="553" ht="12" customHeight="1" spans="1:26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</row>
    <row r="554" ht="12" customHeight="1" spans="1:26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</row>
    <row r="555" ht="12" customHeight="1" spans="1:26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</row>
    <row r="556" ht="12" customHeight="1" spans="1:26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</row>
    <row r="557" ht="12" customHeight="1" spans="1:26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</row>
    <row r="558" ht="12" customHeight="1" spans="1:26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</row>
    <row r="559" ht="12" customHeight="1" spans="1:26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</row>
    <row r="560" ht="12" customHeight="1" spans="1:26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</row>
    <row r="561" ht="12" customHeight="1" spans="1:26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</row>
    <row r="562" ht="12" customHeight="1" spans="1:26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</row>
    <row r="563" ht="12" customHeight="1" spans="1:26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</row>
    <row r="564" ht="12" customHeight="1" spans="1:26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</row>
    <row r="565" ht="12" customHeight="1" spans="1:26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</row>
    <row r="566" ht="12" customHeight="1" spans="1:26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</row>
    <row r="567" ht="12" customHeight="1" spans="1:26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</row>
    <row r="568" ht="12" customHeight="1" spans="1:26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</row>
    <row r="569" ht="12" customHeight="1" spans="1:26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</row>
    <row r="570" ht="12" customHeight="1" spans="1:26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</row>
    <row r="571" ht="12" customHeight="1" spans="1:26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</row>
    <row r="572" ht="12" customHeight="1" spans="1:26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</row>
    <row r="573" ht="12" customHeight="1" spans="1:26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</row>
    <row r="574" ht="12" customHeight="1" spans="1:26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</row>
    <row r="575" ht="12" customHeight="1" spans="1:26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</row>
    <row r="576" ht="12" customHeight="1" spans="1:26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</row>
    <row r="577" ht="12" customHeight="1" spans="1:26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</row>
    <row r="578" ht="12" customHeight="1" spans="1:26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</row>
    <row r="579" ht="12" customHeight="1" spans="1:26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</row>
    <row r="580" ht="12" customHeight="1" spans="1:26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</row>
    <row r="581" ht="12" customHeight="1" spans="1:26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</row>
    <row r="582" ht="12" customHeight="1" spans="1:26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</row>
    <row r="583" ht="12" customHeight="1" spans="1:26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</row>
    <row r="584" ht="12" customHeight="1" spans="1:26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</row>
    <row r="585" ht="12" customHeight="1" spans="1:26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</row>
    <row r="586" ht="12" customHeight="1" spans="1:26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</row>
    <row r="587" ht="12" customHeight="1" spans="1:26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</row>
    <row r="588" ht="12" customHeight="1" spans="1:26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</row>
    <row r="589" ht="12" customHeight="1" spans="1:26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</row>
    <row r="590" ht="12" customHeight="1" spans="1:26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</row>
    <row r="591" ht="12" customHeight="1" spans="1:26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</row>
    <row r="592" ht="12" customHeight="1" spans="1:26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</row>
    <row r="593" ht="12" customHeight="1" spans="1:26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</row>
    <row r="594" ht="12" customHeight="1" spans="1:26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</row>
    <row r="595" ht="12" customHeight="1" spans="1:26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</row>
    <row r="596" ht="12" customHeight="1" spans="1:26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</row>
    <row r="597" ht="12" customHeight="1" spans="1:26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</row>
    <row r="598" ht="12" customHeight="1" spans="1:26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</row>
    <row r="599" ht="12" customHeight="1" spans="1:26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</row>
    <row r="600" ht="12" customHeight="1" spans="1:26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</row>
    <row r="601" ht="12" customHeight="1" spans="1:26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</row>
    <row r="602" ht="12" customHeight="1" spans="1:26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</row>
    <row r="603" ht="12" customHeight="1" spans="1:26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</row>
    <row r="604" ht="12" customHeight="1" spans="1:26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</row>
    <row r="605" ht="12" customHeight="1" spans="1:26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</row>
    <row r="606" ht="12" customHeight="1" spans="1:26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</row>
    <row r="607" ht="12" customHeight="1" spans="1:26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</row>
    <row r="608" ht="12" customHeight="1" spans="1:26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</row>
    <row r="609" ht="12" customHeight="1" spans="1:26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</row>
    <row r="610" ht="12" customHeight="1" spans="1:26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</row>
    <row r="611" ht="12" customHeight="1" spans="1:26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</row>
    <row r="612" ht="12" customHeight="1" spans="1:26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</row>
    <row r="613" ht="12" customHeight="1" spans="1:26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</row>
    <row r="614" ht="12" customHeight="1" spans="1:26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</row>
    <row r="615" ht="12" customHeight="1" spans="1:26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</row>
    <row r="616" ht="12" customHeight="1" spans="1:26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</row>
    <row r="617" ht="12" customHeight="1" spans="1:26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</row>
    <row r="618" ht="12" customHeight="1" spans="1:26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</row>
    <row r="619" ht="12" customHeight="1" spans="1:26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</row>
    <row r="620" ht="12" customHeight="1" spans="1:26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</row>
    <row r="621" ht="12" customHeight="1" spans="1:26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</row>
    <row r="622" ht="12" customHeight="1" spans="1:26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</row>
    <row r="623" ht="12" customHeight="1" spans="1:26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</row>
    <row r="624" ht="12" customHeight="1" spans="1:26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</row>
    <row r="625" ht="12" customHeight="1" spans="1:26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</row>
    <row r="626" ht="12" customHeight="1" spans="1:26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</row>
    <row r="627" ht="12" customHeight="1" spans="1:26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</row>
    <row r="628" ht="12" customHeight="1" spans="1:26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</row>
    <row r="629" ht="12" customHeight="1" spans="1:26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</row>
    <row r="630" ht="12" customHeight="1" spans="1:26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</row>
    <row r="631" ht="12" customHeight="1" spans="1:26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</row>
    <row r="632" ht="12" customHeight="1" spans="1:26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</row>
    <row r="633" ht="12" customHeight="1" spans="1:26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</row>
    <row r="634" ht="12" customHeight="1" spans="1:26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</row>
    <row r="635" ht="12" customHeight="1" spans="1:26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</row>
    <row r="636" ht="12" customHeight="1" spans="1:26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</row>
    <row r="637" ht="12" customHeight="1" spans="1:26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</row>
    <row r="638" ht="12" customHeight="1" spans="1:26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</row>
    <row r="639" ht="12" customHeight="1" spans="1:26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</row>
    <row r="640" ht="12" customHeight="1" spans="1:26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</row>
    <row r="641" ht="12" customHeight="1" spans="1:26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</row>
    <row r="642" ht="12" customHeight="1" spans="1:26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</row>
    <row r="643" ht="12" customHeight="1" spans="1:26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</row>
    <row r="644" ht="12" customHeight="1" spans="1:26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</row>
    <row r="645" ht="12" customHeight="1" spans="1:26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</row>
    <row r="646" ht="12" customHeight="1" spans="1:26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</row>
    <row r="647" ht="12" customHeight="1" spans="1:26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</row>
    <row r="648" ht="12" customHeight="1" spans="1:26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</row>
    <row r="649" ht="12" customHeight="1" spans="1:26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</row>
    <row r="650" ht="12" customHeight="1" spans="1:26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</row>
    <row r="651" ht="12" customHeight="1" spans="1:26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</row>
    <row r="652" ht="12" customHeight="1" spans="1:26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</row>
    <row r="653" ht="12" customHeight="1" spans="1:26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</row>
    <row r="654" ht="12" customHeight="1" spans="1:26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</row>
    <row r="655" ht="12" customHeight="1" spans="1:26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</row>
    <row r="656" ht="12" customHeight="1" spans="1:26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</row>
    <row r="657" ht="12" customHeight="1" spans="1:26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</row>
    <row r="658" ht="12" customHeight="1" spans="1:26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</row>
    <row r="659" ht="12" customHeight="1" spans="1:26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</row>
    <row r="660" ht="12" customHeight="1" spans="1:26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</row>
    <row r="661" ht="12" customHeight="1" spans="1:26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</row>
    <row r="662" ht="12" customHeight="1" spans="1:26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</row>
    <row r="663" ht="12" customHeight="1" spans="1:26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</row>
    <row r="664" ht="12" customHeight="1" spans="1:26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</row>
    <row r="665" ht="12" customHeight="1" spans="1:26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</row>
    <row r="666" ht="12" customHeight="1" spans="1:26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</row>
    <row r="667" ht="12" customHeight="1" spans="1:26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</row>
    <row r="668" ht="12" customHeight="1" spans="1:26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</row>
    <row r="669" ht="12" customHeight="1" spans="1:26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</row>
    <row r="670" ht="12" customHeight="1" spans="1:26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</row>
    <row r="671" ht="12" customHeight="1" spans="1:26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</row>
    <row r="672" ht="12" customHeight="1" spans="1:26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</row>
    <row r="673" ht="12" customHeight="1" spans="1:26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</row>
    <row r="674" ht="12" customHeight="1" spans="1:26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</row>
    <row r="675" ht="12" customHeight="1" spans="1:26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</row>
    <row r="676" ht="12" customHeight="1" spans="1:26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</row>
    <row r="677" ht="12" customHeight="1" spans="1:26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</row>
    <row r="678" ht="12" customHeight="1" spans="1:26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</row>
    <row r="679" ht="12" customHeight="1" spans="1:26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</row>
    <row r="680" ht="12" customHeight="1" spans="1:26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</row>
    <row r="681" ht="12" customHeight="1" spans="1:26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</row>
    <row r="682" ht="12" customHeight="1" spans="1:26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</row>
    <row r="683" ht="12" customHeight="1" spans="1:26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</row>
    <row r="684" ht="12" customHeight="1" spans="1:26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</row>
    <row r="685" ht="12" customHeight="1" spans="1:26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</row>
    <row r="686" ht="12" customHeight="1" spans="1:26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</row>
    <row r="687" ht="12" customHeight="1" spans="1:26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</row>
    <row r="688" ht="12" customHeight="1" spans="1:26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</row>
    <row r="689" ht="12" customHeight="1" spans="1:26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</row>
    <row r="690" ht="12" customHeight="1" spans="1:26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</row>
    <row r="691" ht="12" customHeight="1" spans="1:26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</row>
    <row r="692" ht="12" customHeight="1" spans="1:26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</row>
    <row r="693" ht="12" customHeight="1" spans="1:26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</row>
    <row r="694" ht="12" customHeight="1" spans="1:26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</row>
    <row r="695" ht="12" customHeight="1" spans="1:26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</row>
    <row r="696" ht="12" customHeight="1" spans="1:26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</row>
    <row r="697" ht="12" customHeight="1" spans="1:26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</row>
    <row r="698" ht="12" customHeight="1" spans="1:26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</row>
    <row r="699" ht="12" customHeight="1" spans="1:26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</row>
    <row r="700" ht="12" customHeight="1" spans="1:26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</row>
    <row r="701" ht="12" customHeight="1" spans="1:26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</row>
    <row r="702" ht="12" customHeight="1" spans="1:26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</row>
    <row r="703" ht="12" customHeight="1" spans="1:26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</row>
    <row r="704" ht="12" customHeight="1" spans="1:26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</row>
    <row r="705" ht="12" customHeight="1" spans="1:26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</row>
    <row r="706" ht="12" customHeight="1" spans="1:26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</row>
    <row r="707" ht="12" customHeight="1" spans="1:26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</row>
    <row r="708" ht="12" customHeight="1" spans="1:26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</row>
    <row r="709" ht="12" customHeight="1" spans="1:26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</row>
    <row r="710" ht="12" customHeight="1" spans="1:26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</row>
    <row r="711" ht="12" customHeight="1" spans="1:26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</row>
    <row r="712" ht="12" customHeight="1" spans="1:26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</row>
    <row r="713" ht="12" customHeight="1" spans="1:26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</row>
    <row r="714" ht="12" customHeight="1" spans="1:26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</row>
    <row r="715" ht="12" customHeight="1" spans="1:26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</row>
    <row r="716" ht="12" customHeight="1" spans="1:26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</row>
    <row r="717" ht="12" customHeight="1" spans="1:26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</row>
    <row r="718" ht="12" customHeight="1" spans="1:26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</row>
    <row r="719" ht="12" customHeight="1" spans="1:26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</row>
    <row r="720" ht="12" customHeight="1" spans="1:26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</row>
    <row r="721" ht="12" customHeight="1" spans="1:26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</row>
    <row r="722" ht="12" customHeight="1" spans="1:26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</row>
    <row r="723" ht="12" customHeight="1" spans="1:26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</row>
    <row r="724" ht="12" customHeight="1" spans="1:26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</row>
    <row r="725" ht="12" customHeight="1" spans="1:26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</row>
    <row r="726" ht="12" customHeight="1" spans="1:26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</row>
    <row r="727" ht="12" customHeight="1" spans="1:26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</row>
    <row r="728" ht="12" customHeight="1" spans="1:26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</row>
    <row r="729" ht="12" customHeight="1" spans="1:26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</row>
    <row r="730" ht="12" customHeight="1" spans="1:26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</row>
    <row r="731" ht="12" customHeight="1" spans="1:26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</row>
    <row r="732" ht="12" customHeight="1" spans="1:26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</row>
    <row r="733" ht="12" customHeight="1" spans="1:26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</row>
    <row r="734" ht="12" customHeight="1" spans="1:26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</row>
    <row r="735" ht="12" customHeight="1" spans="1:26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</row>
    <row r="736" ht="12" customHeight="1" spans="1:26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</row>
    <row r="737" ht="12" customHeight="1" spans="1:26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</row>
    <row r="738" ht="12" customHeight="1" spans="1:26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</row>
    <row r="739" ht="12" customHeight="1" spans="1:26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</row>
    <row r="740" ht="12" customHeight="1" spans="1:26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</row>
    <row r="741" ht="12" customHeight="1" spans="1:26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</row>
    <row r="742" ht="12" customHeight="1" spans="1:26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</row>
    <row r="743" ht="12" customHeight="1" spans="1:26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</row>
    <row r="744" ht="12" customHeight="1" spans="1:26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</row>
    <row r="745" ht="12" customHeight="1" spans="1:26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</row>
    <row r="746" ht="12" customHeight="1" spans="1:26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</row>
    <row r="747" ht="12" customHeight="1" spans="1:26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</row>
    <row r="748" ht="12" customHeight="1" spans="1:26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</row>
    <row r="749" ht="12" customHeight="1" spans="1:26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</row>
    <row r="750" ht="12" customHeight="1" spans="1:26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</row>
    <row r="751" ht="12" customHeight="1" spans="1:26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</row>
    <row r="752" ht="12" customHeight="1" spans="1:26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</row>
    <row r="753" ht="12" customHeight="1" spans="1:26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</row>
    <row r="754" ht="12" customHeight="1" spans="1:26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</row>
    <row r="755" ht="12" customHeight="1" spans="1:26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</row>
    <row r="756" ht="12" customHeight="1" spans="1:26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</row>
    <row r="757" ht="12" customHeight="1" spans="1:26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</row>
    <row r="758" ht="12" customHeight="1" spans="1:26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</row>
    <row r="759" ht="12" customHeight="1" spans="1:26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</row>
    <row r="760" ht="12" customHeight="1" spans="1:26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</row>
    <row r="761" ht="12" customHeight="1" spans="1:26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</row>
    <row r="762" ht="12" customHeight="1" spans="1:26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</row>
    <row r="763" ht="12" customHeight="1" spans="1:26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</row>
    <row r="764" ht="12" customHeight="1" spans="1:26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</row>
    <row r="765" ht="12" customHeight="1" spans="1:26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</row>
    <row r="766" ht="12" customHeight="1" spans="1:26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</row>
    <row r="767" ht="12" customHeight="1" spans="1:26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</row>
    <row r="768" ht="12" customHeight="1" spans="1:26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</row>
    <row r="769" ht="12" customHeight="1" spans="1:26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</row>
    <row r="770" ht="12" customHeight="1" spans="1:26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</row>
    <row r="771" ht="12" customHeight="1" spans="1:26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</row>
    <row r="772" ht="12" customHeight="1" spans="1:26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</row>
    <row r="773" ht="12" customHeight="1" spans="1:26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</row>
    <row r="774" ht="12" customHeight="1" spans="1:26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</row>
    <row r="775" ht="12" customHeight="1" spans="1:26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</row>
    <row r="776" ht="12" customHeight="1" spans="1:26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</row>
    <row r="777" ht="12" customHeight="1" spans="1:26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</row>
    <row r="778" ht="12" customHeight="1" spans="1:26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</row>
    <row r="779" ht="12" customHeight="1" spans="1:26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</row>
    <row r="780" ht="12" customHeight="1" spans="1:26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</row>
    <row r="781" ht="12" customHeight="1" spans="1:26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</row>
    <row r="782" ht="12" customHeight="1" spans="1:26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</row>
    <row r="783" ht="12" customHeight="1" spans="1:26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</row>
    <row r="784" ht="12" customHeight="1" spans="1:26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</row>
    <row r="785" ht="12" customHeight="1" spans="1:26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</row>
    <row r="786" ht="12" customHeight="1" spans="1:26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</row>
    <row r="787" ht="12" customHeight="1" spans="1:26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</row>
    <row r="788" ht="12" customHeight="1" spans="1:26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</row>
    <row r="789" ht="12" customHeight="1" spans="1:26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</row>
    <row r="790" ht="12" customHeight="1" spans="1:26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</row>
    <row r="791" ht="12" customHeight="1" spans="1:26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</row>
    <row r="792" ht="12" customHeight="1" spans="1:26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</row>
    <row r="793" ht="12" customHeight="1" spans="1:26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</row>
    <row r="794" ht="12" customHeight="1" spans="1:26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</row>
    <row r="795" ht="12" customHeight="1" spans="1:26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</row>
    <row r="796" ht="12" customHeight="1" spans="1:26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</row>
    <row r="797" ht="12" customHeight="1" spans="1:26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</row>
    <row r="798" ht="12" customHeight="1" spans="1:26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</row>
    <row r="799" ht="12" customHeight="1" spans="1:26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</row>
    <row r="800" ht="12" customHeight="1" spans="1:26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</row>
    <row r="801" ht="12" customHeight="1" spans="1:26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</row>
    <row r="802" ht="12" customHeight="1" spans="1:26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</row>
    <row r="803" ht="12" customHeight="1" spans="1:26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</row>
    <row r="804" ht="12" customHeight="1" spans="1:26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</row>
    <row r="805" ht="12" customHeight="1" spans="1:26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</row>
    <row r="806" ht="12" customHeight="1" spans="1:26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</row>
    <row r="807" ht="12" customHeight="1" spans="1:26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</row>
    <row r="808" ht="12" customHeight="1" spans="1:26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</row>
    <row r="809" ht="12" customHeight="1" spans="1:26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</row>
    <row r="810" ht="12" customHeight="1" spans="1:26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</row>
    <row r="811" ht="12" customHeight="1" spans="1:26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</row>
    <row r="812" ht="12" customHeight="1" spans="1:26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</row>
    <row r="813" ht="12" customHeight="1" spans="1:26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</row>
    <row r="814" ht="12" customHeight="1" spans="1:26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</row>
    <row r="815" ht="12" customHeight="1" spans="1:26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</row>
    <row r="816" ht="12" customHeight="1" spans="1:26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</row>
    <row r="817" ht="12" customHeight="1" spans="1:26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</row>
    <row r="818" ht="12" customHeight="1" spans="1:26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</row>
    <row r="819" ht="12" customHeight="1" spans="1:26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</row>
    <row r="820" ht="12" customHeight="1" spans="1:26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</row>
    <row r="821" ht="12" customHeight="1" spans="1:26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</row>
    <row r="822" ht="12" customHeight="1" spans="1:26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</row>
    <row r="823" ht="12" customHeight="1" spans="1:26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</row>
    <row r="824" ht="12" customHeight="1" spans="1:26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</row>
    <row r="825" ht="12" customHeight="1" spans="1:26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</row>
    <row r="826" ht="12" customHeight="1" spans="1:26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</row>
    <row r="827" ht="12" customHeight="1" spans="1:26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</row>
    <row r="828" ht="12" customHeight="1" spans="1:26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</row>
    <row r="829" ht="12" customHeight="1" spans="1:26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</row>
    <row r="830" ht="12" customHeight="1" spans="1:26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</row>
    <row r="831" ht="12" customHeight="1" spans="1:26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</row>
    <row r="832" ht="12" customHeight="1" spans="1:26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</row>
    <row r="833" ht="12" customHeight="1" spans="1:26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</row>
    <row r="834" ht="12" customHeight="1" spans="1:26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</row>
    <row r="835" ht="12" customHeight="1" spans="1:26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</row>
    <row r="836" ht="12" customHeight="1" spans="1:26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</row>
    <row r="837" ht="12" customHeight="1" spans="1:26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</row>
    <row r="838" ht="12" customHeight="1" spans="1:26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</row>
    <row r="839" ht="12" customHeight="1" spans="1:26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</row>
    <row r="840" ht="12" customHeight="1" spans="1:26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</row>
    <row r="841" ht="12" customHeight="1" spans="1:26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</row>
    <row r="842" ht="12" customHeight="1" spans="1:26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</row>
    <row r="843" ht="12" customHeight="1" spans="1:26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</row>
    <row r="844" ht="12" customHeight="1" spans="1:26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</row>
    <row r="845" ht="12" customHeight="1" spans="1:26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</row>
    <row r="846" ht="12" customHeight="1" spans="1:26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</row>
    <row r="847" ht="12" customHeight="1" spans="1:26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</row>
    <row r="848" ht="12" customHeight="1" spans="1:26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</row>
    <row r="849" ht="12" customHeight="1" spans="1:26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</row>
    <row r="850" ht="12" customHeight="1" spans="1:26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</row>
    <row r="851" ht="12" customHeight="1" spans="1:26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</row>
    <row r="852" ht="12" customHeight="1" spans="1:26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</row>
    <row r="853" ht="12" customHeight="1" spans="1:26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</row>
    <row r="854" ht="12" customHeight="1" spans="1:26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</row>
    <row r="855" ht="12" customHeight="1" spans="1:26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</row>
    <row r="856" ht="12" customHeight="1" spans="1:26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</row>
    <row r="857" ht="12" customHeight="1" spans="1:26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</row>
    <row r="858" ht="12" customHeight="1" spans="1:26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</row>
    <row r="859" ht="12" customHeight="1" spans="1:26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</row>
    <row r="860" ht="12" customHeight="1" spans="1:26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</row>
    <row r="861" ht="12" customHeight="1" spans="1:26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</row>
    <row r="862" ht="12" customHeight="1" spans="1:26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</row>
    <row r="863" ht="12" customHeight="1" spans="1:26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</row>
    <row r="864" ht="12" customHeight="1" spans="1:26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</row>
    <row r="865" ht="12" customHeight="1" spans="1:26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</row>
    <row r="866" ht="12" customHeight="1" spans="1:26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</row>
    <row r="867" ht="12" customHeight="1" spans="1:26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</row>
    <row r="868" ht="12" customHeight="1" spans="1:26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</row>
    <row r="869" ht="12" customHeight="1" spans="1:26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</row>
    <row r="870" ht="12" customHeight="1" spans="1:26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</row>
    <row r="871" ht="12" customHeight="1" spans="1:26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</row>
    <row r="872" ht="12" customHeight="1" spans="1:26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</row>
    <row r="873" ht="12" customHeight="1" spans="1:26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</row>
    <row r="874" ht="12" customHeight="1" spans="1:26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</row>
    <row r="875" ht="12" customHeight="1" spans="1:26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</row>
    <row r="876" ht="12" customHeight="1" spans="1:26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</row>
    <row r="877" ht="12" customHeight="1" spans="1:26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</row>
    <row r="878" ht="12" customHeight="1" spans="1:26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</row>
    <row r="879" ht="12" customHeight="1" spans="1:26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</row>
    <row r="880" ht="12" customHeight="1" spans="1:26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</row>
    <row r="881" ht="12" customHeight="1" spans="1:26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</row>
    <row r="882" ht="12" customHeight="1" spans="1:26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</row>
    <row r="883" ht="12" customHeight="1" spans="1:26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</row>
    <row r="884" ht="12" customHeight="1" spans="1:26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</row>
    <row r="885" ht="12" customHeight="1" spans="1:26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</row>
    <row r="886" ht="12" customHeight="1" spans="1:26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</row>
    <row r="887" ht="12" customHeight="1" spans="1:26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</row>
    <row r="888" ht="12" customHeight="1" spans="1:26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</row>
    <row r="889" ht="12" customHeight="1" spans="1:26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</row>
    <row r="890" ht="12" customHeight="1" spans="1:26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</row>
    <row r="891" ht="12" customHeight="1" spans="1:26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</row>
    <row r="892" ht="12" customHeight="1" spans="1:26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</row>
    <row r="893" ht="12" customHeight="1" spans="1:26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</row>
    <row r="894" ht="12" customHeight="1" spans="1:26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</row>
    <row r="895" ht="12" customHeight="1" spans="1:26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</row>
    <row r="896" ht="12" customHeight="1" spans="1:26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</row>
    <row r="897" ht="12" customHeight="1" spans="1:26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</row>
    <row r="898" ht="12" customHeight="1" spans="1:26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</row>
    <row r="899" ht="12" customHeight="1" spans="1:26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</row>
    <row r="900" ht="12" customHeight="1" spans="1:26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</row>
    <row r="901" ht="12" customHeight="1" spans="1:26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</row>
    <row r="902" ht="12" customHeight="1" spans="1:26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</row>
    <row r="903" ht="12" customHeight="1" spans="1:26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</row>
    <row r="904" ht="12" customHeight="1" spans="1:26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</row>
    <row r="905" ht="12" customHeight="1" spans="1:26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</row>
    <row r="906" ht="12" customHeight="1" spans="1:26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</row>
    <row r="907" ht="12" customHeight="1" spans="1:26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</row>
    <row r="908" ht="12" customHeight="1" spans="1:26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</row>
    <row r="909" ht="12" customHeight="1" spans="1:26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</row>
    <row r="910" ht="12" customHeight="1" spans="1:26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</row>
    <row r="911" ht="12" customHeight="1" spans="1:26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</row>
    <row r="912" ht="12" customHeight="1" spans="1:26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</row>
    <row r="913" ht="12" customHeight="1" spans="1:26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</row>
    <row r="914" ht="12" customHeight="1" spans="1:26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</row>
    <row r="915" ht="12" customHeight="1" spans="1:26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</row>
    <row r="916" ht="12" customHeight="1" spans="1:26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</row>
    <row r="917" ht="12" customHeight="1" spans="1:26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</row>
    <row r="918" ht="12" customHeight="1" spans="1:26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</row>
    <row r="919" ht="12" customHeight="1" spans="1:26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</row>
    <row r="920" ht="12" customHeight="1" spans="1:26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</row>
    <row r="921" ht="12" customHeight="1" spans="1:26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</row>
    <row r="922" ht="12" customHeight="1" spans="1:26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</row>
    <row r="923" ht="12" customHeight="1" spans="1:26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</row>
    <row r="924" ht="12" customHeight="1" spans="1:26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</row>
    <row r="925" ht="12" customHeight="1" spans="1:26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</row>
    <row r="926" ht="12" customHeight="1" spans="1:26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</row>
    <row r="927" ht="12" customHeight="1" spans="1:26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</row>
    <row r="928" ht="12" customHeight="1" spans="1:26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</row>
    <row r="929" ht="12" customHeight="1" spans="1:26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</row>
    <row r="930" ht="12" customHeight="1" spans="1:26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</row>
    <row r="931" ht="12" customHeight="1" spans="1:26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</row>
    <row r="932" ht="12" customHeight="1" spans="1:26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</row>
    <row r="933" ht="12" customHeight="1" spans="1:26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</row>
    <row r="934" ht="12" customHeight="1" spans="1:26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</row>
    <row r="935" ht="12" customHeight="1" spans="1:26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</row>
    <row r="936" ht="12" customHeight="1" spans="1:26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</row>
    <row r="937" ht="12" customHeight="1" spans="1:26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</row>
    <row r="938" ht="12" customHeight="1" spans="1:26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</row>
    <row r="939" ht="12" customHeight="1" spans="1:26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</row>
    <row r="940" ht="12" customHeight="1" spans="1:26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</row>
    <row r="941" ht="12" customHeight="1" spans="1:26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</row>
    <row r="942" ht="12" customHeight="1" spans="1:26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</row>
    <row r="943" ht="12" customHeight="1" spans="1:26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</row>
    <row r="944" ht="12" customHeight="1" spans="1:26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</row>
    <row r="945" ht="12" customHeight="1" spans="1:26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</row>
    <row r="946" ht="12" customHeight="1" spans="1:26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</row>
    <row r="947" ht="12" customHeight="1" spans="1:26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</row>
    <row r="948" ht="12" customHeight="1" spans="1:26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</row>
    <row r="949" ht="12" customHeight="1" spans="1:26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</row>
    <row r="950" ht="12" customHeight="1" spans="1:26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</row>
    <row r="951" ht="12" customHeight="1" spans="1:26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</row>
    <row r="952" ht="12" customHeight="1" spans="1:26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</row>
    <row r="953" ht="12" customHeight="1" spans="1:26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</row>
    <row r="954" ht="12" customHeight="1" spans="1:26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</row>
    <row r="955" ht="12" customHeight="1" spans="1:26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</row>
    <row r="956" ht="12" customHeight="1" spans="1:26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</row>
    <row r="957" ht="12" customHeight="1" spans="1:26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</row>
    <row r="958" ht="12" customHeight="1" spans="1:26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</row>
    <row r="959" ht="12" customHeight="1" spans="1:26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</row>
    <row r="960" ht="12" customHeight="1" spans="1:26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</row>
    <row r="961" ht="12" customHeight="1" spans="1:26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</row>
    <row r="962" ht="12" customHeight="1" spans="1:26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</row>
    <row r="963" ht="12" customHeight="1" spans="1:26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</row>
    <row r="964" ht="12" customHeight="1" spans="1:26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</row>
    <row r="965" ht="12" customHeight="1" spans="1:26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</row>
    <row r="966" ht="12" customHeight="1" spans="1:26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</row>
    <row r="967" ht="12" customHeight="1" spans="1:26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</row>
    <row r="968" ht="12" customHeight="1" spans="1:26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</row>
    <row r="969" ht="12" customHeight="1" spans="1:26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</row>
    <row r="970" ht="12" customHeight="1" spans="1:26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</row>
    <row r="971" ht="12" customHeight="1" spans="1:26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</row>
    <row r="972" ht="12" customHeight="1" spans="1:26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</row>
    <row r="973" ht="12" customHeight="1" spans="1:26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</row>
    <row r="974" ht="12" customHeight="1" spans="1:26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</row>
    <row r="975" ht="12" customHeight="1" spans="1:26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</row>
    <row r="976" ht="12" customHeight="1" spans="1:26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</row>
    <row r="977" ht="12" customHeight="1" spans="1:26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</row>
    <row r="978" ht="12" customHeight="1" spans="1:26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</row>
    <row r="979" ht="12" customHeight="1" spans="1:26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</row>
    <row r="980" ht="12" customHeight="1" spans="1:26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</row>
    <row r="981" ht="12" customHeight="1" spans="1:26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</row>
    <row r="982" ht="12" customHeight="1" spans="1:26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</row>
    <row r="983" ht="12" customHeight="1" spans="1:26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</row>
    <row r="984" ht="12" customHeight="1" spans="1:26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</row>
    <row r="985" ht="12" customHeight="1" spans="1:26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</row>
    <row r="986" ht="12" customHeight="1" spans="1:26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</row>
    <row r="987" ht="12" customHeight="1" spans="1:26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</row>
    <row r="988" ht="12" customHeight="1" spans="1:26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</row>
    <row r="989" ht="12" customHeight="1" spans="1:26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</row>
    <row r="990" ht="12" customHeight="1" spans="1:26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</row>
    <row r="991" ht="12" customHeight="1" spans="1:26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</row>
    <row r="992" ht="12" customHeight="1" spans="1:26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</row>
    <row r="993" ht="12" customHeight="1" spans="1:26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</row>
    <row r="994" ht="12" customHeight="1" spans="1:26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</row>
    <row r="995" ht="12" customHeight="1" spans="1:26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</row>
    <row r="996" ht="12" customHeight="1" spans="1:26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</row>
    <row r="997" ht="12" customHeight="1" spans="1:26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</row>
    <row r="998" ht="12" customHeight="1" spans="1:26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</row>
    <row r="999" ht="12" customHeight="1" spans="1:26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</row>
    <row r="1000" ht="12" customHeight="1" spans="1:26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</row>
  </sheetData>
  <dataValidations count="3">
    <dataValidation type="list" allowBlank="1" showErrorMessage="1" sqref="B3">
      <formula1>"2017,2018,2019,2020,2021,2022,2023,2024,2025"</formula1>
    </dataValidation>
    <dataValidation type="list" allowBlank="1" showErrorMessage="1" sqref="B4">
      <formula1>"Rmb,HK$,US$,Rs,¥,₩,NT$,EUR,S$"</formula1>
    </dataValidation>
    <dataValidation type="list" allowBlank="1" showErrorMessage="1" sqref="B5">
      <formula1>"mn,bn,trn"</formula1>
    </dataValidation>
  </dataValidation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xSplit="5" ySplit="4" topLeftCell="F5" activePane="bottomRight" state="frozen"/>
      <selection/>
      <selection pane="topRight"/>
      <selection pane="bottomLeft"/>
      <selection pane="bottomRight" activeCell="F5" sqref="F5"/>
    </sheetView>
  </sheetViews>
  <sheetFormatPr defaultColWidth="11.2166666666667" defaultRowHeight="15" customHeight="1"/>
  <cols>
    <col min="1" max="4" width="3.10833333333333" customWidth="1"/>
    <col min="5" max="5" width="26.6666666666667" customWidth="1"/>
    <col min="6" max="9" width="10.6666666666667" customWidth="1"/>
    <col min="10" max="10" width="11" customWidth="1"/>
    <col min="11" max="11" width="10.1083333333333" customWidth="1"/>
    <col min="12" max="20" width="10.6666666666667" customWidth="1"/>
    <col min="21" max="21" width="3.10833333333333" customWidth="1"/>
    <col min="22" max="26" width="9" customWidth="1"/>
  </cols>
  <sheetData>
    <row r="1" customHeight="1" spans="1:26">
      <c r="A1" s="23"/>
      <c r="B1" s="28" t="s">
        <v>46</v>
      </c>
      <c r="C1" s="25"/>
      <c r="D1" s="26"/>
      <c r="E1" s="26"/>
      <c r="F1" s="27"/>
      <c r="G1" s="27"/>
      <c r="H1" s="27"/>
      <c r="I1" s="23"/>
      <c r="J1" s="27"/>
      <c r="K1" s="27"/>
      <c r="L1" s="159"/>
      <c r="M1" s="159"/>
      <c r="N1" s="159"/>
      <c r="O1" s="27"/>
      <c r="P1" s="27"/>
      <c r="Q1" s="27"/>
      <c r="R1" s="27"/>
      <c r="S1" s="27"/>
      <c r="T1" s="27"/>
      <c r="U1" s="23"/>
      <c r="V1" s="23"/>
      <c r="W1" s="23"/>
      <c r="X1" s="23"/>
      <c r="Y1" s="23"/>
      <c r="Z1" s="23"/>
    </row>
    <row r="2" customHeight="1" spans="1:26">
      <c r="A2" s="23"/>
      <c r="B2" s="28" t="s">
        <v>47</v>
      </c>
      <c r="C2" s="25"/>
      <c r="D2" s="235"/>
      <c r="E2" s="235"/>
      <c r="F2" s="236">
        <f t="shared" ref="F2:T2" si="0">F110-F129-F138</f>
        <v>0</v>
      </c>
      <c r="G2" s="236">
        <f t="shared" si="0"/>
        <v>0</v>
      </c>
      <c r="H2" s="236">
        <f t="shared" si="0"/>
        <v>0</v>
      </c>
      <c r="I2" s="236">
        <f t="shared" si="0"/>
        <v>0</v>
      </c>
      <c r="J2" s="236">
        <f t="shared" si="0"/>
        <v>0</v>
      </c>
      <c r="K2" s="236" t="str">
        <f ca="1" t="shared" si="0"/>
        <v>#REF!</v>
      </c>
      <c r="L2" s="236">
        <f t="shared" si="0"/>
        <v>-1</v>
      </c>
      <c r="M2" s="236">
        <f t="shared" si="0"/>
        <v>-1</v>
      </c>
      <c r="N2" s="236">
        <f t="shared" si="0"/>
        <v>-752.317856655816</v>
      </c>
      <c r="O2" s="236">
        <f t="shared" si="0"/>
        <v>-752.31785665582</v>
      </c>
      <c r="P2" s="236">
        <f t="shared" si="0"/>
        <v>-752.31785665582</v>
      </c>
      <c r="Q2" s="236">
        <f t="shared" si="0"/>
        <v>-752.317856655824</v>
      </c>
      <c r="R2" s="236">
        <f t="shared" si="0"/>
        <v>-752.317856655827</v>
      </c>
      <c r="S2" s="236">
        <f t="shared" si="0"/>
        <v>-752.317856655816</v>
      </c>
      <c r="T2" s="236">
        <f t="shared" si="0"/>
        <v>-752.317856655824</v>
      </c>
      <c r="U2" s="23"/>
      <c r="V2" s="23"/>
      <c r="W2" s="23"/>
      <c r="X2" s="23"/>
      <c r="Y2" s="23"/>
      <c r="Z2" s="23"/>
    </row>
    <row r="3" customHeight="1" spans="1:26">
      <c r="A3" s="23"/>
      <c r="B3" s="25" t="str">
        <f>'S&amp;C'!B3</f>
        <v>(all in Rmb mn unless otherwise noted)</v>
      </c>
      <c r="C3" s="25"/>
      <c r="D3" s="235"/>
      <c r="E3" s="235"/>
      <c r="F3" s="159"/>
      <c r="G3" s="159"/>
      <c r="H3" s="159"/>
      <c r="I3" s="159"/>
      <c r="J3" s="159"/>
      <c r="K3" s="159"/>
      <c r="L3" s="159"/>
      <c r="M3" s="53"/>
      <c r="N3" s="53"/>
      <c r="O3" s="53"/>
      <c r="P3" s="159"/>
      <c r="Q3" s="159"/>
      <c r="R3" s="159"/>
      <c r="S3" s="159"/>
      <c r="T3" s="159"/>
      <c r="U3" s="23"/>
      <c r="V3" s="23"/>
      <c r="W3" s="23"/>
      <c r="X3" s="23"/>
      <c r="Y3" s="23"/>
      <c r="Z3" s="23"/>
    </row>
    <row r="4" customHeight="1" spans="1:26">
      <c r="A4" s="31"/>
      <c r="B4" s="32"/>
      <c r="C4" s="31"/>
      <c r="D4" s="33"/>
      <c r="E4" s="33"/>
      <c r="F4" s="33" t="str">
        <f>'S&amp;C'!F4</f>
        <v>2018A</v>
      </c>
      <c r="G4" s="33" t="str">
        <f>'S&amp;C'!G4</f>
        <v>2019A</v>
      </c>
      <c r="H4" s="33" t="str">
        <f>'S&amp;C'!H4</f>
        <v>2020A</v>
      </c>
      <c r="I4" s="33" t="str">
        <f>'S&amp;C'!I4</f>
        <v>2021A</v>
      </c>
      <c r="J4" s="33" t="str">
        <f>'S&amp;C'!J4</f>
        <v>2022A</v>
      </c>
      <c r="K4" s="33" t="str">
        <f>'S&amp;C'!K4</f>
        <v>2023A</v>
      </c>
      <c r="L4" s="33" t="str">
        <f>'S&amp;C'!L4</f>
        <v>2024A</v>
      </c>
      <c r="M4" s="33" t="str">
        <f>'S&amp;C'!M4</f>
        <v>2025A</v>
      </c>
      <c r="N4" s="33" t="str">
        <f>'S&amp;C'!N4</f>
        <v>2026E</v>
      </c>
      <c r="O4" s="33" t="str">
        <f>'S&amp;C'!O4</f>
        <v>2027E</v>
      </c>
      <c r="P4" s="33" t="str">
        <f>'S&amp;C'!P4</f>
        <v>2028E</v>
      </c>
      <c r="Q4" s="33" t="str">
        <f>'S&amp;C'!Q4</f>
        <v>2029E</v>
      </c>
      <c r="R4" s="33" t="str">
        <f>'S&amp;C'!R4</f>
        <v>2030E</v>
      </c>
      <c r="S4" s="33" t="str">
        <f>'S&amp;C'!S4</f>
        <v>2031E</v>
      </c>
      <c r="T4" s="33" t="str">
        <f>'S&amp;C'!T4</f>
        <v>2032E</v>
      </c>
      <c r="U4" s="31"/>
      <c r="V4" s="31"/>
      <c r="W4" s="31"/>
      <c r="X4" s="31"/>
      <c r="Y4" s="31"/>
      <c r="Z4" s="31"/>
    </row>
    <row r="5" customHeight="1" spans="1:26">
      <c r="A5" s="237"/>
      <c r="B5" s="182" t="s">
        <v>48</v>
      </c>
      <c r="C5" s="237"/>
      <c r="D5" s="238"/>
      <c r="E5" s="238"/>
      <c r="F5" s="238"/>
      <c r="G5" s="238"/>
      <c r="H5" s="238"/>
      <c r="I5" s="238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7"/>
      <c r="V5" s="237"/>
      <c r="W5" s="237"/>
      <c r="X5" s="237"/>
      <c r="Y5" s="237"/>
      <c r="Z5" s="237"/>
    </row>
    <row r="6" customHeight="1" spans="1:26">
      <c r="A6" s="23"/>
      <c r="B6" s="34" t="s">
        <v>11</v>
      </c>
      <c r="C6" s="23"/>
      <c r="D6" s="58"/>
      <c r="E6" s="58"/>
      <c r="F6" s="58"/>
      <c r="G6" s="58"/>
      <c r="H6" s="58">
        <f>'S&amp;C'!H5</f>
        <v>17858</v>
      </c>
      <c r="I6" s="58">
        <f>'S&amp;C'!I5</f>
        <v>19628</v>
      </c>
      <c r="J6" s="58">
        <f>'S&amp;C'!J5</f>
        <v>20752</v>
      </c>
      <c r="K6" s="58">
        <f>'S&amp;C'!K5</f>
        <v>23196</v>
      </c>
      <c r="L6" s="58">
        <f>'S&amp;C'!L5</f>
        <v>24878</v>
      </c>
      <c r="M6" s="58">
        <f>'S&amp;C'!M5</f>
        <v>27450</v>
      </c>
      <c r="N6" s="58">
        <f>'S&amp;C'!N5</f>
        <v>29504.545</v>
      </c>
      <c r="O6" s="58">
        <f>'S&amp;C'!O5</f>
        <v>31735.358475</v>
      </c>
      <c r="P6" s="58">
        <f>'S&amp;C'!P5</f>
        <v>34158.608594875</v>
      </c>
      <c r="Q6" s="58">
        <f>'S&amp;C'!Q5</f>
        <v>36778.7056661494</v>
      </c>
      <c r="R6" s="58">
        <f>'S&amp;C'!R5</f>
        <v>39627.8599533008</v>
      </c>
      <c r="S6" s="58">
        <f>'S&amp;C'!S5</f>
        <v>42713.5941316076</v>
      </c>
      <c r="T6" s="58">
        <f>'S&amp;C'!T5</f>
        <v>46072.4979588193</v>
      </c>
      <c r="U6" s="23"/>
      <c r="V6" s="23"/>
      <c r="W6" s="23"/>
      <c r="X6" s="23"/>
      <c r="Y6" s="23"/>
      <c r="Z6" s="23"/>
    </row>
    <row r="7" customHeight="1" spans="1:26">
      <c r="A7" s="48"/>
      <c r="B7" s="23" t="s">
        <v>49</v>
      </c>
      <c r="C7" s="23"/>
      <c r="D7" s="38"/>
      <c r="E7" s="38"/>
      <c r="F7" s="38"/>
      <c r="G7" s="38"/>
      <c r="H7" s="38">
        <f>'S&amp;C'!H7</f>
        <v>12408</v>
      </c>
      <c r="I7" s="38">
        <f>'S&amp;C'!I7</f>
        <v>13293</v>
      </c>
      <c r="J7" s="38">
        <f>'S&amp;C'!J7</f>
        <v>13865</v>
      </c>
      <c r="K7" s="38">
        <f>'S&amp;C'!K7</f>
        <v>14762</v>
      </c>
      <c r="L7" s="38">
        <f>'S&amp;C'!L7</f>
        <v>15375</v>
      </c>
      <c r="M7" s="38">
        <f>'S&amp;C'!M7</f>
        <v>17131</v>
      </c>
      <c r="N7" s="38">
        <f>'S&amp;C'!N7</f>
        <v>18383.6961979873</v>
      </c>
      <c r="O7" s="38">
        <f>'S&amp;C'!O7</f>
        <v>19741.9364245883</v>
      </c>
      <c r="P7" s="38">
        <f>'S&amp;C'!P7</f>
        <v>21215.23360368</v>
      </c>
      <c r="Q7" s="38">
        <f>'S&amp;C'!Q7</f>
        <v>22805.7451688401</v>
      </c>
      <c r="R7" s="38">
        <f>'S&amp;C'!R7</f>
        <v>24965.5517705795</v>
      </c>
      <c r="S7" s="38">
        <f>'S&amp;C'!S7</f>
        <v>26909.5643029128</v>
      </c>
      <c r="T7" s="38">
        <f>'S&amp;C'!T7</f>
        <v>29025.6737140562</v>
      </c>
      <c r="U7" s="23"/>
      <c r="V7" s="23"/>
      <c r="W7" s="23"/>
      <c r="X7" s="23"/>
      <c r="Y7" s="23"/>
      <c r="Z7" s="23"/>
    </row>
    <row r="8" customHeight="1" spans="1:26">
      <c r="A8" s="48"/>
      <c r="B8" s="34" t="s">
        <v>50</v>
      </c>
      <c r="C8" s="49"/>
      <c r="D8" s="58"/>
      <c r="E8" s="58"/>
      <c r="F8" s="58"/>
      <c r="G8" s="58"/>
      <c r="H8" s="58">
        <f t="shared" ref="H8:T8" si="1">H6-H7</f>
        <v>5450</v>
      </c>
      <c r="I8" s="58">
        <f t="shared" si="1"/>
        <v>6335</v>
      </c>
      <c r="J8" s="58">
        <f t="shared" si="1"/>
        <v>6887</v>
      </c>
      <c r="K8" s="58">
        <f t="shared" si="1"/>
        <v>8434</v>
      </c>
      <c r="L8" s="58">
        <f t="shared" si="1"/>
        <v>9503</v>
      </c>
      <c r="M8" s="58">
        <f t="shared" si="1"/>
        <v>10319</v>
      </c>
      <c r="N8" s="58">
        <f t="shared" si="1"/>
        <v>11120.8488020127</v>
      </c>
      <c r="O8" s="58">
        <f t="shared" si="1"/>
        <v>11993.4220504117</v>
      </c>
      <c r="P8" s="58">
        <f t="shared" si="1"/>
        <v>12943.374991195</v>
      </c>
      <c r="Q8" s="58">
        <f t="shared" si="1"/>
        <v>13972.9604973092</v>
      </c>
      <c r="R8" s="58">
        <f t="shared" si="1"/>
        <v>14662.3081827213</v>
      </c>
      <c r="S8" s="58">
        <f t="shared" si="1"/>
        <v>15804.0298286948</v>
      </c>
      <c r="T8" s="58">
        <f t="shared" si="1"/>
        <v>17046.8242447631</v>
      </c>
      <c r="U8" s="34"/>
      <c r="V8" s="34"/>
      <c r="W8" s="34"/>
      <c r="X8" s="34"/>
      <c r="Y8" s="34"/>
      <c r="Z8" s="34"/>
    </row>
    <row r="9" customHeight="1" spans="1:26">
      <c r="A9" s="240"/>
      <c r="B9" s="240"/>
      <c r="C9" s="240" t="s">
        <v>51</v>
      </c>
      <c r="D9" s="65"/>
      <c r="E9" s="65"/>
      <c r="F9" s="65"/>
      <c r="G9" s="65"/>
      <c r="H9" s="65" t="e">
        <f t="shared" ref="H9:T9" si="2">H8/G8-1</f>
        <v>#DIV/0!</v>
      </c>
      <c r="I9" s="65">
        <f t="shared" si="2"/>
        <v>0.162385321100917</v>
      </c>
      <c r="J9" s="65">
        <f t="shared" si="2"/>
        <v>0.0871349644830308</v>
      </c>
      <c r="K9" s="65">
        <f t="shared" si="2"/>
        <v>0.224626107158414</v>
      </c>
      <c r="L9" s="65">
        <f t="shared" si="2"/>
        <v>0.126748873606829</v>
      </c>
      <c r="M9" s="65">
        <f t="shared" si="2"/>
        <v>0.0858676207513416</v>
      </c>
      <c r="N9" s="65">
        <f t="shared" si="2"/>
        <v>0.0777060569835011</v>
      </c>
      <c r="O9" s="65">
        <f t="shared" si="2"/>
        <v>0.0784628281468114</v>
      </c>
      <c r="P9" s="65">
        <f t="shared" si="2"/>
        <v>0.0792061629108312</v>
      </c>
      <c r="Q9" s="65">
        <f t="shared" si="2"/>
        <v>0.0795453663989971</v>
      </c>
      <c r="R9" s="65">
        <f t="shared" si="2"/>
        <v>0.049334404512543</v>
      </c>
      <c r="S9" s="65">
        <f t="shared" si="2"/>
        <v>0.0778677976035853</v>
      </c>
      <c r="T9" s="65">
        <f t="shared" si="2"/>
        <v>0.0786378176667213</v>
      </c>
      <c r="U9" s="240"/>
      <c r="V9" s="240"/>
      <c r="W9" s="240"/>
      <c r="X9" s="240"/>
      <c r="Y9" s="240"/>
      <c r="Z9" s="240"/>
    </row>
    <row r="10" customHeight="1" spans="1:26">
      <c r="A10" s="240"/>
      <c r="B10" s="240"/>
      <c r="C10" s="240" t="s">
        <v>52</v>
      </c>
      <c r="D10" s="65"/>
      <c r="E10" s="65"/>
      <c r="F10" s="65"/>
      <c r="G10" s="65"/>
      <c r="H10" s="65">
        <f t="shared" ref="H10:T10" si="3">H8/H6</f>
        <v>0.305185351103147</v>
      </c>
      <c r="I10" s="65">
        <f t="shared" si="3"/>
        <v>0.322753209700428</v>
      </c>
      <c r="J10" s="65">
        <f t="shared" si="3"/>
        <v>0.331871626831149</v>
      </c>
      <c r="K10" s="65">
        <f t="shared" si="3"/>
        <v>0.363597171926194</v>
      </c>
      <c r="L10" s="65">
        <f t="shared" si="3"/>
        <v>0.38198408232173</v>
      </c>
      <c r="M10" s="65">
        <f t="shared" si="3"/>
        <v>0.37591985428051</v>
      </c>
      <c r="N10" s="65">
        <f t="shared" si="3"/>
        <v>0.37691985428051</v>
      </c>
      <c r="O10" s="65">
        <f t="shared" si="3"/>
        <v>0.37791985428051</v>
      </c>
      <c r="P10" s="65">
        <f t="shared" si="3"/>
        <v>0.37891985428051</v>
      </c>
      <c r="Q10" s="65">
        <f t="shared" si="3"/>
        <v>0.37991985428051</v>
      </c>
      <c r="R10" s="65">
        <f t="shared" si="3"/>
        <v>0.37</v>
      </c>
      <c r="S10" s="65">
        <f t="shared" si="3"/>
        <v>0.37</v>
      </c>
      <c r="T10" s="65">
        <f t="shared" si="3"/>
        <v>0.37</v>
      </c>
      <c r="U10" s="240"/>
      <c r="V10" s="240"/>
      <c r="W10" s="240"/>
      <c r="X10" s="240"/>
      <c r="Y10" s="240"/>
      <c r="Z10" s="240"/>
    </row>
    <row r="11" customHeight="1" spans="1:26">
      <c r="A11" s="48"/>
      <c r="B11" s="23" t="s">
        <v>53</v>
      </c>
      <c r="C11" s="23"/>
      <c r="D11" s="38"/>
      <c r="E11" s="38"/>
      <c r="F11" s="38"/>
      <c r="G11" s="38"/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23"/>
      <c r="V11" s="23"/>
      <c r="W11" s="23"/>
      <c r="X11" s="23"/>
      <c r="Y11" s="23"/>
      <c r="Z11" s="23"/>
    </row>
    <row r="12" customHeight="1" spans="1:26">
      <c r="A12" s="48"/>
      <c r="B12" s="23" t="s">
        <v>54</v>
      </c>
      <c r="C12" s="23"/>
      <c r="D12" s="38"/>
      <c r="E12" s="38"/>
      <c r="F12" s="51"/>
      <c r="G12" s="51"/>
      <c r="H12" s="38">
        <v>221</v>
      </c>
      <c r="I12" s="38">
        <v>617</v>
      </c>
      <c r="J12" s="38">
        <v>24</v>
      </c>
      <c r="K12" s="39">
        <v>0</v>
      </c>
      <c r="L12" s="39">
        <f t="shared" ref="L12:T12" si="4">K12</f>
        <v>0</v>
      </c>
      <c r="M12" s="39">
        <f t="shared" si="4"/>
        <v>0</v>
      </c>
      <c r="N12" s="39">
        <f t="shared" si="4"/>
        <v>0</v>
      </c>
      <c r="O12" s="39">
        <f t="shared" si="4"/>
        <v>0</v>
      </c>
      <c r="P12" s="39">
        <f t="shared" si="4"/>
        <v>0</v>
      </c>
      <c r="Q12" s="39">
        <f t="shared" si="4"/>
        <v>0</v>
      </c>
      <c r="R12" s="39">
        <f t="shared" si="4"/>
        <v>0</v>
      </c>
      <c r="S12" s="39">
        <f t="shared" si="4"/>
        <v>0</v>
      </c>
      <c r="T12" s="39">
        <f t="shared" si="4"/>
        <v>0</v>
      </c>
      <c r="U12" s="23"/>
      <c r="V12" s="23"/>
      <c r="W12" s="23"/>
      <c r="X12" s="23"/>
      <c r="Y12" s="23"/>
      <c r="Z12" s="23"/>
    </row>
    <row r="13" customHeight="1" spans="1:26">
      <c r="A13" s="48"/>
      <c r="B13" s="23" t="s">
        <v>55</v>
      </c>
      <c r="C13" s="23"/>
      <c r="D13" s="38"/>
      <c r="E13" s="38"/>
      <c r="F13" s="51"/>
      <c r="G13" s="51"/>
      <c r="H13" s="51">
        <v>3075</v>
      </c>
      <c r="I13" s="51">
        <v>3256</v>
      </c>
      <c r="J13" s="51">
        <v>3227</v>
      </c>
      <c r="K13" s="51">
        <v>3795</v>
      </c>
      <c r="L13" s="38">
        <v>4077</v>
      </c>
      <c r="M13" s="38">
        <v>4311</v>
      </c>
      <c r="N13" s="38">
        <f t="shared" ref="N13:T13" si="5">N6*N15</f>
        <v>4425.68175</v>
      </c>
      <c r="O13" s="38">
        <f t="shared" si="5"/>
        <v>4760.30377125</v>
      </c>
      <c r="P13" s="38">
        <f t="shared" si="5"/>
        <v>5123.79128923125</v>
      </c>
      <c r="Q13" s="38">
        <f t="shared" si="5"/>
        <v>5516.80584992241</v>
      </c>
      <c r="R13" s="38">
        <f t="shared" si="5"/>
        <v>5944.17899299511</v>
      </c>
      <c r="S13" s="38">
        <f t="shared" si="5"/>
        <v>6407.03911974114</v>
      </c>
      <c r="T13" s="38">
        <f t="shared" si="5"/>
        <v>6910.87469382289</v>
      </c>
      <c r="U13" s="23"/>
      <c r="V13" s="23"/>
      <c r="W13" s="23"/>
      <c r="X13" s="23"/>
      <c r="Y13" s="23"/>
      <c r="Z13" s="23"/>
    </row>
    <row r="14" customHeight="1" spans="1:26">
      <c r="A14" s="240"/>
      <c r="B14" s="240"/>
      <c r="C14" s="240" t="s">
        <v>51</v>
      </c>
      <c r="D14" s="65"/>
      <c r="E14" s="65"/>
      <c r="F14" s="65"/>
      <c r="G14" s="65"/>
      <c r="H14" s="65" t="e">
        <f t="shared" ref="H14:T14" si="6">H13/G13-1</f>
        <v>#DIV/0!</v>
      </c>
      <c r="I14" s="65">
        <f t="shared" si="6"/>
        <v>0.0588617886178862</v>
      </c>
      <c r="J14" s="65">
        <f t="shared" si="6"/>
        <v>-0.00890663390663393</v>
      </c>
      <c r="K14" s="65">
        <f t="shared" si="6"/>
        <v>0.176014874496436</v>
      </c>
      <c r="L14" s="65">
        <f t="shared" si="6"/>
        <v>0.0743083003952569</v>
      </c>
      <c r="M14" s="65">
        <f t="shared" si="6"/>
        <v>0.0573951434878588</v>
      </c>
      <c r="N14" s="65">
        <f t="shared" si="6"/>
        <v>0.0266021224773834</v>
      </c>
      <c r="O14" s="65">
        <f t="shared" si="6"/>
        <v>0.0756091468280566</v>
      </c>
      <c r="P14" s="65">
        <f t="shared" si="6"/>
        <v>0.0763580509665254</v>
      </c>
      <c r="Q14" s="65">
        <f t="shared" si="6"/>
        <v>0.0767038582381683</v>
      </c>
      <c r="R14" s="65">
        <f t="shared" si="6"/>
        <v>0.0774674974430571</v>
      </c>
      <c r="S14" s="65">
        <f t="shared" si="6"/>
        <v>0.0778677976035851</v>
      </c>
      <c r="T14" s="65">
        <f t="shared" si="6"/>
        <v>0.0786378176667215</v>
      </c>
      <c r="U14" s="240"/>
      <c r="V14" s="240"/>
      <c r="W14" s="240"/>
      <c r="X14" s="240"/>
      <c r="Y14" s="240"/>
      <c r="Z14" s="240"/>
    </row>
    <row r="15" customHeight="1" spans="1:26">
      <c r="A15" s="240"/>
      <c r="B15" s="240"/>
      <c r="C15" s="240" t="s">
        <v>56</v>
      </c>
      <c r="D15" s="65"/>
      <c r="E15" s="65"/>
      <c r="F15" s="65"/>
      <c r="G15" s="65"/>
      <c r="H15" s="65">
        <f t="shared" ref="H15:M15" si="7">H13/H$6</f>
        <v>0.17219173479673</v>
      </c>
      <c r="I15" s="65">
        <f t="shared" si="7"/>
        <v>0.16588546973711</v>
      </c>
      <c r="J15" s="65">
        <f t="shared" si="7"/>
        <v>0.155503084040093</v>
      </c>
      <c r="K15" s="65">
        <f t="shared" si="7"/>
        <v>0.163605794102431</v>
      </c>
      <c r="L15" s="65">
        <f t="shared" si="7"/>
        <v>0.163879733097516</v>
      </c>
      <c r="M15" s="65">
        <f t="shared" si="7"/>
        <v>0.157049180327869</v>
      </c>
      <c r="N15" s="66">
        <v>0.15</v>
      </c>
      <c r="O15" s="66">
        <v>0.15</v>
      </c>
      <c r="P15" s="66">
        <v>0.15</v>
      </c>
      <c r="Q15" s="66">
        <v>0.15</v>
      </c>
      <c r="R15" s="66">
        <v>0.15</v>
      </c>
      <c r="S15" s="66">
        <v>0.15</v>
      </c>
      <c r="T15" s="66">
        <v>0.15</v>
      </c>
      <c r="U15" s="240"/>
      <c r="V15" s="240"/>
      <c r="W15" s="240"/>
      <c r="X15" s="240"/>
      <c r="Y15" s="240"/>
      <c r="Z15" s="240"/>
    </row>
    <row r="16" customHeight="1" spans="1:26">
      <c r="A16" s="48"/>
      <c r="B16" s="23" t="s">
        <v>57</v>
      </c>
      <c r="C16" s="23"/>
      <c r="D16" s="38"/>
      <c r="E16" s="38"/>
      <c r="F16" s="51"/>
      <c r="G16" s="51"/>
      <c r="H16" s="51">
        <v>551</v>
      </c>
      <c r="I16" s="51">
        <v>616</v>
      </c>
      <c r="J16" s="51">
        <v>665</v>
      </c>
      <c r="K16" s="51">
        <v>754</v>
      </c>
      <c r="L16" s="38">
        <v>794</v>
      </c>
      <c r="M16" s="38">
        <v>797</v>
      </c>
      <c r="N16" s="38">
        <f t="shared" ref="N16:T16" si="8">N18*N6</f>
        <v>856.652909471767</v>
      </c>
      <c r="O16" s="38">
        <f t="shared" si="8"/>
        <v>921.423705084699</v>
      </c>
      <c r="P16" s="38">
        <f t="shared" si="8"/>
        <v>991.781823319322</v>
      </c>
      <c r="Q16" s="38">
        <f t="shared" si="8"/>
        <v>1067.8553156984</v>
      </c>
      <c r="R16" s="38">
        <f t="shared" si="8"/>
        <v>1150.57939463682</v>
      </c>
      <c r="S16" s="38">
        <f t="shared" si="8"/>
        <v>1240.17247806526</v>
      </c>
      <c r="T16" s="38">
        <f t="shared" si="8"/>
        <v>1337.69693527064</v>
      </c>
      <c r="U16" s="23"/>
      <c r="V16" s="23"/>
      <c r="W16" s="23"/>
      <c r="X16" s="23"/>
      <c r="Y16" s="23"/>
      <c r="Z16" s="23"/>
    </row>
    <row r="17" customHeight="1" spans="1:26">
      <c r="A17" s="240"/>
      <c r="B17" s="240"/>
      <c r="C17" s="240" t="s">
        <v>51</v>
      </c>
      <c r="D17" s="65"/>
      <c r="E17" s="65"/>
      <c r="F17" s="65"/>
      <c r="G17" s="65"/>
      <c r="H17" s="65" t="e">
        <f t="shared" ref="H17:T17" si="9">H16/G16-1</f>
        <v>#DIV/0!</v>
      </c>
      <c r="I17" s="65">
        <f t="shared" si="9"/>
        <v>0.117967332123412</v>
      </c>
      <c r="J17" s="65">
        <f t="shared" si="9"/>
        <v>0.0795454545454546</v>
      </c>
      <c r="K17" s="65">
        <f t="shared" si="9"/>
        <v>0.133834586466165</v>
      </c>
      <c r="L17" s="65">
        <f t="shared" si="9"/>
        <v>0.0530503978779842</v>
      </c>
      <c r="M17" s="65">
        <f t="shared" si="9"/>
        <v>0.00377833753148615</v>
      </c>
      <c r="N17" s="65">
        <f t="shared" si="9"/>
        <v>0.0748468123861568</v>
      </c>
      <c r="O17" s="65">
        <f t="shared" si="9"/>
        <v>0.0756091468280564</v>
      </c>
      <c r="P17" s="65">
        <f t="shared" si="9"/>
        <v>0.0763580509665254</v>
      </c>
      <c r="Q17" s="65">
        <f t="shared" si="9"/>
        <v>0.0767038582381683</v>
      </c>
      <c r="R17" s="65">
        <f t="shared" si="9"/>
        <v>0.0774674974430571</v>
      </c>
      <c r="S17" s="65">
        <f t="shared" si="9"/>
        <v>0.0778677976035851</v>
      </c>
      <c r="T17" s="65">
        <f t="shared" si="9"/>
        <v>0.0786378176667213</v>
      </c>
      <c r="U17" s="240"/>
      <c r="V17" s="240"/>
      <c r="W17" s="240"/>
      <c r="X17" s="240"/>
      <c r="Y17" s="240"/>
      <c r="Z17" s="240"/>
    </row>
    <row r="18" customHeight="1" spans="1:26">
      <c r="A18" s="240"/>
      <c r="B18" s="240"/>
      <c r="C18" s="240" t="s">
        <v>56</v>
      </c>
      <c r="D18" s="65"/>
      <c r="E18" s="65"/>
      <c r="F18" s="65"/>
      <c r="G18" s="65"/>
      <c r="H18" s="65">
        <f t="shared" ref="H18:M18" si="10">H16/H$6</f>
        <v>0.0308545189830888</v>
      </c>
      <c r="I18" s="65">
        <f t="shared" si="10"/>
        <v>0.0313837375178317</v>
      </c>
      <c r="J18" s="65">
        <f t="shared" si="10"/>
        <v>0.0320451040863531</v>
      </c>
      <c r="K18" s="65">
        <f t="shared" si="10"/>
        <v>0.0325056044145542</v>
      </c>
      <c r="L18" s="65">
        <f t="shared" si="10"/>
        <v>0.0319157488544095</v>
      </c>
      <c r="M18" s="65">
        <f t="shared" si="10"/>
        <v>0.0290346083788707</v>
      </c>
      <c r="N18" s="66">
        <f t="shared" ref="N18:T18" si="11">M18</f>
        <v>0.0290346083788707</v>
      </c>
      <c r="O18" s="66">
        <f t="shared" si="11"/>
        <v>0.0290346083788707</v>
      </c>
      <c r="P18" s="66">
        <f t="shared" si="11"/>
        <v>0.0290346083788707</v>
      </c>
      <c r="Q18" s="66">
        <f t="shared" si="11"/>
        <v>0.0290346083788707</v>
      </c>
      <c r="R18" s="66">
        <f t="shared" si="11"/>
        <v>0.0290346083788707</v>
      </c>
      <c r="S18" s="66">
        <f t="shared" si="11"/>
        <v>0.0290346083788707</v>
      </c>
      <c r="T18" s="66">
        <f t="shared" si="11"/>
        <v>0.0290346083788707</v>
      </c>
      <c r="U18" s="240"/>
      <c r="V18" s="240"/>
      <c r="W18" s="240"/>
      <c r="X18" s="240"/>
      <c r="Y18" s="240"/>
      <c r="Z18" s="240"/>
    </row>
    <row r="19" customHeight="1" spans="1:26">
      <c r="A19" s="48"/>
      <c r="B19" s="23" t="s">
        <v>58</v>
      </c>
      <c r="C19" s="23"/>
      <c r="D19" s="38"/>
      <c r="E19" s="38"/>
      <c r="F19" s="51"/>
      <c r="G19" s="51"/>
      <c r="H19" s="51">
        <v>149</v>
      </c>
      <c r="I19" s="51">
        <v>144</v>
      </c>
      <c r="J19" s="51">
        <v>144</v>
      </c>
      <c r="K19" s="51">
        <v>151</v>
      </c>
      <c r="L19" s="38">
        <v>130</v>
      </c>
      <c r="M19" s="241">
        <v>241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23"/>
      <c r="V19" s="23"/>
      <c r="W19" s="23"/>
      <c r="X19" s="23"/>
      <c r="Y19" s="23"/>
      <c r="Z19" s="23"/>
    </row>
    <row r="20" customHeight="1" spans="1:26">
      <c r="A20" s="48"/>
      <c r="B20" s="49" t="s">
        <v>59</v>
      </c>
      <c r="C20" s="49"/>
      <c r="D20" s="58"/>
      <c r="E20" s="58"/>
      <c r="F20" s="58"/>
      <c r="G20" s="58"/>
      <c r="H20" s="58">
        <f t="shared" ref="H20:T20" si="12">H8+H11+H12-H13-H16-H19</f>
        <v>1896</v>
      </c>
      <c r="I20" s="58">
        <f t="shared" si="12"/>
        <v>2936</v>
      </c>
      <c r="J20" s="58">
        <f t="shared" si="12"/>
        <v>2875</v>
      </c>
      <c r="K20" s="58">
        <f t="shared" si="12"/>
        <v>3734</v>
      </c>
      <c r="L20" s="58">
        <f t="shared" si="12"/>
        <v>4502</v>
      </c>
      <c r="M20" s="58">
        <f t="shared" si="12"/>
        <v>4970</v>
      </c>
      <c r="N20" s="58">
        <f t="shared" si="12"/>
        <v>5838.51414254098</v>
      </c>
      <c r="O20" s="58">
        <f t="shared" si="12"/>
        <v>6311.69457407705</v>
      </c>
      <c r="P20" s="58">
        <f t="shared" si="12"/>
        <v>6827.80187864444</v>
      </c>
      <c r="Q20" s="58">
        <f t="shared" si="12"/>
        <v>7388.29933168843</v>
      </c>
      <c r="R20" s="58">
        <f t="shared" si="12"/>
        <v>7567.54979508935</v>
      </c>
      <c r="S20" s="58">
        <f t="shared" si="12"/>
        <v>8156.81823088842</v>
      </c>
      <c r="T20" s="58">
        <f t="shared" si="12"/>
        <v>8798.2526156696</v>
      </c>
      <c r="U20" s="34"/>
      <c r="V20" s="34"/>
      <c r="W20" s="34"/>
      <c r="X20" s="34"/>
      <c r="Y20" s="34"/>
      <c r="Z20" s="34"/>
    </row>
    <row r="21" customHeight="1" spans="1:26">
      <c r="A21" s="240"/>
      <c r="B21" s="240"/>
      <c r="C21" s="240" t="s">
        <v>51</v>
      </c>
      <c r="D21" s="65"/>
      <c r="E21" s="65"/>
      <c r="F21" s="65"/>
      <c r="G21" s="65"/>
      <c r="H21" s="65" t="e">
        <f t="shared" ref="H21:T21" si="13">H20/G20-1</f>
        <v>#DIV/0!</v>
      </c>
      <c r="I21" s="65">
        <f t="shared" si="13"/>
        <v>0.548523206751055</v>
      </c>
      <c r="J21" s="65">
        <f t="shared" si="13"/>
        <v>-0.0207765667574932</v>
      </c>
      <c r="K21" s="65">
        <f t="shared" si="13"/>
        <v>0.298782608695652</v>
      </c>
      <c r="L21" s="65">
        <f t="shared" si="13"/>
        <v>0.205677557579004</v>
      </c>
      <c r="M21" s="65">
        <f t="shared" si="13"/>
        <v>0.103953798311861</v>
      </c>
      <c r="N21" s="65">
        <f t="shared" si="13"/>
        <v>0.17475133652736</v>
      </c>
      <c r="O21" s="65">
        <f t="shared" si="13"/>
        <v>0.0810446664997087</v>
      </c>
      <c r="P21" s="65">
        <f t="shared" si="13"/>
        <v>0.0817700062178413</v>
      </c>
      <c r="Q21" s="65">
        <f t="shared" si="13"/>
        <v>0.0820904682072101</v>
      </c>
      <c r="R21" s="65">
        <f t="shared" si="13"/>
        <v>0.0242613970216536</v>
      </c>
      <c r="S21" s="65">
        <f t="shared" si="13"/>
        <v>0.0778677976035853</v>
      </c>
      <c r="T21" s="65">
        <f t="shared" si="13"/>
        <v>0.0786378176667208</v>
      </c>
      <c r="U21" s="240"/>
      <c r="V21" s="240"/>
      <c r="W21" s="240"/>
      <c r="X21" s="240"/>
      <c r="Y21" s="240"/>
      <c r="Z21" s="240"/>
    </row>
    <row r="22" customHeight="1" spans="1:26">
      <c r="A22" s="240"/>
      <c r="B22" s="240"/>
      <c r="C22" s="240" t="s">
        <v>60</v>
      </c>
      <c r="D22" s="65"/>
      <c r="E22" s="65"/>
      <c r="F22" s="65"/>
      <c r="G22" s="65"/>
      <c r="H22" s="65">
        <f t="shared" ref="H22:T22" si="14">H20/H$6</f>
        <v>0.106170903796618</v>
      </c>
      <c r="I22" s="65">
        <f t="shared" si="14"/>
        <v>0.149582229468107</v>
      </c>
      <c r="J22" s="65">
        <f t="shared" si="14"/>
        <v>0.138540863531226</v>
      </c>
      <c r="K22" s="65">
        <f t="shared" si="14"/>
        <v>0.16097603035006</v>
      </c>
      <c r="L22" s="65">
        <f t="shared" si="14"/>
        <v>0.180963099927647</v>
      </c>
      <c r="M22" s="65">
        <f t="shared" si="14"/>
        <v>0.181056466302368</v>
      </c>
      <c r="N22" s="65">
        <f t="shared" si="14"/>
        <v>0.197885245901639</v>
      </c>
      <c r="O22" s="65">
        <f t="shared" si="14"/>
        <v>0.198885245901639</v>
      </c>
      <c r="P22" s="65">
        <f t="shared" si="14"/>
        <v>0.199885245901639</v>
      </c>
      <c r="Q22" s="65">
        <f t="shared" si="14"/>
        <v>0.200885245901639</v>
      </c>
      <c r="R22" s="65">
        <f t="shared" si="14"/>
        <v>0.190965391621129</v>
      </c>
      <c r="S22" s="65">
        <f t="shared" si="14"/>
        <v>0.190965391621129</v>
      </c>
      <c r="T22" s="65">
        <f t="shared" si="14"/>
        <v>0.190965391621129</v>
      </c>
      <c r="U22" s="240"/>
      <c r="V22" s="240"/>
      <c r="W22" s="240"/>
      <c r="X22" s="240"/>
      <c r="Y22" s="240"/>
      <c r="Z22" s="240"/>
    </row>
    <row r="23" customHeight="1" spans="1:26">
      <c r="A23" s="240"/>
      <c r="B23" s="240"/>
      <c r="C23" s="240"/>
      <c r="D23" s="240" t="s">
        <v>61</v>
      </c>
      <c r="E23" s="65"/>
      <c r="F23" s="65"/>
      <c r="G23" s="38"/>
      <c r="H23" s="38"/>
      <c r="I23" s="38"/>
      <c r="J23" s="38"/>
      <c r="K23" s="38">
        <v>2675</v>
      </c>
      <c r="L23" s="38">
        <v>3455</v>
      </c>
      <c r="M23" s="65"/>
      <c r="N23" s="65"/>
      <c r="O23" s="65"/>
      <c r="P23" s="65"/>
      <c r="Q23" s="65"/>
      <c r="R23" s="65"/>
      <c r="S23" s="65"/>
      <c r="T23" s="65"/>
      <c r="U23" s="240"/>
      <c r="V23" s="240"/>
      <c r="W23" s="240"/>
      <c r="X23" s="240"/>
      <c r="Y23" s="240"/>
      <c r="Z23" s="240"/>
    </row>
    <row r="24" customHeight="1" spans="1:26">
      <c r="A24" s="240"/>
      <c r="B24" s="240"/>
      <c r="C24" s="240"/>
      <c r="D24" s="240" t="s">
        <v>62</v>
      </c>
      <c r="E24" s="65"/>
      <c r="F24" s="65"/>
      <c r="G24" s="38"/>
      <c r="H24" s="38"/>
      <c r="I24" s="38"/>
      <c r="J24" s="38"/>
      <c r="K24" s="38">
        <v>1176</v>
      </c>
      <c r="L24" s="38">
        <v>1149</v>
      </c>
      <c r="M24" s="65"/>
      <c r="N24" s="65"/>
      <c r="O24" s="65"/>
      <c r="P24" s="65"/>
      <c r="Q24" s="65"/>
      <c r="R24" s="65"/>
      <c r="S24" s="65"/>
      <c r="T24" s="65"/>
      <c r="U24" s="240"/>
      <c r="V24" s="240"/>
      <c r="W24" s="240"/>
      <c r="X24" s="240"/>
      <c r="Y24" s="240"/>
      <c r="Z24" s="240"/>
    </row>
    <row r="25" customHeight="1" spans="1:26">
      <c r="A25" s="240"/>
      <c r="B25" s="240"/>
      <c r="C25" s="240"/>
      <c r="D25" s="240" t="s">
        <v>63</v>
      </c>
      <c r="E25" s="65"/>
      <c r="F25" s="65"/>
      <c r="G25" s="38"/>
      <c r="H25" s="38"/>
      <c r="I25" s="38"/>
      <c r="J25" s="38"/>
      <c r="K25" s="38">
        <v>780</v>
      </c>
      <c r="L25" s="38">
        <v>859</v>
      </c>
      <c r="M25" s="65"/>
      <c r="N25" s="65"/>
      <c r="O25" s="65"/>
      <c r="P25" s="65"/>
      <c r="Q25" s="65"/>
      <c r="R25" s="65"/>
      <c r="S25" s="65"/>
      <c r="T25" s="65"/>
      <c r="U25" s="240"/>
      <c r="V25" s="240"/>
      <c r="W25" s="240"/>
      <c r="X25" s="240"/>
      <c r="Y25" s="240"/>
      <c r="Z25" s="240"/>
    </row>
    <row r="26" customHeight="1" spans="1:26">
      <c r="A26" s="240"/>
      <c r="B26" s="240"/>
      <c r="C26" s="240"/>
      <c r="D26" s="240" t="s">
        <v>64</v>
      </c>
      <c r="E26" s="65"/>
      <c r="F26" s="65"/>
      <c r="G26" s="38"/>
      <c r="H26" s="38"/>
      <c r="I26" s="38"/>
      <c r="J26" s="38"/>
      <c r="K26" s="38">
        <v>482</v>
      </c>
      <c r="L26" s="38">
        <v>502</v>
      </c>
      <c r="M26" s="65"/>
      <c r="N26" s="65"/>
      <c r="O26" s="65"/>
      <c r="P26" s="65"/>
      <c r="Q26" s="65"/>
      <c r="R26" s="65"/>
      <c r="S26" s="65"/>
      <c r="T26" s="65"/>
      <c r="U26" s="240"/>
      <c r="V26" s="240"/>
      <c r="W26" s="240"/>
      <c r="X26" s="240"/>
      <c r="Y26" s="240"/>
      <c r="Z26" s="240"/>
    </row>
    <row r="27" customHeight="1" spans="1:26">
      <c r="A27" s="240"/>
      <c r="B27" s="240"/>
      <c r="C27" s="240"/>
      <c r="D27" s="240" t="s">
        <v>65</v>
      </c>
      <c r="E27" s="65"/>
      <c r="F27" s="65"/>
      <c r="G27" s="38"/>
      <c r="H27" s="38"/>
      <c r="I27" s="38"/>
      <c r="J27" s="38"/>
      <c r="K27" s="38">
        <v>-21</v>
      </c>
      <c r="L27" s="38">
        <f>--7</f>
        <v>7</v>
      </c>
      <c r="M27" s="65"/>
      <c r="N27" s="65"/>
      <c r="O27" s="65"/>
      <c r="P27" s="65"/>
      <c r="Q27" s="65"/>
      <c r="R27" s="65"/>
      <c r="S27" s="65"/>
      <c r="T27" s="65"/>
      <c r="U27" s="240"/>
      <c r="V27" s="240"/>
      <c r="W27" s="240"/>
      <c r="X27" s="240"/>
      <c r="Y27" s="240"/>
      <c r="Z27" s="240"/>
    </row>
    <row r="28" customHeight="1" spans="1:26">
      <c r="A28" s="48"/>
      <c r="B28" s="49" t="s">
        <v>17</v>
      </c>
      <c r="C28" s="49"/>
      <c r="D28" s="58"/>
      <c r="E28" s="58"/>
      <c r="F28" s="58"/>
      <c r="G28" s="58"/>
      <c r="H28" s="58">
        <f t="shared" ref="H28:T28" si="15">H20+H140+H141</f>
        <v>1896</v>
      </c>
      <c r="I28" s="58">
        <f t="shared" si="15"/>
        <v>2936</v>
      </c>
      <c r="J28" s="58">
        <f t="shared" si="15"/>
        <v>3389</v>
      </c>
      <c r="K28" s="58">
        <f t="shared" si="15"/>
        <v>4554</v>
      </c>
      <c r="L28" s="58">
        <f t="shared" si="15"/>
        <v>5423</v>
      </c>
      <c r="M28" s="58">
        <f t="shared" si="15"/>
        <v>5976</v>
      </c>
      <c r="N28" s="58">
        <f t="shared" si="15"/>
        <v>6608.07044716021</v>
      </c>
      <c r="O28" s="58">
        <f t="shared" si="15"/>
        <v>7117.7671833155</v>
      </c>
      <c r="P28" s="58">
        <f t="shared" si="15"/>
        <v>7670.79079250212</v>
      </c>
      <c r="Q28" s="58">
        <f t="shared" si="15"/>
        <v>8268.60455016534</v>
      </c>
      <c r="R28" s="58">
        <f t="shared" si="15"/>
        <v>8485.57131818548</v>
      </c>
      <c r="S28" s="58">
        <f t="shared" si="15"/>
        <v>9112.95605860377</v>
      </c>
      <c r="T28" s="58">
        <f t="shared" si="15"/>
        <v>9792.90674800418</v>
      </c>
      <c r="U28" s="34"/>
      <c r="V28" s="34"/>
      <c r="W28" s="34"/>
      <c r="X28" s="34"/>
      <c r="Y28" s="34"/>
      <c r="Z28" s="34"/>
    </row>
    <row r="29" customHeight="1" spans="1:26">
      <c r="A29" s="240"/>
      <c r="B29" s="240"/>
      <c r="C29" s="240" t="s">
        <v>51</v>
      </c>
      <c r="D29" s="65"/>
      <c r="E29" s="65"/>
      <c r="F29" s="65"/>
      <c r="G29" s="65"/>
      <c r="H29" s="65" t="e">
        <f t="shared" ref="H29:T29" si="16">H28/G28-1</f>
        <v>#DIV/0!</v>
      </c>
      <c r="I29" s="65">
        <f t="shared" si="16"/>
        <v>0.548523206751055</v>
      </c>
      <c r="J29" s="65">
        <f t="shared" si="16"/>
        <v>0.154291553133515</v>
      </c>
      <c r="K29" s="65">
        <f t="shared" si="16"/>
        <v>0.343759221009147</v>
      </c>
      <c r="L29" s="65">
        <f t="shared" si="16"/>
        <v>0.190821256038647</v>
      </c>
      <c r="M29" s="65">
        <f t="shared" si="16"/>
        <v>0.101973077632307</v>
      </c>
      <c r="N29" s="65">
        <f t="shared" si="16"/>
        <v>0.105768147115162</v>
      </c>
      <c r="O29" s="65">
        <f t="shared" si="16"/>
        <v>0.0771324610158073</v>
      </c>
      <c r="P29" s="65">
        <f t="shared" si="16"/>
        <v>0.0776962205904885</v>
      </c>
      <c r="Q29" s="65">
        <f t="shared" si="16"/>
        <v>0.0779337846428498</v>
      </c>
      <c r="R29" s="65">
        <f t="shared" si="16"/>
        <v>0.0262398288252641</v>
      </c>
      <c r="S29" s="65">
        <f t="shared" si="16"/>
        <v>0.0739354743355638</v>
      </c>
      <c r="T29" s="65">
        <f t="shared" si="16"/>
        <v>0.0746136253733445</v>
      </c>
      <c r="U29" s="240"/>
      <c r="V29" s="240"/>
      <c r="W29" s="240"/>
      <c r="X29" s="240"/>
      <c r="Y29" s="240"/>
      <c r="Z29" s="240"/>
    </row>
    <row r="30" customHeight="1" spans="1:26">
      <c r="A30" s="240"/>
      <c r="B30" s="240"/>
      <c r="C30" s="240" t="s">
        <v>66</v>
      </c>
      <c r="D30" s="65"/>
      <c r="E30" s="65"/>
      <c r="F30" s="65"/>
      <c r="G30" s="65"/>
      <c r="H30" s="65">
        <f t="shared" ref="H30:T30" si="17">H28/H$6</f>
        <v>0.106170903796618</v>
      </c>
      <c r="I30" s="65">
        <f t="shared" si="17"/>
        <v>0.149582229468107</v>
      </c>
      <c r="J30" s="65">
        <f t="shared" si="17"/>
        <v>0.163309560524287</v>
      </c>
      <c r="K30" s="65">
        <f t="shared" si="17"/>
        <v>0.196326952922918</v>
      </c>
      <c r="L30" s="65">
        <f t="shared" si="17"/>
        <v>0.217983760752472</v>
      </c>
      <c r="M30" s="65">
        <f t="shared" si="17"/>
        <v>0.217704918032787</v>
      </c>
      <c r="N30" s="65">
        <f t="shared" si="17"/>
        <v>0.223967881801269</v>
      </c>
      <c r="O30" s="65">
        <f t="shared" si="17"/>
        <v>0.224285072718578</v>
      </c>
      <c r="P30" s="65">
        <f t="shared" si="17"/>
        <v>0.224563912525787</v>
      </c>
      <c r="Q30" s="65">
        <f t="shared" si="17"/>
        <v>0.224820433465543</v>
      </c>
      <c r="R30" s="65">
        <f t="shared" si="17"/>
        <v>0.214131455198067</v>
      </c>
      <c r="S30" s="65">
        <f t="shared" si="17"/>
        <v>0.213350251690955</v>
      </c>
      <c r="T30" s="65">
        <f t="shared" si="17"/>
        <v>0.212554282530053</v>
      </c>
      <c r="U30" s="240"/>
      <c r="V30" s="240"/>
      <c r="W30" s="240"/>
      <c r="X30" s="240"/>
      <c r="Y30" s="240"/>
      <c r="Z30" s="240"/>
    </row>
    <row r="31" customHeight="1" spans="1:26">
      <c r="A31" s="240"/>
      <c r="B31" s="240"/>
      <c r="C31" s="240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240"/>
      <c r="V31" s="240"/>
      <c r="W31" s="240"/>
      <c r="X31" s="240"/>
      <c r="Y31" s="240"/>
      <c r="Z31" s="240"/>
    </row>
    <row r="32" customHeight="1" spans="1:26">
      <c r="A32" s="242"/>
      <c r="B32" s="243" t="s">
        <v>67</v>
      </c>
      <c r="C32" s="243"/>
      <c r="D32" s="244"/>
      <c r="E32" s="244"/>
      <c r="F32" s="245"/>
      <c r="G32" s="245"/>
      <c r="H32" s="60"/>
      <c r="I32" s="60"/>
      <c r="J32" s="60"/>
      <c r="K32" s="60"/>
      <c r="L32" s="245"/>
      <c r="M32" s="245"/>
      <c r="N32" s="244">
        <v>-140</v>
      </c>
      <c r="O32" s="244">
        <v>-140</v>
      </c>
      <c r="P32" s="244">
        <v>-140</v>
      </c>
      <c r="Q32" s="244">
        <v>-140</v>
      </c>
      <c r="R32" s="244">
        <v>-140</v>
      </c>
      <c r="S32" s="244">
        <v>-140</v>
      </c>
      <c r="T32" s="244">
        <v>-140</v>
      </c>
      <c r="U32" s="243"/>
      <c r="V32" s="243"/>
      <c r="W32" s="243"/>
      <c r="X32" s="243"/>
      <c r="Y32" s="243"/>
      <c r="Z32" s="243"/>
    </row>
    <row r="33" customHeight="1" spans="1:26">
      <c r="A33" s="48"/>
      <c r="B33" s="23" t="s">
        <v>68</v>
      </c>
      <c r="C33" s="23"/>
      <c r="D33" s="38"/>
      <c r="E33" s="38"/>
      <c r="F33" s="51"/>
      <c r="G33" s="51"/>
      <c r="H33" s="51">
        <v>0</v>
      </c>
      <c r="I33" s="51">
        <v>0</v>
      </c>
      <c r="J33" s="51">
        <v>0</v>
      </c>
      <c r="K33" s="51">
        <v>93</v>
      </c>
      <c r="L33" s="38">
        <v>64</v>
      </c>
      <c r="M33" s="38">
        <v>-37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23"/>
      <c r="V33" s="23"/>
      <c r="W33" s="23"/>
      <c r="X33" s="23"/>
      <c r="Y33" s="23"/>
      <c r="Z33" s="23"/>
    </row>
    <row r="34" customHeight="1" spans="1:26">
      <c r="A34" s="34"/>
      <c r="B34" s="34" t="s">
        <v>69</v>
      </c>
      <c r="C34" s="34"/>
      <c r="D34" s="58"/>
      <c r="E34" s="58"/>
      <c r="F34" s="58"/>
      <c r="G34" s="58"/>
      <c r="H34" s="58">
        <f t="shared" ref="H34:T34" si="18">H20+H32+H33</f>
        <v>1896</v>
      </c>
      <c r="I34" s="58">
        <f t="shared" si="18"/>
        <v>2936</v>
      </c>
      <c r="J34" s="58">
        <f t="shared" si="18"/>
        <v>2875</v>
      </c>
      <c r="K34" s="58">
        <f t="shared" si="18"/>
        <v>3827</v>
      </c>
      <c r="L34" s="58">
        <f t="shared" si="18"/>
        <v>4566</v>
      </c>
      <c r="M34" s="58">
        <f t="shared" si="18"/>
        <v>4933</v>
      </c>
      <c r="N34" s="58">
        <f t="shared" si="18"/>
        <v>5698.51414254098</v>
      </c>
      <c r="O34" s="58">
        <f t="shared" si="18"/>
        <v>6171.69457407705</v>
      </c>
      <c r="P34" s="58">
        <f t="shared" si="18"/>
        <v>6687.80187864444</v>
      </c>
      <c r="Q34" s="58">
        <f t="shared" si="18"/>
        <v>7248.29933168843</v>
      </c>
      <c r="R34" s="58">
        <f t="shared" si="18"/>
        <v>7427.54979508935</v>
      </c>
      <c r="S34" s="58">
        <f t="shared" si="18"/>
        <v>8016.81823088842</v>
      </c>
      <c r="T34" s="58">
        <f t="shared" si="18"/>
        <v>8658.2526156696</v>
      </c>
      <c r="U34" s="34"/>
      <c r="V34" s="34"/>
      <c r="W34" s="34"/>
      <c r="X34" s="34"/>
      <c r="Y34" s="34"/>
      <c r="Z34" s="34"/>
    </row>
    <row r="35" customHeight="1" spans="1:26">
      <c r="A35" s="240"/>
      <c r="B35" s="240"/>
      <c r="C35" s="240" t="s">
        <v>51</v>
      </c>
      <c r="D35" s="65"/>
      <c r="E35" s="65"/>
      <c r="F35" s="65"/>
      <c r="G35" s="65"/>
      <c r="H35" s="65" t="e">
        <f t="shared" ref="H35:T35" si="19">H34/G34-1</f>
        <v>#DIV/0!</v>
      </c>
      <c r="I35" s="65">
        <f t="shared" si="19"/>
        <v>0.548523206751055</v>
      </c>
      <c r="J35" s="65">
        <f t="shared" si="19"/>
        <v>-0.0207765667574932</v>
      </c>
      <c r="K35" s="65">
        <f t="shared" si="19"/>
        <v>0.331130434782609</v>
      </c>
      <c r="L35" s="65">
        <f t="shared" si="19"/>
        <v>0.193101646198066</v>
      </c>
      <c r="M35" s="65">
        <f t="shared" si="19"/>
        <v>0.0803766973280771</v>
      </c>
      <c r="N35" s="65">
        <f t="shared" si="19"/>
        <v>0.155182270938776</v>
      </c>
      <c r="O35" s="65">
        <f t="shared" si="19"/>
        <v>0.0830357562866511</v>
      </c>
      <c r="P35" s="65">
        <f t="shared" si="19"/>
        <v>0.0836248940015922</v>
      </c>
      <c r="Q35" s="65">
        <f t="shared" si="19"/>
        <v>0.0838089200629248</v>
      </c>
      <c r="R35" s="65">
        <f t="shared" si="19"/>
        <v>0.0247300028873334</v>
      </c>
      <c r="S35" s="65">
        <f t="shared" si="19"/>
        <v>0.0793355079475415</v>
      </c>
      <c r="T35" s="65">
        <f t="shared" si="19"/>
        <v>0.0800110924693005</v>
      </c>
      <c r="U35" s="240"/>
      <c r="V35" s="240"/>
      <c r="W35" s="240"/>
      <c r="X35" s="240"/>
      <c r="Y35" s="240"/>
      <c r="Z35" s="240"/>
    </row>
    <row r="36" customHeight="1" spans="1:26">
      <c r="A36" s="240"/>
      <c r="B36" s="240"/>
      <c r="C36" s="240" t="s">
        <v>70</v>
      </c>
      <c r="D36" s="65"/>
      <c r="E36" s="65"/>
      <c r="F36" s="65"/>
      <c r="G36" s="65"/>
      <c r="H36" s="65">
        <f t="shared" ref="H36:T36" si="20">H34/H$6</f>
        <v>0.106170903796618</v>
      </c>
      <c r="I36" s="65">
        <f t="shared" si="20"/>
        <v>0.149582229468107</v>
      </c>
      <c r="J36" s="65">
        <f t="shared" si="20"/>
        <v>0.138540863531226</v>
      </c>
      <c r="K36" s="65">
        <f t="shared" si="20"/>
        <v>0.164985342300397</v>
      </c>
      <c r="L36" s="65">
        <f t="shared" si="20"/>
        <v>0.183535653991478</v>
      </c>
      <c r="M36" s="65">
        <f t="shared" si="20"/>
        <v>0.179708561020036</v>
      </c>
      <c r="N36" s="65">
        <f t="shared" si="20"/>
        <v>0.193140214246347</v>
      </c>
      <c r="O36" s="65">
        <f t="shared" si="20"/>
        <v>0.194473762725538</v>
      </c>
      <c r="P36" s="65">
        <f t="shared" si="20"/>
        <v>0.195786718304675</v>
      </c>
      <c r="Q36" s="65">
        <f t="shared" si="20"/>
        <v>0.19707869541368</v>
      </c>
      <c r="R36" s="65">
        <f t="shared" si="20"/>
        <v>0.187432523579176</v>
      </c>
      <c r="S36" s="65">
        <f t="shared" si="20"/>
        <v>0.187687746579866</v>
      </c>
      <c r="T36" s="65">
        <f t="shared" si="20"/>
        <v>0.187926702463768</v>
      </c>
      <c r="U36" s="240"/>
      <c r="V36" s="240"/>
      <c r="W36" s="240"/>
      <c r="X36" s="240"/>
      <c r="Y36" s="240"/>
      <c r="Z36" s="240"/>
    </row>
    <row r="37" customHeight="1" spans="1:26">
      <c r="A37" s="23"/>
      <c r="B37" s="23" t="s">
        <v>71</v>
      </c>
      <c r="C37" s="23"/>
      <c r="D37" s="38"/>
      <c r="E37" s="38"/>
      <c r="F37" s="51"/>
      <c r="G37" s="51"/>
      <c r="H37" s="51">
        <v>331</v>
      </c>
      <c r="I37" s="51">
        <v>750</v>
      </c>
      <c r="J37" s="51">
        <v>445</v>
      </c>
      <c r="K37" s="51">
        <v>604</v>
      </c>
      <c r="L37" s="38">
        <v>768</v>
      </c>
      <c r="M37" s="38">
        <v>841</v>
      </c>
      <c r="N37" s="38">
        <f t="shared" ref="N37:T37" si="21">N34*N38</f>
        <v>971.50828985951</v>
      </c>
      <c r="O37" s="38">
        <f t="shared" si="21"/>
        <v>1052.17821544675</v>
      </c>
      <c r="P37" s="38">
        <f t="shared" si="21"/>
        <v>1140.16650718426</v>
      </c>
      <c r="Q37" s="38">
        <f t="shared" si="21"/>
        <v>1235.72263084329</v>
      </c>
      <c r="R37" s="38">
        <f t="shared" si="21"/>
        <v>1266.28205507199</v>
      </c>
      <c r="S37" s="38">
        <f t="shared" si="21"/>
        <v>1366.74318511599</v>
      </c>
      <c r="T37" s="38">
        <f t="shared" si="21"/>
        <v>1476.09780048209</v>
      </c>
      <c r="U37" s="48"/>
      <c r="V37" s="23"/>
      <c r="W37" s="23"/>
      <c r="X37" s="23"/>
      <c r="Y37" s="23"/>
      <c r="Z37" s="23"/>
    </row>
    <row r="38" customHeight="1" spans="1:26">
      <c r="A38" s="240"/>
      <c r="B38" s="240"/>
      <c r="C38" s="240" t="s">
        <v>72</v>
      </c>
      <c r="D38" s="67"/>
      <c r="E38" s="67"/>
      <c r="F38" s="67"/>
      <c r="G38" s="67"/>
      <c r="H38" s="67">
        <f t="shared" ref="H38:M38" si="22">H37/H34</f>
        <v>0.17457805907173</v>
      </c>
      <c r="I38" s="67">
        <f t="shared" si="22"/>
        <v>0.255449591280654</v>
      </c>
      <c r="J38" s="67">
        <f t="shared" si="22"/>
        <v>0.154782608695652</v>
      </c>
      <c r="K38" s="67">
        <f t="shared" si="22"/>
        <v>0.157825973347269</v>
      </c>
      <c r="L38" s="67">
        <f t="shared" si="22"/>
        <v>0.168199737187911</v>
      </c>
      <c r="M38" s="67">
        <f t="shared" si="22"/>
        <v>0.170484492195419</v>
      </c>
      <c r="N38" s="68">
        <f t="shared" ref="N38:T38" si="23">M38</f>
        <v>0.170484492195419</v>
      </c>
      <c r="O38" s="68">
        <f t="shared" si="23"/>
        <v>0.170484492195419</v>
      </c>
      <c r="P38" s="68">
        <f t="shared" si="23"/>
        <v>0.170484492195419</v>
      </c>
      <c r="Q38" s="68">
        <f t="shared" si="23"/>
        <v>0.170484492195419</v>
      </c>
      <c r="R38" s="68">
        <f t="shared" si="23"/>
        <v>0.170484492195419</v>
      </c>
      <c r="S38" s="68">
        <f t="shared" si="23"/>
        <v>0.170484492195419</v>
      </c>
      <c r="T38" s="68">
        <f t="shared" si="23"/>
        <v>0.170484492195419</v>
      </c>
      <c r="U38" s="240"/>
      <c r="V38" s="240"/>
      <c r="W38" s="240"/>
      <c r="X38" s="240"/>
      <c r="Y38" s="240"/>
      <c r="Z38" s="240"/>
    </row>
    <row r="39" customHeight="1" spans="1:26">
      <c r="A39" s="23"/>
      <c r="B39" s="34" t="s">
        <v>73</v>
      </c>
      <c r="C39" s="34"/>
      <c r="D39" s="58"/>
      <c r="E39" s="58"/>
      <c r="F39" s="58"/>
      <c r="G39" s="58"/>
      <c r="H39" s="58">
        <f t="shared" ref="H39:T39" si="24">H34-H37</f>
        <v>1565</v>
      </c>
      <c r="I39" s="58">
        <f t="shared" si="24"/>
        <v>2186</v>
      </c>
      <c r="J39" s="58">
        <f t="shared" si="24"/>
        <v>2430</v>
      </c>
      <c r="K39" s="58">
        <f t="shared" si="24"/>
        <v>3223</v>
      </c>
      <c r="L39" s="58">
        <f t="shared" si="24"/>
        <v>3798</v>
      </c>
      <c r="M39" s="58">
        <f t="shared" si="24"/>
        <v>4092</v>
      </c>
      <c r="N39" s="58">
        <f t="shared" si="24"/>
        <v>4727.00585268147</v>
      </c>
      <c r="O39" s="58">
        <f t="shared" si="24"/>
        <v>5119.5163586303</v>
      </c>
      <c r="P39" s="58">
        <f t="shared" si="24"/>
        <v>5547.63537146018</v>
      </c>
      <c r="Q39" s="58">
        <f t="shared" si="24"/>
        <v>6012.57670084514</v>
      </c>
      <c r="R39" s="58">
        <f t="shared" si="24"/>
        <v>6161.26774001735</v>
      </c>
      <c r="S39" s="58">
        <f t="shared" si="24"/>
        <v>6650.07504577243</v>
      </c>
      <c r="T39" s="58">
        <f t="shared" si="24"/>
        <v>7182.15481518752</v>
      </c>
      <c r="U39" s="23"/>
      <c r="V39" s="23"/>
      <c r="W39" s="23"/>
      <c r="X39" s="23"/>
      <c r="Y39" s="23"/>
      <c r="Z39" s="23"/>
    </row>
    <row r="40" customHeight="1" spans="1:26">
      <c r="A40" s="23"/>
      <c r="B40" s="23"/>
      <c r="C40" s="23" t="s">
        <v>74</v>
      </c>
      <c r="D40" s="38"/>
      <c r="E40" s="38"/>
      <c r="F40" s="51"/>
      <c r="G40" s="51"/>
      <c r="H40" s="51">
        <v>-5</v>
      </c>
      <c r="I40" s="51">
        <v>-2</v>
      </c>
      <c r="J40" s="51">
        <v>-4</v>
      </c>
      <c r="K40" s="38">
        <v>-5</v>
      </c>
      <c r="L40" s="38">
        <v>-4</v>
      </c>
      <c r="M40" s="38">
        <v>-3</v>
      </c>
      <c r="N40" s="38">
        <f t="shared" ref="N40:T40" si="25">-N39*N41</f>
        <v>-3.46554681281633</v>
      </c>
      <c r="O40" s="38">
        <f t="shared" si="25"/>
        <v>-3.75331111336532</v>
      </c>
      <c r="P40" s="38">
        <f t="shared" si="25"/>
        <v>-4.0671813573755</v>
      </c>
      <c r="Q40" s="38">
        <f t="shared" si="25"/>
        <v>-4.4080474346372</v>
      </c>
      <c r="R40" s="38">
        <f t="shared" si="25"/>
        <v>-4.51705846042328</v>
      </c>
      <c r="S40" s="38">
        <f t="shared" si="25"/>
        <v>-4.8754215878097</v>
      </c>
      <c r="T40" s="38">
        <f t="shared" si="25"/>
        <v>-5.26550939529877</v>
      </c>
      <c r="U40" s="23"/>
      <c r="V40" s="23"/>
      <c r="W40" s="23"/>
      <c r="X40" s="23"/>
      <c r="Y40" s="23"/>
      <c r="Z40" s="23"/>
    </row>
    <row r="41" customHeight="1" spans="1:26">
      <c r="A41" s="240"/>
      <c r="B41" s="240"/>
      <c r="C41" s="240" t="s">
        <v>75</v>
      </c>
      <c r="D41" s="67"/>
      <c r="E41" s="67"/>
      <c r="F41" s="67"/>
      <c r="G41" s="67"/>
      <c r="H41" s="67">
        <f t="shared" ref="H41:M41" si="26">-H40/H39</f>
        <v>0.00319488817891374</v>
      </c>
      <c r="I41" s="67">
        <f t="shared" si="26"/>
        <v>0.000914913083257091</v>
      </c>
      <c r="J41" s="67">
        <f t="shared" si="26"/>
        <v>0.00164609053497942</v>
      </c>
      <c r="K41" s="67">
        <f t="shared" si="26"/>
        <v>0.00155134967421657</v>
      </c>
      <c r="L41" s="67">
        <f t="shared" si="26"/>
        <v>0.00105318588730911</v>
      </c>
      <c r="M41" s="67">
        <f t="shared" si="26"/>
        <v>0.000733137829912023</v>
      </c>
      <c r="N41" s="68">
        <f t="shared" ref="N41:T41" si="27">M41</f>
        <v>0.000733137829912023</v>
      </c>
      <c r="O41" s="68">
        <f t="shared" si="27"/>
        <v>0.000733137829912023</v>
      </c>
      <c r="P41" s="68">
        <f t="shared" si="27"/>
        <v>0.000733137829912023</v>
      </c>
      <c r="Q41" s="68">
        <f t="shared" si="27"/>
        <v>0.000733137829912023</v>
      </c>
      <c r="R41" s="68">
        <f t="shared" si="27"/>
        <v>0.000733137829912023</v>
      </c>
      <c r="S41" s="68">
        <f t="shared" si="27"/>
        <v>0.000733137829912023</v>
      </c>
      <c r="T41" s="68">
        <f t="shared" si="27"/>
        <v>0.000733137829912023</v>
      </c>
      <c r="U41" s="240"/>
      <c r="V41" s="240"/>
      <c r="W41" s="240"/>
      <c r="X41" s="240"/>
      <c r="Y41" s="240"/>
      <c r="Z41" s="240"/>
    </row>
    <row r="42" customHeight="1" spans="1:26">
      <c r="A42" s="23"/>
      <c r="B42" s="34" t="s">
        <v>13</v>
      </c>
      <c r="C42" s="34"/>
      <c r="D42" s="58"/>
      <c r="E42" s="58"/>
      <c r="F42" s="58"/>
      <c r="G42" s="58"/>
      <c r="H42" s="58">
        <f t="shared" ref="H42:T42" si="28">H39+H40</f>
        <v>1560</v>
      </c>
      <c r="I42" s="58">
        <f t="shared" si="28"/>
        <v>2184</v>
      </c>
      <c r="J42" s="58">
        <f t="shared" si="28"/>
        <v>2426</v>
      </c>
      <c r="K42" s="58">
        <f t="shared" si="28"/>
        <v>3218</v>
      </c>
      <c r="L42" s="58">
        <f t="shared" si="28"/>
        <v>3794</v>
      </c>
      <c r="M42" s="58">
        <f t="shared" si="28"/>
        <v>4089</v>
      </c>
      <c r="N42" s="58">
        <f t="shared" si="28"/>
        <v>4723.54030586865</v>
      </c>
      <c r="O42" s="58">
        <f t="shared" si="28"/>
        <v>5115.76304751694</v>
      </c>
      <c r="P42" s="58">
        <f t="shared" si="28"/>
        <v>5543.5681901028</v>
      </c>
      <c r="Q42" s="58">
        <f t="shared" si="28"/>
        <v>6008.1686534105</v>
      </c>
      <c r="R42" s="58">
        <f t="shared" si="28"/>
        <v>6156.75068155693</v>
      </c>
      <c r="S42" s="58">
        <f t="shared" si="28"/>
        <v>6645.19962418462</v>
      </c>
      <c r="T42" s="58">
        <f t="shared" si="28"/>
        <v>7176.88930579222</v>
      </c>
      <c r="U42" s="23"/>
      <c r="V42" s="87"/>
      <c r="W42" s="23"/>
      <c r="X42" s="23"/>
      <c r="Y42" s="23"/>
      <c r="Z42" s="23"/>
    </row>
    <row r="43" customHeight="1" spans="1:26">
      <c r="A43" s="240"/>
      <c r="B43" s="240"/>
      <c r="C43" s="240" t="s">
        <v>51</v>
      </c>
      <c r="D43" s="65"/>
      <c r="E43" s="65"/>
      <c r="F43" s="65"/>
      <c r="G43" s="65"/>
      <c r="H43" s="65" t="e">
        <f t="shared" ref="H43:T43" si="29">H42/G42-1</f>
        <v>#DIV/0!</v>
      </c>
      <c r="I43" s="99">
        <f t="shared" si="29"/>
        <v>0.4</v>
      </c>
      <c r="J43" s="99">
        <f t="shared" si="29"/>
        <v>0.110805860805861</v>
      </c>
      <c r="K43" s="99">
        <f t="shared" si="29"/>
        <v>0.326463314097279</v>
      </c>
      <c r="L43" s="99">
        <f t="shared" si="29"/>
        <v>0.178993163455562</v>
      </c>
      <c r="M43" s="99">
        <f t="shared" si="29"/>
        <v>0.0777543489720611</v>
      </c>
      <c r="N43" s="65">
        <f t="shared" si="29"/>
        <v>0.155182270938776</v>
      </c>
      <c r="O43" s="65">
        <f t="shared" si="29"/>
        <v>0.0830357562866511</v>
      </c>
      <c r="P43" s="65">
        <f t="shared" si="29"/>
        <v>0.083624894001592</v>
      </c>
      <c r="Q43" s="65">
        <f t="shared" si="29"/>
        <v>0.0838089200629248</v>
      </c>
      <c r="R43" s="65">
        <f t="shared" si="29"/>
        <v>0.0247300028873336</v>
      </c>
      <c r="S43" s="65">
        <f t="shared" si="29"/>
        <v>0.0793355079475413</v>
      </c>
      <c r="T43" s="65">
        <f t="shared" si="29"/>
        <v>0.0800110924693005</v>
      </c>
      <c r="U43" s="240"/>
      <c r="V43" s="240"/>
      <c r="W43" s="240"/>
      <c r="X43" s="240"/>
      <c r="Y43" s="240"/>
      <c r="Z43" s="240"/>
    </row>
    <row r="44" customHeight="1" spans="1:26">
      <c r="A44" s="240"/>
      <c r="B44" s="240"/>
      <c r="C44" s="240" t="s">
        <v>76</v>
      </c>
      <c r="D44" s="65"/>
      <c r="E44" s="65"/>
      <c r="F44" s="65"/>
      <c r="G44" s="65"/>
      <c r="H44" s="65">
        <f t="shared" ref="H44:T44" si="30">H42/H$6</f>
        <v>0.0873558069212678</v>
      </c>
      <c r="I44" s="65">
        <f t="shared" si="30"/>
        <v>0.111269614835949</v>
      </c>
      <c r="J44" s="65">
        <f t="shared" si="30"/>
        <v>0.116904394757132</v>
      </c>
      <c r="K44" s="65">
        <f t="shared" si="30"/>
        <v>0.138730815657872</v>
      </c>
      <c r="L44" s="65">
        <f t="shared" si="30"/>
        <v>0.152504220596511</v>
      </c>
      <c r="M44" s="65">
        <f t="shared" si="30"/>
        <v>0.14896174863388</v>
      </c>
      <c r="N44" s="65">
        <f t="shared" si="30"/>
        <v>0.160095344831403</v>
      </c>
      <c r="O44" s="65">
        <f t="shared" si="30"/>
        <v>0.161200732978862</v>
      </c>
      <c r="P44" s="65">
        <f t="shared" si="30"/>
        <v>0.16228905151993</v>
      </c>
      <c r="Q44" s="65">
        <f t="shared" si="30"/>
        <v>0.163359980852734</v>
      </c>
      <c r="R44" s="65">
        <f t="shared" si="30"/>
        <v>0.155364198036743</v>
      </c>
      <c r="S44" s="65">
        <f t="shared" si="30"/>
        <v>0.1555757542601</v>
      </c>
      <c r="T44" s="65">
        <f t="shared" si="30"/>
        <v>0.155773826550648</v>
      </c>
      <c r="U44" s="240"/>
      <c r="V44" s="240"/>
      <c r="W44" s="240"/>
      <c r="X44" s="240"/>
      <c r="Y44" s="240"/>
      <c r="Z44" s="240"/>
    </row>
    <row r="45" customHeight="1" spans="1:26">
      <c r="A45" s="23"/>
      <c r="B45" s="23" t="s">
        <v>77</v>
      </c>
      <c r="C45" s="23"/>
      <c r="D45" s="38"/>
      <c r="E45" s="38"/>
      <c r="F45" s="51"/>
      <c r="G45" s="51"/>
      <c r="H45" s="51">
        <v>-1175</v>
      </c>
      <c r="I45" s="51">
        <v>-1236</v>
      </c>
      <c r="J45" s="51">
        <v>-1316</v>
      </c>
      <c r="K45" s="51">
        <v>-1379</v>
      </c>
      <c r="L45" s="38">
        <v>-1500</v>
      </c>
      <c r="M45" s="38">
        <v>-1626</v>
      </c>
      <c r="N45" s="38">
        <f t="shared" ref="N45:T45" si="31">-N42*N46</f>
        <v>-1878.32637254645</v>
      </c>
      <c r="O45" s="38">
        <f t="shared" si="31"/>
        <v>-2034.29462344401</v>
      </c>
      <c r="P45" s="38">
        <f t="shared" si="31"/>
        <v>-2204.41229569752</v>
      </c>
      <c r="Q45" s="38">
        <f t="shared" si="31"/>
        <v>-2389.16170957336</v>
      </c>
      <c r="R45" s="38">
        <f t="shared" si="31"/>
        <v>-2448.24568554942</v>
      </c>
      <c r="S45" s="38">
        <f t="shared" si="31"/>
        <v>-2642.47850059286</v>
      </c>
      <c r="T45" s="38">
        <f t="shared" si="31"/>
        <v>-2853.90609225193</v>
      </c>
      <c r="U45" s="23"/>
      <c r="V45" s="23"/>
      <c r="W45" s="23"/>
      <c r="X45" s="23"/>
      <c r="Y45" s="23"/>
      <c r="Z45" s="23"/>
    </row>
    <row r="46" customHeight="1" spans="1:26">
      <c r="A46" s="23"/>
      <c r="B46" s="23"/>
      <c r="C46" s="86" t="s">
        <v>78</v>
      </c>
      <c r="D46" s="67"/>
      <c r="E46" s="67"/>
      <c r="F46" s="67"/>
      <c r="G46" s="67"/>
      <c r="H46" s="67">
        <f t="shared" ref="H46:M46" si="32">-H45/H42</f>
        <v>0.753205128205128</v>
      </c>
      <c r="I46" s="67">
        <f t="shared" si="32"/>
        <v>0.565934065934066</v>
      </c>
      <c r="J46" s="67">
        <f t="shared" si="32"/>
        <v>0.542456718878813</v>
      </c>
      <c r="K46" s="67">
        <f t="shared" si="32"/>
        <v>0.42852703542573</v>
      </c>
      <c r="L46" s="67">
        <f t="shared" si="32"/>
        <v>0.395361096468108</v>
      </c>
      <c r="M46" s="67">
        <f t="shared" si="32"/>
        <v>0.397652237710932</v>
      </c>
      <c r="N46" s="68">
        <f t="shared" ref="N46:T46" si="33">M46</f>
        <v>0.397652237710932</v>
      </c>
      <c r="O46" s="68">
        <f t="shared" si="33"/>
        <v>0.397652237710932</v>
      </c>
      <c r="P46" s="68">
        <f t="shared" si="33"/>
        <v>0.397652237710932</v>
      </c>
      <c r="Q46" s="68">
        <f t="shared" si="33"/>
        <v>0.397652237710932</v>
      </c>
      <c r="R46" s="68">
        <f t="shared" si="33"/>
        <v>0.397652237710932</v>
      </c>
      <c r="S46" s="68">
        <f t="shared" si="33"/>
        <v>0.397652237710932</v>
      </c>
      <c r="T46" s="68">
        <f t="shared" si="33"/>
        <v>0.397652237710932</v>
      </c>
      <c r="U46" s="23"/>
      <c r="V46" s="23"/>
      <c r="W46" s="23"/>
      <c r="X46" s="23"/>
      <c r="Y46" s="23"/>
      <c r="Z46" s="23"/>
    </row>
    <row r="47" customHeight="1" spans="1:26">
      <c r="A47" s="23"/>
      <c r="B47" s="23"/>
      <c r="C47" s="27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3"/>
      <c r="V47" s="23"/>
      <c r="W47" s="23"/>
      <c r="X47" s="23"/>
      <c r="Y47" s="23"/>
      <c r="Z47" s="23"/>
    </row>
    <row r="48" customHeight="1" spans="1:26">
      <c r="A48" s="23"/>
      <c r="B48" s="23" t="s">
        <v>79</v>
      </c>
      <c r="C48" s="27"/>
      <c r="D48" s="38"/>
      <c r="E48" s="38"/>
      <c r="F48" s="38"/>
      <c r="G48" s="38"/>
      <c r="H48" s="38">
        <v>402.2</v>
      </c>
      <c r="I48" s="38">
        <v>398.7</v>
      </c>
      <c r="J48" s="38">
        <v>398.7</v>
      </c>
      <c r="K48" s="38">
        <f t="shared" ref="K48:K49" si="34">J48</f>
        <v>398.7</v>
      </c>
      <c r="L48" s="38">
        <v>399.4</v>
      </c>
      <c r="M48" s="38">
        <v>396</v>
      </c>
      <c r="N48" s="38">
        <f t="shared" ref="N48:T48" si="35">M48</f>
        <v>396</v>
      </c>
      <c r="O48" s="38">
        <f t="shared" si="35"/>
        <v>396</v>
      </c>
      <c r="P48" s="38">
        <f t="shared" si="35"/>
        <v>396</v>
      </c>
      <c r="Q48" s="38">
        <f t="shared" si="35"/>
        <v>396</v>
      </c>
      <c r="R48" s="38">
        <f t="shared" si="35"/>
        <v>396</v>
      </c>
      <c r="S48" s="38">
        <f t="shared" si="35"/>
        <v>396</v>
      </c>
      <c r="T48" s="38">
        <f t="shared" si="35"/>
        <v>396</v>
      </c>
      <c r="U48" s="23"/>
      <c r="V48" s="23"/>
      <c r="W48" s="23"/>
      <c r="X48" s="23"/>
      <c r="Y48" s="23"/>
      <c r="Z48" s="23"/>
    </row>
    <row r="49" customHeight="1" spans="1:26">
      <c r="A49" s="23"/>
      <c r="B49" s="23" t="s">
        <v>80</v>
      </c>
      <c r="C49" s="23"/>
      <c r="D49" s="38"/>
      <c r="E49" s="38"/>
      <c r="F49" s="38"/>
      <c r="G49" s="38"/>
      <c r="H49" s="38">
        <v>404</v>
      </c>
      <c r="I49" s="38">
        <v>401.6</v>
      </c>
      <c r="J49" s="38">
        <v>400.8</v>
      </c>
      <c r="K49" s="38">
        <f t="shared" si="34"/>
        <v>400.8</v>
      </c>
      <c r="L49" s="38">
        <v>397.6</v>
      </c>
      <c r="M49" s="38">
        <v>391</v>
      </c>
      <c r="N49" s="38">
        <f t="shared" ref="N49:T49" si="36">M49</f>
        <v>391</v>
      </c>
      <c r="O49" s="38">
        <f t="shared" si="36"/>
        <v>391</v>
      </c>
      <c r="P49" s="38">
        <f t="shared" si="36"/>
        <v>391</v>
      </c>
      <c r="Q49" s="38">
        <f t="shared" si="36"/>
        <v>391</v>
      </c>
      <c r="R49" s="38">
        <f t="shared" si="36"/>
        <v>391</v>
      </c>
      <c r="S49" s="38">
        <f t="shared" si="36"/>
        <v>391</v>
      </c>
      <c r="T49" s="38">
        <f t="shared" si="36"/>
        <v>391</v>
      </c>
      <c r="U49" s="23"/>
      <c r="V49" s="23"/>
      <c r="W49" s="23"/>
      <c r="X49" s="23"/>
      <c r="Y49" s="23"/>
      <c r="Z49" s="23"/>
    </row>
    <row r="50" customHeight="1" spans="1:26">
      <c r="A50" s="23"/>
      <c r="B50" s="23"/>
      <c r="C50" s="23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23"/>
      <c r="V50" s="23"/>
      <c r="W50" s="23"/>
      <c r="X50" s="23"/>
      <c r="Y50" s="23"/>
      <c r="Z50" s="23"/>
    </row>
    <row r="51" customHeight="1" spans="1:26">
      <c r="A51" s="23"/>
      <c r="B51" s="247" t="s">
        <v>81</v>
      </c>
      <c r="C51" s="247"/>
      <c r="D51" s="248"/>
      <c r="E51" s="248"/>
      <c r="F51" s="248"/>
      <c r="G51" s="248"/>
      <c r="H51" s="248">
        <f t="shared" ref="H51:T51" si="37">H42/H48</f>
        <v>3.87866732968672</v>
      </c>
      <c r="I51" s="248">
        <f t="shared" si="37"/>
        <v>5.4778028592927</v>
      </c>
      <c r="J51" s="248">
        <f t="shared" si="37"/>
        <v>6.08477552044143</v>
      </c>
      <c r="K51" s="248">
        <f t="shared" si="37"/>
        <v>8.07123150238274</v>
      </c>
      <c r="L51" s="248">
        <f t="shared" si="37"/>
        <v>9.49924887330997</v>
      </c>
      <c r="M51" s="248">
        <f t="shared" si="37"/>
        <v>10.3257575757576</v>
      </c>
      <c r="N51" s="248">
        <f t="shared" si="37"/>
        <v>11.9281320855269</v>
      </c>
      <c r="O51" s="248">
        <f t="shared" si="37"/>
        <v>12.9185935543357</v>
      </c>
      <c r="P51" s="248">
        <f t="shared" si="37"/>
        <v>13.9989095709667</v>
      </c>
      <c r="Q51" s="248">
        <f t="shared" si="37"/>
        <v>15.1721430641679</v>
      </c>
      <c r="R51" s="248">
        <f t="shared" si="37"/>
        <v>15.5473502059518</v>
      </c>
      <c r="S51" s="248">
        <f t="shared" si="37"/>
        <v>16.7808071317793</v>
      </c>
      <c r="T51" s="248">
        <f t="shared" si="37"/>
        <v>18.1234578429096</v>
      </c>
      <c r="U51" s="23"/>
      <c r="V51" s="23"/>
      <c r="W51" s="23"/>
      <c r="X51" s="23"/>
      <c r="Y51" s="23"/>
      <c r="Z51" s="23"/>
    </row>
    <row r="52" customHeight="1" spans="1:26">
      <c r="A52" s="23"/>
      <c r="B52" s="247" t="s">
        <v>82</v>
      </c>
      <c r="C52" s="247"/>
      <c r="D52" s="249"/>
      <c r="E52" s="249"/>
      <c r="F52" s="249"/>
      <c r="G52" s="249"/>
      <c r="H52" s="249">
        <f>H51/'Other ASPT'!H5</f>
        <v>3.87866732968672</v>
      </c>
      <c r="I52" s="249">
        <f>I51/'Other ASPT'!I5</f>
        <v>5.4778028592927</v>
      </c>
      <c r="J52" s="249">
        <f>J51/'Other ASPT'!J5</f>
        <v>6.08477552044143</v>
      </c>
      <c r="K52" s="248">
        <f t="shared" ref="K52:T52" si="38">K42/K49</f>
        <v>8.02894211576846</v>
      </c>
      <c r="L52" s="248">
        <f t="shared" si="38"/>
        <v>9.54225352112676</v>
      </c>
      <c r="M52" s="248">
        <f t="shared" si="38"/>
        <v>10.457800511509</v>
      </c>
      <c r="N52" s="248">
        <f t="shared" si="38"/>
        <v>12.0806657439096</v>
      </c>
      <c r="O52" s="248">
        <f t="shared" si="38"/>
        <v>13.0837929604014</v>
      </c>
      <c r="P52" s="248">
        <f t="shared" si="38"/>
        <v>14.1779237598537</v>
      </c>
      <c r="Q52" s="248">
        <f t="shared" si="38"/>
        <v>15.3661602389015</v>
      </c>
      <c r="R52" s="248">
        <f t="shared" si="38"/>
        <v>15.7461654259768</v>
      </c>
      <c r="S52" s="248">
        <f t="shared" si="38"/>
        <v>16.9953954582727</v>
      </c>
      <c r="T52" s="248">
        <f t="shared" si="38"/>
        <v>18.3552156158369</v>
      </c>
      <c r="U52" s="23"/>
      <c r="V52" s="23"/>
      <c r="W52" s="23"/>
      <c r="X52" s="23"/>
      <c r="Y52" s="23"/>
      <c r="Z52" s="23"/>
    </row>
    <row r="53" customHeight="1" spans="1:26">
      <c r="A53" s="240"/>
      <c r="B53" s="240"/>
      <c r="C53" s="240" t="s">
        <v>51</v>
      </c>
      <c r="D53" s="65"/>
      <c r="E53" s="65"/>
      <c r="F53" s="65"/>
      <c r="G53" s="65"/>
      <c r="H53" s="65" t="e">
        <f t="shared" ref="H53:T53" si="39">H52/G52-1</f>
        <v>#DIV/0!</v>
      </c>
      <c r="I53" s="65">
        <f t="shared" si="39"/>
        <v>0.412289942312516</v>
      </c>
      <c r="J53" s="65">
        <f t="shared" si="39"/>
        <v>0.110805860805861</v>
      </c>
      <c r="K53" s="65">
        <f t="shared" si="39"/>
        <v>0.319513281762937</v>
      </c>
      <c r="L53" s="65">
        <f t="shared" si="39"/>
        <v>0.188482042034682</v>
      </c>
      <c r="M53" s="65">
        <f t="shared" si="39"/>
        <v>0.0959466218703109</v>
      </c>
      <c r="N53" s="65">
        <f t="shared" si="39"/>
        <v>0.155182270938776</v>
      </c>
      <c r="O53" s="65">
        <f t="shared" si="39"/>
        <v>0.0830357562866511</v>
      </c>
      <c r="P53" s="65">
        <f t="shared" si="39"/>
        <v>0.0836248940015922</v>
      </c>
      <c r="Q53" s="65">
        <f t="shared" si="39"/>
        <v>0.0838089200629248</v>
      </c>
      <c r="R53" s="65">
        <f t="shared" si="39"/>
        <v>0.0247300028873334</v>
      </c>
      <c r="S53" s="65">
        <f t="shared" si="39"/>
        <v>0.0793355079475415</v>
      </c>
      <c r="T53" s="65">
        <f t="shared" si="39"/>
        <v>0.0800110924693003</v>
      </c>
      <c r="U53" s="240"/>
      <c r="V53" s="240"/>
      <c r="W53" s="240"/>
      <c r="X53" s="240"/>
      <c r="Y53" s="240"/>
      <c r="Z53" s="240"/>
    </row>
    <row r="54" customHeight="1" spans="1:26">
      <c r="A54" s="23"/>
      <c r="B54" s="247"/>
      <c r="C54" s="247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3"/>
      <c r="V54" s="23"/>
      <c r="W54" s="23"/>
      <c r="X54" s="23"/>
      <c r="Y54" s="23"/>
      <c r="Z54" s="23"/>
    </row>
    <row r="55" hidden="1" customHeight="1" spans="1:26">
      <c r="A55" s="23"/>
      <c r="B55" s="247" t="s">
        <v>83</v>
      </c>
      <c r="C55" s="247"/>
      <c r="D55" s="248"/>
      <c r="E55" s="248"/>
      <c r="F55" s="248"/>
      <c r="G55" s="248"/>
      <c r="H55" s="248">
        <f t="shared" ref="H55:T55" si="40">H42/H49</f>
        <v>3.86138613861386</v>
      </c>
      <c r="I55" s="248">
        <f t="shared" si="40"/>
        <v>5.43824701195219</v>
      </c>
      <c r="J55" s="248">
        <f t="shared" si="40"/>
        <v>6.05289421157685</v>
      </c>
      <c r="K55" s="248">
        <f t="shared" si="40"/>
        <v>8.02894211576846</v>
      </c>
      <c r="L55" s="248">
        <f t="shared" si="40"/>
        <v>9.54225352112676</v>
      </c>
      <c r="M55" s="248">
        <f t="shared" si="40"/>
        <v>10.457800511509</v>
      </c>
      <c r="N55" s="248">
        <f t="shared" si="40"/>
        <v>12.0806657439096</v>
      </c>
      <c r="O55" s="248">
        <f t="shared" si="40"/>
        <v>13.0837929604014</v>
      </c>
      <c r="P55" s="248">
        <f t="shared" si="40"/>
        <v>14.1779237598537</v>
      </c>
      <c r="Q55" s="248">
        <f t="shared" si="40"/>
        <v>15.3661602389015</v>
      </c>
      <c r="R55" s="248">
        <f t="shared" si="40"/>
        <v>15.7461654259768</v>
      </c>
      <c r="S55" s="248">
        <f t="shared" si="40"/>
        <v>16.9953954582727</v>
      </c>
      <c r="T55" s="248">
        <f t="shared" si="40"/>
        <v>18.3552156158369</v>
      </c>
      <c r="U55" s="23"/>
      <c r="V55" s="23"/>
      <c r="W55" s="23"/>
      <c r="X55" s="23"/>
      <c r="Y55" s="23"/>
      <c r="Z55" s="23"/>
    </row>
    <row r="56" hidden="1" customHeight="1" spans="1:26">
      <c r="A56" s="23"/>
      <c r="B56" s="247" t="s">
        <v>84</v>
      </c>
      <c r="C56" s="247"/>
      <c r="D56" s="249"/>
      <c r="E56" s="249"/>
      <c r="F56" s="249"/>
      <c r="G56" s="249"/>
      <c r="H56" s="249">
        <f>H55/'Other ASPT'!H5</f>
        <v>3.86138613861386</v>
      </c>
      <c r="I56" s="249">
        <f>I55/'Other ASPT'!I5</f>
        <v>5.43824701195219</v>
      </c>
      <c r="J56" s="249">
        <f>J55/'Other ASPT'!J5</f>
        <v>6.05289421157685</v>
      </c>
      <c r="K56" s="249">
        <f>K55/'Other ASPT'!K5</f>
        <v>8.02894211576846</v>
      </c>
      <c r="L56" s="249">
        <f>L55/'Other ASPT'!L5</f>
        <v>9.54225352112676</v>
      </c>
      <c r="M56" s="249">
        <f>M55/'Other ASPT'!M5</f>
        <v>10.457800511509</v>
      </c>
      <c r="N56" s="249">
        <f>N55/'Other ASPT'!N5</f>
        <v>12.0806657439096</v>
      </c>
      <c r="O56" s="249">
        <f>O55/'Other ASPT'!O5</f>
        <v>13.0837929604014</v>
      </c>
      <c r="P56" s="249">
        <f>P55/'Other ASPT'!P5</f>
        <v>14.1779237598537</v>
      </c>
      <c r="Q56" s="249">
        <f>Q55/'Other ASPT'!Q5</f>
        <v>15.3661602389015</v>
      </c>
      <c r="R56" s="249">
        <f>R55/'Other ASPT'!R5</f>
        <v>15.7461654259768</v>
      </c>
      <c r="S56" s="249">
        <f>S55/'Other ASPT'!S5</f>
        <v>16.9953954582727</v>
      </c>
      <c r="T56" s="249">
        <f>T55/'Other ASPT'!T5</f>
        <v>18.3552156158369</v>
      </c>
      <c r="U56" s="23"/>
      <c r="V56" s="23"/>
      <c r="W56" s="23"/>
      <c r="X56" s="23"/>
      <c r="Y56" s="23"/>
      <c r="Z56" s="23"/>
    </row>
    <row r="57" hidden="1" customHeight="1" spans="1:26">
      <c r="A57" s="240"/>
      <c r="B57" s="240"/>
      <c r="C57" s="240" t="s">
        <v>51</v>
      </c>
      <c r="D57" s="65"/>
      <c r="E57" s="65"/>
      <c r="F57" s="65"/>
      <c r="G57" s="65"/>
      <c r="H57" s="65" t="e">
        <f t="shared" ref="H57:T57" si="41">H56/G56-1</f>
        <v>#DIV/0!</v>
      </c>
      <c r="I57" s="65">
        <f t="shared" si="41"/>
        <v>0.408366533864542</v>
      </c>
      <c r="J57" s="65">
        <f t="shared" si="41"/>
        <v>0.113023038172739</v>
      </c>
      <c r="K57" s="65">
        <f t="shared" si="41"/>
        <v>0.326463314097279</v>
      </c>
      <c r="L57" s="65">
        <f t="shared" si="41"/>
        <v>0.188482042034682</v>
      </c>
      <c r="M57" s="65">
        <f t="shared" si="41"/>
        <v>0.0959466218703109</v>
      </c>
      <c r="N57" s="65">
        <f t="shared" si="41"/>
        <v>0.155182270938776</v>
      </c>
      <c r="O57" s="65">
        <f t="shared" si="41"/>
        <v>0.0830357562866511</v>
      </c>
      <c r="P57" s="65">
        <f t="shared" si="41"/>
        <v>0.0836248940015922</v>
      </c>
      <c r="Q57" s="65">
        <f t="shared" si="41"/>
        <v>0.0838089200629248</v>
      </c>
      <c r="R57" s="65">
        <f t="shared" si="41"/>
        <v>0.0247300028873334</v>
      </c>
      <c r="S57" s="65">
        <f t="shared" si="41"/>
        <v>0.0793355079475415</v>
      </c>
      <c r="T57" s="65">
        <f t="shared" si="41"/>
        <v>0.0800110924693003</v>
      </c>
      <c r="U57" s="240"/>
      <c r="V57" s="240"/>
      <c r="W57" s="240"/>
      <c r="X57" s="240"/>
      <c r="Y57" s="240"/>
      <c r="Z57" s="240"/>
    </row>
    <row r="58" customHeight="1" spans="1:26">
      <c r="A58" s="23"/>
      <c r="B58" s="247"/>
      <c r="C58" s="247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3"/>
      <c r="V58" s="23"/>
      <c r="W58" s="23"/>
      <c r="X58" s="23"/>
      <c r="Y58" s="23"/>
      <c r="Z58" s="23"/>
    </row>
    <row r="59" customHeight="1" spans="1:26">
      <c r="A59" s="23"/>
      <c r="B59" s="247" t="s">
        <v>85</v>
      </c>
      <c r="C59" s="247"/>
      <c r="D59" s="249"/>
      <c r="E59" s="249"/>
      <c r="F59" s="249"/>
      <c r="G59" s="249"/>
      <c r="H59" s="249">
        <f t="shared" ref="H59:T59" si="42">-H45/H48</f>
        <v>2.92143212332173</v>
      </c>
      <c r="I59" s="249">
        <f t="shared" si="42"/>
        <v>3.10007524454477</v>
      </c>
      <c r="J59" s="249">
        <f t="shared" si="42"/>
        <v>3.30072736393278</v>
      </c>
      <c r="K59" s="249">
        <f t="shared" si="42"/>
        <v>3.45874090795084</v>
      </c>
      <c r="L59" s="249">
        <f t="shared" si="42"/>
        <v>3.75563345017526</v>
      </c>
      <c r="M59" s="249">
        <f t="shared" si="42"/>
        <v>4.10606060606061</v>
      </c>
      <c r="N59" s="249">
        <f t="shared" si="42"/>
        <v>4.74324841552134</v>
      </c>
      <c r="O59" s="249">
        <f t="shared" si="42"/>
        <v>5.13710763495961</v>
      </c>
      <c r="P59" s="249">
        <f t="shared" si="42"/>
        <v>5.56669771640788</v>
      </c>
      <c r="Q59" s="249">
        <f t="shared" si="42"/>
        <v>6.03323664033677</v>
      </c>
      <c r="R59" s="249">
        <f t="shared" si="42"/>
        <v>6.18243859987227</v>
      </c>
      <c r="S59" s="249">
        <f t="shared" si="42"/>
        <v>6.67292550654762</v>
      </c>
      <c r="T59" s="249">
        <f t="shared" si="42"/>
        <v>7.20683356629276</v>
      </c>
      <c r="U59" s="23"/>
      <c r="V59" s="23"/>
      <c r="W59" s="23"/>
      <c r="X59" s="23"/>
      <c r="Y59" s="23"/>
      <c r="Z59" s="23"/>
    </row>
    <row r="60" hidden="1" customHeight="1" spans="1:26">
      <c r="A60" s="23"/>
      <c r="B60" s="247" t="s">
        <v>86</v>
      </c>
      <c r="C60" s="247"/>
      <c r="D60" s="249"/>
      <c r="E60" s="249"/>
      <c r="F60" s="249"/>
      <c r="G60" s="249"/>
      <c r="H60" s="249">
        <f>H59/'Other ASPT'!H5</f>
        <v>2.92143212332173</v>
      </c>
      <c r="I60" s="249">
        <f>I59/'Other ASPT'!I5</f>
        <v>3.10007524454477</v>
      </c>
      <c r="J60" s="249">
        <f>J59/'Other ASPT'!J5</f>
        <v>3.30072736393278</v>
      </c>
      <c r="K60" s="249">
        <f>K59/'Other ASPT'!K5</f>
        <v>3.45874090795084</v>
      </c>
      <c r="L60" s="249">
        <f>L59/'Other ASPT'!L5</f>
        <v>3.75563345017526</v>
      </c>
      <c r="M60" s="249">
        <f>M59/'Other ASPT'!M5</f>
        <v>4.10606060606061</v>
      </c>
      <c r="N60" s="249">
        <f>N59/'Other ASPT'!N5</f>
        <v>4.74324841552134</v>
      </c>
      <c r="O60" s="249">
        <f>O59/'Other ASPT'!O5</f>
        <v>5.13710763495961</v>
      </c>
      <c r="P60" s="249">
        <f>P59/'Other ASPT'!P5</f>
        <v>5.56669771640788</v>
      </c>
      <c r="Q60" s="249">
        <f>Q59/'Other ASPT'!Q5</f>
        <v>6.03323664033677</v>
      </c>
      <c r="R60" s="249">
        <f>R59/'Other ASPT'!R5</f>
        <v>6.18243859987227</v>
      </c>
      <c r="S60" s="249">
        <f>S59/'Other ASPT'!S5</f>
        <v>6.67292550654762</v>
      </c>
      <c r="T60" s="249">
        <f>T59/'Other ASPT'!T5</f>
        <v>7.20683356629276</v>
      </c>
      <c r="U60" s="23"/>
      <c r="V60" s="23"/>
      <c r="W60" s="23"/>
      <c r="X60" s="23"/>
      <c r="Y60" s="23"/>
      <c r="Z60" s="23"/>
    </row>
    <row r="61" customHeight="1" spans="1:26">
      <c r="A61" s="240"/>
      <c r="B61" s="240"/>
      <c r="C61" s="240" t="s">
        <v>51</v>
      </c>
      <c r="D61" s="65"/>
      <c r="E61" s="65"/>
      <c r="F61" s="65"/>
      <c r="G61" s="65"/>
      <c r="H61" s="65" t="e">
        <f t="shared" ref="H61:T61" si="43">H60/G60-1</f>
        <v>#DIV/0!</v>
      </c>
      <c r="I61" s="65">
        <f t="shared" si="43"/>
        <v>0.0611491603028993</v>
      </c>
      <c r="J61" s="65">
        <f t="shared" si="43"/>
        <v>0.064724919093851</v>
      </c>
      <c r="K61" s="65">
        <f t="shared" si="43"/>
        <v>0.0478723404255319</v>
      </c>
      <c r="L61" s="65">
        <f t="shared" si="43"/>
        <v>0.085838329648207</v>
      </c>
      <c r="M61" s="65">
        <f t="shared" si="43"/>
        <v>0.0933070707070707</v>
      </c>
      <c r="N61" s="65">
        <f t="shared" si="43"/>
        <v>0.155182270938776</v>
      </c>
      <c r="O61" s="65">
        <f t="shared" si="43"/>
        <v>0.0830357562866511</v>
      </c>
      <c r="P61" s="65">
        <f t="shared" si="43"/>
        <v>0.0836248940015922</v>
      </c>
      <c r="Q61" s="65">
        <f t="shared" si="43"/>
        <v>0.0838089200629248</v>
      </c>
      <c r="R61" s="65">
        <f t="shared" si="43"/>
        <v>0.0247300028873336</v>
      </c>
      <c r="S61" s="65">
        <f t="shared" si="43"/>
        <v>0.0793355079475413</v>
      </c>
      <c r="T61" s="65">
        <f t="shared" si="43"/>
        <v>0.0800110924693005</v>
      </c>
      <c r="U61" s="240"/>
      <c r="V61" s="240"/>
      <c r="W61" s="240"/>
      <c r="X61" s="240"/>
      <c r="Y61" s="240"/>
      <c r="Z61" s="240"/>
    </row>
    <row r="62" customHeight="1" spans="1:26">
      <c r="A62" s="23"/>
      <c r="B62" s="247"/>
      <c r="C62" s="247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3"/>
      <c r="V62" s="23"/>
      <c r="W62" s="23"/>
      <c r="X62" s="23"/>
      <c r="Y62" s="23"/>
      <c r="Z62" s="23"/>
    </row>
    <row r="63" customHeight="1" spans="1:26">
      <c r="A63" s="31"/>
      <c r="B63" s="32" t="s">
        <v>87</v>
      </c>
      <c r="C63" s="31"/>
      <c r="D63" s="250"/>
      <c r="E63" s="250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31"/>
      <c r="V63" s="31"/>
      <c r="W63" s="31"/>
      <c r="X63" s="31"/>
      <c r="Y63" s="31"/>
      <c r="Z63" s="31"/>
    </row>
    <row r="64" customHeight="1" spans="1:26">
      <c r="A64" s="23"/>
      <c r="B64" s="34" t="s">
        <v>88</v>
      </c>
      <c r="C64" s="23"/>
      <c r="D64" s="27"/>
      <c r="E64" s="27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23"/>
      <c r="V64" s="23"/>
      <c r="W64" s="23"/>
      <c r="X64" s="23"/>
      <c r="Y64" s="23"/>
      <c r="Z64" s="23"/>
    </row>
    <row r="65" customHeight="1" spans="1:26">
      <c r="A65" s="23"/>
      <c r="B65" s="23" t="s">
        <v>13</v>
      </c>
      <c r="C65" s="23"/>
      <c r="D65" s="38"/>
      <c r="E65" s="38"/>
      <c r="F65" s="38"/>
      <c r="G65" s="38"/>
      <c r="H65" s="38">
        <f t="shared" ref="H65:T65" si="44">H42</f>
        <v>1560</v>
      </c>
      <c r="I65" s="38">
        <f t="shared" si="44"/>
        <v>2184</v>
      </c>
      <c r="J65" s="38">
        <f t="shared" si="44"/>
        <v>2426</v>
      </c>
      <c r="K65" s="38">
        <f t="shared" si="44"/>
        <v>3218</v>
      </c>
      <c r="L65" s="38">
        <f t="shared" si="44"/>
        <v>3794</v>
      </c>
      <c r="M65" s="38">
        <f t="shared" si="44"/>
        <v>4089</v>
      </c>
      <c r="N65" s="38">
        <f t="shared" si="44"/>
        <v>4723.54030586865</v>
      </c>
      <c r="O65" s="38">
        <f t="shared" si="44"/>
        <v>5115.76304751694</v>
      </c>
      <c r="P65" s="38">
        <f t="shared" si="44"/>
        <v>5543.5681901028</v>
      </c>
      <c r="Q65" s="38">
        <f t="shared" si="44"/>
        <v>6008.1686534105</v>
      </c>
      <c r="R65" s="38">
        <f t="shared" si="44"/>
        <v>6156.75068155693</v>
      </c>
      <c r="S65" s="38">
        <f t="shared" si="44"/>
        <v>6645.19962418462</v>
      </c>
      <c r="T65" s="38">
        <f t="shared" si="44"/>
        <v>7176.88930579222</v>
      </c>
      <c r="U65" s="23"/>
      <c r="V65" s="23"/>
      <c r="W65" s="23"/>
      <c r="X65" s="23"/>
      <c r="Y65" s="23"/>
      <c r="Z65" s="23"/>
    </row>
    <row r="66" customHeight="1" spans="1:26">
      <c r="A66" s="27"/>
      <c r="B66" s="23" t="s">
        <v>89</v>
      </c>
      <c r="C66" s="23"/>
      <c r="D66" s="38"/>
      <c r="E66" s="38"/>
      <c r="F66" s="51"/>
      <c r="G66" s="51"/>
      <c r="H66" s="51">
        <v>811</v>
      </c>
      <c r="I66" s="51">
        <v>922</v>
      </c>
      <c r="J66" s="51">
        <v>954</v>
      </c>
      <c r="K66" s="51">
        <v>926</v>
      </c>
      <c r="L66" s="38">
        <v>921</v>
      </c>
      <c r="M66" s="38">
        <v>1006</v>
      </c>
      <c r="N66" s="38">
        <f t="shared" ref="N66:T66" si="45">N140+N141</f>
        <v>769.556304619226</v>
      </c>
      <c r="O66" s="38">
        <f t="shared" si="45"/>
        <v>806.072609238452</v>
      </c>
      <c r="P66" s="38">
        <f t="shared" si="45"/>
        <v>842.988913857678</v>
      </c>
      <c r="Q66" s="38">
        <f t="shared" si="45"/>
        <v>880.305218476904</v>
      </c>
      <c r="R66" s="38">
        <f t="shared" si="45"/>
        <v>918.02152309613</v>
      </c>
      <c r="S66" s="38">
        <f t="shared" si="45"/>
        <v>956.137827715356</v>
      </c>
      <c r="T66" s="38">
        <f t="shared" si="45"/>
        <v>994.654132334582</v>
      </c>
      <c r="U66" s="38"/>
      <c r="V66" s="38"/>
      <c r="W66" s="38"/>
      <c r="X66" s="38"/>
      <c r="Y66" s="38"/>
      <c r="Z66" s="27"/>
    </row>
    <row r="67" customHeight="1" spans="1:26">
      <c r="A67" s="27"/>
      <c r="B67" s="23" t="s">
        <v>90</v>
      </c>
      <c r="C67" s="23"/>
      <c r="D67" s="38"/>
      <c r="E67" s="38"/>
      <c r="F67" s="38"/>
      <c r="G67" s="38"/>
      <c r="H67" s="38">
        <f t="shared" ref="H67:T67" si="46">-H40</f>
        <v>5</v>
      </c>
      <c r="I67" s="38">
        <f t="shared" si="46"/>
        <v>2</v>
      </c>
      <c r="J67" s="38">
        <f t="shared" si="46"/>
        <v>4</v>
      </c>
      <c r="K67" s="38">
        <f t="shared" si="46"/>
        <v>5</v>
      </c>
      <c r="L67" s="38">
        <f t="shared" si="46"/>
        <v>4</v>
      </c>
      <c r="M67" s="38">
        <f t="shared" si="46"/>
        <v>3</v>
      </c>
      <c r="N67" s="38">
        <f t="shared" si="46"/>
        <v>3.46554681281633</v>
      </c>
      <c r="O67" s="38">
        <f t="shared" si="46"/>
        <v>3.75331111336532</v>
      </c>
      <c r="P67" s="38">
        <f t="shared" si="46"/>
        <v>4.0671813573755</v>
      </c>
      <c r="Q67" s="38">
        <f t="shared" si="46"/>
        <v>4.4080474346372</v>
      </c>
      <c r="R67" s="38">
        <f t="shared" si="46"/>
        <v>4.51705846042328</v>
      </c>
      <c r="S67" s="38">
        <f t="shared" si="46"/>
        <v>4.8754215878097</v>
      </c>
      <c r="T67" s="38">
        <f t="shared" si="46"/>
        <v>5.26550939529877</v>
      </c>
      <c r="U67" s="38"/>
      <c r="V67" s="38"/>
      <c r="W67" s="38"/>
      <c r="X67" s="38"/>
      <c r="Y67" s="38"/>
      <c r="Z67" s="27"/>
    </row>
    <row r="68" customHeight="1" spans="1:26">
      <c r="A68" s="23"/>
      <c r="B68" s="23" t="s">
        <v>91</v>
      </c>
      <c r="C68" s="23"/>
      <c r="D68" s="38"/>
      <c r="E68" s="38"/>
      <c r="F68" s="51"/>
      <c r="G68" s="38"/>
      <c r="H68" s="38">
        <f>'Other ASPT'!H24</f>
        <v>-3251</v>
      </c>
      <c r="I68" s="38">
        <f>'Other ASPT'!I24</f>
        <v>-394</v>
      </c>
      <c r="J68" s="38">
        <f>'Other ASPT'!J24</f>
        <v>-1007</v>
      </c>
      <c r="K68" s="38">
        <f>'Other ASPT'!K24</f>
        <v>-372</v>
      </c>
      <c r="L68" s="38">
        <f>'Other ASPT'!L24</f>
        <v>-349</v>
      </c>
      <c r="M68" s="38">
        <f>'Other ASPT'!M24</f>
        <v>-572.68214334418</v>
      </c>
      <c r="N68" s="38">
        <f>'Other ASPT'!N24</f>
        <v>115.433251954066</v>
      </c>
      <c r="O68" s="38">
        <f>'Other ASPT'!O24</f>
        <v>-1003.28714194132</v>
      </c>
      <c r="P68" s="38">
        <f>'Other ASPT'!P24</f>
        <v>38.9213419534717</v>
      </c>
      <c r="Q68" s="38">
        <f>'Other ASPT'!Q24</f>
        <v>-1083.81319671672</v>
      </c>
      <c r="R68" s="38">
        <f>'Other ASPT'!R24</f>
        <v>66.9093688881885</v>
      </c>
      <c r="S68" s="38">
        <f>'Other ASPT'!S24</f>
        <v>-1381.78989340471</v>
      </c>
      <c r="T68" s="38">
        <f>'Other ASPT'!T24</f>
        <v>50.2652046582789</v>
      </c>
      <c r="U68" s="23"/>
      <c r="V68" s="23"/>
      <c r="W68" s="23"/>
      <c r="X68" s="23"/>
      <c r="Y68" s="23"/>
      <c r="Z68" s="23"/>
    </row>
    <row r="69" customHeight="1" spans="1:26">
      <c r="A69" s="23"/>
      <c r="B69" s="23" t="s">
        <v>92</v>
      </c>
      <c r="C69" s="23"/>
      <c r="D69" s="38"/>
      <c r="E69" s="38"/>
      <c r="F69" s="51"/>
      <c r="G69" s="51"/>
      <c r="H69" s="244">
        <f t="shared" ref="H69:K69" si="47">H70-SUM(H65:H68)</f>
        <v>3819</v>
      </c>
      <c r="I69" s="244">
        <f t="shared" si="47"/>
        <v>-551</v>
      </c>
      <c r="J69" s="244">
        <f t="shared" si="47"/>
        <v>156</v>
      </c>
      <c r="K69" s="244">
        <f t="shared" si="47"/>
        <v>-153</v>
      </c>
      <c r="L69" s="38" t="str">
        <f ca="1" t="shared" ref="L69:T69" si="48">K100-L100+L119-K119+L120-K120+L121-K121+L125-K125</f>
        <v>#REF!</v>
      </c>
      <c r="M69" s="38">
        <f t="shared" si="48"/>
        <v>576</v>
      </c>
      <c r="N69" s="38">
        <f t="shared" si="48"/>
        <v>100</v>
      </c>
      <c r="O69" s="38">
        <f t="shared" si="48"/>
        <v>100</v>
      </c>
      <c r="P69" s="38">
        <f t="shared" si="48"/>
        <v>100</v>
      </c>
      <c r="Q69" s="38">
        <f t="shared" si="48"/>
        <v>100</v>
      </c>
      <c r="R69" s="38">
        <f t="shared" si="48"/>
        <v>100</v>
      </c>
      <c r="S69" s="38">
        <f t="shared" si="48"/>
        <v>100</v>
      </c>
      <c r="T69" s="38">
        <f t="shared" si="48"/>
        <v>100</v>
      </c>
      <c r="U69" s="23"/>
      <c r="V69" s="23"/>
      <c r="W69" s="23"/>
      <c r="X69" s="23"/>
      <c r="Y69" s="23"/>
      <c r="Z69" s="23"/>
    </row>
    <row r="70" customHeight="1" spans="1:26">
      <c r="A70" s="23"/>
      <c r="B70" s="34" t="s">
        <v>93</v>
      </c>
      <c r="C70" s="34"/>
      <c r="D70" s="58"/>
      <c r="E70" s="58"/>
      <c r="F70" s="58"/>
      <c r="G70" s="58"/>
      <c r="H70" s="59">
        <v>2944</v>
      </c>
      <c r="I70" s="59">
        <v>2163</v>
      </c>
      <c r="J70" s="59">
        <v>2533</v>
      </c>
      <c r="K70" s="59">
        <v>3624</v>
      </c>
      <c r="L70" s="58">
        <v>4327</v>
      </c>
      <c r="M70" s="58">
        <v>4472</v>
      </c>
      <c r="N70" s="58">
        <f t="shared" ref="N70:T70" si="49">SUM(N65:N69)</f>
        <v>5711.99540925476</v>
      </c>
      <c r="O70" s="58">
        <f t="shared" si="49"/>
        <v>5022.30182592744</v>
      </c>
      <c r="P70" s="58">
        <f t="shared" si="49"/>
        <v>6529.54562727133</v>
      </c>
      <c r="Q70" s="58">
        <f t="shared" si="49"/>
        <v>5909.06872260532</v>
      </c>
      <c r="R70" s="58">
        <f t="shared" si="49"/>
        <v>7246.19863200167</v>
      </c>
      <c r="S70" s="58">
        <f t="shared" si="49"/>
        <v>6324.42298008308</v>
      </c>
      <c r="T70" s="58">
        <f t="shared" si="49"/>
        <v>8327.07415218038</v>
      </c>
      <c r="U70" s="23"/>
      <c r="V70" s="23"/>
      <c r="W70" s="23"/>
      <c r="X70" s="23"/>
      <c r="Y70" s="23"/>
      <c r="Z70" s="23"/>
    </row>
    <row r="71" customHeight="1" spans="1:26">
      <c r="A71" s="23"/>
      <c r="B71" s="23"/>
      <c r="C71" s="23"/>
      <c r="D71" s="251"/>
      <c r="E71" s="251"/>
      <c r="F71" s="38"/>
      <c r="G71" s="38"/>
      <c r="H71" s="51"/>
      <c r="I71" s="51"/>
      <c r="J71" s="51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23"/>
      <c r="V71" s="23"/>
      <c r="W71" s="23"/>
      <c r="X71" s="23"/>
      <c r="Y71" s="23"/>
      <c r="Z71" s="23"/>
    </row>
    <row r="72" customHeight="1" spans="1:26">
      <c r="A72" s="23"/>
      <c r="B72" s="34" t="s">
        <v>94</v>
      </c>
      <c r="C72" s="23"/>
      <c r="D72" s="67"/>
      <c r="E72" s="67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23"/>
      <c r="V72" s="23"/>
      <c r="W72" s="23"/>
      <c r="X72" s="23"/>
      <c r="Y72" s="23"/>
      <c r="Z72" s="23"/>
    </row>
    <row r="73" customHeight="1" spans="1:26">
      <c r="A73" s="23"/>
      <c r="B73" s="23" t="s">
        <v>95</v>
      </c>
      <c r="C73" s="23"/>
      <c r="D73" s="38"/>
      <c r="E73" s="38"/>
      <c r="F73" s="51"/>
      <c r="G73" s="51"/>
      <c r="H73" s="51">
        <v>-389</v>
      </c>
      <c r="I73" s="51">
        <v>-575</v>
      </c>
      <c r="J73" s="51">
        <v>-598</v>
      </c>
      <c r="K73" s="51">
        <v>-757</v>
      </c>
      <c r="L73" s="38">
        <v>-808</v>
      </c>
      <c r="M73" s="38">
        <v>-919</v>
      </c>
      <c r="N73" s="38">
        <f>-'Other ASPT'!N53</f>
        <v>-1029</v>
      </c>
      <c r="O73" s="38">
        <f>-'Other ASPT'!O53</f>
        <v>-1039</v>
      </c>
      <c r="P73" s="38">
        <f>-'Other ASPT'!P53</f>
        <v>-1049</v>
      </c>
      <c r="Q73" s="38">
        <f>-'Other ASPT'!Q53</f>
        <v>-1059</v>
      </c>
      <c r="R73" s="38">
        <f>-'Other ASPT'!R53</f>
        <v>-1069</v>
      </c>
      <c r="S73" s="38">
        <f>-'Other ASPT'!S53</f>
        <v>-1079</v>
      </c>
      <c r="T73" s="38">
        <f>-'Other ASPT'!T53</f>
        <v>-1089</v>
      </c>
      <c r="U73" s="23"/>
      <c r="V73" s="23"/>
      <c r="W73" s="23"/>
      <c r="X73" s="23"/>
      <c r="Y73" s="23"/>
      <c r="Z73" s="23"/>
    </row>
    <row r="74" customHeight="1" spans="1:26">
      <c r="A74" s="23"/>
      <c r="B74" s="23" t="s">
        <v>96</v>
      </c>
      <c r="C74" s="23"/>
      <c r="D74" s="38"/>
      <c r="E74" s="38"/>
      <c r="F74" s="51"/>
      <c r="G74" s="51"/>
      <c r="H74" s="51">
        <v>0</v>
      </c>
      <c r="I74" s="51">
        <v>0</v>
      </c>
      <c r="J74" s="51">
        <v>0</v>
      </c>
      <c r="K74" s="38"/>
      <c r="L74" s="38">
        <v>0</v>
      </c>
      <c r="M74" s="38">
        <v>0</v>
      </c>
      <c r="N74" s="38"/>
      <c r="O74" s="38"/>
      <c r="P74" s="38"/>
      <c r="Q74" s="38"/>
      <c r="R74" s="38"/>
      <c r="S74" s="38"/>
      <c r="T74" s="38"/>
      <c r="U74" s="23"/>
      <c r="V74" s="23"/>
      <c r="W74" s="23"/>
      <c r="X74" s="23"/>
      <c r="Y74" s="23"/>
      <c r="Z74" s="23"/>
    </row>
    <row r="75" customHeight="1" spans="1:26">
      <c r="A75" s="34"/>
      <c r="B75" s="23" t="s">
        <v>92</v>
      </c>
      <c r="C75" s="23"/>
      <c r="D75" s="38"/>
      <c r="E75" s="38"/>
      <c r="F75" s="51"/>
      <c r="G75" s="51"/>
      <c r="H75" s="38">
        <f t="shared" ref="H75:K75" si="50">H76-SUM(H73:H74)</f>
        <v>786</v>
      </c>
      <c r="I75" s="38">
        <f t="shared" si="50"/>
        <v>-1189</v>
      </c>
      <c r="J75" s="38">
        <f t="shared" si="50"/>
        <v>-602</v>
      </c>
      <c r="K75" s="38">
        <f t="shared" si="50"/>
        <v>-1818</v>
      </c>
      <c r="L75" s="38">
        <f t="shared" ref="L75:M75" si="51">L76-L73</f>
        <v>537</v>
      </c>
      <c r="M75" s="38">
        <f t="shared" si="51"/>
        <v>-182</v>
      </c>
      <c r="N75" s="38">
        <f t="shared" ref="N75:T75" si="52">M103-N103+N126-M126+M106-N106+M107-N107+N120-M120+M99-N99+M95-N95</f>
        <v>-500</v>
      </c>
      <c r="O75" s="38">
        <f t="shared" si="52"/>
        <v>-500</v>
      </c>
      <c r="P75" s="38">
        <f t="shared" si="52"/>
        <v>-500</v>
      </c>
      <c r="Q75" s="38">
        <f t="shared" si="52"/>
        <v>-500</v>
      </c>
      <c r="R75" s="38">
        <f t="shared" si="52"/>
        <v>-500</v>
      </c>
      <c r="S75" s="38">
        <f t="shared" si="52"/>
        <v>-500</v>
      </c>
      <c r="T75" s="38">
        <f t="shared" si="52"/>
        <v>-450</v>
      </c>
      <c r="U75" s="34"/>
      <c r="V75" s="34"/>
      <c r="W75" s="34"/>
      <c r="X75" s="34"/>
      <c r="Y75" s="34"/>
      <c r="Z75" s="34"/>
    </row>
    <row r="76" customHeight="1" spans="1:26">
      <c r="A76" s="34"/>
      <c r="B76" s="34" t="s">
        <v>97</v>
      </c>
      <c r="C76" s="34"/>
      <c r="D76" s="58"/>
      <c r="E76" s="58"/>
      <c r="F76" s="58"/>
      <c r="G76" s="58"/>
      <c r="H76" s="51">
        <v>397</v>
      </c>
      <c r="I76" s="51">
        <v>-1764</v>
      </c>
      <c r="J76" s="51">
        <v>-1200</v>
      </c>
      <c r="K76" s="51">
        <v>-2575</v>
      </c>
      <c r="L76" s="58">
        <v>-271</v>
      </c>
      <c r="M76" s="58">
        <v>-1101</v>
      </c>
      <c r="N76" s="58">
        <f t="shared" ref="N76:T76" si="53">SUM(N73:N75)</f>
        <v>-1529</v>
      </c>
      <c r="O76" s="58">
        <f t="shared" si="53"/>
        <v>-1539</v>
      </c>
      <c r="P76" s="58">
        <f t="shared" si="53"/>
        <v>-1549</v>
      </c>
      <c r="Q76" s="58">
        <f t="shared" si="53"/>
        <v>-1559</v>
      </c>
      <c r="R76" s="58">
        <f t="shared" si="53"/>
        <v>-1569</v>
      </c>
      <c r="S76" s="58">
        <f t="shared" si="53"/>
        <v>-1579</v>
      </c>
      <c r="T76" s="58">
        <f t="shared" si="53"/>
        <v>-1539</v>
      </c>
      <c r="U76" s="34"/>
      <c r="V76" s="34"/>
      <c r="W76" s="34"/>
      <c r="X76" s="34"/>
      <c r="Y76" s="34"/>
      <c r="Z76" s="34"/>
    </row>
    <row r="77" customHeight="1" spans="1:26">
      <c r="A77" s="23"/>
      <c r="B77" s="23"/>
      <c r="C77" s="23"/>
      <c r="D77" s="252"/>
      <c r="E77" s="252"/>
      <c r="F77" s="38"/>
      <c r="G77" s="38"/>
      <c r="H77" s="51"/>
      <c r="I77" s="51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23"/>
      <c r="V77" s="23"/>
      <c r="W77" s="23"/>
      <c r="X77" s="23"/>
      <c r="Y77" s="23"/>
      <c r="Z77" s="23"/>
    </row>
    <row r="78" customHeight="1" spans="1:26">
      <c r="A78" s="23"/>
      <c r="B78" s="34" t="s">
        <v>98</v>
      </c>
      <c r="C78" s="23"/>
      <c r="D78" s="64"/>
      <c r="E78" s="64"/>
      <c r="F78" s="38"/>
      <c r="G78" s="38"/>
      <c r="H78" s="38">
        <f t="shared" ref="H78:T78" si="54">H70+H76</f>
        <v>3341</v>
      </c>
      <c r="I78" s="38">
        <f t="shared" si="54"/>
        <v>399</v>
      </c>
      <c r="J78" s="38">
        <f t="shared" si="54"/>
        <v>1333</v>
      </c>
      <c r="K78" s="38">
        <f t="shared" si="54"/>
        <v>1049</v>
      </c>
      <c r="L78" s="38">
        <f t="shared" si="54"/>
        <v>4056</v>
      </c>
      <c r="M78" s="38">
        <f t="shared" si="54"/>
        <v>3371</v>
      </c>
      <c r="N78" s="38">
        <f t="shared" si="54"/>
        <v>4182.99540925476</v>
      </c>
      <c r="O78" s="38">
        <f t="shared" si="54"/>
        <v>3483.30182592744</v>
      </c>
      <c r="P78" s="38">
        <f t="shared" si="54"/>
        <v>4980.54562727133</v>
      </c>
      <c r="Q78" s="38">
        <f t="shared" si="54"/>
        <v>4350.06872260532</v>
      </c>
      <c r="R78" s="38">
        <f t="shared" si="54"/>
        <v>5677.19863200167</v>
      </c>
      <c r="S78" s="38">
        <f t="shared" si="54"/>
        <v>4745.42298008308</v>
      </c>
      <c r="T78" s="38">
        <f t="shared" si="54"/>
        <v>6788.07415218038</v>
      </c>
      <c r="U78" s="23"/>
      <c r="V78" s="23"/>
      <c r="W78" s="23"/>
      <c r="X78" s="23"/>
      <c r="Y78" s="23"/>
      <c r="Z78" s="23"/>
    </row>
    <row r="79" customHeight="1" spans="1:26">
      <c r="A79" s="23"/>
      <c r="B79" s="23"/>
      <c r="C79" s="23"/>
      <c r="D79" s="27"/>
      <c r="E79" s="27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23"/>
      <c r="V79" s="23"/>
      <c r="W79" s="23"/>
      <c r="X79" s="23"/>
      <c r="Y79" s="23"/>
      <c r="Z79" s="23"/>
    </row>
    <row r="80" customHeight="1" spans="1:26">
      <c r="A80" s="34"/>
      <c r="B80" s="34" t="s">
        <v>99</v>
      </c>
      <c r="C80" s="23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4"/>
      <c r="V80" s="34"/>
      <c r="W80" s="34"/>
      <c r="X80" s="34"/>
      <c r="Y80" s="34"/>
      <c r="Z80" s="34"/>
    </row>
    <row r="81" customHeight="1" spans="1:26">
      <c r="A81" s="23"/>
      <c r="B81" s="243" t="s">
        <v>92</v>
      </c>
      <c r="C81" s="243"/>
      <c r="D81" s="253"/>
      <c r="E81" s="253"/>
      <c r="F81" s="51"/>
      <c r="G81" s="51"/>
      <c r="H81" s="51" t="str">
        <f ca="1" t="shared" ref="H81:K81" si="55">H85-SUM(H82:H84)</f>
        <v>#REF!</v>
      </c>
      <c r="I81" s="51" t="str">
        <f ca="1" t="shared" si="55"/>
        <v>#REF!</v>
      </c>
      <c r="J81" s="51" t="str">
        <f ca="1" t="shared" si="55"/>
        <v>#REF!</v>
      </c>
      <c r="K81" s="51">
        <f t="shared" si="55"/>
        <v>-169</v>
      </c>
      <c r="L81" s="244">
        <f>K81-1000</f>
        <v>-1169</v>
      </c>
      <c r="M81" s="244">
        <f>L81+100</f>
        <v>-1069</v>
      </c>
      <c r="N81" s="244">
        <f t="shared" ref="N81:O81" si="56">M81-400</f>
        <v>-1469</v>
      </c>
      <c r="O81" s="244">
        <f t="shared" si="56"/>
        <v>-1869</v>
      </c>
      <c r="P81" s="244">
        <f>O81-200</f>
        <v>-2069</v>
      </c>
      <c r="Q81" s="244">
        <f t="shared" ref="Q81:T81" si="57">P81-100</f>
        <v>-2169</v>
      </c>
      <c r="R81" s="244">
        <f t="shared" si="57"/>
        <v>-2269</v>
      </c>
      <c r="S81" s="244">
        <f t="shared" si="57"/>
        <v>-2369</v>
      </c>
      <c r="T81" s="244">
        <f t="shared" si="57"/>
        <v>-2469</v>
      </c>
      <c r="U81" s="23"/>
      <c r="V81" s="23"/>
      <c r="W81" s="23"/>
      <c r="X81" s="23"/>
      <c r="Y81" s="23"/>
      <c r="Z81" s="23"/>
    </row>
    <row r="82" customHeight="1" spans="1:26">
      <c r="A82" s="34"/>
      <c r="B82" s="23" t="s">
        <v>100</v>
      </c>
      <c r="C82" s="23"/>
      <c r="D82" s="38"/>
      <c r="E82" s="38"/>
      <c r="F82" s="51"/>
      <c r="G82" s="51"/>
      <c r="H82" s="38">
        <f>'Other ASPT'!H30+'Other ASPT'!H36-'Other ASPT'!G30-'Other ASPT'!G36</f>
        <v>8058</v>
      </c>
      <c r="I82" s="38">
        <f>'Other ASPT'!I30+'Other ASPT'!I36-'Other ASPT'!H30-'Other ASPT'!H36</f>
        <v>521</v>
      </c>
      <c r="J82" s="38">
        <f>'Other ASPT'!J30+'Other ASPT'!J36-'Other ASPT'!I30-'Other ASPT'!I36</f>
        <v>76</v>
      </c>
      <c r="K82" s="38">
        <f>'Other ASPT'!K30+'Other ASPT'!K36-'Other ASPT'!J30-'Other ASPT'!J36</f>
        <v>614</v>
      </c>
      <c r="L82" s="38">
        <f>'Other ASPT'!L30+'Other ASPT'!L36-'Other ASPT'!K30-'Other ASPT'!K36</f>
        <v>-117</v>
      </c>
      <c r="M82" s="38">
        <f>'Other ASPT'!M30+'Other ASPT'!M36-'Other ASPT'!L30-'Other ASPT'!L36</f>
        <v>-301</v>
      </c>
      <c r="N82" s="38">
        <f>'Other ASPT'!N30+'Other ASPT'!N36-'Other ASPT'!M30-'Other ASPT'!M36</f>
        <v>-301</v>
      </c>
      <c r="O82" s="38">
        <f>'Other ASPT'!O30+'Other ASPT'!O36-'Other ASPT'!N30-'Other ASPT'!N36</f>
        <v>-301</v>
      </c>
      <c r="P82" s="38">
        <f>'Other ASPT'!P30+'Other ASPT'!P36-'Other ASPT'!O30-'Other ASPT'!O36</f>
        <v>-301</v>
      </c>
      <c r="Q82" s="38">
        <f>'Other ASPT'!Q30+'Other ASPT'!Q36-'Other ASPT'!P30-'Other ASPT'!P36</f>
        <v>-301</v>
      </c>
      <c r="R82" s="38">
        <f>'Other ASPT'!R30+'Other ASPT'!R36-'Other ASPT'!Q30-'Other ASPT'!Q36</f>
        <v>-301</v>
      </c>
      <c r="S82" s="38">
        <f>'Other ASPT'!S30+'Other ASPT'!S36-'Other ASPT'!R30-'Other ASPT'!R36</f>
        <v>-301</v>
      </c>
      <c r="T82" s="38">
        <f>'Other ASPT'!T30+'Other ASPT'!T36-'Other ASPT'!S30-'Other ASPT'!S36</f>
        <v>-301</v>
      </c>
      <c r="U82" s="34"/>
      <c r="V82" s="34"/>
      <c r="W82" s="34"/>
      <c r="X82" s="34"/>
      <c r="Y82" s="34"/>
      <c r="Z82" s="34"/>
    </row>
    <row r="83" customHeight="1" spans="1:26">
      <c r="A83" s="23"/>
      <c r="B83" s="23" t="s">
        <v>101</v>
      </c>
      <c r="C83" s="23"/>
      <c r="D83" s="38"/>
      <c r="E83" s="38"/>
      <c r="F83" s="51"/>
      <c r="G83" s="38"/>
      <c r="H83" s="51">
        <f>H45</f>
        <v>-1175</v>
      </c>
      <c r="I83" s="51">
        <f t="shared" ref="I83:T83" si="58">H45</f>
        <v>-1175</v>
      </c>
      <c r="J83" s="51">
        <f t="shared" si="58"/>
        <v>-1236</v>
      </c>
      <c r="K83" s="51">
        <f t="shared" si="58"/>
        <v>-1316</v>
      </c>
      <c r="L83" s="38">
        <f t="shared" si="58"/>
        <v>-1379</v>
      </c>
      <c r="M83" s="38">
        <f t="shared" si="58"/>
        <v>-1500</v>
      </c>
      <c r="N83" s="38">
        <f t="shared" si="58"/>
        <v>-1626</v>
      </c>
      <c r="O83" s="38">
        <f t="shared" si="58"/>
        <v>-1878.32637254645</v>
      </c>
      <c r="P83" s="38">
        <f t="shared" si="58"/>
        <v>-2034.29462344401</v>
      </c>
      <c r="Q83" s="38">
        <f t="shared" si="58"/>
        <v>-2204.41229569752</v>
      </c>
      <c r="R83" s="38">
        <f t="shared" si="58"/>
        <v>-2389.16170957336</v>
      </c>
      <c r="S83" s="38">
        <f t="shared" si="58"/>
        <v>-2448.24568554942</v>
      </c>
      <c r="T83" s="38">
        <f t="shared" si="58"/>
        <v>-2642.47850059286</v>
      </c>
      <c r="U83" s="23"/>
      <c r="V83" s="23"/>
      <c r="W83" s="23"/>
      <c r="X83" s="23"/>
      <c r="Y83" s="23"/>
      <c r="Z83" s="23"/>
    </row>
    <row r="84" customHeight="1" spans="1:26">
      <c r="A84" s="23"/>
      <c r="B84" s="23"/>
      <c r="C84" s="23"/>
      <c r="D84" s="38"/>
      <c r="E84" s="38"/>
      <c r="F84" s="51"/>
      <c r="G84" s="51"/>
      <c r="H84" s="38" t="str">
        <f ca="1" t="shared" ref="H84:J84" si="59">H85-SUM(H81:H83)</f>
        <v>#REF!</v>
      </c>
      <c r="I84" s="38" t="str">
        <f ca="1" t="shared" si="59"/>
        <v>#REF!</v>
      </c>
      <c r="J84" s="38" t="str">
        <f ca="1" t="shared" si="59"/>
        <v>#REF!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3"/>
      <c r="V84" s="23"/>
      <c r="W84" s="23"/>
      <c r="X84" s="23"/>
      <c r="Y84" s="23"/>
      <c r="Z84" s="23"/>
    </row>
    <row r="85" customHeight="1" spans="1:26">
      <c r="A85" s="23"/>
      <c r="B85" s="34" t="s">
        <v>102</v>
      </c>
      <c r="C85" s="34"/>
      <c r="D85" s="254"/>
      <c r="E85" s="254"/>
      <c r="F85" s="58"/>
      <c r="G85" s="58"/>
      <c r="H85" s="255">
        <v>-3258</v>
      </c>
      <c r="I85" s="255">
        <v>-535</v>
      </c>
      <c r="J85" s="255">
        <v>-1340</v>
      </c>
      <c r="K85" s="255">
        <v>-871</v>
      </c>
      <c r="L85" s="58">
        <v>-3936</v>
      </c>
      <c r="M85" s="58">
        <v>-3173</v>
      </c>
      <c r="N85" s="58">
        <f t="shared" ref="N85:T85" si="60">SUM(N81:N84)</f>
        <v>-3396</v>
      </c>
      <c r="O85" s="58">
        <f t="shared" si="60"/>
        <v>-4048.32637254645</v>
      </c>
      <c r="P85" s="58">
        <f t="shared" si="60"/>
        <v>-4404.29462344401</v>
      </c>
      <c r="Q85" s="58">
        <f t="shared" si="60"/>
        <v>-4674.41229569752</v>
      </c>
      <c r="R85" s="58">
        <f t="shared" si="60"/>
        <v>-4959.16170957336</v>
      </c>
      <c r="S85" s="58">
        <f t="shared" si="60"/>
        <v>-5118.24568554942</v>
      </c>
      <c r="T85" s="58">
        <f t="shared" si="60"/>
        <v>-5412.47850059286</v>
      </c>
      <c r="U85" s="23"/>
      <c r="V85" s="23"/>
      <c r="W85" s="23"/>
      <c r="X85" s="23"/>
      <c r="Y85" s="23"/>
      <c r="Z85" s="23"/>
    </row>
    <row r="86" customHeight="1" spans="1:26">
      <c r="A86" s="23"/>
      <c r="B86" s="23"/>
      <c r="C86" s="23"/>
      <c r="D86" s="27"/>
      <c r="E86" s="27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23"/>
      <c r="V86" s="23"/>
      <c r="W86" s="23"/>
      <c r="X86" s="23"/>
      <c r="Y86" s="23"/>
      <c r="Z86" s="23"/>
    </row>
    <row r="87" customHeight="1" spans="1:26">
      <c r="A87" s="23"/>
      <c r="B87" s="23" t="s">
        <v>103</v>
      </c>
      <c r="C87" s="23"/>
      <c r="D87" s="38"/>
      <c r="E87" s="38"/>
      <c r="F87" s="38"/>
      <c r="G87" s="38"/>
      <c r="H87" s="38">
        <f t="shared" ref="H87:T87" si="61">H78+H85</f>
        <v>83</v>
      </c>
      <c r="I87" s="38">
        <f t="shared" si="61"/>
        <v>-136</v>
      </c>
      <c r="J87" s="38">
        <f t="shared" si="61"/>
        <v>-7</v>
      </c>
      <c r="K87" s="38">
        <f t="shared" si="61"/>
        <v>178</v>
      </c>
      <c r="L87" s="38">
        <f t="shared" si="61"/>
        <v>120</v>
      </c>
      <c r="M87" s="38">
        <f t="shared" si="61"/>
        <v>198</v>
      </c>
      <c r="N87" s="38">
        <f t="shared" si="61"/>
        <v>786.995409254763</v>
      </c>
      <c r="O87" s="38">
        <f t="shared" si="61"/>
        <v>-565.024546619014</v>
      </c>
      <c r="P87" s="38">
        <f t="shared" si="61"/>
        <v>576.251003827322</v>
      </c>
      <c r="Q87" s="38">
        <f t="shared" si="61"/>
        <v>-324.343573092198</v>
      </c>
      <c r="R87" s="38">
        <f t="shared" si="61"/>
        <v>718.036922428309</v>
      </c>
      <c r="S87" s="38">
        <f t="shared" si="61"/>
        <v>-372.822705466339</v>
      </c>
      <c r="T87" s="38">
        <f t="shared" si="61"/>
        <v>1375.59565158752</v>
      </c>
      <c r="U87" s="23"/>
      <c r="V87" s="23"/>
      <c r="W87" s="23"/>
      <c r="X87" s="23"/>
      <c r="Y87" s="23"/>
      <c r="Z87" s="23"/>
    </row>
    <row r="88" customHeight="1" spans="1:26">
      <c r="A88" s="23"/>
      <c r="B88" s="23" t="s">
        <v>104</v>
      </c>
      <c r="C88" s="23"/>
      <c r="D88" s="38"/>
      <c r="E88" s="38"/>
      <c r="F88" s="51"/>
      <c r="G88" s="51"/>
      <c r="H88" s="255">
        <v>-15</v>
      </c>
      <c r="I88" s="255">
        <v>-5</v>
      </c>
      <c r="J88" s="255">
        <v>4</v>
      </c>
      <c r="K88" s="255">
        <v>16</v>
      </c>
      <c r="L88" s="39">
        <v>-52</v>
      </c>
      <c r="M88" s="39">
        <v>-131</v>
      </c>
      <c r="N88" s="39">
        <f t="shared" ref="N88:T88" si="62">M88</f>
        <v>-131</v>
      </c>
      <c r="O88" s="39">
        <f t="shared" si="62"/>
        <v>-131</v>
      </c>
      <c r="P88" s="39">
        <f t="shared" si="62"/>
        <v>-131</v>
      </c>
      <c r="Q88" s="39">
        <f t="shared" si="62"/>
        <v>-131</v>
      </c>
      <c r="R88" s="39">
        <f t="shared" si="62"/>
        <v>-131</v>
      </c>
      <c r="S88" s="39">
        <f t="shared" si="62"/>
        <v>-131</v>
      </c>
      <c r="T88" s="39">
        <f t="shared" si="62"/>
        <v>-131</v>
      </c>
      <c r="U88" s="23"/>
      <c r="V88" s="23"/>
      <c r="W88" s="23"/>
      <c r="X88" s="23"/>
      <c r="Y88" s="23"/>
      <c r="Z88" s="23"/>
    </row>
    <row r="89" customHeight="1" spans="1:26">
      <c r="A89" s="23"/>
      <c r="B89" s="34" t="s">
        <v>105</v>
      </c>
      <c r="C89" s="34"/>
      <c r="D89" s="254"/>
      <c r="E89" s="254"/>
      <c r="F89" s="59"/>
      <c r="G89" s="58"/>
      <c r="H89" s="58"/>
      <c r="I89" s="58">
        <f>H94</f>
        <v>438</v>
      </c>
      <c r="J89" s="58">
        <f t="shared" ref="J89:T89" si="63">I90</f>
        <v>297</v>
      </c>
      <c r="K89" s="58">
        <f t="shared" si="63"/>
        <v>294</v>
      </c>
      <c r="L89" s="58">
        <f t="shared" si="63"/>
        <v>488</v>
      </c>
      <c r="M89" s="58">
        <f t="shared" si="63"/>
        <v>556</v>
      </c>
      <c r="N89" s="58">
        <f t="shared" si="63"/>
        <v>623</v>
      </c>
      <c r="O89" s="58">
        <f t="shared" si="63"/>
        <v>1278.99540925476</v>
      </c>
      <c r="P89" s="58">
        <f t="shared" si="63"/>
        <v>582.97086263575</v>
      </c>
      <c r="Q89" s="58">
        <f t="shared" si="63"/>
        <v>1028.22186646307</v>
      </c>
      <c r="R89" s="58">
        <f t="shared" si="63"/>
        <v>572.878293370874</v>
      </c>
      <c r="S89" s="58">
        <f t="shared" si="63"/>
        <v>1159.91521579918</v>
      </c>
      <c r="T89" s="58">
        <f t="shared" si="63"/>
        <v>656.092510332844</v>
      </c>
      <c r="U89" s="23"/>
      <c r="V89" s="23"/>
      <c r="W89" s="23"/>
      <c r="X89" s="23"/>
      <c r="Y89" s="23"/>
      <c r="Z89" s="23"/>
    </row>
    <row r="90" customHeight="1" spans="1:26">
      <c r="A90" s="34"/>
      <c r="B90" s="34" t="s">
        <v>106</v>
      </c>
      <c r="C90" s="34"/>
      <c r="D90" s="58"/>
      <c r="E90" s="58"/>
      <c r="F90" s="58"/>
      <c r="G90" s="58"/>
      <c r="H90" s="58"/>
      <c r="I90" s="58">
        <f t="shared" ref="I90:J90" si="64">SUM(I87:I89)</f>
        <v>297</v>
      </c>
      <c r="J90" s="58">
        <f t="shared" si="64"/>
        <v>294</v>
      </c>
      <c r="K90" s="58">
        <f t="shared" ref="K90:T90" si="65">K87+K89+K88</f>
        <v>488</v>
      </c>
      <c r="L90" s="58">
        <f t="shared" si="65"/>
        <v>556</v>
      </c>
      <c r="M90" s="58">
        <f t="shared" si="65"/>
        <v>623</v>
      </c>
      <c r="N90" s="58">
        <f t="shared" si="65"/>
        <v>1278.99540925476</v>
      </c>
      <c r="O90" s="58">
        <f t="shared" si="65"/>
        <v>582.97086263575</v>
      </c>
      <c r="P90" s="58">
        <f t="shared" si="65"/>
        <v>1028.22186646307</v>
      </c>
      <c r="Q90" s="58">
        <f t="shared" si="65"/>
        <v>572.878293370874</v>
      </c>
      <c r="R90" s="58">
        <f t="shared" si="65"/>
        <v>1159.91521579918</v>
      </c>
      <c r="S90" s="58">
        <f t="shared" si="65"/>
        <v>656.092510332844</v>
      </c>
      <c r="T90" s="58">
        <f t="shared" si="65"/>
        <v>1900.68816192036</v>
      </c>
      <c r="U90" s="34"/>
      <c r="V90" s="34"/>
      <c r="W90" s="34"/>
      <c r="X90" s="34"/>
      <c r="Y90" s="34"/>
      <c r="Z90" s="34"/>
    </row>
    <row r="91" customHeight="1" spans="1:26">
      <c r="A91" s="23"/>
      <c r="B91" s="34"/>
      <c r="C91" s="34"/>
      <c r="D91" s="256"/>
      <c r="E91" s="256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23"/>
      <c r="V91" s="23"/>
      <c r="W91" s="23"/>
      <c r="X91" s="23"/>
      <c r="Y91" s="23"/>
      <c r="Z91" s="23"/>
    </row>
    <row r="92" customHeight="1" spans="1:26">
      <c r="A92" s="31"/>
      <c r="B92" s="32" t="s">
        <v>25</v>
      </c>
      <c r="C92" s="31"/>
      <c r="D92" s="250"/>
      <c r="E92" s="250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31"/>
      <c r="V92" s="31"/>
      <c r="W92" s="31"/>
      <c r="X92" s="31"/>
      <c r="Y92" s="31"/>
      <c r="Z92" s="31"/>
    </row>
    <row r="93" customHeight="1" spans="1:26">
      <c r="A93" s="23"/>
      <c r="B93" s="34" t="s">
        <v>107</v>
      </c>
      <c r="C93" s="23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23"/>
      <c r="V93" s="23"/>
      <c r="W93" s="23"/>
      <c r="X93" s="23"/>
      <c r="Y93" s="23"/>
      <c r="Z93" s="23"/>
    </row>
    <row r="94" customHeight="1" spans="1:26">
      <c r="A94" s="23"/>
      <c r="B94" s="23" t="s">
        <v>108</v>
      </c>
      <c r="C94" s="23"/>
      <c r="D94" s="257"/>
      <c r="E94" s="257"/>
      <c r="F94" s="51"/>
      <c r="G94" s="51"/>
      <c r="H94" s="51">
        <v>438</v>
      </c>
      <c r="I94" s="51">
        <v>297</v>
      </c>
      <c r="J94" s="51">
        <v>294</v>
      </c>
      <c r="K94" s="51">
        <v>488</v>
      </c>
      <c r="L94" s="38">
        <v>555</v>
      </c>
      <c r="M94" s="38">
        <v>622</v>
      </c>
      <c r="N94" s="38">
        <f t="shared" ref="N94:T94" si="66">N90</f>
        <v>1278.99540925476</v>
      </c>
      <c r="O94" s="38">
        <f t="shared" si="66"/>
        <v>582.97086263575</v>
      </c>
      <c r="P94" s="38">
        <f t="shared" si="66"/>
        <v>1028.22186646307</v>
      </c>
      <c r="Q94" s="38">
        <f t="shared" si="66"/>
        <v>572.878293370874</v>
      </c>
      <c r="R94" s="38">
        <f t="shared" si="66"/>
        <v>1159.91521579918</v>
      </c>
      <c r="S94" s="38">
        <f t="shared" si="66"/>
        <v>656.092510332844</v>
      </c>
      <c r="T94" s="38">
        <f t="shared" si="66"/>
        <v>1900.68816192036</v>
      </c>
      <c r="U94" s="23"/>
      <c r="V94" s="23"/>
      <c r="W94" s="23"/>
      <c r="X94" s="23"/>
      <c r="Y94" s="23"/>
      <c r="Z94" s="23"/>
    </row>
    <row r="95" customHeight="1" spans="1:26">
      <c r="A95" s="23"/>
      <c r="B95" s="23" t="s">
        <v>109</v>
      </c>
      <c r="C95" s="23"/>
      <c r="D95" s="257"/>
      <c r="E95" s="257"/>
      <c r="F95" s="51"/>
      <c r="G95" s="51"/>
      <c r="H95" s="51">
        <v>664</v>
      </c>
      <c r="I95" s="51">
        <v>271</v>
      </c>
      <c r="J95" s="51">
        <v>261</v>
      </c>
      <c r="K95" s="51">
        <v>2121</v>
      </c>
      <c r="L95" s="39">
        <v>1525</v>
      </c>
      <c r="M95" s="39">
        <v>181</v>
      </c>
      <c r="N95" s="39">
        <f t="shared" ref="N95:T95" si="67">M95+200</f>
        <v>381</v>
      </c>
      <c r="O95" s="39">
        <f t="shared" si="67"/>
        <v>581</v>
      </c>
      <c r="P95" s="39">
        <f t="shared" si="67"/>
        <v>781</v>
      </c>
      <c r="Q95" s="39">
        <f t="shared" si="67"/>
        <v>981</v>
      </c>
      <c r="R95" s="39">
        <f t="shared" si="67"/>
        <v>1181</v>
      </c>
      <c r="S95" s="39">
        <f t="shared" si="67"/>
        <v>1381</v>
      </c>
      <c r="T95" s="39">
        <f t="shared" si="67"/>
        <v>1581</v>
      </c>
      <c r="U95" s="23"/>
      <c r="V95" s="23"/>
      <c r="W95" s="23"/>
      <c r="X95" s="23"/>
      <c r="Y95" s="23"/>
      <c r="Z95" s="23"/>
    </row>
    <row r="96" customHeight="1" spans="1:26">
      <c r="A96" s="23"/>
      <c r="B96" s="48" t="s">
        <v>110</v>
      </c>
      <c r="C96" s="23"/>
      <c r="D96" s="257"/>
      <c r="E96" s="257"/>
      <c r="F96" s="51"/>
      <c r="G96" s="51"/>
      <c r="H96" s="255">
        <v>2904</v>
      </c>
      <c r="I96" s="255">
        <v>3297</v>
      </c>
      <c r="J96" s="255">
        <v>4076</v>
      </c>
      <c r="K96" s="255">
        <v>4475</v>
      </c>
      <c r="L96" s="38">
        <v>4619</v>
      </c>
      <c r="M96" s="38">
        <v>5387</v>
      </c>
      <c r="N96" s="38">
        <f>'Other ASPT'!N8</f>
        <v>5362.01353424657</v>
      </c>
      <c r="O96" s="38">
        <f>'Other ASPT'!O8</f>
        <v>6114.88322931507</v>
      </c>
      <c r="P96" s="38">
        <f>'Other ASPT'!P8</f>
        <v>6238.36700225617</v>
      </c>
      <c r="Q96" s="38">
        <f>'Other ASPT'!Q8</f>
        <v>7062.42518385813</v>
      </c>
      <c r="R96" s="38">
        <f>'Other ASPT'!R8</f>
        <v>7268.74608692461</v>
      </c>
      <c r="S96" s="38">
        <f>'Other ASPT'!S8</f>
        <v>8178.36192779375</v>
      </c>
      <c r="T96" s="38">
        <f>'Other ASPT'!T8</f>
        <v>8483.47295046418</v>
      </c>
      <c r="U96" s="23"/>
      <c r="V96" s="23"/>
      <c r="W96" s="23"/>
      <c r="X96" s="23"/>
      <c r="Y96" s="23"/>
      <c r="Z96" s="23"/>
    </row>
    <row r="97" customHeight="1" spans="1:26">
      <c r="A97" s="23"/>
      <c r="B97" s="23" t="s">
        <v>111</v>
      </c>
      <c r="C97" s="23"/>
      <c r="D97" s="38"/>
      <c r="E97" s="38"/>
      <c r="F97" s="51"/>
      <c r="G97" s="51"/>
      <c r="H97" s="51">
        <v>2109</v>
      </c>
      <c r="I97" s="51">
        <v>2969</v>
      </c>
      <c r="J97" s="51">
        <v>3430</v>
      </c>
      <c r="K97" s="51">
        <v>3739</v>
      </c>
      <c r="L97" s="38">
        <v>4228</v>
      </c>
      <c r="M97" s="38">
        <v>4721</v>
      </c>
      <c r="N97" s="38">
        <f>'Other ASPT'!N10</f>
        <v>4482.59989485169</v>
      </c>
      <c r="O97" s="38">
        <f>'Other ASPT'!O10</f>
        <v>4813.78723777631</v>
      </c>
      <c r="P97" s="38">
        <f>'Other ASPT'!P10</f>
        <v>5173.02956363704</v>
      </c>
      <c r="Q97" s="38">
        <f>'Other ASPT'!Q10</f>
        <v>5560.8529315802</v>
      </c>
      <c r="R97" s="38">
        <f>'Other ASPT'!R10</f>
        <v>6087.49070570294</v>
      </c>
      <c r="S97" s="38">
        <f>'Other ASPT'!S10</f>
        <v>6561.51019988832</v>
      </c>
      <c r="T97" s="38">
        <f>'Other ASPT'!T10</f>
        <v>7077.49304260547</v>
      </c>
      <c r="U97" s="23"/>
      <c r="V97" s="23"/>
      <c r="W97" s="23"/>
      <c r="X97" s="23"/>
      <c r="Y97" s="23"/>
      <c r="Z97" s="23"/>
    </row>
    <row r="98" customHeight="1" spans="1:26">
      <c r="A98" s="23"/>
      <c r="B98" s="48" t="s">
        <v>112</v>
      </c>
      <c r="C98" s="23"/>
      <c r="D98" s="64"/>
      <c r="E98" s="64"/>
      <c r="F98" s="51"/>
      <c r="G98" s="51"/>
      <c r="H98" s="51">
        <v>576</v>
      </c>
      <c r="I98" s="51">
        <v>677</v>
      </c>
      <c r="J98" s="51">
        <v>685</v>
      </c>
      <c r="K98" s="51">
        <v>851</v>
      </c>
      <c r="L98" s="38">
        <v>874</v>
      </c>
      <c r="M98" s="38">
        <v>1444</v>
      </c>
      <c r="N98" s="38">
        <f>'Other ASPT'!N12</f>
        <v>976.870605276772</v>
      </c>
      <c r="O98" s="38">
        <f>'Other ASPT'!O12</f>
        <v>1050.73095830316</v>
      </c>
      <c r="P98" s="38">
        <f>'Other ASPT'!P12</f>
        <v>1130.96272636937</v>
      </c>
      <c r="Q98" s="38">
        <f>'Other ASPT'!Q12</f>
        <v>1217.71193100546</v>
      </c>
      <c r="R98" s="38">
        <f>'Other ASPT'!R12</f>
        <v>1312.04502690701</v>
      </c>
      <c r="S98" s="38">
        <f>'Other ASPT'!S12</f>
        <v>1414.21108350899</v>
      </c>
      <c r="T98" s="38">
        <f>'Other ASPT'!T12</f>
        <v>1525.42155683623</v>
      </c>
      <c r="U98" s="23"/>
      <c r="V98" s="23"/>
      <c r="W98" s="23"/>
      <c r="X98" s="23"/>
      <c r="Y98" s="23"/>
      <c r="Z98" s="23"/>
    </row>
    <row r="99" customHeight="1" spans="1:26">
      <c r="A99" s="23"/>
      <c r="B99" s="48" t="s">
        <v>113</v>
      </c>
      <c r="C99" s="23"/>
      <c r="D99" s="64"/>
      <c r="E99" s="64"/>
      <c r="F99" s="51"/>
      <c r="G99" s="51"/>
      <c r="H99" s="51">
        <v>0.33</v>
      </c>
      <c r="I99" s="51">
        <v>0</v>
      </c>
      <c r="J99" s="51">
        <v>0</v>
      </c>
      <c r="K99" s="51">
        <v>0</v>
      </c>
      <c r="L99" s="39">
        <v>0</v>
      </c>
      <c r="M99" s="39">
        <v>0</v>
      </c>
      <c r="N99" s="39">
        <f t="shared" ref="N99:S99" si="68">M99+100</f>
        <v>100</v>
      </c>
      <c r="O99" s="39">
        <f t="shared" si="68"/>
        <v>200</v>
      </c>
      <c r="P99" s="39">
        <f t="shared" si="68"/>
        <v>300</v>
      </c>
      <c r="Q99" s="39">
        <f t="shared" si="68"/>
        <v>400</v>
      </c>
      <c r="R99" s="39">
        <f t="shared" si="68"/>
        <v>500</v>
      </c>
      <c r="S99" s="39">
        <f t="shared" si="68"/>
        <v>600</v>
      </c>
      <c r="T99" s="39">
        <f>S99+50</f>
        <v>650</v>
      </c>
      <c r="U99" s="23"/>
      <c r="V99" s="23"/>
      <c r="W99" s="23"/>
      <c r="X99" s="23"/>
      <c r="Y99" s="23"/>
      <c r="Z99" s="23"/>
    </row>
    <row r="100" customHeight="1" spans="1:26">
      <c r="A100" s="23"/>
      <c r="B100" s="23" t="s">
        <v>92</v>
      </c>
      <c r="C100" s="23"/>
      <c r="D100" s="38"/>
      <c r="E100" s="38"/>
      <c r="F100" s="51"/>
      <c r="G100" s="51"/>
      <c r="H100" s="51">
        <f t="shared" ref="H100:K100" si="69">H101-SUM(H94:H99)</f>
        <v>2486.67</v>
      </c>
      <c r="I100" s="51">
        <f t="shared" si="69"/>
        <v>0</v>
      </c>
      <c r="J100" s="51">
        <f t="shared" si="69"/>
        <v>0</v>
      </c>
      <c r="K100" s="51" t="str">
        <f ca="1" t="shared" si="69"/>
        <v>#REF!</v>
      </c>
      <c r="L100" s="39">
        <v>0</v>
      </c>
      <c r="M100" s="39">
        <v>0</v>
      </c>
      <c r="N100" s="39">
        <f t="shared" ref="N100:T100" si="70">M100+100</f>
        <v>100</v>
      </c>
      <c r="O100" s="39">
        <f t="shared" si="70"/>
        <v>200</v>
      </c>
      <c r="P100" s="39">
        <f t="shared" si="70"/>
        <v>300</v>
      </c>
      <c r="Q100" s="39">
        <f t="shared" si="70"/>
        <v>400</v>
      </c>
      <c r="R100" s="39">
        <f t="shared" si="70"/>
        <v>500</v>
      </c>
      <c r="S100" s="39">
        <f t="shared" si="70"/>
        <v>600</v>
      </c>
      <c r="T100" s="39">
        <f t="shared" si="70"/>
        <v>700</v>
      </c>
      <c r="U100" s="23"/>
      <c r="V100" s="23"/>
      <c r="W100" s="23"/>
      <c r="X100" s="23"/>
      <c r="Y100" s="23"/>
      <c r="Z100" s="23"/>
    </row>
    <row r="101" customHeight="1" spans="1:26">
      <c r="A101" s="23"/>
      <c r="B101" s="23"/>
      <c r="C101" s="23"/>
      <c r="D101" s="58"/>
      <c r="E101" s="58"/>
      <c r="F101" s="58"/>
      <c r="G101" s="58"/>
      <c r="H101" s="58">
        <v>9178</v>
      </c>
      <c r="I101" s="58">
        <v>7511</v>
      </c>
      <c r="J101" s="58">
        <v>8746</v>
      </c>
      <c r="K101" s="58" t="str">
        <f ca="1" t="shared" ref="K101:T101" si="71">SUM(K94:K100)</f>
        <v>#REF!</v>
      </c>
      <c r="L101" s="58">
        <f t="shared" si="71"/>
        <v>11801</v>
      </c>
      <c r="M101" s="58">
        <f t="shared" si="71"/>
        <v>12355</v>
      </c>
      <c r="N101" s="58">
        <f t="shared" si="71"/>
        <v>12681.4794436298</v>
      </c>
      <c r="O101" s="58">
        <f t="shared" si="71"/>
        <v>13543.3722880303</v>
      </c>
      <c r="P101" s="58">
        <f t="shared" si="71"/>
        <v>14951.5811587257</v>
      </c>
      <c r="Q101" s="58">
        <f t="shared" si="71"/>
        <v>16194.8683398147</v>
      </c>
      <c r="R101" s="58">
        <f t="shared" si="71"/>
        <v>18009.1970353337</v>
      </c>
      <c r="S101" s="58">
        <f t="shared" si="71"/>
        <v>19391.1757215239</v>
      </c>
      <c r="T101" s="58">
        <f t="shared" si="71"/>
        <v>21918.0757118262</v>
      </c>
      <c r="U101" s="23"/>
      <c r="V101" s="23"/>
      <c r="W101" s="23"/>
      <c r="X101" s="23"/>
      <c r="Y101" s="23"/>
      <c r="Z101" s="23"/>
    </row>
    <row r="102" customHeight="1" spans="1:26">
      <c r="A102" s="23"/>
      <c r="B102" s="34" t="s">
        <v>114</v>
      </c>
      <c r="C102" s="23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23"/>
      <c r="V102" s="23"/>
      <c r="W102" s="23"/>
      <c r="X102" s="23"/>
      <c r="Y102" s="23"/>
      <c r="Z102" s="23"/>
    </row>
    <row r="103" customHeight="1" spans="1:26">
      <c r="A103" s="23"/>
      <c r="B103" s="23" t="s">
        <v>115</v>
      </c>
      <c r="C103" s="23"/>
      <c r="D103" s="38"/>
      <c r="E103" s="38"/>
      <c r="F103" s="51"/>
      <c r="G103" s="51"/>
      <c r="H103" s="51">
        <v>12903</v>
      </c>
      <c r="I103" s="51">
        <v>14751</v>
      </c>
      <c r="J103" s="51">
        <v>14796</v>
      </c>
      <c r="K103" s="51">
        <v>14977</v>
      </c>
      <c r="L103" s="39">
        <v>14713</v>
      </c>
      <c r="M103" s="39">
        <v>15769</v>
      </c>
      <c r="N103" s="39">
        <f t="shared" ref="N103:T103" si="72">M103</f>
        <v>15769</v>
      </c>
      <c r="O103" s="39">
        <f t="shared" si="72"/>
        <v>15769</v>
      </c>
      <c r="P103" s="39">
        <f t="shared" si="72"/>
        <v>15769</v>
      </c>
      <c r="Q103" s="39">
        <f t="shared" si="72"/>
        <v>15769</v>
      </c>
      <c r="R103" s="39">
        <f t="shared" si="72"/>
        <v>15769</v>
      </c>
      <c r="S103" s="39">
        <f t="shared" si="72"/>
        <v>15769</v>
      </c>
      <c r="T103" s="39">
        <f t="shared" si="72"/>
        <v>15769</v>
      </c>
      <c r="U103" s="23"/>
      <c r="V103" s="23"/>
      <c r="W103" s="23"/>
      <c r="X103" s="23"/>
      <c r="Y103" s="23"/>
      <c r="Z103" s="23"/>
    </row>
    <row r="104" customHeight="1" spans="1:26">
      <c r="A104" s="23"/>
      <c r="B104" s="23" t="s">
        <v>116</v>
      </c>
      <c r="C104" s="23"/>
      <c r="D104" s="38"/>
      <c r="E104" s="38"/>
      <c r="F104" s="51"/>
      <c r="G104" s="51"/>
      <c r="H104" s="51">
        <v>2964</v>
      </c>
      <c r="I104" s="51">
        <v>3064</v>
      </c>
      <c r="J104" s="51">
        <v>3146</v>
      </c>
      <c r="K104" s="51">
        <v>3530</v>
      </c>
      <c r="L104" s="38">
        <v>3729</v>
      </c>
      <c r="M104" s="38">
        <v>4316</v>
      </c>
      <c r="N104" s="38">
        <f>'Other ASPT'!N59</f>
        <v>5109.04369538077</v>
      </c>
      <c r="O104" s="38">
        <f>'Other ASPT'!O59</f>
        <v>5675.13108614232</v>
      </c>
      <c r="P104" s="38">
        <f>'Other ASPT'!P59</f>
        <v>6206.26217228464</v>
      </c>
      <c r="Q104" s="38">
        <f>'Other ASPT'!Q59</f>
        <v>6702.43695380774</v>
      </c>
      <c r="R104" s="38">
        <f>'Other ASPT'!R59</f>
        <v>7163.65543071161</v>
      </c>
      <c r="S104" s="38">
        <f>'Other ASPT'!S59</f>
        <v>7589.91760299625</v>
      </c>
      <c r="T104" s="38">
        <f>'Other ASPT'!T59</f>
        <v>7981.22347066167</v>
      </c>
      <c r="U104" s="48"/>
      <c r="V104" s="48"/>
      <c r="W104" s="48"/>
      <c r="X104" s="48"/>
      <c r="Y104" s="48"/>
      <c r="Z104" s="23"/>
    </row>
    <row r="105" customHeight="1" spans="1:26">
      <c r="A105" s="23"/>
      <c r="B105" s="23" t="s">
        <v>117</v>
      </c>
      <c r="C105" s="23"/>
      <c r="D105" s="38"/>
      <c r="E105" s="38"/>
      <c r="F105" s="51"/>
      <c r="G105" s="51"/>
      <c r="H105" s="51">
        <v>4175</v>
      </c>
      <c r="I105" s="51">
        <v>5855</v>
      </c>
      <c r="J105" s="51">
        <v>5485</v>
      </c>
      <c r="K105" s="51">
        <v>5091</v>
      </c>
      <c r="L105" s="38">
        <v>4657</v>
      </c>
      <c r="M105" s="38">
        <v>5054</v>
      </c>
      <c r="N105" s="38">
        <f>'Other ASPT'!N66</f>
        <v>3518.4</v>
      </c>
      <c r="O105" s="38">
        <f>'Other ASPT'!O66</f>
        <v>3185.24</v>
      </c>
      <c r="P105" s="38">
        <f>'Other ASPT'!P66</f>
        <v>2860.12</v>
      </c>
      <c r="Q105" s="38">
        <f>'Other ASPT'!Q66</f>
        <v>2542.64</v>
      </c>
      <c r="R105" s="38">
        <f>'Other ASPT'!R66</f>
        <v>2232.4</v>
      </c>
      <c r="S105" s="38">
        <f>'Other ASPT'!S66</f>
        <v>1929</v>
      </c>
      <c r="T105" s="38">
        <f>'Other ASPT'!T66</f>
        <v>1632.04</v>
      </c>
      <c r="U105" s="23"/>
      <c r="V105" s="23"/>
      <c r="W105" s="23"/>
      <c r="X105" s="23"/>
      <c r="Y105" s="23"/>
      <c r="Z105" s="23"/>
    </row>
    <row r="106" customHeight="1" spans="1:26">
      <c r="A106" s="34"/>
      <c r="B106" s="23" t="s">
        <v>118</v>
      </c>
      <c r="C106" s="23"/>
      <c r="D106" s="38"/>
      <c r="E106" s="38"/>
      <c r="F106" s="51"/>
      <c r="G106" s="51"/>
      <c r="H106" s="51">
        <v>0</v>
      </c>
      <c r="I106" s="51">
        <v>0</v>
      </c>
      <c r="J106" s="51">
        <v>0</v>
      </c>
      <c r="K106" s="51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/>
      <c r="V106" s="34"/>
      <c r="W106" s="34"/>
      <c r="X106" s="34"/>
      <c r="Y106" s="34"/>
      <c r="Z106" s="34"/>
    </row>
    <row r="107" customHeight="1" spans="1:26">
      <c r="A107" s="23"/>
      <c r="B107" s="23" t="s">
        <v>119</v>
      </c>
      <c r="C107" s="23"/>
      <c r="D107" s="38"/>
      <c r="E107" s="38"/>
      <c r="F107" s="51"/>
      <c r="G107" s="51"/>
      <c r="H107" s="51">
        <f t="shared" ref="H107:K107" si="73">H108-SUM(H103:H106)</f>
        <v>2604</v>
      </c>
      <c r="I107" s="51">
        <f t="shared" si="73"/>
        <v>2846</v>
      </c>
      <c r="J107" s="51">
        <f t="shared" si="73"/>
        <v>2841</v>
      </c>
      <c r="K107" s="51">
        <f t="shared" si="73"/>
        <v>3159</v>
      </c>
      <c r="L107" s="39">
        <f>806+609+2066</f>
        <v>3481</v>
      </c>
      <c r="M107" s="39">
        <f>707+3049</f>
        <v>3756</v>
      </c>
      <c r="N107" s="39">
        <f t="shared" ref="N107:T107" si="74">M107+300</f>
        <v>4056</v>
      </c>
      <c r="O107" s="39">
        <f t="shared" si="74"/>
        <v>4356</v>
      </c>
      <c r="P107" s="39">
        <f t="shared" si="74"/>
        <v>4656</v>
      </c>
      <c r="Q107" s="39">
        <f t="shared" si="74"/>
        <v>4956</v>
      </c>
      <c r="R107" s="39">
        <f t="shared" si="74"/>
        <v>5256</v>
      </c>
      <c r="S107" s="39">
        <f t="shared" si="74"/>
        <v>5556</v>
      </c>
      <c r="T107" s="39">
        <f t="shared" si="74"/>
        <v>5856</v>
      </c>
      <c r="U107" s="23"/>
      <c r="V107" s="23"/>
      <c r="W107" s="23"/>
      <c r="X107" s="23"/>
      <c r="Y107" s="23"/>
      <c r="Z107" s="23"/>
    </row>
    <row r="108" customHeight="1" spans="1:26">
      <c r="A108" s="23"/>
      <c r="B108" s="23"/>
      <c r="C108" s="27"/>
      <c r="D108" s="58"/>
      <c r="E108" s="58"/>
      <c r="F108" s="58"/>
      <c r="G108" s="58"/>
      <c r="H108" s="58">
        <v>22646</v>
      </c>
      <c r="I108" s="58">
        <v>26516</v>
      </c>
      <c r="J108" s="58">
        <v>26268</v>
      </c>
      <c r="K108" s="58">
        <v>26757</v>
      </c>
      <c r="L108" s="58">
        <f t="shared" ref="L108:T108" si="75">SUM(L103:L107)</f>
        <v>26580</v>
      </c>
      <c r="M108" s="58">
        <f t="shared" si="75"/>
        <v>28895</v>
      </c>
      <c r="N108" s="58">
        <f t="shared" si="75"/>
        <v>28452.4436953808</v>
      </c>
      <c r="O108" s="58">
        <f t="shared" si="75"/>
        <v>28985.3710861423</v>
      </c>
      <c r="P108" s="58">
        <f t="shared" si="75"/>
        <v>29491.3821722846</v>
      </c>
      <c r="Q108" s="58">
        <f t="shared" si="75"/>
        <v>29970.0769538077</v>
      </c>
      <c r="R108" s="58">
        <f t="shared" si="75"/>
        <v>30421.0554307116</v>
      </c>
      <c r="S108" s="58">
        <f t="shared" si="75"/>
        <v>30843.9176029963</v>
      </c>
      <c r="T108" s="58">
        <f t="shared" si="75"/>
        <v>31238.2634706617</v>
      </c>
      <c r="U108" s="23"/>
      <c r="V108" s="23"/>
      <c r="W108" s="23"/>
      <c r="X108" s="23"/>
      <c r="Y108" s="23"/>
      <c r="Z108" s="23"/>
    </row>
    <row r="109" customHeight="1" spans="1:26">
      <c r="A109" s="23"/>
      <c r="B109" s="23"/>
      <c r="C109" s="27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23"/>
      <c r="V109" s="23"/>
      <c r="W109" s="23"/>
      <c r="X109" s="23"/>
      <c r="Y109" s="23"/>
      <c r="Z109" s="23"/>
    </row>
    <row r="110" customHeight="1" spans="1:26">
      <c r="A110" s="23"/>
      <c r="B110" s="34" t="s">
        <v>120</v>
      </c>
      <c r="C110" s="34"/>
      <c r="D110" s="58"/>
      <c r="E110" s="58"/>
      <c r="F110" s="58"/>
      <c r="G110" s="58"/>
      <c r="H110" s="58">
        <f t="shared" ref="H110:T110" si="76">H101+H108</f>
        <v>31824</v>
      </c>
      <c r="I110" s="58">
        <f t="shared" si="76"/>
        <v>34027</v>
      </c>
      <c r="J110" s="58">
        <f t="shared" si="76"/>
        <v>35014</v>
      </c>
      <c r="K110" s="58" t="str">
        <f ca="1" t="shared" si="76"/>
        <v>#REF!</v>
      </c>
      <c r="L110" s="58">
        <f t="shared" si="76"/>
        <v>38381</v>
      </c>
      <c r="M110" s="58">
        <f t="shared" si="76"/>
        <v>41250</v>
      </c>
      <c r="N110" s="58">
        <f t="shared" si="76"/>
        <v>41133.9231390106</v>
      </c>
      <c r="O110" s="58">
        <f t="shared" si="76"/>
        <v>42528.7433741726</v>
      </c>
      <c r="P110" s="58">
        <f t="shared" si="76"/>
        <v>44442.9633310103</v>
      </c>
      <c r="Q110" s="58">
        <f t="shared" si="76"/>
        <v>46164.9452936224</v>
      </c>
      <c r="R110" s="58">
        <f t="shared" si="76"/>
        <v>48430.2524660453</v>
      </c>
      <c r="S110" s="58">
        <f t="shared" si="76"/>
        <v>50235.0933245202</v>
      </c>
      <c r="T110" s="58">
        <f t="shared" si="76"/>
        <v>53156.3391824879</v>
      </c>
      <c r="U110" s="23"/>
      <c r="V110" s="23"/>
      <c r="W110" s="23"/>
      <c r="X110" s="23"/>
      <c r="Y110" s="23"/>
      <c r="Z110" s="23"/>
    </row>
    <row r="111" customHeight="1" spans="1:26">
      <c r="A111" s="23"/>
      <c r="B111" s="34"/>
      <c r="C111" s="23"/>
      <c r="D111" s="58"/>
      <c r="E111" s="58"/>
      <c r="F111" s="58"/>
      <c r="G111" s="58"/>
      <c r="H111" s="38"/>
      <c r="I111" s="58"/>
      <c r="J111" s="3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23"/>
      <c r="V111" s="23"/>
      <c r="W111" s="23"/>
      <c r="X111" s="23"/>
      <c r="Y111" s="23"/>
      <c r="Z111" s="23"/>
    </row>
    <row r="112" customHeight="1" spans="1:26">
      <c r="A112" s="23"/>
      <c r="B112" s="34" t="s">
        <v>121</v>
      </c>
      <c r="C112" s="23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23"/>
      <c r="V112" s="23"/>
      <c r="W112" s="23"/>
      <c r="X112" s="23"/>
      <c r="Y112" s="23"/>
      <c r="Z112" s="23"/>
    </row>
    <row r="113" customHeight="1" spans="1:26">
      <c r="A113" s="23"/>
      <c r="B113" s="23" t="s">
        <v>122</v>
      </c>
      <c r="C113" s="23"/>
      <c r="D113" s="38"/>
      <c r="E113" s="38"/>
      <c r="F113" s="51"/>
      <c r="G113" s="51"/>
      <c r="H113" s="51">
        <v>1048</v>
      </c>
      <c r="I113" s="51">
        <v>1748</v>
      </c>
      <c r="J113" s="51">
        <v>334</v>
      </c>
      <c r="K113" s="51">
        <v>1025</v>
      </c>
      <c r="L113" s="38">
        <v>674</v>
      </c>
      <c r="M113" s="38">
        <v>1137</v>
      </c>
      <c r="N113" s="38">
        <f>'Other ASPT'!N36</f>
        <v>-28</v>
      </c>
      <c r="O113" s="38">
        <f>'Other ASPT'!O36</f>
        <v>-379</v>
      </c>
      <c r="P113" s="38">
        <f>'Other ASPT'!P36</f>
        <v>-730</v>
      </c>
      <c r="Q113" s="38">
        <f>'Other ASPT'!Q36</f>
        <v>-1081</v>
      </c>
      <c r="R113" s="38">
        <f>'Other ASPT'!R36</f>
        <v>-1432</v>
      </c>
      <c r="S113" s="38">
        <f>'Other ASPT'!S36</f>
        <v>-1783</v>
      </c>
      <c r="T113" s="38">
        <f>'Other ASPT'!T36</f>
        <v>-2134</v>
      </c>
      <c r="U113" s="23"/>
      <c r="V113" s="23"/>
      <c r="W113" s="23"/>
      <c r="X113" s="23"/>
      <c r="Y113" s="23"/>
      <c r="Z113" s="23"/>
    </row>
    <row r="114" customHeight="1" spans="1:26">
      <c r="A114" s="23"/>
      <c r="B114" s="23" t="s">
        <v>123</v>
      </c>
      <c r="C114" s="23"/>
      <c r="D114" s="257"/>
      <c r="E114" s="257"/>
      <c r="F114" s="51"/>
      <c r="G114" s="51"/>
      <c r="H114" s="51">
        <v>0</v>
      </c>
      <c r="I114" s="51">
        <v>0</v>
      </c>
      <c r="J114" s="51">
        <v>0</v>
      </c>
      <c r="K114" s="51">
        <v>0</v>
      </c>
      <c r="L114" s="39">
        <f t="shared" ref="L114:T114" si="77">K114</f>
        <v>0</v>
      </c>
      <c r="M114" s="39">
        <f t="shared" si="77"/>
        <v>0</v>
      </c>
      <c r="N114" s="39">
        <f t="shared" si="77"/>
        <v>0</v>
      </c>
      <c r="O114" s="39">
        <f t="shared" si="77"/>
        <v>0</v>
      </c>
      <c r="P114" s="39">
        <f t="shared" si="77"/>
        <v>0</v>
      </c>
      <c r="Q114" s="39">
        <f t="shared" si="77"/>
        <v>0</v>
      </c>
      <c r="R114" s="39">
        <f t="shared" si="77"/>
        <v>0</v>
      </c>
      <c r="S114" s="39">
        <f t="shared" si="77"/>
        <v>0</v>
      </c>
      <c r="T114" s="39">
        <f t="shared" si="77"/>
        <v>0</v>
      </c>
      <c r="U114" s="23"/>
      <c r="V114" s="23"/>
      <c r="W114" s="23"/>
      <c r="X114" s="23"/>
      <c r="Y114" s="23"/>
      <c r="Z114" s="23"/>
    </row>
    <row r="115" customHeight="1" spans="1:26">
      <c r="A115" s="23"/>
      <c r="B115" s="23" t="s">
        <v>124</v>
      </c>
      <c r="C115" s="23"/>
      <c r="D115" s="38"/>
      <c r="E115" s="38"/>
      <c r="F115" s="51"/>
      <c r="G115" s="51"/>
      <c r="H115" s="51">
        <v>1987</v>
      </c>
      <c r="I115" s="51">
        <v>2797</v>
      </c>
      <c r="J115" s="51">
        <v>3072</v>
      </c>
      <c r="K115" s="51">
        <v>3365</v>
      </c>
      <c r="L115" s="38">
        <v>3678</v>
      </c>
      <c r="M115" s="38">
        <v>4168</v>
      </c>
      <c r="N115" s="38">
        <f>'Other ASPT'!N15</f>
        <v>4224.24071443191</v>
      </c>
      <c r="O115" s="38">
        <f>'Other ASPT'!O15</f>
        <v>4384.27065022562</v>
      </c>
      <c r="P115" s="38">
        <f>'Other ASPT'!P15</f>
        <v>4866.67493349529</v>
      </c>
      <c r="Q115" s="38">
        <f>'Other ASPT'!Q15</f>
        <v>5077.81643974844</v>
      </c>
      <c r="R115" s="38">
        <f>'Other ASPT'!R15</f>
        <v>5808.46297680894</v>
      </c>
      <c r="S115" s="38">
        <f>'Other ASPT'!S15</f>
        <v>5925.50704201301</v>
      </c>
      <c r="T115" s="38">
        <f>'Other ASPT'!T15</f>
        <v>6731.19677165583</v>
      </c>
      <c r="U115" s="23"/>
      <c r="V115" s="23"/>
      <c r="W115" s="23"/>
      <c r="X115" s="23"/>
      <c r="Y115" s="23"/>
      <c r="Z115" s="23"/>
    </row>
    <row r="116" customHeight="1" spans="1:26">
      <c r="A116" s="23"/>
      <c r="B116" s="23" t="s">
        <v>125</v>
      </c>
      <c r="C116" s="23"/>
      <c r="D116" s="38"/>
      <c r="E116" s="38"/>
      <c r="F116" s="51"/>
      <c r="G116" s="51"/>
      <c r="H116" s="51">
        <v>0</v>
      </c>
      <c r="I116" s="51">
        <v>0</v>
      </c>
      <c r="J116" s="51">
        <v>0</v>
      </c>
      <c r="K116" s="51">
        <v>0</v>
      </c>
      <c r="L116" s="38">
        <f>'Other ASPT'!L17</f>
        <v>0</v>
      </c>
      <c r="M116" s="38">
        <f>'Other ASPT'!M17</f>
        <v>0</v>
      </c>
      <c r="N116" s="38">
        <f>'Other ASPT'!N17</f>
        <v>0</v>
      </c>
      <c r="O116" s="38">
        <f>'Other ASPT'!O17</f>
        <v>0</v>
      </c>
      <c r="P116" s="38">
        <f>'Other ASPT'!P17</f>
        <v>0</v>
      </c>
      <c r="Q116" s="38">
        <f>'Other ASPT'!Q17</f>
        <v>0</v>
      </c>
      <c r="R116" s="38">
        <f>'Other ASPT'!R17</f>
        <v>0</v>
      </c>
      <c r="S116" s="38">
        <f>'Other ASPT'!S17</f>
        <v>0</v>
      </c>
      <c r="T116" s="38">
        <f>'Other ASPT'!T17</f>
        <v>0</v>
      </c>
      <c r="U116" s="23"/>
      <c r="V116" s="23"/>
      <c r="W116" s="23"/>
      <c r="X116" s="23"/>
      <c r="Y116" s="23"/>
      <c r="Z116" s="23"/>
    </row>
    <row r="117" customHeight="1" spans="1:26">
      <c r="A117" s="23"/>
      <c r="B117" s="23" t="s">
        <v>126</v>
      </c>
      <c r="C117" s="23"/>
      <c r="D117" s="38"/>
      <c r="E117" s="38"/>
      <c r="F117" s="51"/>
      <c r="G117" s="51"/>
      <c r="H117" s="51">
        <v>351</v>
      </c>
      <c r="I117" s="51">
        <v>501</v>
      </c>
      <c r="J117" s="51">
        <v>467</v>
      </c>
      <c r="K117" s="51">
        <v>676</v>
      </c>
      <c r="L117" s="38">
        <v>670</v>
      </c>
      <c r="M117" s="38">
        <v>644</v>
      </c>
      <c r="N117" s="38">
        <f>'Other ASPT'!N19</f>
        <v>766.994428553003</v>
      </c>
      <c r="O117" s="38">
        <f>'Other ASPT'!O19</f>
        <v>761.594741837485</v>
      </c>
      <c r="P117" s="38">
        <f>'Other ASPT'!P19</f>
        <v>881.069667389329</v>
      </c>
      <c r="Q117" s="38">
        <f>'Other ASPT'!Q19</f>
        <v>884.745718600664</v>
      </c>
      <c r="R117" s="38">
        <f>'Other ASPT'!R19</f>
        <v>1048.30032351913</v>
      </c>
      <c r="S117" s="38">
        <f>'Other ASPT'!S19</f>
        <v>1035.26775656686</v>
      </c>
      <c r="T117" s="38">
        <f>'Other ASPT'!T19</f>
        <v>1212.14757029713</v>
      </c>
      <c r="U117" s="23"/>
      <c r="V117" s="23"/>
      <c r="W117" s="23"/>
      <c r="X117" s="23"/>
      <c r="Y117" s="23"/>
      <c r="Z117" s="23"/>
    </row>
    <row r="118" customHeight="1" spans="1:26">
      <c r="A118" s="23"/>
      <c r="B118" s="23" t="s">
        <v>127</v>
      </c>
      <c r="C118" s="23"/>
      <c r="D118" s="38"/>
      <c r="E118" s="38"/>
      <c r="F118" s="51"/>
      <c r="G118" s="51"/>
      <c r="H118" s="51">
        <v>0</v>
      </c>
      <c r="I118" s="51">
        <v>0</v>
      </c>
      <c r="J118" s="51">
        <v>0</v>
      </c>
      <c r="K118" s="51">
        <v>0</v>
      </c>
      <c r="L118" s="38">
        <f>'Other ASPT'!L21</f>
        <v>0</v>
      </c>
      <c r="M118" s="38">
        <f>'Other ASPT'!M21</f>
        <v>0</v>
      </c>
      <c r="N118" s="38">
        <f>'Other ASPT'!N21</f>
        <v>0</v>
      </c>
      <c r="O118" s="38">
        <f>'Other ASPT'!O21</f>
        <v>0</v>
      </c>
      <c r="P118" s="38">
        <f>'Other ASPT'!P21</f>
        <v>0</v>
      </c>
      <c r="Q118" s="38">
        <f>'Other ASPT'!Q21</f>
        <v>0</v>
      </c>
      <c r="R118" s="38">
        <f>'Other ASPT'!R21</f>
        <v>0</v>
      </c>
      <c r="S118" s="38">
        <f>'Other ASPT'!S21</f>
        <v>0</v>
      </c>
      <c r="T118" s="38">
        <f>'Other ASPT'!T21</f>
        <v>0</v>
      </c>
      <c r="U118" s="23"/>
      <c r="V118" s="23"/>
      <c r="W118" s="23"/>
      <c r="X118" s="23"/>
      <c r="Y118" s="23"/>
      <c r="Z118" s="23"/>
    </row>
    <row r="119" customHeight="1" spans="1:26">
      <c r="A119" s="23"/>
      <c r="B119" s="23" t="s">
        <v>128</v>
      </c>
      <c r="C119" s="23"/>
      <c r="D119" s="38"/>
      <c r="E119" s="38"/>
      <c r="F119" s="51"/>
      <c r="G119" s="51"/>
      <c r="H119" s="51">
        <v>0</v>
      </c>
      <c r="I119" s="51">
        <v>0</v>
      </c>
      <c r="J119" s="51">
        <v>0</v>
      </c>
      <c r="K119" s="51">
        <v>0</v>
      </c>
      <c r="L119" s="39">
        <f t="shared" ref="L119:T119" si="78">K119</f>
        <v>0</v>
      </c>
      <c r="M119" s="39">
        <f t="shared" si="78"/>
        <v>0</v>
      </c>
      <c r="N119" s="39">
        <f t="shared" si="78"/>
        <v>0</v>
      </c>
      <c r="O119" s="39">
        <f t="shared" si="78"/>
        <v>0</v>
      </c>
      <c r="P119" s="39">
        <f t="shared" si="78"/>
        <v>0</v>
      </c>
      <c r="Q119" s="39">
        <f t="shared" si="78"/>
        <v>0</v>
      </c>
      <c r="R119" s="39">
        <f t="shared" si="78"/>
        <v>0</v>
      </c>
      <c r="S119" s="39">
        <f t="shared" si="78"/>
        <v>0</v>
      </c>
      <c r="T119" s="39">
        <f t="shared" si="78"/>
        <v>0</v>
      </c>
      <c r="U119" s="23"/>
      <c r="V119" s="23"/>
      <c r="W119" s="23"/>
      <c r="X119" s="23"/>
      <c r="Y119" s="23"/>
      <c r="Z119" s="23"/>
    </row>
    <row r="120" customHeight="1" spans="1:26">
      <c r="A120" s="23"/>
      <c r="B120" s="23" t="s">
        <v>129</v>
      </c>
      <c r="C120" s="23"/>
      <c r="D120" s="38"/>
      <c r="E120" s="38"/>
      <c r="F120" s="51"/>
      <c r="G120" s="51"/>
      <c r="H120" s="51">
        <v>0</v>
      </c>
      <c r="I120" s="51">
        <v>0</v>
      </c>
      <c r="J120" s="51">
        <v>0</v>
      </c>
      <c r="K120" s="51">
        <v>0</v>
      </c>
      <c r="L120" s="39">
        <f t="shared" ref="L120:T120" si="79">K120</f>
        <v>0</v>
      </c>
      <c r="M120" s="39">
        <f t="shared" si="79"/>
        <v>0</v>
      </c>
      <c r="N120" s="39">
        <f t="shared" si="79"/>
        <v>0</v>
      </c>
      <c r="O120" s="39">
        <f t="shared" si="79"/>
        <v>0</v>
      </c>
      <c r="P120" s="39">
        <f t="shared" si="79"/>
        <v>0</v>
      </c>
      <c r="Q120" s="39">
        <f t="shared" si="79"/>
        <v>0</v>
      </c>
      <c r="R120" s="39">
        <f t="shared" si="79"/>
        <v>0</v>
      </c>
      <c r="S120" s="39">
        <f t="shared" si="79"/>
        <v>0</v>
      </c>
      <c r="T120" s="39">
        <f t="shared" si="79"/>
        <v>0</v>
      </c>
      <c r="U120" s="23"/>
      <c r="V120" s="23"/>
      <c r="W120" s="23"/>
      <c r="X120" s="23"/>
      <c r="Y120" s="23"/>
      <c r="Z120" s="23"/>
    </row>
    <row r="121" customHeight="1" spans="1:26">
      <c r="A121" s="23"/>
      <c r="B121" s="23" t="s">
        <v>130</v>
      </c>
      <c r="C121" s="23"/>
      <c r="D121" s="38"/>
      <c r="E121" s="38"/>
      <c r="F121" s="51"/>
      <c r="G121" s="51"/>
      <c r="H121" s="51">
        <f t="shared" ref="H121:K121" si="80">H122-SUM(H113:H120)</f>
        <v>2495</v>
      </c>
      <c r="I121" s="51">
        <f t="shared" si="80"/>
        <v>2166</v>
      </c>
      <c r="J121" s="51">
        <f t="shared" si="80"/>
        <v>2487</v>
      </c>
      <c r="K121" s="51">
        <f t="shared" si="80"/>
        <v>2681</v>
      </c>
      <c r="L121" s="39">
        <v>2835</v>
      </c>
      <c r="M121" s="39">
        <v>3421</v>
      </c>
      <c r="N121" s="39">
        <f t="shared" ref="N121:T121" si="81">M121+200</f>
        <v>3621</v>
      </c>
      <c r="O121" s="39">
        <f t="shared" si="81"/>
        <v>3821</v>
      </c>
      <c r="P121" s="39">
        <f t="shared" si="81"/>
        <v>4021</v>
      </c>
      <c r="Q121" s="39">
        <f t="shared" si="81"/>
        <v>4221</v>
      </c>
      <c r="R121" s="39">
        <f t="shared" si="81"/>
        <v>4421</v>
      </c>
      <c r="S121" s="39">
        <f t="shared" si="81"/>
        <v>4621</v>
      </c>
      <c r="T121" s="39">
        <f t="shared" si="81"/>
        <v>4821</v>
      </c>
      <c r="U121" s="23"/>
      <c r="V121" s="23"/>
      <c r="W121" s="23"/>
      <c r="X121" s="23"/>
      <c r="Y121" s="23"/>
      <c r="Z121" s="23"/>
    </row>
    <row r="122" customHeight="1" spans="1:26">
      <c r="A122" s="34"/>
      <c r="B122" s="34"/>
      <c r="C122" s="34"/>
      <c r="D122" s="58"/>
      <c r="E122" s="58"/>
      <c r="F122" s="58"/>
      <c r="G122" s="58"/>
      <c r="H122" s="58">
        <v>5881</v>
      </c>
      <c r="I122" s="58">
        <v>7212</v>
      </c>
      <c r="J122" s="58">
        <v>6360</v>
      </c>
      <c r="K122" s="58">
        <v>7747</v>
      </c>
      <c r="L122" s="58">
        <f t="shared" ref="L122:T122" si="82">SUM(L113:L121)</f>
        <v>7857</v>
      </c>
      <c r="M122" s="58">
        <f t="shared" si="82"/>
        <v>9370</v>
      </c>
      <c r="N122" s="58">
        <f t="shared" si="82"/>
        <v>8584.23514298492</v>
      </c>
      <c r="O122" s="58">
        <f t="shared" si="82"/>
        <v>8587.86539206311</v>
      </c>
      <c r="P122" s="58">
        <f t="shared" si="82"/>
        <v>9038.74460088462</v>
      </c>
      <c r="Q122" s="58">
        <f t="shared" si="82"/>
        <v>9102.56215834911</v>
      </c>
      <c r="R122" s="58">
        <f t="shared" si="82"/>
        <v>9845.76330032806</v>
      </c>
      <c r="S122" s="58">
        <f t="shared" si="82"/>
        <v>9798.77479857987</v>
      </c>
      <c r="T122" s="58">
        <f t="shared" si="82"/>
        <v>10630.344341953</v>
      </c>
      <c r="U122" s="34"/>
      <c r="V122" s="34"/>
      <c r="W122" s="34"/>
      <c r="X122" s="34"/>
      <c r="Y122" s="34"/>
      <c r="Z122" s="34"/>
    </row>
    <row r="123" customHeight="1" spans="1:26">
      <c r="A123" s="23"/>
      <c r="B123" s="34" t="s">
        <v>131</v>
      </c>
      <c r="C123" s="23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23"/>
      <c r="V123" s="23"/>
      <c r="W123" s="23"/>
      <c r="X123" s="23"/>
      <c r="Y123" s="23"/>
      <c r="Z123" s="23"/>
    </row>
    <row r="124" customHeight="1" spans="1:26">
      <c r="A124" s="23"/>
      <c r="B124" s="23" t="s">
        <v>132</v>
      </c>
      <c r="C124" s="23"/>
      <c r="D124" s="38"/>
      <c r="E124" s="38"/>
      <c r="F124" s="51"/>
      <c r="G124" s="51"/>
      <c r="H124" s="51">
        <v>7010</v>
      </c>
      <c r="I124" s="51">
        <v>6831</v>
      </c>
      <c r="J124" s="51">
        <v>8321</v>
      </c>
      <c r="K124" s="51">
        <v>8244</v>
      </c>
      <c r="L124" s="38">
        <v>8478</v>
      </c>
      <c r="M124" s="38">
        <v>8758</v>
      </c>
      <c r="N124" s="38">
        <f>'Other ASPT'!N30</f>
        <v>8578</v>
      </c>
      <c r="O124" s="38">
        <f>'Other ASPT'!O30</f>
        <v>8628</v>
      </c>
      <c r="P124" s="38">
        <f>'Other ASPT'!P30</f>
        <v>8678</v>
      </c>
      <c r="Q124" s="38">
        <f>'Other ASPT'!Q30</f>
        <v>8728</v>
      </c>
      <c r="R124" s="38">
        <f>'Other ASPT'!R30</f>
        <v>8778</v>
      </c>
      <c r="S124" s="38">
        <f>'Other ASPT'!S30</f>
        <v>8828</v>
      </c>
      <c r="T124" s="38">
        <f>'Other ASPT'!T30</f>
        <v>8878</v>
      </c>
      <c r="U124" s="23"/>
      <c r="V124" s="23"/>
      <c r="W124" s="23"/>
      <c r="X124" s="23"/>
      <c r="Y124" s="23"/>
      <c r="Z124" s="23"/>
    </row>
    <row r="125" customHeight="1" spans="1:26">
      <c r="A125" s="23"/>
      <c r="B125" s="23" t="s">
        <v>133</v>
      </c>
      <c r="C125" s="23"/>
      <c r="D125" s="38"/>
      <c r="E125" s="38"/>
      <c r="F125" s="51"/>
      <c r="G125" s="51"/>
      <c r="H125" s="51">
        <v>277</v>
      </c>
      <c r="I125" s="51">
        <v>559</v>
      </c>
      <c r="J125" s="51">
        <v>530</v>
      </c>
      <c r="K125" s="51">
        <v>402</v>
      </c>
      <c r="L125" s="39">
        <v>275</v>
      </c>
      <c r="M125" s="39">
        <v>265</v>
      </c>
      <c r="N125" s="39">
        <f t="shared" ref="N125:T125" si="83">M125</f>
        <v>265</v>
      </c>
      <c r="O125" s="39">
        <f t="shared" si="83"/>
        <v>265</v>
      </c>
      <c r="P125" s="39">
        <f t="shared" si="83"/>
        <v>265</v>
      </c>
      <c r="Q125" s="39">
        <f t="shared" si="83"/>
        <v>265</v>
      </c>
      <c r="R125" s="39">
        <f t="shared" si="83"/>
        <v>265</v>
      </c>
      <c r="S125" s="39">
        <f t="shared" si="83"/>
        <v>265</v>
      </c>
      <c r="T125" s="39">
        <f t="shared" si="83"/>
        <v>265</v>
      </c>
      <c r="U125" s="23"/>
      <c r="V125" s="23"/>
      <c r="W125" s="23"/>
      <c r="X125" s="23"/>
      <c r="Y125" s="23"/>
      <c r="Z125" s="23"/>
    </row>
    <row r="126" customHeight="1" spans="1:26">
      <c r="A126" s="23"/>
      <c r="B126" s="23" t="s">
        <v>134</v>
      </c>
      <c r="C126" s="23"/>
      <c r="D126" s="38"/>
      <c r="E126" s="38"/>
      <c r="F126" s="51"/>
      <c r="G126" s="51"/>
      <c r="H126" s="51">
        <f t="shared" ref="H126:K126" si="84">H127-SUM(H124:H125)</f>
        <v>3683</v>
      </c>
      <c r="I126" s="51">
        <f t="shared" si="84"/>
        <v>2974</v>
      </c>
      <c r="J126" s="51">
        <f t="shared" si="84"/>
        <v>2729</v>
      </c>
      <c r="K126" s="51">
        <f t="shared" si="84"/>
        <v>2970</v>
      </c>
      <c r="L126" s="39">
        <f>1667+669+164+741</f>
        <v>3241</v>
      </c>
      <c r="M126" s="39">
        <v>3389</v>
      </c>
      <c r="N126" s="39">
        <f t="shared" ref="N126:T126" si="85">M126+100</f>
        <v>3489</v>
      </c>
      <c r="O126" s="39">
        <f t="shared" si="85"/>
        <v>3589</v>
      </c>
      <c r="P126" s="39">
        <f t="shared" si="85"/>
        <v>3689</v>
      </c>
      <c r="Q126" s="39">
        <f t="shared" si="85"/>
        <v>3789</v>
      </c>
      <c r="R126" s="39">
        <f t="shared" si="85"/>
        <v>3889</v>
      </c>
      <c r="S126" s="39">
        <f t="shared" si="85"/>
        <v>3989</v>
      </c>
      <c r="T126" s="39">
        <f t="shared" si="85"/>
        <v>4089</v>
      </c>
      <c r="U126" s="23"/>
      <c r="V126" s="23"/>
      <c r="W126" s="23"/>
      <c r="X126" s="23"/>
      <c r="Y126" s="23"/>
      <c r="Z126" s="23"/>
    </row>
    <row r="127" customHeight="1" spans="1:26">
      <c r="A127" s="34"/>
      <c r="B127" s="34"/>
      <c r="C127" s="34"/>
      <c r="D127" s="58"/>
      <c r="E127" s="58"/>
      <c r="F127" s="58"/>
      <c r="G127" s="58"/>
      <c r="H127" s="58">
        <v>10970</v>
      </c>
      <c r="I127" s="58">
        <v>10364</v>
      </c>
      <c r="J127" s="58">
        <v>11580</v>
      </c>
      <c r="K127" s="58">
        <v>11616</v>
      </c>
      <c r="L127" s="58">
        <f t="shared" ref="L127:T127" si="86">SUM(L124:L126)</f>
        <v>11994</v>
      </c>
      <c r="M127" s="58">
        <f t="shared" si="86"/>
        <v>12412</v>
      </c>
      <c r="N127" s="58">
        <f t="shared" si="86"/>
        <v>12332</v>
      </c>
      <c r="O127" s="58">
        <f t="shared" si="86"/>
        <v>12482</v>
      </c>
      <c r="P127" s="58">
        <f t="shared" si="86"/>
        <v>12632</v>
      </c>
      <c r="Q127" s="58">
        <f t="shared" si="86"/>
        <v>12782</v>
      </c>
      <c r="R127" s="58">
        <f t="shared" si="86"/>
        <v>12932</v>
      </c>
      <c r="S127" s="58">
        <f t="shared" si="86"/>
        <v>13082</v>
      </c>
      <c r="T127" s="58">
        <f t="shared" si="86"/>
        <v>13232</v>
      </c>
      <c r="U127" s="34"/>
      <c r="V127" s="34"/>
      <c r="W127" s="34"/>
      <c r="X127" s="34"/>
      <c r="Y127" s="34"/>
      <c r="Z127" s="34"/>
    </row>
    <row r="128" customHeight="1" spans="1:26">
      <c r="A128" s="23"/>
      <c r="B128" s="23"/>
      <c r="C128" s="23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23"/>
      <c r="V128" s="23"/>
      <c r="W128" s="23"/>
      <c r="X128" s="23"/>
      <c r="Y128" s="23"/>
      <c r="Z128" s="23"/>
    </row>
    <row r="129" customHeight="1" spans="1:26">
      <c r="A129" s="34"/>
      <c r="B129" s="34" t="s">
        <v>135</v>
      </c>
      <c r="C129" s="34"/>
      <c r="D129" s="58"/>
      <c r="E129" s="58"/>
      <c r="F129" s="58"/>
      <c r="G129" s="58"/>
      <c r="H129" s="58">
        <f t="shared" ref="H129:T129" si="87">H122+H127</f>
        <v>16851</v>
      </c>
      <c r="I129" s="58">
        <f t="shared" si="87"/>
        <v>17576</v>
      </c>
      <c r="J129" s="58">
        <f t="shared" si="87"/>
        <v>17940</v>
      </c>
      <c r="K129" s="58">
        <f t="shared" si="87"/>
        <v>19363</v>
      </c>
      <c r="L129" s="58">
        <f t="shared" si="87"/>
        <v>19851</v>
      </c>
      <c r="M129" s="58">
        <f t="shared" si="87"/>
        <v>21782</v>
      </c>
      <c r="N129" s="58">
        <f t="shared" si="87"/>
        <v>20916.2351429849</v>
      </c>
      <c r="O129" s="58">
        <f t="shared" si="87"/>
        <v>21069.8653920631</v>
      </c>
      <c r="P129" s="58">
        <f t="shared" si="87"/>
        <v>21670.7446008846</v>
      </c>
      <c r="Q129" s="58">
        <f t="shared" si="87"/>
        <v>21884.5621583491</v>
      </c>
      <c r="R129" s="58">
        <f t="shared" si="87"/>
        <v>22777.7633003281</v>
      </c>
      <c r="S129" s="58">
        <f t="shared" si="87"/>
        <v>22880.7747985799</v>
      </c>
      <c r="T129" s="58">
        <f t="shared" si="87"/>
        <v>23862.344341953</v>
      </c>
      <c r="U129" s="34"/>
      <c r="V129" s="34"/>
      <c r="W129" s="34"/>
      <c r="X129" s="34"/>
      <c r="Y129" s="34"/>
      <c r="Z129" s="34"/>
    </row>
    <row r="130" customHeight="1" spans="1:26">
      <c r="A130" s="34"/>
      <c r="B130" s="34"/>
      <c r="C130" s="34"/>
      <c r="D130" s="58"/>
      <c r="E130" s="58"/>
      <c r="F130" s="58"/>
      <c r="G130" s="58"/>
      <c r="H130" s="38"/>
      <c r="I130" s="58"/>
      <c r="J130" s="3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34"/>
      <c r="V130" s="34"/>
      <c r="W130" s="34"/>
      <c r="X130" s="34"/>
      <c r="Y130" s="34"/>
      <c r="Z130" s="34"/>
    </row>
    <row r="131" customHeight="1" spans="1:26">
      <c r="A131" s="23"/>
      <c r="B131" s="34" t="s">
        <v>136</v>
      </c>
      <c r="C131" s="23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23"/>
      <c r="V131" s="23"/>
      <c r="W131" s="23"/>
      <c r="X131" s="23"/>
      <c r="Y131" s="23"/>
      <c r="Z131" s="23"/>
    </row>
    <row r="132" customHeight="1" spans="1:26">
      <c r="A132" s="23"/>
      <c r="B132" s="23" t="s">
        <v>137</v>
      </c>
      <c r="C132" s="23"/>
      <c r="D132" s="38"/>
      <c r="E132" s="38"/>
      <c r="F132" s="51"/>
      <c r="G132" s="51"/>
      <c r="H132" s="51">
        <v>4</v>
      </c>
      <c r="I132" s="51">
        <v>4</v>
      </c>
      <c r="J132" s="51">
        <v>4</v>
      </c>
      <c r="K132" s="51">
        <v>4</v>
      </c>
      <c r="L132" s="38">
        <v>4</v>
      </c>
      <c r="M132" s="38">
        <v>4</v>
      </c>
      <c r="N132" s="38">
        <f t="shared" ref="N132:T132" si="88">M132+N81</f>
        <v>-1465</v>
      </c>
      <c r="O132" s="38">
        <f t="shared" si="88"/>
        <v>-3334</v>
      </c>
      <c r="P132" s="38">
        <f t="shared" si="88"/>
        <v>-5403</v>
      </c>
      <c r="Q132" s="38">
        <f t="shared" si="88"/>
        <v>-7572</v>
      </c>
      <c r="R132" s="38">
        <f t="shared" si="88"/>
        <v>-9841</v>
      </c>
      <c r="S132" s="38">
        <f t="shared" si="88"/>
        <v>-12210</v>
      </c>
      <c r="T132" s="38">
        <f t="shared" si="88"/>
        <v>-14679</v>
      </c>
      <c r="U132" s="23"/>
      <c r="V132" s="23"/>
      <c r="W132" s="23"/>
      <c r="X132" s="23"/>
      <c r="Y132" s="23"/>
      <c r="Z132" s="23"/>
    </row>
    <row r="133" customHeight="1" spans="1:26">
      <c r="A133" s="23"/>
      <c r="B133" s="23" t="s">
        <v>138</v>
      </c>
      <c r="C133" s="23"/>
      <c r="D133" s="38"/>
      <c r="E133" s="38"/>
      <c r="F133" s="51"/>
      <c r="G133" s="51"/>
      <c r="H133" s="51">
        <v>14926</v>
      </c>
      <c r="I133" s="51">
        <v>16409</v>
      </c>
      <c r="J133" s="51">
        <v>17032</v>
      </c>
      <c r="K133" s="51">
        <v>19032</v>
      </c>
      <c r="L133" s="38">
        <v>18484</v>
      </c>
      <c r="M133" s="38">
        <v>19421</v>
      </c>
      <c r="N133" s="38">
        <f t="shared" ref="N133:T133" si="89">M133+N42+M45+N88</f>
        <v>22387.5403058687</v>
      </c>
      <c r="O133" s="38">
        <f t="shared" si="89"/>
        <v>25493.9769808391</v>
      </c>
      <c r="P133" s="38">
        <f t="shared" si="89"/>
        <v>28872.2505474979</v>
      </c>
      <c r="Q133" s="38">
        <f t="shared" si="89"/>
        <v>32545.0069052109</v>
      </c>
      <c r="R133" s="38">
        <f t="shared" si="89"/>
        <v>36181.5958771945</v>
      </c>
      <c r="S133" s="38">
        <f t="shared" si="89"/>
        <v>40247.5498158297</v>
      </c>
      <c r="T133" s="38">
        <f t="shared" si="89"/>
        <v>44650.9606210291</v>
      </c>
      <c r="U133" s="23"/>
      <c r="V133" s="23"/>
      <c r="W133" s="23"/>
      <c r="X133" s="23"/>
      <c r="Y133" s="23"/>
      <c r="Z133" s="23"/>
    </row>
    <row r="134" customHeight="1" spans="1:26">
      <c r="A134" s="23"/>
      <c r="B134" s="247" t="s">
        <v>139</v>
      </c>
      <c r="C134" s="23"/>
      <c r="D134" s="58"/>
      <c r="E134" s="58"/>
      <c r="F134" s="58"/>
      <c r="G134" s="58"/>
      <c r="H134" s="58">
        <f t="shared" ref="H134:T134" si="90">H132+H133</f>
        <v>14930</v>
      </c>
      <c r="I134" s="58">
        <f t="shared" si="90"/>
        <v>16413</v>
      </c>
      <c r="J134" s="58">
        <f t="shared" si="90"/>
        <v>17036</v>
      </c>
      <c r="K134" s="58">
        <f t="shared" si="90"/>
        <v>19036</v>
      </c>
      <c r="L134" s="58">
        <f t="shared" si="90"/>
        <v>18488</v>
      </c>
      <c r="M134" s="58">
        <f t="shared" si="90"/>
        <v>19425</v>
      </c>
      <c r="N134" s="58">
        <f t="shared" si="90"/>
        <v>20922.5403058687</v>
      </c>
      <c r="O134" s="58">
        <f t="shared" si="90"/>
        <v>22159.9769808391</v>
      </c>
      <c r="P134" s="58">
        <f t="shared" si="90"/>
        <v>23469.2505474979</v>
      </c>
      <c r="Q134" s="58">
        <f t="shared" si="90"/>
        <v>24973.0069052109</v>
      </c>
      <c r="R134" s="58">
        <f t="shared" si="90"/>
        <v>26340.5958771945</v>
      </c>
      <c r="S134" s="58">
        <f t="shared" si="90"/>
        <v>28037.5498158297</v>
      </c>
      <c r="T134" s="58">
        <f t="shared" si="90"/>
        <v>29971.9606210291</v>
      </c>
      <c r="U134" s="23"/>
      <c r="V134" s="23"/>
      <c r="W134" s="23"/>
      <c r="X134" s="23"/>
      <c r="Y134" s="23"/>
      <c r="Z134" s="23"/>
    </row>
    <row r="135" customHeight="1" spans="1:26">
      <c r="A135" s="23"/>
      <c r="B135" s="23"/>
      <c r="C135" s="23"/>
      <c r="D135" s="38"/>
      <c r="E135" s="38"/>
      <c r="F135" s="258"/>
      <c r="G135" s="258"/>
      <c r="H135" s="258">
        <f t="shared" ref="H135:T135" si="91">H134/H48</f>
        <v>37.120835405271</v>
      </c>
      <c r="I135" s="258">
        <f t="shared" si="91"/>
        <v>41.1662904439428</v>
      </c>
      <c r="J135" s="258">
        <f t="shared" si="91"/>
        <v>42.728868823677</v>
      </c>
      <c r="K135" s="258">
        <f t="shared" si="91"/>
        <v>47.7451718083772</v>
      </c>
      <c r="L135" s="258">
        <f t="shared" si="91"/>
        <v>46.2894341512268</v>
      </c>
      <c r="M135" s="258">
        <f t="shared" si="91"/>
        <v>49.0530303030303</v>
      </c>
      <c r="N135" s="258">
        <f t="shared" si="91"/>
        <v>52.8346977420926</v>
      </c>
      <c r="O135" s="258">
        <f t="shared" si="91"/>
        <v>55.9595378304019</v>
      </c>
      <c r="P135" s="258">
        <f t="shared" si="91"/>
        <v>59.2657842108534</v>
      </c>
      <c r="Q135" s="258">
        <f t="shared" si="91"/>
        <v>63.0631487505326</v>
      </c>
      <c r="R135" s="258">
        <f t="shared" si="91"/>
        <v>66.5166562555416</v>
      </c>
      <c r="S135" s="258">
        <f t="shared" si="91"/>
        <v>70.8018934743174</v>
      </c>
      <c r="T135" s="258">
        <f t="shared" si="91"/>
        <v>75.6867692450229</v>
      </c>
      <c r="U135" s="23"/>
      <c r="V135" s="23"/>
      <c r="W135" s="23"/>
      <c r="X135" s="23"/>
      <c r="Y135" s="23"/>
      <c r="Z135" s="23"/>
    </row>
    <row r="136" customHeight="1" spans="1:26">
      <c r="A136" s="23"/>
      <c r="B136" s="23"/>
      <c r="C136" s="23"/>
      <c r="D136" s="38"/>
      <c r="E136" s="3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  <c r="U136" s="23"/>
      <c r="V136" s="23"/>
      <c r="W136" s="23"/>
      <c r="X136" s="23"/>
      <c r="Y136" s="23"/>
      <c r="Z136" s="23"/>
    </row>
    <row r="137" customHeight="1" spans="1:26">
      <c r="A137" s="23"/>
      <c r="B137" s="23" t="s">
        <v>90</v>
      </c>
      <c r="C137" s="23"/>
      <c r="D137" s="38"/>
      <c r="E137" s="38"/>
      <c r="F137" s="51"/>
      <c r="G137" s="51"/>
      <c r="H137" s="51">
        <v>43</v>
      </c>
      <c r="I137" s="51">
        <v>38</v>
      </c>
      <c r="J137" s="51">
        <v>38</v>
      </c>
      <c r="K137" s="51">
        <v>33</v>
      </c>
      <c r="L137" s="38">
        <v>43</v>
      </c>
      <c r="M137" s="38">
        <v>44</v>
      </c>
      <c r="N137" s="38">
        <f t="shared" ref="N137:T137" si="92">M137-N40</f>
        <v>47.4655468128163</v>
      </c>
      <c r="O137" s="38">
        <f t="shared" si="92"/>
        <v>51.2188579261817</v>
      </c>
      <c r="P137" s="38">
        <f t="shared" si="92"/>
        <v>55.2860392835572</v>
      </c>
      <c r="Q137" s="38">
        <f t="shared" si="92"/>
        <v>59.6940867181943</v>
      </c>
      <c r="R137" s="38">
        <f t="shared" si="92"/>
        <v>64.2111451786176</v>
      </c>
      <c r="S137" s="38">
        <f t="shared" si="92"/>
        <v>69.0865667664273</v>
      </c>
      <c r="T137" s="38">
        <f t="shared" si="92"/>
        <v>74.3520761617261</v>
      </c>
      <c r="U137" s="23"/>
      <c r="V137" s="23"/>
      <c r="W137" s="23"/>
      <c r="X137" s="23"/>
      <c r="Y137" s="23"/>
      <c r="Z137" s="23"/>
    </row>
    <row r="138" customHeight="1" spans="1:26">
      <c r="A138" s="23"/>
      <c r="B138" s="23"/>
      <c r="C138" s="23"/>
      <c r="D138" s="38"/>
      <c r="E138" s="38"/>
      <c r="F138" s="38"/>
      <c r="G138" s="38"/>
      <c r="H138" s="38">
        <f t="shared" ref="H138:T138" si="93">H134+H137</f>
        <v>14973</v>
      </c>
      <c r="I138" s="38">
        <f t="shared" si="93"/>
        <v>16451</v>
      </c>
      <c r="J138" s="38">
        <f t="shared" si="93"/>
        <v>17074</v>
      </c>
      <c r="K138" s="38">
        <f t="shared" si="93"/>
        <v>19069</v>
      </c>
      <c r="L138" s="38">
        <f t="shared" si="93"/>
        <v>18531</v>
      </c>
      <c r="M138" s="38">
        <f t="shared" si="93"/>
        <v>19469</v>
      </c>
      <c r="N138" s="38">
        <f t="shared" si="93"/>
        <v>20970.0058526815</v>
      </c>
      <c r="O138" s="38">
        <f t="shared" si="93"/>
        <v>22211.1958387653</v>
      </c>
      <c r="P138" s="38">
        <f t="shared" si="93"/>
        <v>23524.5365867815</v>
      </c>
      <c r="Q138" s="38">
        <f t="shared" si="93"/>
        <v>25032.7009919291</v>
      </c>
      <c r="R138" s="38">
        <f t="shared" si="93"/>
        <v>26404.8070223731</v>
      </c>
      <c r="S138" s="38">
        <f t="shared" si="93"/>
        <v>28106.6363825961</v>
      </c>
      <c r="T138" s="38">
        <f t="shared" si="93"/>
        <v>30046.3126971908</v>
      </c>
      <c r="U138" s="23"/>
      <c r="V138" s="23"/>
      <c r="W138" s="23"/>
      <c r="X138" s="23"/>
      <c r="Y138" s="23"/>
      <c r="Z138" s="23"/>
    </row>
    <row r="139" customHeight="1" spans="1:26">
      <c r="A139" s="23"/>
      <c r="B139" s="23"/>
      <c r="C139" s="23"/>
      <c r="D139" s="259"/>
      <c r="E139" s="259"/>
      <c r="F139" s="51"/>
      <c r="G139" s="51"/>
      <c r="H139" s="51"/>
      <c r="I139" s="51"/>
      <c r="J139" s="51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23"/>
      <c r="V139" s="23"/>
      <c r="W139" s="23"/>
      <c r="X139" s="23"/>
      <c r="Y139" s="23"/>
      <c r="Z139" s="23"/>
    </row>
    <row r="140" customHeight="1" spans="1:26">
      <c r="A140" s="23"/>
      <c r="B140" s="23" t="s">
        <v>23</v>
      </c>
      <c r="C140" s="23"/>
      <c r="D140" s="259"/>
      <c r="E140" s="259"/>
      <c r="F140" s="51"/>
      <c r="G140" s="51"/>
      <c r="H140" s="51"/>
      <c r="I140" s="51"/>
      <c r="J140" s="38">
        <f>-'Other ASPT'!J61</f>
        <v>113</v>
      </c>
      <c r="K140" s="38">
        <f>-'Other ASPT'!K61</f>
        <v>341</v>
      </c>
      <c r="L140" s="38">
        <f>-'Other ASPT'!L61</f>
        <v>333</v>
      </c>
      <c r="M140" s="38">
        <f>-'Other ASPT'!M61</f>
        <v>364</v>
      </c>
      <c r="N140" s="38">
        <f>-'Other ASPT'!N61</f>
        <v>398.956304619226</v>
      </c>
      <c r="O140" s="38">
        <f>-'Other ASPT'!O61</f>
        <v>433.912609238452</v>
      </c>
      <c r="P140" s="38">
        <f>-'Other ASPT'!P61</f>
        <v>468.868913857678</v>
      </c>
      <c r="Q140" s="38">
        <f>-'Other ASPT'!Q61</f>
        <v>503.825218476904</v>
      </c>
      <c r="R140" s="38">
        <f>-'Other ASPT'!R61</f>
        <v>538.78152309613</v>
      </c>
      <c r="S140" s="38">
        <f>-'Other ASPT'!S61</f>
        <v>573.737827715356</v>
      </c>
      <c r="T140" s="38">
        <f>-'Other ASPT'!T61</f>
        <v>608.694132334582</v>
      </c>
      <c r="U140" s="23"/>
      <c r="V140" s="23"/>
      <c r="W140" s="23"/>
      <c r="X140" s="23"/>
      <c r="Y140" s="23"/>
      <c r="Z140" s="23"/>
    </row>
    <row r="141" customHeight="1" spans="1:26">
      <c r="A141" s="23"/>
      <c r="B141" s="23" t="s">
        <v>140</v>
      </c>
      <c r="C141" s="23"/>
      <c r="D141" s="259"/>
      <c r="E141" s="259"/>
      <c r="F141" s="51"/>
      <c r="G141" s="51"/>
      <c r="H141" s="51"/>
      <c r="I141" s="51"/>
      <c r="J141" s="38">
        <f>-'Other ASPT'!J68</f>
        <v>401</v>
      </c>
      <c r="K141" s="38">
        <f>-'Other ASPT'!K68</f>
        <v>479</v>
      </c>
      <c r="L141" s="38">
        <f>-'Other ASPT'!L68</f>
        <v>588</v>
      </c>
      <c r="M141" s="38">
        <f>-'Other ASPT'!M68</f>
        <v>642</v>
      </c>
      <c r="N141" s="38">
        <f>-'Other ASPT'!N68</f>
        <v>370.6</v>
      </c>
      <c r="O141" s="38">
        <f>-'Other ASPT'!O68</f>
        <v>372.16</v>
      </c>
      <c r="P141" s="38">
        <f>-'Other ASPT'!P68</f>
        <v>374.12</v>
      </c>
      <c r="Q141" s="38">
        <f>-'Other ASPT'!Q68</f>
        <v>376.48</v>
      </c>
      <c r="R141" s="38">
        <f>-'Other ASPT'!R68</f>
        <v>379.24</v>
      </c>
      <c r="S141" s="38">
        <f>-'Other ASPT'!S68</f>
        <v>382.4</v>
      </c>
      <c r="T141" s="38">
        <f>-'Other ASPT'!T68</f>
        <v>385.96</v>
      </c>
      <c r="U141" s="23"/>
      <c r="V141" s="23"/>
      <c r="W141" s="23"/>
      <c r="X141" s="23"/>
      <c r="Y141" s="23"/>
      <c r="Z141" s="23"/>
    </row>
    <row r="142" customHeight="1" spans="1:26">
      <c r="A142" s="23"/>
      <c r="B142" s="23"/>
      <c r="C142" s="23"/>
      <c r="D142" s="259"/>
      <c r="E142" s="259"/>
      <c r="F142" s="51"/>
      <c r="G142" s="51"/>
      <c r="H142" s="51"/>
      <c r="I142" s="51"/>
      <c r="J142" s="51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23"/>
      <c r="V142" s="23"/>
      <c r="W142" s="23"/>
      <c r="X142" s="23"/>
      <c r="Y142" s="23"/>
      <c r="Z142" s="23"/>
    </row>
    <row r="143" customHeight="1" spans="1:26">
      <c r="A143" s="31"/>
      <c r="B143" s="32" t="s">
        <v>141</v>
      </c>
      <c r="C143" s="31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31"/>
      <c r="V143" s="31"/>
      <c r="W143" s="31"/>
      <c r="X143" s="31"/>
      <c r="Y143" s="31"/>
      <c r="Z143" s="31"/>
    </row>
    <row r="144" customHeight="1" spans="1:26">
      <c r="A144" s="23"/>
      <c r="B144" s="23"/>
      <c r="C144" s="23"/>
      <c r="D144" s="259"/>
      <c r="E144" s="259"/>
      <c r="F144" s="51"/>
      <c r="G144" s="51"/>
      <c r="H144" s="51"/>
      <c r="I144" s="51"/>
      <c r="J144" s="51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23"/>
      <c r="V144" s="23"/>
      <c r="W144" s="23"/>
      <c r="X144" s="23"/>
      <c r="Y144" s="23"/>
      <c r="Z144" s="23"/>
    </row>
    <row r="145" customHeight="1" spans="1:26">
      <c r="A145" s="23"/>
      <c r="B145" s="23" t="s">
        <v>53</v>
      </c>
      <c r="C145" s="23"/>
      <c r="D145" s="259"/>
      <c r="E145" s="259"/>
      <c r="F145" s="51"/>
      <c r="G145" s="51"/>
      <c r="H145" s="51"/>
      <c r="I145" s="51"/>
      <c r="J145" s="51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23"/>
      <c r="V145" s="23"/>
      <c r="W145" s="23"/>
      <c r="X145" s="23"/>
      <c r="Y145" s="23"/>
      <c r="Z145" s="23"/>
    </row>
    <row r="146" customHeight="1" spans="1:26">
      <c r="A146" s="23"/>
      <c r="B146" s="23"/>
      <c r="C146" s="23" t="s">
        <v>142</v>
      </c>
      <c r="D146" s="259"/>
      <c r="E146" s="259"/>
      <c r="F146" s="51"/>
      <c r="G146" s="51"/>
      <c r="H146" s="51">
        <v>0</v>
      </c>
      <c r="I146" s="51">
        <v>0</v>
      </c>
      <c r="J146" s="51">
        <v>0</v>
      </c>
      <c r="K146" s="51">
        <v>0</v>
      </c>
      <c r="L146" s="39">
        <f t="shared" ref="L146:T146" si="94">K146</f>
        <v>0</v>
      </c>
      <c r="M146" s="39">
        <f t="shared" si="94"/>
        <v>0</v>
      </c>
      <c r="N146" s="39">
        <f t="shared" si="94"/>
        <v>0</v>
      </c>
      <c r="O146" s="39">
        <f t="shared" si="94"/>
        <v>0</v>
      </c>
      <c r="P146" s="39">
        <f t="shared" si="94"/>
        <v>0</v>
      </c>
      <c r="Q146" s="39">
        <f t="shared" si="94"/>
        <v>0</v>
      </c>
      <c r="R146" s="39">
        <f t="shared" si="94"/>
        <v>0</v>
      </c>
      <c r="S146" s="39">
        <f t="shared" si="94"/>
        <v>0</v>
      </c>
      <c r="T146" s="39">
        <f t="shared" si="94"/>
        <v>0</v>
      </c>
      <c r="U146" s="23"/>
      <c r="V146" s="23"/>
      <c r="W146" s="23"/>
      <c r="X146" s="23"/>
      <c r="Y146" s="23"/>
      <c r="Z146" s="23"/>
    </row>
    <row r="147" customHeight="1" spans="1:26">
      <c r="A147" s="23"/>
      <c r="B147" s="23"/>
      <c r="C147" s="23" t="s">
        <v>143</v>
      </c>
      <c r="D147" s="259"/>
      <c r="E147" s="259"/>
      <c r="F147" s="51"/>
      <c r="G147" s="51"/>
      <c r="H147" s="51">
        <v>0</v>
      </c>
      <c r="I147" s="51">
        <v>0</v>
      </c>
      <c r="J147" s="51">
        <v>0</v>
      </c>
      <c r="K147" s="51">
        <v>0</v>
      </c>
      <c r="L147" s="39">
        <f t="shared" ref="L147:T147" si="95">K147</f>
        <v>0</v>
      </c>
      <c r="M147" s="39">
        <f t="shared" si="95"/>
        <v>0</v>
      </c>
      <c r="N147" s="39">
        <f t="shared" si="95"/>
        <v>0</v>
      </c>
      <c r="O147" s="39">
        <f t="shared" si="95"/>
        <v>0</v>
      </c>
      <c r="P147" s="39">
        <f t="shared" si="95"/>
        <v>0</v>
      </c>
      <c r="Q147" s="39">
        <f t="shared" si="95"/>
        <v>0</v>
      </c>
      <c r="R147" s="39">
        <f t="shared" si="95"/>
        <v>0</v>
      </c>
      <c r="S147" s="39">
        <f t="shared" si="95"/>
        <v>0</v>
      </c>
      <c r="T147" s="39">
        <f t="shared" si="95"/>
        <v>0</v>
      </c>
      <c r="U147" s="23"/>
      <c r="V147" s="23"/>
      <c r="W147" s="23"/>
      <c r="X147" s="23"/>
      <c r="Y147" s="23"/>
      <c r="Z147" s="23"/>
    </row>
    <row r="148" customHeight="1" spans="1:26">
      <c r="A148" s="23"/>
      <c r="B148" s="23"/>
      <c r="C148" s="23" t="s">
        <v>92</v>
      </c>
      <c r="D148" s="259"/>
      <c r="E148" s="259"/>
      <c r="F148" s="51"/>
      <c r="G148" s="51"/>
      <c r="H148" s="51">
        <v>0</v>
      </c>
      <c r="I148" s="51">
        <v>0</v>
      </c>
      <c r="J148" s="51">
        <v>0</v>
      </c>
      <c r="K148" s="51">
        <v>0</v>
      </c>
      <c r="L148" s="39">
        <f t="shared" ref="L148:T148" si="96">K148</f>
        <v>0</v>
      </c>
      <c r="M148" s="39">
        <f t="shared" si="96"/>
        <v>0</v>
      </c>
      <c r="N148" s="39">
        <f t="shared" si="96"/>
        <v>0</v>
      </c>
      <c r="O148" s="39">
        <f t="shared" si="96"/>
        <v>0</v>
      </c>
      <c r="P148" s="39">
        <f t="shared" si="96"/>
        <v>0</v>
      </c>
      <c r="Q148" s="39">
        <f t="shared" si="96"/>
        <v>0</v>
      </c>
      <c r="R148" s="39">
        <f t="shared" si="96"/>
        <v>0</v>
      </c>
      <c r="S148" s="39">
        <f t="shared" si="96"/>
        <v>0</v>
      </c>
      <c r="T148" s="39">
        <f t="shared" si="96"/>
        <v>0</v>
      </c>
      <c r="U148" s="23"/>
      <c r="V148" s="23"/>
      <c r="W148" s="23"/>
      <c r="X148" s="23"/>
      <c r="Y148" s="23"/>
      <c r="Z148" s="23"/>
    </row>
    <row r="149" customHeight="1" spans="1:26">
      <c r="A149" s="23"/>
      <c r="B149" s="23"/>
      <c r="C149" s="23"/>
      <c r="D149" s="259"/>
      <c r="E149" s="259"/>
      <c r="F149" s="38"/>
      <c r="G149" s="38"/>
      <c r="H149" s="38"/>
      <c r="I149" s="38"/>
      <c r="J149" s="38"/>
      <c r="K149" s="51"/>
      <c r="L149" s="38"/>
      <c r="M149" s="38"/>
      <c r="N149" s="38"/>
      <c r="O149" s="38"/>
      <c r="P149" s="38"/>
      <c r="Q149" s="38"/>
      <c r="R149" s="38"/>
      <c r="S149" s="38"/>
      <c r="T149" s="38"/>
      <c r="U149" s="23"/>
      <c r="V149" s="23"/>
      <c r="W149" s="23"/>
      <c r="X149" s="23"/>
      <c r="Y149" s="23"/>
      <c r="Z149" s="23"/>
    </row>
    <row r="150" customHeight="1" spans="1:26">
      <c r="A150" s="23"/>
      <c r="B150" s="23" t="s">
        <v>144</v>
      </c>
      <c r="C150" s="23"/>
      <c r="D150" s="259"/>
      <c r="E150" s="259"/>
      <c r="F150" s="51"/>
      <c r="G150" s="51"/>
      <c r="H150" s="51"/>
      <c r="I150" s="51"/>
      <c r="J150" s="51"/>
      <c r="K150" s="51"/>
      <c r="L150" s="38"/>
      <c r="M150" s="38"/>
      <c r="N150" s="38"/>
      <c r="O150" s="38"/>
      <c r="P150" s="38"/>
      <c r="Q150" s="38"/>
      <c r="R150" s="38"/>
      <c r="S150" s="38"/>
      <c r="T150" s="38"/>
      <c r="U150" s="23"/>
      <c r="V150" s="23"/>
      <c r="W150" s="23"/>
      <c r="X150" s="23"/>
      <c r="Y150" s="23"/>
      <c r="Z150" s="23"/>
    </row>
    <row r="151" customHeight="1" spans="1:26">
      <c r="A151" s="23"/>
      <c r="B151" s="23"/>
      <c r="C151" s="23" t="s">
        <v>92</v>
      </c>
      <c r="D151" s="259"/>
      <c r="E151" s="259"/>
      <c r="F151" s="51"/>
      <c r="G151" s="51"/>
      <c r="H151" s="51">
        <v>0</v>
      </c>
      <c r="I151" s="51">
        <v>0</v>
      </c>
      <c r="J151" s="51">
        <v>0</v>
      </c>
      <c r="K151" s="51">
        <v>0</v>
      </c>
      <c r="L151" s="39">
        <f t="shared" ref="L151:T151" si="97">K151</f>
        <v>0</v>
      </c>
      <c r="M151" s="39">
        <f t="shared" si="97"/>
        <v>0</v>
      </c>
      <c r="N151" s="39">
        <f t="shared" si="97"/>
        <v>0</v>
      </c>
      <c r="O151" s="39">
        <f t="shared" si="97"/>
        <v>0</v>
      </c>
      <c r="P151" s="39">
        <f t="shared" si="97"/>
        <v>0</v>
      </c>
      <c r="Q151" s="39">
        <f t="shared" si="97"/>
        <v>0</v>
      </c>
      <c r="R151" s="39">
        <f t="shared" si="97"/>
        <v>0</v>
      </c>
      <c r="S151" s="39">
        <f t="shared" si="97"/>
        <v>0</v>
      </c>
      <c r="T151" s="39">
        <f t="shared" si="97"/>
        <v>0</v>
      </c>
      <c r="U151" s="23"/>
      <c r="V151" s="23"/>
      <c r="W151" s="23"/>
      <c r="X151" s="23"/>
      <c r="Y151" s="23"/>
      <c r="Z151" s="23"/>
    </row>
    <row r="152" customHeight="1" spans="1:26">
      <c r="A152" s="23"/>
      <c r="B152" s="23"/>
      <c r="C152" s="23" t="s">
        <v>145</v>
      </c>
      <c r="D152" s="259"/>
      <c r="E152" s="259"/>
      <c r="F152" s="51"/>
      <c r="G152" s="51"/>
      <c r="H152" s="51">
        <v>0</v>
      </c>
      <c r="I152" s="51">
        <v>0</v>
      </c>
      <c r="J152" s="51">
        <v>0</v>
      </c>
      <c r="K152" s="51">
        <v>0</v>
      </c>
      <c r="L152" s="38">
        <f>'Other ASPT'!L42</f>
        <v>0</v>
      </c>
      <c r="M152" s="38">
        <f>'Other ASPT'!M42</f>
        <v>0</v>
      </c>
      <c r="N152" s="38">
        <f>'Other ASPT'!N42</f>
        <v>0</v>
      </c>
      <c r="O152" s="38">
        <f>'Other ASPT'!O42</f>
        <v>0</v>
      </c>
      <c r="P152" s="38">
        <f>'Other ASPT'!P42</f>
        <v>0</v>
      </c>
      <c r="Q152" s="38">
        <f>'Other ASPT'!Q42</f>
        <v>0</v>
      </c>
      <c r="R152" s="38">
        <f>'Other ASPT'!R42</f>
        <v>0</v>
      </c>
      <c r="S152" s="38">
        <f>'Other ASPT'!S42</f>
        <v>0</v>
      </c>
      <c r="T152" s="38">
        <f>'Other ASPT'!T42</f>
        <v>0</v>
      </c>
      <c r="U152" s="23"/>
      <c r="V152" s="23"/>
      <c r="W152" s="23"/>
      <c r="X152" s="23"/>
      <c r="Y152" s="23"/>
      <c r="Z152" s="23"/>
    </row>
    <row r="153" customHeight="1" spans="1:26">
      <c r="A153" s="23"/>
      <c r="B153" s="23"/>
      <c r="C153" s="23" t="s">
        <v>146</v>
      </c>
      <c r="D153" s="259"/>
      <c r="E153" s="259"/>
      <c r="F153" s="51"/>
      <c r="G153" s="51"/>
      <c r="H153" s="51">
        <v>0</v>
      </c>
      <c r="I153" s="51">
        <v>0</v>
      </c>
      <c r="J153" s="51">
        <v>0</v>
      </c>
      <c r="K153" s="51">
        <v>0</v>
      </c>
      <c r="L153" s="39">
        <v>0</v>
      </c>
      <c r="M153" s="39">
        <v>0</v>
      </c>
      <c r="N153" s="39">
        <v>0</v>
      </c>
      <c r="O153" s="39">
        <v>0</v>
      </c>
      <c r="P153" s="39">
        <v>0</v>
      </c>
      <c r="Q153" s="39">
        <v>0</v>
      </c>
      <c r="R153" s="39">
        <v>0</v>
      </c>
      <c r="S153" s="39">
        <v>0</v>
      </c>
      <c r="T153" s="39">
        <v>0</v>
      </c>
      <c r="U153" s="23"/>
      <c r="V153" s="23"/>
      <c r="W153" s="23"/>
      <c r="X153" s="23"/>
      <c r="Y153" s="23"/>
      <c r="Z153" s="23"/>
    </row>
    <row r="154" customHeight="1" spans="1:26">
      <c r="A154" s="23"/>
      <c r="B154" s="23"/>
      <c r="C154" s="23" t="s">
        <v>147</v>
      </c>
      <c r="D154" s="259"/>
      <c r="E154" s="259"/>
      <c r="F154" s="51"/>
      <c r="G154" s="51"/>
      <c r="H154" s="51">
        <v>-149</v>
      </c>
      <c r="I154" s="51">
        <v>-144</v>
      </c>
      <c r="J154" s="51">
        <v>-144</v>
      </c>
      <c r="K154" s="51">
        <v>-151</v>
      </c>
      <c r="L154" s="38" t="str">
        <f ca="1">'Other ASPT'!L31+'Other ASPT'!L37</f>
        <v>#REF!</v>
      </c>
      <c r="M154" s="38">
        <f>'Other ASPT'!M31+'Other ASPT'!M37</f>
        <v>-151.665532247266</v>
      </c>
      <c r="N154" s="38">
        <f>'Other ASPT'!N31+'Other ASPT'!N37</f>
        <v>-146.594008033921</v>
      </c>
      <c r="O154" s="38">
        <f>'Other ASPT'!O31+'Other ASPT'!O37</f>
        <v>-141.522483820576</v>
      </c>
      <c r="P154" s="38">
        <f>'Other ASPT'!P31+'Other ASPT'!P37</f>
        <v>-136.450959607231</v>
      </c>
      <c r="Q154" s="38">
        <f>'Other ASPT'!Q31+'Other ASPT'!Q37</f>
        <v>-131.379435393885</v>
      </c>
      <c r="R154" s="38">
        <f>'Other ASPT'!R31+'Other ASPT'!R37</f>
        <v>-126.30791118054</v>
      </c>
      <c r="S154" s="38">
        <f>'Other ASPT'!S31+'Other ASPT'!S37</f>
        <v>-121.236386967195</v>
      </c>
      <c r="T154" s="38">
        <f>'Other ASPT'!T31+'Other ASPT'!T37</f>
        <v>-116.16486275385</v>
      </c>
      <c r="U154" s="23"/>
      <c r="V154" s="23"/>
      <c r="W154" s="23"/>
      <c r="X154" s="23"/>
      <c r="Y154" s="23"/>
      <c r="Z154" s="23"/>
    </row>
    <row r="155" customHeight="1" spans="1:26">
      <c r="A155" s="23"/>
      <c r="B155" s="23"/>
      <c r="C155" s="23"/>
      <c r="D155" s="259"/>
      <c r="E155" s="259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23"/>
      <c r="V155" s="23"/>
      <c r="W155" s="23"/>
      <c r="X155" s="23"/>
      <c r="Y155" s="23"/>
      <c r="Z155" s="23"/>
    </row>
    <row r="156" customHeight="1" spans="1:26">
      <c r="A156" s="31"/>
      <c r="B156" s="32" t="s">
        <v>148</v>
      </c>
      <c r="C156" s="31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31"/>
      <c r="V156" s="31"/>
      <c r="W156" s="31"/>
      <c r="X156" s="31"/>
      <c r="Y156" s="31"/>
      <c r="Z156" s="31"/>
    </row>
    <row r="157" customHeight="1" spans="1:26">
      <c r="A157" s="23"/>
      <c r="B157" s="23"/>
      <c r="C157" s="23" t="s">
        <v>149</v>
      </c>
      <c r="D157" s="87"/>
      <c r="E157" s="87"/>
      <c r="F157" s="87"/>
      <c r="G157" s="87"/>
      <c r="H157" s="87">
        <f t="shared" ref="H157:T157" si="98">H10</f>
        <v>0.305185351103147</v>
      </c>
      <c r="I157" s="87">
        <f t="shared" si="98"/>
        <v>0.322753209700428</v>
      </c>
      <c r="J157" s="87">
        <f t="shared" si="98"/>
        <v>0.331871626831149</v>
      </c>
      <c r="K157" s="87">
        <f t="shared" si="98"/>
        <v>0.363597171926194</v>
      </c>
      <c r="L157" s="87">
        <f t="shared" si="98"/>
        <v>0.38198408232173</v>
      </c>
      <c r="M157" s="87">
        <f t="shared" si="98"/>
        <v>0.37591985428051</v>
      </c>
      <c r="N157" s="87">
        <f t="shared" si="98"/>
        <v>0.37691985428051</v>
      </c>
      <c r="O157" s="87">
        <f t="shared" si="98"/>
        <v>0.37791985428051</v>
      </c>
      <c r="P157" s="87">
        <f t="shared" si="98"/>
        <v>0.37891985428051</v>
      </c>
      <c r="Q157" s="87">
        <f t="shared" si="98"/>
        <v>0.37991985428051</v>
      </c>
      <c r="R157" s="87">
        <f t="shared" si="98"/>
        <v>0.37</v>
      </c>
      <c r="S157" s="87">
        <f t="shared" si="98"/>
        <v>0.37</v>
      </c>
      <c r="T157" s="87">
        <f t="shared" si="98"/>
        <v>0.37</v>
      </c>
      <c r="U157" s="23"/>
      <c r="V157" s="23"/>
      <c r="W157" s="23"/>
      <c r="X157" s="23"/>
      <c r="Y157" s="23"/>
      <c r="Z157" s="23"/>
    </row>
    <row r="158" customHeight="1" spans="1:26">
      <c r="A158" s="23"/>
      <c r="B158" s="23"/>
      <c r="C158" s="23" t="s">
        <v>150</v>
      </c>
      <c r="D158" s="87"/>
      <c r="E158" s="87"/>
      <c r="F158" s="87"/>
      <c r="G158" s="87"/>
      <c r="H158" s="87">
        <f t="shared" ref="H158:T158" si="99">H11/H6</f>
        <v>0</v>
      </c>
      <c r="I158" s="87">
        <f t="shared" si="99"/>
        <v>0</v>
      </c>
      <c r="J158" s="87">
        <f t="shared" si="99"/>
        <v>0</v>
      </c>
      <c r="K158" s="87">
        <f t="shared" si="99"/>
        <v>0</v>
      </c>
      <c r="L158" s="87">
        <f t="shared" si="99"/>
        <v>0</v>
      </c>
      <c r="M158" s="87">
        <f t="shared" si="99"/>
        <v>0</v>
      </c>
      <c r="N158" s="87">
        <f t="shared" si="99"/>
        <v>0</v>
      </c>
      <c r="O158" s="87">
        <f t="shared" si="99"/>
        <v>0</v>
      </c>
      <c r="P158" s="87">
        <f t="shared" si="99"/>
        <v>0</v>
      </c>
      <c r="Q158" s="87">
        <f t="shared" si="99"/>
        <v>0</v>
      </c>
      <c r="R158" s="87">
        <f t="shared" si="99"/>
        <v>0</v>
      </c>
      <c r="S158" s="87">
        <f t="shared" si="99"/>
        <v>0</v>
      </c>
      <c r="T158" s="87">
        <f t="shared" si="99"/>
        <v>0</v>
      </c>
      <c r="U158" s="23"/>
      <c r="V158" s="23"/>
      <c r="W158" s="23"/>
      <c r="X158" s="23"/>
      <c r="Y158" s="23"/>
      <c r="Z158" s="23"/>
    </row>
    <row r="159" customHeight="1" spans="1:26">
      <c r="A159" s="23"/>
      <c r="B159" s="23"/>
      <c r="C159" s="23" t="s">
        <v>151</v>
      </c>
      <c r="D159" s="87"/>
      <c r="E159" s="87"/>
      <c r="F159" s="87"/>
      <c r="G159" s="87"/>
      <c r="H159" s="87">
        <f t="shared" ref="H159:T159" si="100">-H13/H6</f>
        <v>-0.17219173479673</v>
      </c>
      <c r="I159" s="87">
        <f t="shared" si="100"/>
        <v>-0.16588546973711</v>
      </c>
      <c r="J159" s="87">
        <f t="shared" si="100"/>
        <v>-0.155503084040093</v>
      </c>
      <c r="K159" s="87">
        <f t="shared" si="100"/>
        <v>-0.163605794102431</v>
      </c>
      <c r="L159" s="87">
        <f t="shared" si="100"/>
        <v>-0.163879733097516</v>
      </c>
      <c r="M159" s="87">
        <f t="shared" si="100"/>
        <v>-0.157049180327869</v>
      </c>
      <c r="N159" s="87">
        <f t="shared" si="100"/>
        <v>-0.15</v>
      </c>
      <c r="O159" s="87">
        <f t="shared" si="100"/>
        <v>-0.15</v>
      </c>
      <c r="P159" s="87">
        <f t="shared" si="100"/>
        <v>-0.15</v>
      </c>
      <c r="Q159" s="87">
        <f t="shared" si="100"/>
        <v>-0.15</v>
      </c>
      <c r="R159" s="87">
        <f t="shared" si="100"/>
        <v>-0.15</v>
      </c>
      <c r="S159" s="87">
        <f t="shared" si="100"/>
        <v>-0.15</v>
      </c>
      <c r="T159" s="87">
        <f t="shared" si="100"/>
        <v>-0.15</v>
      </c>
      <c r="U159" s="23"/>
      <c r="V159" s="23"/>
      <c r="W159" s="23"/>
      <c r="X159" s="23"/>
      <c r="Y159" s="23"/>
      <c r="Z159" s="23"/>
    </row>
    <row r="160" customHeight="1" spans="1:26">
      <c r="A160" s="23"/>
      <c r="B160" s="23"/>
      <c r="C160" s="23" t="s">
        <v>152</v>
      </c>
      <c r="D160" s="87"/>
      <c r="E160" s="87"/>
      <c r="F160" s="87"/>
      <c r="G160" s="87"/>
      <c r="H160" s="87">
        <f t="shared" ref="H160:T160" si="101">-H16/H6</f>
        <v>-0.0308545189830888</v>
      </c>
      <c r="I160" s="87">
        <f t="shared" si="101"/>
        <v>-0.0313837375178317</v>
      </c>
      <c r="J160" s="87">
        <f t="shared" si="101"/>
        <v>-0.0320451040863531</v>
      </c>
      <c r="K160" s="87">
        <f t="shared" si="101"/>
        <v>-0.0325056044145542</v>
      </c>
      <c r="L160" s="87">
        <f t="shared" si="101"/>
        <v>-0.0319157488544095</v>
      </c>
      <c r="M160" s="87">
        <f t="shared" si="101"/>
        <v>-0.0290346083788707</v>
      </c>
      <c r="N160" s="87">
        <f t="shared" si="101"/>
        <v>-0.0290346083788707</v>
      </c>
      <c r="O160" s="87">
        <f t="shared" si="101"/>
        <v>-0.0290346083788707</v>
      </c>
      <c r="P160" s="87">
        <f t="shared" si="101"/>
        <v>-0.0290346083788707</v>
      </c>
      <c r="Q160" s="87">
        <f t="shared" si="101"/>
        <v>-0.0290346083788707</v>
      </c>
      <c r="R160" s="87">
        <f t="shared" si="101"/>
        <v>-0.0290346083788707</v>
      </c>
      <c r="S160" s="87">
        <f t="shared" si="101"/>
        <v>-0.0290346083788707</v>
      </c>
      <c r="T160" s="87">
        <f t="shared" si="101"/>
        <v>-0.0290346083788707</v>
      </c>
      <c r="U160" s="23"/>
      <c r="V160" s="23"/>
      <c r="W160" s="23"/>
      <c r="X160" s="23"/>
      <c r="Y160" s="23"/>
      <c r="Z160" s="23"/>
    </row>
    <row r="161" customHeight="1" spans="1:26">
      <c r="A161" s="23"/>
      <c r="B161" s="23"/>
      <c r="C161" s="23" t="s">
        <v>153</v>
      </c>
      <c r="D161" s="87"/>
      <c r="E161" s="87"/>
      <c r="F161" s="87"/>
      <c r="G161" s="87"/>
      <c r="H161" s="87">
        <f t="shared" ref="H161:T161" si="102">-H19/H6</f>
        <v>-0.00834359950722365</v>
      </c>
      <c r="I161" s="87">
        <f t="shared" si="102"/>
        <v>-0.00733645812105156</v>
      </c>
      <c r="J161" s="87">
        <f t="shared" si="102"/>
        <v>-0.00693909020817271</v>
      </c>
      <c r="K161" s="87">
        <f t="shared" si="102"/>
        <v>-0.00650974305914813</v>
      </c>
      <c r="L161" s="87">
        <f t="shared" si="102"/>
        <v>-0.00522550044215773</v>
      </c>
      <c r="M161" s="87">
        <f t="shared" si="102"/>
        <v>-0.00877959927140255</v>
      </c>
      <c r="N161" s="87">
        <f t="shared" si="102"/>
        <v>0</v>
      </c>
      <c r="O161" s="87">
        <f t="shared" si="102"/>
        <v>0</v>
      </c>
      <c r="P161" s="87">
        <f t="shared" si="102"/>
        <v>0</v>
      </c>
      <c r="Q161" s="87">
        <f t="shared" si="102"/>
        <v>0</v>
      </c>
      <c r="R161" s="87">
        <f t="shared" si="102"/>
        <v>0</v>
      </c>
      <c r="S161" s="87">
        <f t="shared" si="102"/>
        <v>0</v>
      </c>
      <c r="T161" s="87">
        <f t="shared" si="102"/>
        <v>0</v>
      </c>
      <c r="U161" s="23"/>
      <c r="V161" s="23"/>
      <c r="W161" s="23"/>
      <c r="X161" s="23"/>
      <c r="Y161" s="23"/>
      <c r="Z161" s="23"/>
    </row>
    <row r="162" customHeight="1" spans="1:26">
      <c r="A162" s="23"/>
      <c r="B162" s="23"/>
      <c r="C162" s="23" t="s">
        <v>60</v>
      </c>
      <c r="D162" s="87"/>
      <c r="E162" s="87"/>
      <c r="F162" s="87"/>
      <c r="G162" s="87"/>
      <c r="H162" s="87">
        <f t="shared" ref="H162:T162" si="103">H22</f>
        <v>0.106170903796618</v>
      </c>
      <c r="I162" s="87">
        <f t="shared" si="103"/>
        <v>0.149582229468107</v>
      </c>
      <c r="J162" s="87">
        <f t="shared" si="103"/>
        <v>0.138540863531226</v>
      </c>
      <c r="K162" s="87">
        <f t="shared" si="103"/>
        <v>0.16097603035006</v>
      </c>
      <c r="L162" s="87">
        <f t="shared" si="103"/>
        <v>0.180963099927647</v>
      </c>
      <c r="M162" s="87">
        <f t="shared" si="103"/>
        <v>0.181056466302368</v>
      </c>
      <c r="N162" s="87">
        <f t="shared" si="103"/>
        <v>0.197885245901639</v>
      </c>
      <c r="O162" s="87">
        <f t="shared" si="103"/>
        <v>0.198885245901639</v>
      </c>
      <c r="P162" s="87">
        <f t="shared" si="103"/>
        <v>0.199885245901639</v>
      </c>
      <c r="Q162" s="87">
        <f t="shared" si="103"/>
        <v>0.200885245901639</v>
      </c>
      <c r="R162" s="87">
        <f t="shared" si="103"/>
        <v>0.190965391621129</v>
      </c>
      <c r="S162" s="87">
        <f t="shared" si="103"/>
        <v>0.190965391621129</v>
      </c>
      <c r="T162" s="87">
        <f t="shared" si="103"/>
        <v>0.190965391621129</v>
      </c>
      <c r="U162" s="23"/>
      <c r="V162" s="23"/>
      <c r="W162" s="23"/>
      <c r="X162" s="23"/>
      <c r="Y162" s="23"/>
      <c r="Z162" s="23"/>
    </row>
    <row r="163" customHeight="1" spans="1:26">
      <c r="A163" s="23"/>
      <c r="B163" s="23"/>
      <c r="C163" s="23" t="s">
        <v>76</v>
      </c>
      <c r="D163" s="87"/>
      <c r="E163" s="87"/>
      <c r="F163" s="87"/>
      <c r="G163" s="87"/>
      <c r="H163" s="87">
        <f t="shared" ref="H163:T163" si="104">H44</f>
        <v>0.0873558069212678</v>
      </c>
      <c r="I163" s="87">
        <f t="shared" si="104"/>
        <v>0.111269614835949</v>
      </c>
      <c r="J163" s="87">
        <f t="shared" si="104"/>
        <v>0.116904394757132</v>
      </c>
      <c r="K163" s="87">
        <f t="shared" si="104"/>
        <v>0.138730815657872</v>
      </c>
      <c r="L163" s="87">
        <f t="shared" si="104"/>
        <v>0.152504220596511</v>
      </c>
      <c r="M163" s="87">
        <f t="shared" si="104"/>
        <v>0.14896174863388</v>
      </c>
      <c r="N163" s="87">
        <f t="shared" si="104"/>
        <v>0.160095344831403</v>
      </c>
      <c r="O163" s="87">
        <f t="shared" si="104"/>
        <v>0.161200732978862</v>
      </c>
      <c r="P163" s="87">
        <f t="shared" si="104"/>
        <v>0.16228905151993</v>
      </c>
      <c r="Q163" s="87">
        <f t="shared" si="104"/>
        <v>0.163359980852734</v>
      </c>
      <c r="R163" s="87">
        <f t="shared" si="104"/>
        <v>0.155364198036743</v>
      </c>
      <c r="S163" s="87">
        <f t="shared" si="104"/>
        <v>0.1555757542601</v>
      </c>
      <c r="T163" s="87">
        <f t="shared" si="104"/>
        <v>0.155773826550648</v>
      </c>
      <c r="U163" s="23"/>
      <c r="V163" s="23"/>
      <c r="W163" s="23"/>
      <c r="X163" s="23"/>
      <c r="Y163" s="23"/>
      <c r="Z163" s="23"/>
    </row>
    <row r="164" customHeight="1" spans="1:26">
      <c r="A164" s="23"/>
      <c r="B164" s="23"/>
      <c r="C164" s="260" t="s">
        <v>154</v>
      </c>
      <c r="D164" s="65"/>
      <c r="E164" s="65"/>
      <c r="F164" s="65"/>
      <c r="G164" s="65"/>
      <c r="H164" s="65">
        <f t="shared" ref="H164:T164" si="105">H42*2/(H134+G134)</f>
        <v>0.208975217682518</v>
      </c>
      <c r="I164" s="65">
        <f t="shared" si="105"/>
        <v>0.139361260887599</v>
      </c>
      <c r="J164" s="65">
        <f t="shared" si="105"/>
        <v>0.145056653412658</v>
      </c>
      <c r="K164" s="65">
        <f t="shared" si="105"/>
        <v>0.178420935905966</v>
      </c>
      <c r="L164" s="65">
        <f t="shared" si="105"/>
        <v>0.202217247628185</v>
      </c>
      <c r="M164" s="65">
        <f t="shared" si="105"/>
        <v>0.21570437580777</v>
      </c>
      <c r="N164" s="65">
        <f t="shared" si="105"/>
        <v>0.234142664958518</v>
      </c>
      <c r="O164" s="65">
        <f t="shared" si="105"/>
        <v>0.237486728710502</v>
      </c>
      <c r="P164" s="65">
        <f t="shared" si="105"/>
        <v>0.242983214504786</v>
      </c>
      <c r="Q164" s="65">
        <f t="shared" si="105"/>
        <v>0.24805485827228</v>
      </c>
      <c r="R164" s="65">
        <f t="shared" si="105"/>
        <v>0.239965636701229</v>
      </c>
      <c r="S164" s="65">
        <f t="shared" si="105"/>
        <v>0.24440699621124</v>
      </c>
      <c r="T164" s="65">
        <f t="shared" si="105"/>
        <v>0.247438368355272</v>
      </c>
      <c r="U164" s="23"/>
      <c r="V164" s="23"/>
      <c r="W164" s="23"/>
      <c r="X164" s="23"/>
      <c r="Y164" s="23"/>
      <c r="Z164" s="23"/>
    </row>
    <row r="165" customHeight="1" spans="1:26">
      <c r="A165" s="23"/>
      <c r="B165" s="23"/>
      <c r="C165" s="260" t="s">
        <v>155</v>
      </c>
      <c r="D165" s="65"/>
      <c r="E165" s="65"/>
      <c r="F165" s="65"/>
      <c r="G165" s="65"/>
      <c r="H165" s="65">
        <f t="shared" ref="H165:T165" si="106">H42*2/(H110+G110)</f>
        <v>0.0980392156862745</v>
      </c>
      <c r="I165" s="65">
        <f t="shared" si="106"/>
        <v>0.0663315667188046</v>
      </c>
      <c r="J165" s="65">
        <f t="shared" si="106"/>
        <v>0.0702770817340421</v>
      </c>
      <c r="K165" s="65" t="str">
        <f ca="1" t="shared" si="106"/>
        <v>#REF!</v>
      </c>
      <c r="L165" s="65" t="str">
        <f ca="1" t="shared" si="106"/>
        <v>#REF!</v>
      </c>
      <c r="M165" s="65">
        <f t="shared" si="106"/>
        <v>0.102698697743341</v>
      </c>
      <c r="N165" s="65">
        <f t="shared" si="106"/>
        <v>0.114671409806459</v>
      </c>
      <c r="O165" s="65">
        <f t="shared" si="106"/>
        <v>0.122295003511771</v>
      </c>
      <c r="P165" s="65">
        <f t="shared" si="106"/>
        <v>0.127479806942145</v>
      </c>
      <c r="Q165" s="65">
        <f t="shared" si="106"/>
        <v>0.132619078060855</v>
      </c>
      <c r="R165" s="65">
        <f t="shared" si="106"/>
        <v>0.130170470116232</v>
      </c>
      <c r="S165" s="65">
        <f t="shared" si="106"/>
        <v>0.134701795669783</v>
      </c>
      <c r="T165" s="65">
        <f t="shared" si="106"/>
        <v>0.138829478067358</v>
      </c>
      <c r="U165" s="23"/>
      <c r="V165" s="23"/>
      <c r="W165" s="23"/>
      <c r="X165" s="23"/>
      <c r="Y165" s="23"/>
      <c r="Z165" s="23"/>
    </row>
    <row r="166" customHeight="1" spans="1:26">
      <c r="A166" s="23"/>
      <c r="B166" s="23"/>
      <c r="C166" s="260" t="s">
        <v>156</v>
      </c>
      <c r="D166" s="65"/>
      <c r="E166" s="65"/>
      <c r="F166" s="65"/>
      <c r="G166" s="65"/>
      <c r="H166" s="65">
        <f t="shared" ref="H166:T166" si="107">H42*2/(H113+G113+H124+G124+H134+G134+H137+G137)</f>
        <v>0.135469584473101</v>
      </c>
      <c r="I166" s="65">
        <f t="shared" si="107"/>
        <v>0.0908845009467135</v>
      </c>
      <c r="J166" s="65">
        <f t="shared" si="107"/>
        <v>0.0955889595933726</v>
      </c>
      <c r="K166" s="65">
        <f t="shared" si="107"/>
        <v>0.11903749052102</v>
      </c>
      <c r="L166" s="65">
        <f t="shared" si="107"/>
        <v>0.135449206547545</v>
      </c>
      <c r="M166" s="65">
        <f t="shared" si="107"/>
        <v>0.143355478815713</v>
      </c>
      <c r="N166" s="65">
        <f t="shared" si="107"/>
        <v>0.160435426818149</v>
      </c>
      <c r="O166" s="65">
        <f t="shared" si="107"/>
        <v>0.170581722076685</v>
      </c>
      <c r="P166" s="65">
        <f t="shared" si="107"/>
        <v>0.179019008947072</v>
      </c>
      <c r="Q166" s="65">
        <f t="shared" si="107"/>
        <v>0.187309714522081</v>
      </c>
      <c r="R166" s="65">
        <f t="shared" si="107"/>
        <v>0.185359132892117</v>
      </c>
      <c r="S166" s="65">
        <f t="shared" si="107"/>
        <v>0.192887198067213</v>
      </c>
      <c r="T166" s="65">
        <f t="shared" si="107"/>
        <v>0.199518900935884</v>
      </c>
      <c r="U166" s="23"/>
      <c r="V166" s="23"/>
      <c r="W166" s="23"/>
      <c r="X166" s="23"/>
      <c r="Y166" s="23"/>
      <c r="Z166" s="23"/>
    </row>
    <row r="167" customHeight="1" spans="1:26">
      <c r="A167" s="23"/>
      <c r="B167" s="23"/>
      <c r="C167" s="23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23"/>
      <c r="V167" s="23"/>
      <c r="W167" s="23"/>
      <c r="X167" s="23"/>
      <c r="Y167" s="23"/>
      <c r="Z167" s="23"/>
    </row>
    <row r="168" customHeight="1" spans="1:26">
      <c r="A168" s="23"/>
      <c r="B168" s="23"/>
      <c r="C168" s="260" t="s">
        <v>157</v>
      </c>
      <c r="D168" s="259"/>
      <c r="E168" s="259"/>
      <c r="F168" s="259"/>
      <c r="G168" s="259"/>
      <c r="H168" s="259">
        <f>'Other ASPT'!H9</f>
        <v>29.6774554821369</v>
      </c>
      <c r="I168" s="259">
        <f>'Other ASPT'!I9</f>
        <v>57.6565365803953</v>
      </c>
      <c r="J168" s="259">
        <f>'Other ASPT'!J9</f>
        <v>64.840617771781</v>
      </c>
      <c r="K168" s="259">
        <f>'Other ASPT'!K9</f>
        <v>67.2770089670633</v>
      </c>
      <c r="L168" s="259">
        <f>'Other ASPT'!L9</f>
        <v>66</v>
      </c>
      <c r="M168" s="259">
        <f>'Other ASPT'!M9</f>
        <v>66</v>
      </c>
      <c r="N168" s="259">
        <f>'Other ASPT'!N9</f>
        <v>66</v>
      </c>
      <c r="O168" s="259">
        <f>'Other ASPT'!O9</f>
        <v>66</v>
      </c>
      <c r="P168" s="259">
        <f>'Other ASPT'!P9</f>
        <v>66</v>
      </c>
      <c r="Q168" s="259">
        <f>'Other ASPT'!Q9</f>
        <v>66</v>
      </c>
      <c r="R168" s="259">
        <f>'Other ASPT'!R9</f>
        <v>66</v>
      </c>
      <c r="S168" s="259">
        <f>'Other ASPT'!S9</f>
        <v>66</v>
      </c>
      <c r="T168" s="259">
        <f>'Other ASPT'!T9</f>
        <v>66</v>
      </c>
      <c r="U168" s="23"/>
      <c r="V168" s="23"/>
      <c r="W168" s="23"/>
      <c r="X168" s="23"/>
      <c r="Y168" s="23"/>
      <c r="Z168" s="23"/>
    </row>
    <row r="169" customHeight="1" spans="1:26">
      <c r="A169" s="23"/>
      <c r="B169" s="23"/>
      <c r="C169" s="260" t="s">
        <v>158</v>
      </c>
      <c r="D169" s="259"/>
      <c r="E169" s="259"/>
      <c r="F169" s="259"/>
      <c r="G169" s="259"/>
      <c r="H169" s="259">
        <f>-'Other ASPT'!H11</f>
        <v>31.0197050290135</v>
      </c>
      <c r="I169" s="259">
        <f>-'Other ASPT'!I11</f>
        <v>69.7160159482434</v>
      </c>
      <c r="J169" s="259">
        <f>-'Other ASPT'!J11</f>
        <v>84.2277316985215</v>
      </c>
      <c r="K169" s="259">
        <f>-'Other ASPT'!K11</f>
        <v>88.6290814252811</v>
      </c>
      <c r="L169" s="259">
        <f>-'Other ASPT'!L11</f>
        <v>89</v>
      </c>
      <c r="M169" s="259">
        <f>-'Other ASPT'!M11</f>
        <v>89</v>
      </c>
      <c r="N169" s="259">
        <f>-'Other ASPT'!N11</f>
        <v>89</v>
      </c>
      <c r="O169" s="259">
        <f>-'Other ASPT'!O11</f>
        <v>89</v>
      </c>
      <c r="P169" s="259">
        <f>-'Other ASPT'!P11</f>
        <v>89</v>
      </c>
      <c r="Q169" s="259">
        <f>-'Other ASPT'!Q11</f>
        <v>89</v>
      </c>
      <c r="R169" s="259">
        <f>-'Other ASPT'!R11</f>
        <v>89</v>
      </c>
      <c r="S169" s="259">
        <f>-'Other ASPT'!S11</f>
        <v>89</v>
      </c>
      <c r="T169" s="259">
        <f>'Other ASPT'!T11</f>
        <v>-89</v>
      </c>
      <c r="U169" s="23"/>
      <c r="V169" s="23"/>
      <c r="W169" s="23"/>
      <c r="X169" s="23"/>
      <c r="Y169" s="23"/>
      <c r="Z169" s="23"/>
    </row>
    <row r="170" customHeight="1" spans="1:26">
      <c r="A170" s="23"/>
      <c r="B170" s="23"/>
      <c r="C170" s="48" t="s">
        <v>159</v>
      </c>
      <c r="D170" s="259"/>
      <c r="E170" s="259"/>
      <c r="F170" s="259"/>
      <c r="G170" s="259"/>
      <c r="H170" s="259">
        <f>'Other ASPT'!H13</f>
        <v>5.88643745100235</v>
      </c>
      <c r="I170" s="259">
        <f>'Other ASPT'!I13</f>
        <v>11.6503209700428</v>
      </c>
      <c r="J170" s="259">
        <f>'Other ASPT'!J13</f>
        <v>11.9778816499614</v>
      </c>
      <c r="K170" s="259">
        <f>'Other ASPT'!K13</f>
        <v>12.0848422141749</v>
      </c>
      <c r="L170" s="259">
        <f>'Other ASPT'!L13</f>
        <v>12.0848422141749</v>
      </c>
      <c r="M170" s="259">
        <f>'Other ASPT'!M13</f>
        <v>12.0848422141749</v>
      </c>
      <c r="N170" s="259">
        <f>'Other ASPT'!N13</f>
        <v>12.0848422141749</v>
      </c>
      <c r="O170" s="259">
        <f>'Other ASPT'!O13</f>
        <v>12.0848422141749</v>
      </c>
      <c r="P170" s="259">
        <f>'Other ASPT'!P13</f>
        <v>12.0848422141749</v>
      </c>
      <c r="Q170" s="259">
        <f>'Other ASPT'!Q13</f>
        <v>12.0848422141749</v>
      </c>
      <c r="R170" s="259">
        <f>'Other ASPT'!R13</f>
        <v>12.0848422141749</v>
      </c>
      <c r="S170" s="259">
        <f>'Other ASPT'!S13</f>
        <v>12.0848422141749</v>
      </c>
      <c r="T170" s="259">
        <f>'Other ASPT'!T13</f>
        <v>12.0848422141749</v>
      </c>
      <c r="U170" s="23"/>
      <c r="V170" s="23"/>
      <c r="W170" s="23"/>
      <c r="X170" s="23"/>
      <c r="Y170" s="23"/>
      <c r="Z170" s="23"/>
    </row>
    <row r="171" customHeight="1" spans="1:26">
      <c r="A171" s="23"/>
      <c r="B171" s="23"/>
      <c r="C171" s="260" t="s">
        <v>160</v>
      </c>
      <c r="D171" s="259"/>
      <c r="E171" s="259"/>
      <c r="F171" s="259"/>
      <c r="G171" s="259"/>
      <c r="H171" s="259">
        <f>-'Other ASPT'!H16</f>
        <v>29.2252981947131</v>
      </c>
      <c r="I171" s="259">
        <f>-'Other ASPT'!I16</f>
        <v>65.6796810351313</v>
      </c>
      <c r="J171" s="259">
        <f>-'Other ASPT'!J16</f>
        <v>77.2515326361342</v>
      </c>
      <c r="K171" s="259">
        <f>-'Other ASPT'!K16</f>
        <v>79.5794946484216</v>
      </c>
      <c r="L171" s="259">
        <f>-'Other ASPT'!L16</f>
        <v>79.5794946484216</v>
      </c>
      <c r="M171" s="259">
        <f>-'Other ASPT'!M16</f>
        <v>79.5794946484216</v>
      </c>
      <c r="N171" s="259">
        <f>-'Other ASPT'!N16</f>
        <v>79.5794946484216</v>
      </c>
      <c r="O171" s="259">
        <f>-'Other ASPT'!O16</f>
        <v>79.5794946484216</v>
      </c>
      <c r="P171" s="259">
        <f>-'Other ASPT'!P16</f>
        <v>79.5794946484216</v>
      </c>
      <c r="Q171" s="259">
        <f>-'Other ASPT'!Q16</f>
        <v>79.5794946484216</v>
      </c>
      <c r="R171" s="259">
        <f>-'Other ASPT'!R16</f>
        <v>79.5794946484216</v>
      </c>
      <c r="S171" s="259">
        <f>-'Other ASPT'!S16</f>
        <v>79.5794946484216</v>
      </c>
      <c r="T171" s="259">
        <f>-'Other ASPT'!T16</f>
        <v>79.5794946484216</v>
      </c>
      <c r="U171" s="23"/>
      <c r="V171" s="23"/>
      <c r="W171" s="23"/>
      <c r="X171" s="23"/>
      <c r="Y171" s="23"/>
      <c r="Z171" s="23"/>
    </row>
    <row r="172" customHeight="1" spans="1:26">
      <c r="A172" s="23"/>
      <c r="B172" s="23"/>
      <c r="C172" s="23" t="s">
        <v>161</v>
      </c>
      <c r="D172" s="259"/>
      <c r="E172" s="259"/>
      <c r="F172" s="259"/>
      <c r="G172" s="259"/>
      <c r="H172" s="259">
        <f>'Other ASPT'!H20</f>
        <v>33.6625969144923</v>
      </c>
      <c r="I172" s="259">
        <f>'Other ASPT'!I20</f>
        <v>-11.6971338298353</v>
      </c>
      <c r="J172" s="259">
        <f>'Other ASPT'!J20</f>
        <v>-12.7414352686621</v>
      </c>
      <c r="K172" s="259">
        <f>'Other ASPT'!K20</f>
        <v>-14.1307072212437</v>
      </c>
      <c r="L172" s="259">
        <f>'Other ASPT'!L20</f>
        <v>-14.1307072212437</v>
      </c>
      <c r="M172" s="259">
        <f>'Other ASPT'!M20</f>
        <v>-14.1307072212437</v>
      </c>
      <c r="N172" s="259">
        <f>'Other ASPT'!N20</f>
        <v>-14.1307072212437</v>
      </c>
      <c r="O172" s="259">
        <f>'Other ASPT'!O20</f>
        <v>-14.1307072212437</v>
      </c>
      <c r="P172" s="259">
        <f>'Other ASPT'!P20</f>
        <v>-14.1307072212437</v>
      </c>
      <c r="Q172" s="259">
        <f>'Other ASPT'!Q20</f>
        <v>-14.1307072212437</v>
      </c>
      <c r="R172" s="259">
        <f>'Other ASPT'!R20</f>
        <v>-14.1307072212437</v>
      </c>
      <c r="S172" s="259">
        <f>'Other ASPT'!S20</f>
        <v>-14.1307072212437</v>
      </c>
      <c r="T172" s="259">
        <f>'Other ASPT'!T20</f>
        <v>-14.1307072212437</v>
      </c>
      <c r="U172" s="23"/>
      <c r="V172" s="23"/>
      <c r="W172" s="23"/>
      <c r="X172" s="23"/>
      <c r="Y172" s="23"/>
      <c r="Z172" s="23"/>
    </row>
    <row r="173" customHeight="1" spans="1:26">
      <c r="A173" s="23"/>
      <c r="B173" s="23"/>
      <c r="C173" s="260" t="s">
        <v>162</v>
      </c>
      <c r="D173" s="259"/>
      <c r="E173" s="259"/>
      <c r="F173" s="259"/>
      <c r="G173" s="259"/>
      <c r="H173" s="259">
        <f t="shared" ref="H173:T173" si="108">H6*2/(G110+H110)</f>
        <v>1.12229763700352</v>
      </c>
      <c r="I173" s="259">
        <f t="shared" si="108"/>
        <v>0.596133695767718</v>
      </c>
      <c r="J173" s="259">
        <f t="shared" si="108"/>
        <v>0.601150041279819</v>
      </c>
      <c r="K173" s="259" t="str">
        <f ca="1" t="shared" si="108"/>
        <v>#REF!</v>
      </c>
      <c r="L173" s="259" t="str">
        <f ca="1" t="shared" si="108"/>
        <v>#REF!</v>
      </c>
      <c r="M173" s="259">
        <f t="shared" si="108"/>
        <v>0.689429995855885</v>
      </c>
      <c r="N173" s="259">
        <f t="shared" si="108"/>
        <v>0.716269482583768</v>
      </c>
      <c r="O173" s="259">
        <f t="shared" si="108"/>
        <v>0.758650418343988</v>
      </c>
      <c r="P173" s="259">
        <f t="shared" si="108"/>
        <v>0.785510826196984</v>
      </c>
      <c r="Q173" s="259">
        <f t="shared" si="108"/>
        <v>0.811821092097268</v>
      </c>
      <c r="R173" s="259">
        <f t="shared" si="108"/>
        <v>0.837840839531428</v>
      </c>
      <c r="S173" s="259">
        <f t="shared" si="108"/>
        <v>0.865827688320774</v>
      </c>
      <c r="T173" s="259">
        <f t="shared" si="108"/>
        <v>0.891224675810472</v>
      </c>
      <c r="U173" s="23"/>
      <c r="V173" s="23"/>
      <c r="W173" s="23"/>
      <c r="X173" s="23"/>
      <c r="Y173" s="23"/>
      <c r="Z173" s="23"/>
    </row>
    <row r="174" customHeight="1" spans="1:26">
      <c r="A174" s="23"/>
      <c r="B174" s="23"/>
      <c r="C174" s="260" t="s">
        <v>163</v>
      </c>
      <c r="D174" s="65"/>
      <c r="E174" s="65"/>
      <c r="F174" s="65"/>
      <c r="G174" s="65"/>
      <c r="H174" s="65">
        <f t="shared" ref="H174:T174" si="109">H129/H110</f>
        <v>0.529506033182504</v>
      </c>
      <c r="I174" s="65">
        <f t="shared" si="109"/>
        <v>0.5165309900961</v>
      </c>
      <c r="J174" s="65">
        <f t="shared" si="109"/>
        <v>0.512366481978637</v>
      </c>
      <c r="K174" s="65" t="str">
        <f ca="1" t="shared" si="109"/>
        <v>#REF!</v>
      </c>
      <c r="L174" s="65">
        <f t="shared" si="109"/>
        <v>0.517209035720799</v>
      </c>
      <c r="M174" s="65">
        <f t="shared" si="109"/>
        <v>0.528048484848485</v>
      </c>
      <c r="N174" s="65">
        <f t="shared" si="109"/>
        <v>0.508491132059037</v>
      </c>
      <c r="O174" s="65">
        <f t="shared" si="109"/>
        <v>0.495426474436079</v>
      </c>
      <c r="P174" s="65">
        <f t="shared" si="109"/>
        <v>0.487608003082093</v>
      </c>
      <c r="Q174" s="65">
        <f t="shared" si="109"/>
        <v>0.474051512877508</v>
      </c>
      <c r="R174" s="65">
        <f t="shared" si="109"/>
        <v>0.470320969652133</v>
      </c>
      <c r="S174" s="65">
        <f t="shared" si="109"/>
        <v>0.455473918417338</v>
      </c>
      <c r="T174" s="65">
        <f t="shared" si="109"/>
        <v>0.448908723003526</v>
      </c>
      <c r="U174" s="23"/>
      <c r="V174" s="23"/>
      <c r="W174" s="23"/>
      <c r="X174" s="23"/>
      <c r="Y174" s="23"/>
      <c r="Z174" s="23"/>
    </row>
    <row r="175" customHeight="1" spans="1:26">
      <c r="A175" s="23"/>
      <c r="B175" s="23"/>
      <c r="C175" s="260" t="s">
        <v>164</v>
      </c>
      <c r="D175" s="65"/>
      <c r="E175" s="65"/>
      <c r="F175" s="65"/>
      <c r="G175" s="65"/>
      <c r="H175" s="65">
        <f t="shared" ref="H175:T175" si="110">(H113+H124)/H134</f>
        <v>0.539718687206966</v>
      </c>
      <c r="I175" s="65">
        <f t="shared" si="110"/>
        <v>0.52269542435874</v>
      </c>
      <c r="J175" s="65">
        <f t="shared" si="110"/>
        <v>0.508041793848321</v>
      </c>
      <c r="K175" s="65">
        <f t="shared" si="110"/>
        <v>0.486919520907754</v>
      </c>
      <c r="L175" s="65">
        <f t="shared" si="110"/>
        <v>0.495023799221116</v>
      </c>
      <c r="M175" s="65">
        <f t="shared" si="110"/>
        <v>0.509395109395109</v>
      </c>
      <c r="N175" s="65">
        <f t="shared" si="110"/>
        <v>0.408650186593345</v>
      </c>
      <c r="O175" s="65">
        <f t="shared" si="110"/>
        <v>0.372247679098791</v>
      </c>
      <c r="P175" s="65">
        <f t="shared" si="110"/>
        <v>0.338655892906105</v>
      </c>
      <c r="Q175" s="65">
        <f t="shared" si="110"/>
        <v>0.306210622894769</v>
      </c>
      <c r="R175" s="65">
        <f t="shared" si="110"/>
        <v>0.278885110809513</v>
      </c>
      <c r="S175" s="65">
        <f t="shared" si="110"/>
        <v>0.251270173259664</v>
      </c>
      <c r="T175" s="65">
        <f t="shared" si="110"/>
        <v>0.225010304973784</v>
      </c>
      <c r="U175" s="23"/>
      <c r="V175" s="23"/>
      <c r="W175" s="23"/>
      <c r="X175" s="23"/>
      <c r="Y175" s="23"/>
      <c r="Z175" s="23"/>
    </row>
    <row r="176" customHeight="1" spans="1:26">
      <c r="A176" s="23"/>
      <c r="B176" s="23"/>
      <c r="C176" s="23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3"/>
      <c r="V176" s="23"/>
      <c r="W176" s="23"/>
      <c r="X176" s="23"/>
      <c r="Y176" s="23"/>
      <c r="Z176" s="23"/>
    </row>
    <row r="177" ht="15.75" customHeight="1" spans="1:26">
      <c r="A177" s="23"/>
      <c r="B177" s="23"/>
      <c r="C177" s="23"/>
      <c r="D177" s="27"/>
      <c r="E177" s="27"/>
      <c r="F177" s="27"/>
      <c r="G177" s="27"/>
      <c r="H177" s="27"/>
      <c r="I177" s="23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3"/>
      <c r="V177" s="23"/>
      <c r="W177" s="23"/>
      <c r="X177" s="23"/>
      <c r="Y177" s="23"/>
      <c r="Z177" s="23"/>
    </row>
    <row r="178" ht="15.75" customHeight="1" spans="1:26">
      <c r="A178" s="23"/>
      <c r="B178" s="23"/>
      <c r="C178" s="23"/>
      <c r="D178" s="27"/>
      <c r="E178" s="27"/>
      <c r="F178" s="27"/>
      <c r="G178" s="27"/>
      <c r="H178" s="27"/>
      <c r="I178" s="23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3"/>
      <c r="V178" s="23"/>
      <c r="W178" s="23"/>
      <c r="X178" s="23"/>
      <c r="Y178" s="23"/>
      <c r="Z178" s="23"/>
    </row>
    <row r="179" ht="15.75" customHeight="1" spans="1:26">
      <c r="A179" s="23"/>
      <c r="B179" s="23"/>
      <c r="C179" s="23"/>
      <c r="D179" s="27"/>
      <c r="E179" s="27"/>
      <c r="F179" s="27"/>
      <c r="G179" s="27"/>
      <c r="H179" s="27"/>
      <c r="I179" s="23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3"/>
      <c r="V179" s="23"/>
      <c r="W179" s="23"/>
      <c r="X179" s="23"/>
      <c r="Y179" s="23"/>
      <c r="Z179" s="23"/>
    </row>
    <row r="180" ht="15.75" customHeight="1" spans="1:26">
      <c r="A180" s="23"/>
      <c r="B180" s="23"/>
      <c r="C180" s="23"/>
      <c r="D180" s="27"/>
      <c r="E180" s="27"/>
      <c r="F180" s="27"/>
      <c r="G180" s="27"/>
      <c r="H180" s="27"/>
      <c r="I180" s="23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3"/>
      <c r="V180" s="23"/>
      <c r="W180" s="23"/>
      <c r="X180" s="23"/>
      <c r="Y180" s="23"/>
      <c r="Z180" s="23"/>
    </row>
    <row r="181" ht="15.75" customHeight="1" spans="1:26">
      <c r="A181" s="23"/>
      <c r="B181" s="23"/>
      <c r="C181" s="23"/>
      <c r="D181" s="27"/>
      <c r="E181" s="27"/>
      <c r="F181" s="27"/>
      <c r="G181" s="27"/>
      <c r="H181" s="27"/>
      <c r="I181" s="23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3"/>
      <c r="V181" s="23"/>
      <c r="W181" s="23"/>
      <c r="X181" s="23"/>
      <c r="Y181" s="23"/>
      <c r="Z181" s="23"/>
    </row>
    <row r="182" ht="15.75" customHeight="1" spans="1:26">
      <c r="A182" s="23"/>
      <c r="B182" s="23"/>
      <c r="C182" s="23"/>
      <c r="D182" s="27"/>
      <c r="E182" s="27"/>
      <c r="F182" s="27"/>
      <c r="G182" s="27"/>
      <c r="H182" s="27"/>
      <c r="I182" s="23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3"/>
      <c r="V182" s="23"/>
      <c r="W182" s="23"/>
      <c r="X182" s="23"/>
      <c r="Y182" s="23"/>
      <c r="Z182" s="23"/>
    </row>
    <row r="183" ht="15.75" customHeight="1" spans="1:26">
      <c r="A183" s="23"/>
      <c r="B183" s="23"/>
      <c r="C183" s="23"/>
      <c r="D183" s="27"/>
      <c r="E183" s="27"/>
      <c r="F183" s="27"/>
      <c r="G183" s="27"/>
      <c r="H183" s="27"/>
      <c r="I183" s="23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3"/>
      <c r="V183" s="23"/>
      <c r="W183" s="23"/>
      <c r="X183" s="23"/>
      <c r="Y183" s="23"/>
      <c r="Z183" s="23"/>
    </row>
    <row r="184" ht="15.75" customHeight="1" spans="1:26">
      <c r="A184" s="23"/>
      <c r="B184" s="23"/>
      <c r="C184" s="23"/>
      <c r="D184" s="27"/>
      <c r="E184" s="27"/>
      <c r="F184" s="27"/>
      <c r="G184" s="27"/>
      <c r="H184" s="27"/>
      <c r="I184" s="23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3"/>
      <c r="V184" s="23"/>
      <c r="W184" s="23"/>
      <c r="X184" s="23"/>
      <c r="Y184" s="23"/>
      <c r="Z184" s="23"/>
    </row>
    <row r="185" ht="15.75" customHeight="1" spans="1:26">
      <c r="A185" s="23"/>
      <c r="B185" s="23"/>
      <c r="C185" s="23"/>
      <c r="D185" s="27"/>
      <c r="E185" s="27"/>
      <c r="F185" s="27"/>
      <c r="G185" s="27"/>
      <c r="H185" s="27"/>
      <c r="I185" s="23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3"/>
      <c r="V185" s="23"/>
      <c r="W185" s="23"/>
      <c r="X185" s="23"/>
      <c r="Y185" s="23"/>
      <c r="Z185" s="23"/>
    </row>
    <row r="186" ht="15.75" customHeight="1" spans="1:26">
      <c r="A186" s="23"/>
      <c r="B186" s="23"/>
      <c r="C186" s="23"/>
      <c r="D186" s="27"/>
      <c r="E186" s="27"/>
      <c r="F186" s="27"/>
      <c r="G186" s="27"/>
      <c r="H186" s="27"/>
      <c r="I186" s="23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3"/>
      <c r="V186" s="23"/>
      <c r="W186" s="23"/>
      <c r="X186" s="23"/>
      <c r="Y186" s="23"/>
      <c r="Z186" s="23"/>
    </row>
    <row r="187" ht="15.75" customHeight="1" spans="1:26">
      <c r="A187" s="23"/>
      <c r="B187" s="23"/>
      <c r="C187" s="23"/>
      <c r="D187" s="27"/>
      <c r="E187" s="27"/>
      <c r="F187" s="27"/>
      <c r="G187" s="27"/>
      <c r="H187" s="27"/>
      <c r="I187" s="23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3"/>
      <c r="V187" s="23"/>
      <c r="W187" s="23"/>
      <c r="X187" s="23"/>
      <c r="Y187" s="23"/>
      <c r="Z187" s="23"/>
    </row>
    <row r="188" ht="15.75" customHeight="1" spans="1:26">
      <c r="A188" s="23"/>
      <c r="B188" s="23"/>
      <c r="C188" s="23"/>
      <c r="D188" s="27"/>
      <c r="E188" s="27"/>
      <c r="F188" s="27"/>
      <c r="G188" s="27"/>
      <c r="H188" s="27"/>
      <c r="I188" s="23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3"/>
      <c r="V188" s="23"/>
      <c r="W188" s="23"/>
      <c r="X188" s="23"/>
      <c r="Y188" s="23"/>
      <c r="Z188" s="23"/>
    </row>
    <row r="189" ht="15.75" customHeight="1" spans="1:26">
      <c r="A189" s="23"/>
      <c r="B189" s="23"/>
      <c r="C189" s="23"/>
      <c r="D189" s="27"/>
      <c r="E189" s="27"/>
      <c r="F189" s="27"/>
      <c r="G189" s="27"/>
      <c r="H189" s="27"/>
      <c r="I189" s="23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3"/>
      <c r="V189" s="23"/>
      <c r="W189" s="23"/>
      <c r="X189" s="23"/>
      <c r="Y189" s="23"/>
      <c r="Z189" s="23"/>
    </row>
    <row r="190" ht="15.75" customHeight="1" spans="1:26">
      <c r="A190" s="23"/>
      <c r="B190" s="23"/>
      <c r="C190" s="23"/>
      <c r="D190" s="27"/>
      <c r="E190" s="27"/>
      <c r="F190" s="27"/>
      <c r="G190" s="27"/>
      <c r="H190" s="27"/>
      <c r="I190" s="23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3"/>
      <c r="V190" s="23"/>
      <c r="W190" s="23"/>
      <c r="X190" s="23"/>
      <c r="Y190" s="23"/>
      <c r="Z190" s="23"/>
    </row>
    <row r="191" ht="15.75" customHeight="1" spans="1:26">
      <c r="A191" s="23"/>
      <c r="B191" s="23"/>
      <c r="C191" s="23"/>
      <c r="D191" s="27"/>
      <c r="E191" s="27"/>
      <c r="F191" s="27"/>
      <c r="G191" s="27"/>
      <c r="H191" s="27"/>
      <c r="I191" s="23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3"/>
      <c r="V191" s="23"/>
      <c r="W191" s="23"/>
      <c r="X191" s="23"/>
      <c r="Y191" s="23"/>
      <c r="Z191" s="23"/>
    </row>
    <row r="192" ht="15.75" customHeight="1" spans="1:26">
      <c r="A192" s="23"/>
      <c r="B192" s="23"/>
      <c r="C192" s="23"/>
      <c r="D192" s="27"/>
      <c r="E192" s="27"/>
      <c r="F192" s="27"/>
      <c r="G192" s="27"/>
      <c r="H192" s="27"/>
      <c r="I192" s="23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3"/>
      <c r="V192" s="23"/>
      <c r="W192" s="23"/>
      <c r="X192" s="23"/>
      <c r="Y192" s="23"/>
      <c r="Z192" s="23"/>
    </row>
    <row r="193" ht="15.75" customHeight="1" spans="1:26">
      <c r="A193" s="23"/>
      <c r="B193" s="23"/>
      <c r="C193" s="23"/>
      <c r="D193" s="27"/>
      <c r="E193" s="27"/>
      <c r="F193" s="27"/>
      <c r="G193" s="27"/>
      <c r="H193" s="27"/>
      <c r="I193" s="23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3"/>
      <c r="V193" s="23"/>
      <c r="W193" s="23"/>
      <c r="X193" s="23"/>
      <c r="Y193" s="23"/>
      <c r="Z193" s="23"/>
    </row>
    <row r="194" ht="15.75" customHeight="1" spans="1:26">
      <c r="A194" s="23"/>
      <c r="B194" s="23"/>
      <c r="C194" s="23"/>
      <c r="D194" s="27"/>
      <c r="E194" s="27"/>
      <c r="F194" s="27"/>
      <c r="G194" s="27"/>
      <c r="H194" s="27"/>
      <c r="I194" s="23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3"/>
      <c r="V194" s="23"/>
      <c r="W194" s="23"/>
      <c r="X194" s="23"/>
      <c r="Y194" s="23"/>
      <c r="Z194" s="23"/>
    </row>
    <row r="195" ht="15.75" customHeight="1" spans="1:26">
      <c r="A195" s="23"/>
      <c r="B195" s="23"/>
      <c r="C195" s="23"/>
      <c r="D195" s="27"/>
      <c r="E195" s="27"/>
      <c r="F195" s="27"/>
      <c r="G195" s="27"/>
      <c r="H195" s="27"/>
      <c r="I195" s="23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3"/>
      <c r="V195" s="23"/>
      <c r="W195" s="23"/>
      <c r="X195" s="23"/>
      <c r="Y195" s="23"/>
      <c r="Z195" s="23"/>
    </row>
    <row r="196" ht="15.75" customHeight="1" spans="1:26">
      <c r="A196" s="23"/>
      <c r="B196" s="23"/>
      <c r="C196" s="23"/>
      <c r="D196" s="27"/>
      <c r="E196" s="27"/>
      <c r="F196" s="27"/>
      <c r="G196" s="27"/>
      <c r="H196" s="27"/>
      <c r="I196" s="23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3"/>
      <c r="V196" s="23"/>
      <c r="W196" s="23"/>
      <c r="X196" s="23"/>
      <c r="Y196" s="23"/>
      <c r="Z196" s="23"/>
    </row>
    <row r="197" ht="15.75" customHeight="1" spans="1:26">
      <c r="A197" s="23"/>
      <c r="B197" s="23"/>
      <c r="C197" s="23"/>
      <c r="D197" s="27"/>
      <c r="E197" s="27"/>
      <c r="F197" s="27"/>
      <c r="G197" s="27"/>
      <c r="H197" s="27"/>
      <c r="I197" s="23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3"/>
      <c r="V197" s="23"/>
      <c r="W197" s="23"/>
      <c r="X197" s="23"/>
      <c r="Y197" s="23"/>
      <c r="Z197" s="23"/>
    </row>
    <row r="198" ht="15.75" customHeight="1" spans="1:26">
      <c r="A198" s="23"/>
      <c r="B198" s="23"/>
      <c r="C198" s="23"/>
      <c r="D198" s="27"/>
      <c r="E198" s="27"/>
      <c r="F198" s="27"/>
      <c r="G198" s="27"/>
      <c r="H198" s="27"/>
      <c r="I198" s="23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3"/>
      <c r="V198" s="23"/>
      <c r="W198" s="23"/>
      <c r="X198" s="23"/>
      <c r="Y198" s="23"/>
      <c r="Z198" s="23"/>
    </row>
    <row r="199" ht="15.75" customHeight="1" spans="1:26">
      <c r="A199" s="23"/>
      <c r="B199" s="23"/>
      <c r="C199" s="23"/>
      <c r="D199" s="27"/>
      <c r="E199" s="27"/>
      <c r="F199" s="27"/>
      <c r="G199" s="27"/>
      <c r="H199" s="27"/>
      <c r="I199" s="23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3"/>
      <c r="V199" s="23"/>
      <c r="W199" s="23"/>
      <c r="X199" s="23"/>
      <c r="Y199" s="23"/>
      <c r="Z199" s="23"/>
    </row>
    <row r="200" ht="15.75" customHeight="1" spans="1:26">
      <c r="A200" s="23"/>
      <c r="B200" s="23"/>
      <c r="C200" s="23"/>
      <c r="D200" s="27"/>
      <c r="E200" s="27"/>
      <c r="F200" s="27"/>
      <c r="G200" s="27"/>
      <c r="H200" s="27"/>
      <c r="I200" s="23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3"/>
      <c r="V200" s="23"/>
      <c r="W200" s="23"/>
      <c r="X200" s="23"/>
      <c r="Y200" s="23"/>
      <c r="Z200" s="23"/>
    </row>
    <row r="201" ht="15.75" customHeight="1" spans="1:26">
      <c r="A201" s="23"/>
      <c r="B201" s="23"/>
      <c r="C201" s="23"/>
      <c r="D201" s="27"/>
      <c r="E201" s="27"/>
      <c r="F201" s="27"/>
      <c r="G201" s="27"/>
      <c r="H201" s="27"/>
      <c r="I201" s="23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3"/>
      <c r="V201" s="23"/>
      <c r="W201" s="23"/>
      <c r="X201" s="23"/>
      <c r="Y201" s="23"/>
      <c r="Z201" s="23"/>
    </row>
    <row r="202" ht="15.75" customHeight="1" spans="1:26">
      <c r="A202" s="23"/>
      <c r="B202" s="23"/>
      <c r="C202" s="23"/>
      <c r="D202" s="27"/>
      <c r="E202" s="27"/>
      <c r="F202" s="27"/>
      <c r="G202" s="27"/>
      <c r="H202" s="27"/>
      <c r="I202" s="23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3"/>
      <c r="V202" s="23"/>
      <c r="W202" s="23"/>
      <c r="X202" s="23"/>
      <c r="Y202" s="23"/>
      <c r="Z202" s="23"/>
    </row>
    <row r="203" ht="15.75" customHeight="1" spans="1:26">
      <c r="A203" s="23"/>
      <c r="B203" s="23"/>
      <c r="C203" s="23"/>
      <c r="D203" s="27"/>
      <c r="E203" s="27"/>
      <c r="F203" s="27"/>
      <c r="G203" s="27"/>
      <c r="H203" s="27"/>
      <c r="I203" s="23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3"/>
      <c r="V203" s="23"/>
      <c r="W203" s="23"/>
      <c r="X203" s="23"/>
      <c r="Y203" s="23"/>
      <c r="Z203" s="23"/>
    </row>
    <row r="204" ht="15.75" customHeight="1" spans="1:26">
      <c r="A204" s="23"/>
      <c r="B204" s="23"/>
      <c r="C204" s="23"/>
      <c r="D204" s="27"/>
      <c r="E204" s="27"/>
      <c r="F204" s="27"/>
      <c r="G204" s="27"/>
      <c r="H204" s="27"/>
      <c r="I204" s="23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3"/>
      <c r="V204" s="23"/>
      <c r="W204" s="23"/>
      <c r="X204" s="23"/>
      <c r="Y204" s="23"/>
      <c r="Z204" s="23"/>
    </row>
    <row r="205" ht="15.75" customHeight="1" spans="1:26">
      <c r="A205" s="23"/>
      <c r="B205" s="23"/>
      <c r="C205" s="23"/>
      <c r="D205" s="27"/>
      <c r="E205" s="27"/>
      <c r="F205" s="27"/>
      <c r="G205" s="27"/>
      <c r="H205" s="27"/>
      <c r="I205" s="23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3"/>
      <c r="V205" s="23"/>
      <c r="W205" s="23"/>
      <c r="X205" s="23"/>
      <c r="Y205" s="23"/>
      <c r="Z205" s="23"/>
    </row>
    <row r="206" ht="15.75" customHeight="1" spans="1:26">
      <c r="A206" s="23"/>
      <c r="B206" s="23"/>
      <c r="C206" s="23"/>
      <c r="D206" s="27"/>
      <c r="E206" s="27"/>
      <c r="F206" s="27"/>
      <c r="G206" s="27"/>
      <c r="H206" s="27"/>
      <c r="I206" s="23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3"/>
      <c r="V206" s="23"/>
      <c r="W206" s="23"/>
      <c r="X206" s="23"/>
      <c r="Y206" s="23"/>
      <c r="Z206" s="23"/>
    </row>
    <row r="207" ht="15.75" customHeight="1" spans="1:26">
      <c r="A207" s="23"/>
      <c r="B207" s="23"/>
      <c r="C207" s="23"/>
      <c r="D207" s="27"/>
      <c r="E207" s="27"/>
      <c r="F207" s="27"/>
      <c r="G207" s="27"/>
      <c r="H207" s="27"/>
      <c r="I207" s="23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3"/>
      <c r="V207" s="23"/>
      <c r="W207" s="23"/>
      <c r="X207" s="23"/>
      <c r="Y207" s="23"/>
      <c r="Z207" s="23"/>
    </row>
    <row r="208" ht="15.75" customHeight="1" spans="1:26">
      <c r="A208" s="23"/>
      <c r="B208" s="23"/>
      <c r="C208" s="23"/>
      <c r="D208" s="27"/>
      <c r="E208" s="27"/>
      <c r="F208" s="27"/>
      <c r="G208" s="27"/>
      <c r="H208" s="27"/>
      <c r="I208" s="23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3"/>
      <c r="V208" s="23"/>
      <c r="W208" s="23"/>
      <c r="X208" s="23"/>
      <c r="Y208" s="23"/>
      <c r="Z208" s="23"/>
    </row>
    <row r="209" ht="15.75" customHeight="1" spans="1:26">
      <c r="A209" s="23"/>
      <c r="B209" s="23"/>
      <c r="C209" s="23"/>
      <c r="D209" s="27"/>
      <c r="E209" s="27"/>
      <c r="F209" s="27"/>
      <c r="G209" s="27"/>
      <c r="H209" s="27"/>
      <c r="I209" s="23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3"/>
      <c r="V209" s="23"/>
      <c r="W209" s="23"/>
      <c r="X209" s="23"/>
      <c r="Y209" s="23"/>
      <c r="Z209" s="23"/>
    </row>
    <row r="210" ht="15.75" customHeight="1" spans="1:26">
      <c r="A210" s="23"/>
      <c r="B210" s="23"/>
      <c r="C210" s="23"/>
      <c r="D210" s="27"/>
      <c r="E210" s="27"/>
      <c r="F210" s="27"/>
      <c r="G210" s="27"/>
      <c r="H210" s="27"/>
      <c r="I210" s="23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3"/>
      <c r="V210" s="23"/>
      <c r="W210" s="23"/>
      <c r="X210" s="23"/>
      <c r="Y210" s="23"/>
      <c r="Z210" s="23"/>
    </row>
    <row r="211" ht="15.75" customHeight="1" spans="1:26">
      <c r="A211" s="23"/>
      <c r="B211" s="23"/>
      <c r="C211" s="23"/>
      <c r="D211" s="27"/>
      <c r="E211" s="27"/>
      <c r="F211" s="27"/>
      <c r="G211" s="27"/>
      <c r="H211" s="27"/>
      <c r="I211" s="23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3"/>
      <c r="V211" s="23"/>
      <c r="W211" s="23"/>
      <c r="X211" s="23"/>
      <c r="Y211" s="23"/>
      <c r="Z211" s="23"/>
    </row>
    <row r="212" ht="15.75" customHeight="1" spans="1:26">
      <c r="A212" s="23"/>
      <c r="B212" s="23"/>
      <c r="C212" s="23"/>
      <c r="D212" s="27"/>
      <c r="E212" s="27"/>
      <c r="F212" s="27"/>
      <c r="G212" s="27"/>
      <c r="H212" s="27"/>
      <c r="I212" s="23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3"/>
      <c r="V212" s="23"/>
      <c r="W212" s="23"/>
      <c r="X212" s="23"/>
      <c r="Y212" s="23"/>
      <c r="Z212" s="23"/>
    </row>
    <row r="213" ht="15.75" customHeight="1" spans="1:26">
      <c r="A213" s="23"/>
      <c r="B213" s="23"/>
      <c r="C213" s="23"/>
      <c r="D213" s="27"/>
      <c r="E213" s="27"/>
      <c r="F213" s="27"/>
      <c r="G213" s="27"/>
      <c r="H213" s="27"/>
      <c r="I213" s="23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3"/>
      <c r="V213" s="23"/>
      <c r="W213" s="23"/>
      <c r="X213" s="23"/>
      <c r="Y213" s="23"/>
      <c r="Z213" s="23"/>
    </row>
    <row r="214" ht="15.75" customHeight="1" spans="1:26">
      <c r="A214" s="23"/>
      <c r="B214" s="23"/>
      <c r="C214" s="23"/>
      <c r="D214" s="27"/>
      <c r="E214" s="27"/>
      <c r="F214" s="27"/>
      <c r="G214" s="27"/>
      <c r="H214" s="27"/>
      <c r="I214" s="23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3"/>
      <c r="V214" s="23"/>
      <c r="W214" s="23"/>
      <c r="X214" s="23"/>
      <c r="Y214" s="23"/>
      <c r="Z214" s="23"/>
    </row>
    <row r="215" ht="15.75" customHeight="1" spans="1:26">
      <c r="A215" s="23"/>
      <c r="B215" s="23"/>
      <c r="C215" s="23"/>
      <c r="D215" s="27"/>
      <c r="E215" s="27"/>
      <c r="F215" s="27"/>
      <c r="G215" s="27"/>
      <c r="H215" s="27"/>
      <c r="I215" s="23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3"/>
      <c r="V215" s="23"/>
      <c r="W215" s="23"/>
      <c r="X215" s="23"/>
      <c r="Y215" s="23"/>
      <c r="Z215" s="23"/>
    </row>
    <row r="216" ht="15.75" customHeight="1" spans="1:26">
      <c r="A216" s="23"/>
      <c r="B216" s="23"/>
      <c r="C216" s="23"/>
      <c r="D216" s="27"/>
      <c r="E216" s="27"/>
      <c r="F216" s="27"/>
      <c r="G216" s="27"/>
      <c r="H216" s="27"/>
      <c r="I216" s="23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3"/>
      <c r="V216" s="23"/>
      <c r="W216" s="23"/>
      <c r="X216" s="23"/>
      <c r="Y216" s="23"/>
      <c r="Z216" s="23"/>
    </row>
    <row r="217" ht="15.75" customHeight="1" spans="1:26">
      <c r="A217" s="23"/>
      <c r="B217" s="23"/>
      <c r="C217" s="23"/>
      <c r="D217" s="27"/>
      <c r="E217" s="27"/>
      <c r="F217" s="27"/>
      <c r="G217" s="27"/>
      <c r="H217" s="27"/>
      <c r="I217" s="23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3"/>
      <c r="V217" s="23"/>
      <c r="W217" s="23"/>
      <c r="X217" s="23"/>
      <c r="Y217" s="23"/>
      <c r="Z217" s="23"/>
    </row>
    <row r="218" ht="15.75" customHeight="1" spans="1:26">
      <c r="A218" s="23"/>
      <c r="B218" s="23"/>
      <c r="C218" s="23"/>
      <c r="D218" s="27"/>
      <c r="E218" s="27"/>
      <c r="F218" s="27"/>
      <c r="G218" s="27"/>
      <c r="H218" s="27"/>
      <c r="I218" s="23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3"/>
      <c r="V218" s="23"/>
      <c r="W218" s="23"/>
      <c r="X218" s="23"/>
      <c r="Y218" s="23"/>
      <c r="Z218" s="23"/>
    </row>
    <row r="219" ht="15.75" customHeight="1" spans="1:26">
      <c r="A219" s="23"/>
      <c r="B219" s="23"/>
      <c r="C219" s="23"/>
      <c r="D219" s="27"/>
      <c r="E219" s="27"/>
      <c r="F219" s="27"/>
      <c r="G219" s="27"/>
      <c r="H219" s="27"/>
      <c r="I219" s="23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3"/>
      <c r="V219" s="23"/>
      <c r="W219" s="23"/>
      <c r="X219" s="23"/>
      <c r="Y219" s="23"/>
      <c r="Z219" s="23"/>
    </row>
    <row r="220" ht="15.75" customHeight="1" spans="1:26">
      <c r="A220" s="23"/>
      <c r="B220" s="23"/>
      <c r="C220" s="23"/>
      <c r="D220" s="27"/>
      <c r="E220" s="27"/>
      <c r="F220" s="27"/>
      <c r="G220" s="27"/>
      <c r="H220" s="27"/>
      <c r="I220" s="23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3"/>
      <c r="V220" s="23"/>
      <c r="W220" s="23"/>
      <c r="X220" s="23"/>
      <c r="Y220" s="23"/>
      <c r="Z220" s="23"/>
    </row>
    <row r="221" ht="15.75" customHeight="1" spans="1:26">
      <c r="A221" s="23"/>
      <c r="B221" s="23"/>
      <c r="C221" s="23"/>
      <c r="D221" s="27"/>
      <c r="E221" s="27"/>
      <c r="F221" s="27"/>
      <c r="G221" s="27"/>
      <c r="H221" s="27"/>
      <c r="I221" s="23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3"/>
      <c r="V221" s="23"/>
      <c r="W221" s="23"/>
      <c r="X221" s="23"/>
      <c r="Y221" s="23"/>
      <c r="Z221" s="23"/>
    </row>
    <row r="222" ht="15.75" customHeight="1" spans="1:26">
      <c r="A222" s="23"/>
      <c r="B222" s="23"/>
      <c r="C222" s="23"/>
      <c r="D222" s="27"/>
      <c r="E222" s="27"/>
      <c r="F222" s="27"/>
      <c r="G222" s="27"/>
      <c r="H222" s="27"/>
      <c r="I222" s="23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3"/>
      <c r="V222" s="23"/>
      <c r="W222" s="23"/>
      <c r="X222" s="23"/>
      <c r="Y222" s="23"/>
      <c r="Z222" s="23"/>
    </row>
    <row r="223" ht="15.75" customHeight="1" spans="1:26">
      <c r="A223" s="23"/>
      <c r="B223" s="23"/>
      <c r="C223" s="23"/>
      <c r="D223" s="27"/>
      <c r="E223" s="27"/>
      <c r="F223" s="27"/>
      <c r="G223" s="27"/>
      <c r="H223" s="27"/>
      <c r="I223" s="23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3"/>
      <c r="V223" s="23"/>
      <c r="W223" s="23"/>
      <c r="X223" s="23"/>
      <c r="Y223" s="23"/>
      <c r="Z223" s="23"/>
    </row>
    <row r="224" ht="15.75" customHeight="1" spans="1:26">
      <c r="A224" s="23"/>
      <c r="B224" s="23"/>
      <c r="C224" s="23"/>
      <c r="D224" s="27"/>
      <c r="E224" s="27"/>
      <c r="F224" s="27"/>
      <c r="G224" s="27"/>
      <c r="H224" s="27"/>
      <c r="I224" s="23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3"/>
      <c r="V224" s="23"/>
      <c r="W224" s="23"/>
      <c r="X224" s="23"/>
      <c r="Y224" s="23"/>
      <c r="Z224" s="23"/>
    </row>
    <row r="225" ht="15.75" customHeight="1" spans="1:26">
      <c r="A225" s="23"/>
      <c r="B225" s="23"/>
      <c r="C225" s="23"/>
      <c r="D225" s="27"/>
      <c r="E225" s="27"/>
      <c r="F225" s="27"/>
      <c r="G225" s="27"/>
      <c r="H225" s="27"/>
      <c r="I225" s="23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3"/>
      <c r="V225" s="23"/>
      <c r="W225" s="23"/>
      <c r="X225" s="23"/>
      <c r="Y225" s="23"/>
      <c r="Z225" s="23"/>
    </row>
    <row r="226" ht="15.75" customHeight="1" spans="1:26">
      <c r="A226" s="23"/>
      <c r="B226" s="23"/>
      <c r="C226" s="23"/>
      <c r="D226" s="27"/>
      <c r="E226" s="27"/>
      <c r="F226" s="27"/>
      <c r="G226" s="27"/>
      <c r="H226" s="27"/>
      <c r="I226" s="23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3"/>
      <c r="V226" s="23"/>
      <c r="W226" s="23"/>
      <c r="X226" s="23"/>
      <c r="Y226" s="23"/>
      <c r="Z226" s="23"/>
    </row>
    <row r="227" ht="15.75" customHeight="1" spans="1:26">
      <c r="A227" s="23"/>
      <c r="B227" s="23"/>
      <c r="C227" s="23"/>
      <c r="D227" s="27"/>
      <c r="E227" s="27"/>
      <c r="F227" s="27"/>
      <c r="G227" s="27"/>
      <c r="H227" s="27"/>
      <c r="I227" s="23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3"/>
      <c r="V227" s="23"/>
      <c r="W227" s="23"/>
      <c r="X227" s="23"/>
      <c r="Y227" s="23"/>
      <c r="Z227" s="23"/>
    </row>
    <row r="228" ht="15.75" customHeight="1" spans="1:26">
      <c r="A228" s="23"/>
      <c r="B228" s="23"/>
      <c r="C228" s="23"/>
      <c r="D228" s="27"/>
      <c r="E228" s="27"/>
      <c r="F228" s="27"/>
      <c r="G228" s="27"/>
      <c r="H228" s="27"/>
      <c r="I228" s="23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3"/>
      <c r="V228" s="23"/>
      <c r="W228" s="23"/>
      <c r="X228" s="23"/>
      <c r="Y228" s="23"/>
      <c r="Z228" s="23"/>
    </row>
    <row r="229" ht="15.75" customHeight="1" spans="1:26">
      <c r="A229" s="23"/>
      <c r="B229" s="23"/>
      <c r="C229" s="23"/>
      <c r="D229" s="27"/>
      <c r="E229" s="27"/>
      <c r="F229" s="27"/>
      <c r="G229" s="27"/>
      <c r="H229" s="27"/>
      <c r="I229" s="23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3"/>
      <c r="V229" s="23"/>
      <c r="W229" s="23"/>
      <c r="X229" s="23"/>
      <c r="Y229" s="23"/>
      <c r="Z229" s="23"/>
    </row>
    <row r="230" ht="15.75" customHeight="1" spans="1:26">
      <c r="A230" s="23"/>
      <c r="B230" s="23"/>
      <c r="C230" s="23"/>
      <c r="D230" s="27"/>
      <c r="E230" s="27"/>
      <c r="F230" s="27"/>
      <c r="G230" s="27"/>
      <c r="H230" s="27"/>
      <c r="I230" s="23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3"/>
      <c r="V230" s="23"/>
      <c r="W230" s="23"/>
      <c r="X230" s="23"/>
      <c r="Y230" s="23"/>
      <c r="Z230" s="23"/>
    </row>
    <row r="231" ht="15.75" customHeight="1" spans="1:26">
      <c r="A231" s="23"/>
      <c r="B231" s="23"/>
      <c r="C231" s="23"/>
      <c r="D231" s="27"/>
      <c r="E231" s="27"/>
      <c r="F231" s="27"/>
      <c r="G231" s="27"/>
      <c r="H231" s="27"/>
      <c r="I231" s="23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3"/>
      <c r="V231" s="23"/>
      <c r="W231" s="23"/>
      <c r="X231" s="23"/>
      <c r="Y231" s="23"/>
      <c r="Z231" s="23"/>
    </row>
    <row r="232" ht="15.75" customHeight="1" spans="1:26">
      <c r="A232" s="23"/>
      <c r="B232" s="23"/>
      <c r="C232" s="23"/>
      <c r="D232" s="27"/>
      <c r="E232" s="27"/>
      <c r="F232" s="27"/>
      <c r="G232" s="27"/>
      <c r="H232" s="27"/>
      <c r="I232" s="23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3"/>
      <c r="V232" s="23"/>
      <c r="W232" s="23"/>
      <c r="X232" s="23"/>
      <c r="Y232" s="23"/>
      <c r="Z232" s="23"/>
    </row>
    <row r="233" ht="15.75" customHeight="1" spans="1:26">
      <c r="A233" s="23"/>
      <c r="B233" s="23"/>
      <c r="C233" s="23"/>
      <c r="D233" s="27"/>
      <c r="E233" s="27"/>
      <c r="F233" s="27"/>
      <c r="G233" s="27"/>
      <c r="H233" s="27"/>
      <c r="I233" s="23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3"/>
      <c r="V233" s="23"/>
      <c r="W233" s="23"/>
      <c r="X233" s="23"/>
      <c r="Y233" s="23"/>
      <c r="Z233" s="23"/>
    </row>
    <row r="234" ht="15.75" customHeight="1" spans="1:26">
      <c r="A234" s="23"/>
      <c r="B234" s="23"/>
      <c r="C234" s="23"/>
      <c r="D234" s="27"/>
      <c r="E234" s="27"/>
      <c r="F234" s="27"/>
      <c r="G234" s="27"/>
      <c r="H234" s="27"/>
      <c r="I234" s="23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3"/>
      <c r="V234" s="23"/>
      <c r="W234" s="23"/>
      <c r="X234" s="23"/>
      <c r="Y234" s="23"/>
      <c r="Z234" s="23"/>
    </row>
    <row r="235" ht="15.75" customHeight="1" spans="1:26">
      <c r="A235" s="23"/>
      <c r="B235" s="23"/>
      <c r="C235" s="23"/>
      <c r="D235" s="27"/>
      <c r="E235" s="27"/>
      <c r="F235" s="27"/>
      <c r="G235" s="27"/>
      <c r="H235" s="27"/>
      <c r="I235" s="23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3"/>
      <c r="V235" s="23"/>
      <c r="W235" s="23"/>
      <c r="X235" s="23"/>
      <c r="Y235" s="23"/>
      <c r="Z235" s="23"/>
    </row>
    <row r="236" ht="15.75" customHeight="1" spans="1:26">
      <c r="A236" s="23"/>
      <c r="B236" s="23"/>
      <c r="C236" s="23"/>
      <c r="D236" s="27"/>
      <c r="E236" s="27"/>
      <c r="F236" s="27"/>
      <c r="G236" s="27"/>
      <c r="H236" s="27"/>
      <c r="I236" s="23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3"/>
      <c r="V236" s="23"/>
      <c r="W236" s="23"/>
      <c r="X236" s="23"/>
      <c r="Y236" s="23"/>
      <c r="Z236" s="23"/>
    </row>
    <row r="237" ht="15.75" customHeight="1" spans="1:26">
      <c r="A237" s="23"/>
      <c r="B237" s="23"/>
      <c r="C237" s="23"/>
      <c r="D237" s="27"/>
      <c r="E237" s="27"/>
      <c r="F237" s="27"/>
      <c r="G237" s="27"/>
      <c r="H237" s="27"/>
      <c r="I237" s="23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3"/>
      <c r="V237" s="23"/>
      <c r="W237" s="23"/>
      <c r="X237" s="23"/>
      <c r="Y237" s="23"/>
      <c r="Z237" s="23"/>
    </row>
    <row r="238" ht="15.75" customHeight="1" spans="1:26">
      <c r="A238" s="23"/>
      <c r="B238" s="23"/>
      <c r="C238" s="23"/>
      <c r="D238" s="27"/>
      <c r="E238" s="27"/>
      <c r="F238" s="27"/>
      <c r="G238" s="27"/>
      <c r="H238" s="27"/>
      <c r="I238" s="23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3"/>
      <c r="V238" s="23"/>
      <c r="W238" s="23"/>
      <c r="X238" s="23"/>
      <c r="Y238" s="23"/>
      <c r="Z238" s="23"/>
    </row>
    <row r="239" ht="15.75" customHeight="1" spans="1:26">
      <c r="A239" s="23"/>
      <c r="B239" s="23"/>
      <c r="C239" s="23"/>
      <c r="D239" s="27"/>
      <c r="E239" s="27"/>
      <c r="F239" s="27"/>
      <c r="G239" s="27"/>
      <c r="H239" s="27"/>
      <c r="I239" s="23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3"/>
      <c r="V239" s="23"/>
      <c r="W239" s="23"/>
      <c r="X239" s="23"/>
      <c r="Y239" s="23"/>
      <c r="Z239" s="23"/>
    </row>
    <row r="240" ht="15.75" customHeight="1" spans="1:26">
      <c r="A240" s="23"/>
      <c r="B240" s="23"/>
      <c r="C240" s="23"/>
      <c r="D240" s="27"/>
      <c r="E240" s="27"/>
      <c r="F240" s="27"/>
      <c r="G240" s="27"/>
      <c r="H240" s="27"/>
      <c r="I240" s="23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3"/>
      <c r="V240" s="23"/>
      <c r="W240" s="23"/>
      <c r="X240" s="23"/>
      <c r="Y240" s="23"/>
      <c r="Z240" s="23"/>
    </row>
    <row r="241" ht="15.75" customHeight="1" spans="1:26">
      <c r="A241" s="23"/>
      <c r="B241" s="23"/>
      <c r="C241" s="23"/>
      <c r="D241" s="27"/>
      <c r="E241" s="27"/>
      <c r="F241" s="27"/>
      <c r="G241" s="27"/>
      <c r="H241" s="27"/>
      <c r="I241" s="23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3"/>
      <c r="V241" s="23"/>
      <c r="W241" s="23"/>
      <c r="X241" s="23"/>
      <c r="Y241" s="23"/>
      <c r="Z241" s="23"/>
    </row>
    <row r="242" ht="15.75" customHeight="1" spans="1:26">
      <c r="A242" s="23"/>
      <c r="B242" s="23"/>
      <c r="C242" s="23"/>
      <c r="D242" s="27"/>
      <c r="E242" s="27"/>
      <c r="F242" s="27"/>
      <c r="G242" s="27"/>
      <c r="H242" s="27"/>
      <c r="I242" s="23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3"/>
      <c r="V242" s="23"/>
      <c r="W242" s="23"/>
      <c r="X242" s="23"/>
      <c r="Y242" s="23"/>
      <c r="Z242" s="23"/>
    </row>
    <row r="243" ht="15.75" customHeight="1" spans="1:26">
      <c r="A243" s="23"/>
      <c r="B243" s="23"/>
      <c r="C243" s="23"/>
      <c r="D243" s="27"/>
      <c r="E243" s="27"/>
      <c r="F243" s="27"/>
      <c r="G243" s="27"/>
      <c r="H243" s="27"/>
      <c r="I243" s="23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3"/>
      <c r="V243" s="23"/>
      <c r="W243" s="23"/>
      <c r="X243" s="23"/>
      <c r="Y243" s="23"/>
      <c r="Z243" s="23"/>
    </row>
    <row r="244" ht="15.75" customHeight="1" spans="1:26">
      <c r="A244" s="23"/>
      <c r="B244" s="23"/>
      <c r="C244" s="23"/>
      <c r="D244" s="27"/>
      <c r="E244" s="27"/>
      <c r="F244" s="27"/>
      <c r="G244" s="27"/>
      <c r="H244" s="27"/>
      <c r="I244" s="23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3"/>
      <c r="V244" s="23"/>
      <c r="W244" s="23"/>
      <c r="X244" s="23"/>
      <c r="Y244" s="23"/>
      <c r="Z244" s="23"/>
    </row>
    <row r="245" ht="15.75" customHeight="1" spans="1:26">
      <c r="A245" s="23"/>
      <c r="B245" s="23"/>
      <c r="C245" s="23"/>
      <c r="D245" s="27"/>
      <c r="E245" s="27"/>
      <c r="F245" s="27"/>
      <c r="G245" s="27"/>
      <c r="H245" s="27"/>
      <c r="I245" s="23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3"/>
      <c r="V245" s="23"/>
      <c r="W245" s="23"/>
      <c r="X245" s="23"/>
      <c r="Y245" s="23"/>
      <c r="Z245" s="23"/>
    </row>
    <row r="246" ht="15.75" customHeight="1" spans="1:26">
      <c r="A246" s="23"/>
      <c r="B246" s="23"/>
      <c r="C246" s="23"/>
      <c r="D246" s="27"/>
      <c r="E246" s="27"/>
      <c r="F246" s="27"/>
      <c r="G246" s="27"/>
      <c r="H246" s="27"/>
      <c r="I246" s="23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3"/>
      <c r="V246" s="23"/>
      <c r="W246" s="23"/>
      <c r="X246" s="23"/>
      <c r="Y246" s="23"/>
      <c r="Z246" s="23"/>
    </row>
    <row r="247" ht="15.75" customHeight="1" spans="1:26">
      <c r="A247" s="23"/>
      <c r="B247" s="23"/>
      <c r="C247" s="23"/>
      <c r="D247" s="27"/>
      <c r="E247" s="27"/>
      <c r="F247" s="27"/>
      <c r="G247" s="27"/>
      <c r="H247" s="27"/>
      <c r="I247" s="23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3"/>
      <c r="V247" s="23"/>
      <c r="W247" s="23"/>
      <c r="X247" s="23"/>
      <c r="Y247" s="23"/>
      <c r="Z247" s="23"/>
    </row>
    <row r="248" ht="15.75" customHeight="1" spans="1:26">
      <c r="A248" s="23"/>
      <c r="B248" s="23"/>
      <c r="C248" s="23"/>
      <c r="D248" s="27"/>
      <c r="E248" s="27"/>
      <c r="F248" s="27"/>
      <c r="G248" s="27"/>
      <c r="H248" s="27"/>
      <c r="I248" s="23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3"/>
      <c r="V248" s="23"/>
      <c r="W248" s="23"/>
      <c r="X248" s="23"/>
      <c r="Y248" s="23"/>
      <c r="Z248" s="23"/>
    </row>
    <row r="249" ht="15.75" customHeight="1" spans="1:26">
      <c r="A249" s="23"/>
      <c r="B249" s="23"/>
      <c r="C249" s="23"/>
      <c r="D249" s="27"/>
      <c r="E249" s="27"/>
      <c r="F249" s="27"/>
      <c r="G249" s="27"/>
      <c r="H249" s="27"/>
      <c r="I249" s="23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3"/>
      <c r="V249" s="23"/>
      <c r="W249" s="23"/>
      <c r="X249" s="23"/>
      <c r="Y249" s="23"/>
      <c r="Z249" s="23"/>
    </row>
    <row r="250" ht="15.75" customHeight="1" spans="1:26">
      <c r="A250" s="23"/>
      <c r="B250" s="23"/>
      <c r="C250" s="23"/>
      <c r="D250" s="27"/>
      <c r="E250" s="27"/>
      <c r="F250" s="27"/>
      <c r="G250" s="27"/>
      <c r="H250" s="27"/>
      <c r="I250" s="23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3"/>
      <c r="V250" s="23"/>
      <c r="W250" s="23"/>
      <c r="X250" s="23"/>
      <c r="Y250" s="23"/>
      <c r="Z250" s="23"/>
    </row>
    <row r="251" ht="15.75" customHeight="1" spans="1:26">
      <c r="A251" s="23"/>
      <c r="B251" s="23"/>
      <c r="C251" s="23"/>
      <c r="D251" s="27"/>
      <c r="E251" s="27"/>
      <c r="F251" s="27"/>
      <c r="G251" s="27"/>
      <c r="H251" s="27"/>
      <c r="I251" s="23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3"/>
      <c r="V251" s="23"/>
      <c r="W251" s="23"/>
      <c r="X251" s="23"/>
      <c r="Y251" s="23"/>
      <c r="Z251" s="23"/>
    </row>
    <row r="252" ht="15.75" customHeight="1" spans="1:26">
      <c r="A252" s="23"/>
      <c r="B252" s="23"/>
      <c r="C252" s="23"/>
      <c r="D252" s="27"/>
      <c r="E252" s="27"/>
      <c r="F252" s="27"/>
      <c r="G252" s="27"/>
      <c r="H252" s="27"/>
      <c r="I252" s="23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3"/>
      <c r="V252" s="23"/>
      <c r="W252" s="23"/>
      <c r="X252" s="23"/>
      <c r="Y252" s="23"/>
      <c r="Z252" s="23"/>
    </row>
    <row r="253" ht="15.75" customHeight="1" spans="1:26">
      <c r="A253" s="23"/>
      <c r="B253" s="23"/>
      <c r="C253" s="23"/>
      <c r="D253" s="27"/>
      <c r="E253" s="27"/>
      <c r="F253" s="27"/>
      <c r="G253" s="27"/>
      <c r="H253" s="27"/>
      <c r="I253" s="23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3"/>
      <c r="V253" s="23"/>
      <c r="W253" s="23"/>
      <c r="X253" s="23"/>
      <c r="Y253" s="23"/>
      <c r="Z253" s="23"/>
    </row>
    <row r="254" ht="15.75" customHeight="1" spans="1:26">
      <c r="A254" s="23"/>
      <c r="B254" s="23"/>
      <c r="C254" s="23"/>
      <c r="D254" s="27"/>
      <c r="E254" s="27"/>
      <c r="F254" s="27"/>
      <c r="G254" s="27"/>
      <c r="H254" s="27"/>
      <c r="I254" s="23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3"/>
      <c r="V254" s="23"/>
      <c r="W254" s="23"/>
      <c r="X254" s="23"/>
      <c r="Y254" s="23"/>
      <c r="Z254" s="23"/>
    </row>
    <row r="255" ht="15.75" customHeight="1" spans="1:26">
      <c r="A255" s="23"/>
      <c r="B255" s="23"/>
      <c r="C255" s="23"/>
      <c r="D255" s="27"/>
      <c r="E255" s="27"/>
      <c r="F255" s="27"/>
      <c r="G255" s="27"/>
      <c r="H255" s="27"/>
      <c r="I255" s="23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3"/>
      <c r="V255" s="23"/>
      <c r="W255" s="23"/>
      <c r="X255" s="23"/>
      <c r="Y255" s="23"/>
      <c r="Z255" s="23"/>
    </row>
    <row r="256" ht="15.75" customHeight="1" spans="1:26">
      <c r="A256" s="23"/>
      <c r="B256" s="23"/>
      <c r="C256" s="23"/>
      <c r="D256" s="27"/>
      <c r="E256" s="27"/>
      <c r="F256" s="27"/>
      <c r="G256" s="27"/>
      <c r="H256" s="27"/>
      <c r="I256" s="23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3"/>
      <c r="V256" s="23"/>
      <c r="W256" s="23"/>
      <c r="X256" s="23"/>
      <c r="Y256" s="23"/>
      <c r="Z256" s="23"/>
    </row>
    <row r="257" ht="15.75" customHeight="1" spans="1:26">
      <c r="A257" s="23"/>
      <c r="B257" s="23"/>
      <c r="C257" s="23"/>
      <c r="D257" s="27"/>
      <c r="E257" s="27"/>
      <c r="F257" s="27"/>
      <c r="G257" s="27"/>
      <c r="H257" s="27"/>
      <c r="I257" s="23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3"/>
      <c r="V257" s="23"/>
      <c r="W257" s="23"/>
      <c r="X257" s="23"/>
      <c r="Y257" s="23"/>
      <c r="Z257" s="23"/>
    </row>
    <row r="258" ht="15.75" customHeight="1" spans="1:26">
      <c r="A258" s="23"/>
      <c r="B258" s="23"/>
      <c r="C258" s="23"/>
      <c r="D258" s="27"/>
      <c r="E258" s="27"/>
      <c r="F258" s="27"/>
      <c r="G258" s="27"/>
      <c r="H258" s="27"/>
      <c r="I258" s="23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3"/>
      <c r="V258" s="23"/>
      <c r="W258" s="23"/>
      <c r="X258" s="23"/>
      <c r="Y258" s="23"/>
      <c r="Z258" s="23"/>
    </row>
    <row r="259" ht="15.75" customHeight="1" spans="1:26">
      <c r="A259" s="23"/>
      <c r="B259" s="23"/>
      <c r="C259" s="23"/>
      <c r="D259" s="27"/>
      <c r="E259" s="27"/>
      <c r="F259" s="27"/>
      <c r="G259" s="27"/>
      <c r="H259" s="27"/>
      <c r="I259" s="23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3"/>
      <c r="V259" s="23"/>
      <c r="W259" s="23"/>
      <c r="X259" s="23"/>
      <c r="Y259" s="23"/>
      <c r="Z259" s="23"/>
    </row>
    <row r="260" ht="15.75" customHeight="1" spans="1:26">
      <c r="A260" s="23"/>
      <c r="B260" s="23"/>
      <c r="C260" s="23"/>
      <c r="D260" s="27"/>
      <c r="E260" s="27"/>
      <c r="F260" s="27"/>
      <c r="G260" s="27"/>
      <c r="H260" s="27"/>
      <c r="I260" s="23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3"/>
      <c r="V260" s="23"/>
      <c r="W260" s="23"/>
      <c r="X260" s="23"/>
      <c r="Y260" s="23"/>
      <c r="Z260" s="23"/>
    </row>
    <row r="261" ht="15.75" customHeight="1" spans="1:26">
      <c r="A261" s="23"/>
      <c r="B261" s="23"/>
      <c r="C261" s="23"/>
      <c r="D261" s="27"/>
      <c r="E261" s="27"/>
      <c r="F261" s="27"/>
      <c r="G261" s="27"/>
      <c r="H261" s="27"/>
      <c r="I261" s="23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3"/>
      <c r="V261" s="23"/>
      <c r="W261" s="23"/>
      <c r="X261" s="23"/>
      <c r="Y261" s="23"/>
      <c r="Z261" s="23"/>
    </row>
    <row r="262" ht="15.75" customHeight="1" spans="1:26">
      <c r="A262" s="23"/>
      <c r="B262" s="23"/>
      <c r="C262" s="23"/>
      <c r="D262" s="27"/>
      <c r="E262" s="27"/>
      <c r="F262" s="27"/>
      <c r="G262" s="27"/>
      <c r="H262" s="27"/>
      <c r="I262" s="23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3"/>
      <c r="V262" s="23"/>
      <c r="W262" s="23"/>
      <c r="X262" s="23"/>
      <c r="Y262" s="23"/>
      <c r="Z262" s="23"/>
    </row>
    <row r="263" ht="15.75" customHeight="1" spans="1:26">
      <c r="A263" s="23"/>
      <c r="B263" s="23"/>
      <c r="C263" s="23"/>
      <c r="D263" s="27"/>
      <c r="E263" s="27"/>
      <c r="F263" s="27"/>
      <c r="G263" s="27"/>
      <c r="H263" s="27"/>
      <c r="I263" s="23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3"/>
      <c r="V263" s="23"/>
      <c r="W263" s="23"/>
      <c r="X263" s="23"/>
      <c r="Y263" s="23"/>
      <c r="Z263" s="23"/>
    </row>
    <row r="264" ht="15.75" customHeight="1" spans="1:26">
      <c r="A264" s="23"/>
      <c r="B264" s="23"/>
      <c r="C264" s="23"/>
      <c r="D264" s="27"/>
      <c r="E264" s="27"/>
      <c r="F264" s="27"/>
      <c r="G264" s="27"/>
      <c r="H264" s="27"/>
      <c r="I264" s="23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3"/>
      <c r="V264" s="23"/>
      <c r="W264" s="23"/>
      <c r="X264" s="23"/>
      <c r="Y264" s="23"/>
      <c r="Z264" s="23"/>
    </row>
    <row r="265" ht="15.75" customHeight="1" spans="1:26">
      <c r="A265" s="23"/>
      <c r="B265" s="23"/>
      <c r="C265" s="23"/>
      <c r="D265" s="27"/>
      <c r="E265" s="27"/>
      <c r="F265" s="27"/>
      <c r="G265" s="27"/>
      <c r="H265" s="27"/>
      <c r="I265" s="23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3"/>
      <c r="V265" s="23"/>
      <c r="W265" s="23"/>
      <c r="X265" s="23"/>
      <c r="Y265" s="23"/>
      <c r="Z265" s="23"/>
    </row>
    <row r="266" ht="15.75" customHeight="1" spans="1:26">
      <c r="A266" s="23"/>
      <c r="B266" s="23"/>
      <c r="C266" s="23"/>
      <c r="D266" s="27"/>
      <c r="E266" s="27"/>
      <c r="F266" s="27"/>
      <c r="G266" s="27"/>
      <c r="H266" s="27"/>
      <c r="I266" s="23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3"/>
      <c r="V266" s="23"/>
      <c r="W266" s="23"/>
      <c r="X266" s="23"/>
      <c r="Y266" s="23"/>
      <c r="Z266" s="23"/>
    </row>
    <row r="267" ht="15.75" customHeight="1" spans="1:26">
      <c r="A267" s="23"/>
      <c r="B267" s="23"/>
      <c r="C267" s="23"/>
      <c r="D267" s="27"/>
      <c r="E267" s="27"/>
      <c r="F267" s="27"/>
      <c r="G267" s="27"/>
      <c r="H267" s="27"/>
      <c r="I267" s="23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3"/>
      <c r="V267" s="23"/>
      <c r="W267" s="23"/>
      <c r="X267" s="23"/>
      <c r="Y267" s="23"/>
      <c r="Z267" s="23"/>
    </row>
    <row r="268" ht="15.75" customHeight="1" spans="1:26">
      <c r="A268" s="23"/>
      <c r="B268" s="23"/>
      <c r="C268" s="23"/>
      <c r="D268" s="27"/>
      <c r="E268" s="27"/>
      <c r="F268" s="27"/>
      <c r="G268" s="27"/>
      <c r="H268" s="27"/>
      <c r="I268" s="23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3"/>
      <c r="V268" s="23"/>
      <c r="W268" s="23"/>
      <c r="X268" s="23"/>
      <c r="Y268" s="23"/>
      <c r="Z268" s="23"/>
    </row>
    <row r="269" ht="15.75" customHeight="1" spans="1:26">
      <c r="A269" s="23"/>
      <c r="B269" s="23"/>
      <c r="C269" s="23"/>
      <c r="D269" s="27"/>
      <c r="E269" s="27"/>
      <c r="F269" s="27"/>
      <c r="G269" s="27"/>
      <c r="H269" s="27"/>
      <c r="I269" s="23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3"/>
      <c r="V269" s="23"/>
      <c r="W269" s="23"/>
      <c r="X269" s="23"/>
      <c r="Y269" s="23"/>
      <c r="Z269" s="23"/>
    </row>
    <row r="270" ht="15.75" customHeight="1" spans="1:26">
      <c r="A270" s="23"/>
      <c r="B270" s="23"/>
      <c r="C270" s="23"/>
      <c r="D270" s="27"/>
      <c r="E270" s="27"/>
      <c r="F270" s="27"/>
      <c r="G270" s="27"/>
      <c r="H270" s="27"/>
      <c r="I270" s="23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3"/>
      <c r="V270" s="23"/>
      <c r="W270" s="23"/>
      <c r="X270" s="23"/>
      <c r="Y270" s="23"/>
      <c r="Z270" s="23"/>
    </row>
    <row r="271" ht="15.75" customHeight="1" spans="1:26">
      <c r="A271" s="23"/>
      <c r="B271" s="23"/>
      <c r="C271" s="23"/>
      <c r="D271" s="27"/>
      <c r="E271" s="27"/>
      <c r="F271" s="27"/>
      <c r="G271" s="27"/>
      <c r="H271" s="27"/>
      <c r="I271" s="23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3"/>
      <c r="V271" s="23"/>
      <c r="W271" s="23"/>
      <c r="X271" s="23"/>
      <c r="Y271" s="23"/>
      <c r="Z271" s="23"/>
    </row>
    <row r="272" ht="15.75" customHeight="1" spans="1:26">
      <c r="A272" s="23"/>
      <c r="B272" s="23"/>
      <c r="C272" s="23"/>
      <c r="D272" s="27"/>
      <c r="E272" s="27"/>
      <c r="F272" s="27"/>
      <c r="G272" s="27"/>
      <c r="H272" s="27"/>
      <c r="I272" s="23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3"/>
      <c r="V272" s="23"/>
      <c r="W272" s="23"/>
      <c r="X272" s="23"/>
      <c r="Y272" s="23"/>
      <c r="Z272" s="23"/>
    </row>
    <row r="273" ht="15.75" customHeight="1" spans="1:26">
      <c r="A273" s="23"/>
      <c r="B273" s="23"/>
      <c r="C273" s="23"/>
      <c r="D273" s="27"/>
      <c r="E273" s="27"/>
      <c r="F273" s="27"/>
      <c r="G273" s="27"/>
      <c r="H273" s="27"/>
      <c r="I273" s="23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3"/>
      <c r="V273" s="23"/>
      <c r="W273" s="23"/>
      <c r="X273" s="23"/>
      <c r="Y273" s="23"/>
      <c r="Z273" s="23"/>
    </row>
    <row r="274" ht="15.75" customHeight="1" spans="1:26">
      <c r="A274" s="23"/>
      <c r="B274" s="23"/>
      <c r="C274" s="23"/>
      <c r="D274" s="27"/>
      <c r="E274" s="27"/>
      <c r="F274" s="27"/>
      <c r="G274" s="27"/>
      <c r="H274" s="27"/>
      <c r="I274" s="23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3"/>
      <c r="V274" s="23"/>
      <c r="W274" s="23"/>
      <c r="X274" s="23"/>
      <c r="Y274" s="23"/>
      <c r="Z274" s="23"/>
    </row>
    <row r="275" ht="15.75" customHeight="1" spans="1:26">
      <c r="A275" s="23"/>
      <c r="B275" s="23"/>
      <c r="C275" s="23"/>
      <c r="D275" s="27"/>
      <c r="E275" s="27"/>
      <c r="F275" s="27"/>
      <c r="G275" s="27"/>
      <c r="H275" s="27"/>
      <c r="I275" s="23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3"/>
      <c r="V275" s="23"/>
      <c r="W275" s="23"/>
      <c r="X275" s="23"/>
      <c r="Y275" s="23"/>
      <c r="Z275" s="23"/>
    </row>
    <row r="276" ht="15.75" customHeight="1" spans="1:26">
      <c r="A276" s="23"/>
      <c r="B276" s="23"/>
      <c r="C276" s="23"/>
      <c r="D276" s="27"/>
      <c r="E276" s="27"/>
      <c r="F276" s="27"/>
      <c r="G276" s="27"/>
      <c r="H276" s="27"/>
      <c r="I276" s="23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3"/>
      <c r="V276" s="23"/>
      <c r="W276" s="23"/>
      <c r="X276" s="23"/>
      <c r="Y276" s="23"/>
      <c r="Z276" s="23"/>
    </row>
    <row r="277" ht="15.75" customHeight="1" spans="1:26">
      <c r="A277" s="23"/>
      <c r="B277" s="23"/>
      <c r="C277" s="23"/>
      <c r="D277" s="27"/>
      <c r="E277" s="27"/>
      <c r="F277" s="27"/>
      <c r="G277" s="27"/>
      <c r="H277" s="27"/>
      <c r="I277" s="23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3"/>
      <c r="V277" s="23"/>
      <c r="W277" s="23"/>
      <c r="X277" s="23"/>
      <c r="Y277" s="23"/>
      <c r="Z277" s="23"/>
    </row>
    <row r="278" ht="15.75" customHeight="1" spans="1:26">
      <c r="A278" s="23"/>
      <c r="B278" s="23"/>
      <c r="C278" s="23"/>
      <c r="D278" s="27"/>
      <c r="E278" s="27"/>
      <c r="F278" s="27"/>
      <c r="G278" s="27"/>
      <c r="H278" s="27"/>
      <c r="I278" s="23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3"/>
      <c r="V278" s="23"/>
      <c r="W278" s="23"/>
      <c r="X278" s="23"/>
      <c r="Y278" s="23"/>
      <c r="Z278" s="23"/>
    </row>
    <row r="279" ht="15.75" customHeight="1" spans="1:26">
      <c r="A279" s="23"/>
      <c r="B279" s="23"/>
      <c r="C279" s="23"/>
      <c r="D279" s="27"/>
      <c r="E279" s="27"/>
      <c r="F279" s="27"/>
      <c r="G279" s="27"/>
      <c r="H279" s="27"/>
      <c r="I279" s="23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3"/>
      <c r="V279" s="23"/>
      <c r="W279" s="23"/>
      <c r="X279" s="23"/>
      <c r="Y279" s="23"/>
      <c r="Z279" s="23"/>
    </row>
    <row r="280" ht="15.75" customHeight="1" spans="1:26">
      <c r="A280" s="23"/>
      <c r="B280" s="23"/>
      <c r="C280" s="23"/>
      <c r="D280" s="27"/>
      <c r="E280" s="27"/>
      <c r="F280" s="27"/>
      <c r="G280" s="27"/>
      <c r="H280" s="27"/>
      <c r="I280" s="23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3"/>
      <c r="V280" s="23"/>
      <c r="W280" s="23"/>
      <c r="X280" s="23"/>
      <c r="Y280" s="23"/>
      <c r="Z280" s="23"/>
    </row>
    <row r="281" ht="15.75" customHeight="1" spans="1:26">
      <c r="A281" s="23"/>
      <c r="B281" s="23"/>
      <c r="C281" s="23"/>
      <c r="D281" s="27"/>
      <c r="E281" s="27"/>
      <c r="F281" s="27"/>
      <c r="G281" s="27"/>
      <c r="H281" s="27"/>
      <c r="I281" s="23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3"/>
      <c r="V281" s="23"/>
      <c r="W281" s="23"/>
      <c r="X281" s="23"/>
      <c r="Y281" s="23"/>
      <c r="Z281" s="23"/>
    </row>
    <row r="282" ht="15.75" customHeight="1" spans="1:26">
      <c r="A282" s="23"/>
      <c r="B282" s="23"/>
      <c r="C282" s="23"/>
      <c r="D282" s="27"/>
      <c r="E282" s="27"/>
      <c r="F282" s="27"/>
      <c r="G282" s="27"/>
      <c r="H282" s="27"/>
      <c r="I282" s="23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3"/>
      <c r="V282" s="23"/>
      <c r="W282" s="23"/>
      <c r="X282" s="23"/>
      <c r="Y282" s="23"/>
      <c r="Z282" s="23"/>
    </row>
    <row r="283" ht="15.75" customHeight="1" spans="1:26">
      <c r="A283" s="23"/>
      <c r="B283" s="23"/>
      <c r="C283" s="23"/>
      <c r="D283" s="27"/>
      <c r="E283" s="27"/>
      <c r="F283" s="27"/>
      <c r="G283" s="27"/>
      <c r="H283" s="27"/>
      <c r="I283" s="23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3"/>
      <c r="V283" s="23"/>
      <c r="W283" s="23"/>
      <c r="X283" s="23"/>
      <c r="Y283" s="23"/>
      <c r="Z283" s="23"/>
    </row>
    <row r="284" ht="15.75" customHeight="1" spans="1:26">
      <c r="A284" s="23"/>
      <c r="B284" s="23"/>
      <c r="C284" s="23"/>
      <c r="D284" s="27"/>
      <c r="E284" s="27"/>
      <c r="F284" s="27"/>
      <c r="G284" s="27"/>
      <c r="H284" s="27"/>
      <c r="I284" s="23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3"/>
      <c r="V284" s="23"/>
      <c r="W284" s="23"/>
      <c r="X284" s="23"/>
      <c r="Y284" s="23"/>
      <c r="Z284" s="23"/>
    </row>
    <row r="285" ht="15.75" customHeight="1" spans="1:26">
      <c r="A285" s="23"/>
      <c r="B285" s="23"/>
      <c r="C285" s="23"/>
      <c r="D285" s="27"/>
      <c r="E285" s="27"/>
      <c r="F285" s="27"/>
      <c r="G285" s="27"/>
      <c r="H285" s="27"/>
      <c r="I285" s="23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3"/>
      <c r="V285" s="23"/>
      <c r="W285" s="23"/>
      <c r="X285" s="23"/>
      <c r="Y285" s="23"/>
      <c r="Z285" s="23"/>
    </row>
    <row r="286" ht="15.75" customHeight="1" spans="1:26">
      <c r="A286" s="23"/>
      <c r="B286" s="23"/>
      <c r="C286" s="23"/>
      <c r="D286" s="27"/>
      <c r="E286" s="27"/>
      <c r="F286" s="27"/>
      <c r="G286" s="27"/>
      <c r="H286" s="27"/>
      <c r="I286" s="23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3"/>
      <c r="V286" s="23"/>
      <c r="W286" s="23"/>
      <c r="X286" s="23"/>
      <c r="Y286" s="23"/>
      <c r="Z286" s="23"/>
    </row>
    <row r="287" ht="15.75" customHeight="1" spans="1:26">
      <c r="A287" s="23"/>
      <c r="B287" s="23"/>
      <c r="C287" s="23"/>
      <c r="D287" s="27"/>
      <c r="E287" s="27"/>
      <c r="F287" s="27"/>
      <c r="G287" s="27"/>
      <c r="H287" s="27"/>
      <c r="I287" s="23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3"/>
      <c r="V287" s="23"/>
      <c r="W287" s="23"/>
      <c r="X287" s="23"/>
      <c r="Y287" s="23"/>
      <c r="Z287" s="23"/>
    </row>
    <row r="288" ht="15.75" customHeight="1" spans="1:26">
      <c r="A288" s="23"/>
      <c r="B288" s="23"/>
      <c r="C288" s="23"/>
      <c r="D288" s="27"/>
      <c r="E288" s="27"/>
      <c r="F288" s="27"/>
      <c r="G288" s="27"/>
      <c r="H288" s="27"/>
      <c r="I288" s="23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3"/>
      <c r="V288" s="23"/>
      <c r="W288" s="23"/>
      <c r="X288" s="23"/>
      <c r="Y288" s="23"/>
      <c r="Z288" s="23"/>
    </row>
    <row r="289" ht="15.75" customHeight="1" spans="1:26">
      <c r="A289" s="23"/>
      <c r="B289" s="23"/>
      <c r="C289" s="23"/>
      <c r="D289" s="27"/>
      <c r="E289" s="27"/>
      <c r="F289" s="27"/>
      <c r="G289" s="27"/>
      <c r="H289" s="27"/>
      <c r="I289" s="23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3"/>
      <c r="V289" s="23"/>
      <c r="W289" s="23"/>
      <c r="X289" s="23"/>
      <c r="Y289" s="23"/>
      <c r="Z289" s="23"/>
    </row>
    <row r="290" ht="15.75" customHeight="1" spans="1:26">
      <c r="A290" s="23"/>
      <c r="B290" s="23"/>
      <c r="C290" s="23"/>
      <c r="D290" s="27"/>
      <c r="E290" s="27"/>
      <c r="F290" s="27"/>
      <c r="G290" s="27"/>
      <c r="H290" s="27"/>
      <c r="I290" s="23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3"/>
      <c r="V290" s="23"/>
      <c r="W290" s="23"/>
      <c r="X290" s="23"/>
      <c r="Y290" s="23"/>
      <c r="Z290" s="23"/>
    </row>
    <row r="291" ht="15.75" customHeight="1" spans="1:26">
      <c r="A291" s="23"/>
      <c r="B291" s="23"/>
      <c r="C291" s="23"/>
      <c r="D291" s="27"/>
      <c r="E291" s="27"/>
      <c r="F291" s="27"/>
      <c r="G291" s="27"/>
      <c r="H291" s="27"/>
      <c r="I291" s="23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3"/>
      <c r="V291" s="23"/>
      <c r="W291" s="23"/>
      <c r="X291" s="23"/>
      <c r="Y291" s="23"/>
      <c r="Z291" s="23"/>
    </row>
    <row r="292" ht="15.75" customHeight="1" spans="1:26">
      <c r="A292" s="23"/>
      <c r="B292" s="23"/>
      <c r="C292" s="23"/>
      <c r="D292" s="27"/>
      <c r="E292" s="27"/>
      <c r="F292" s="27"/>
      <c r="G292" s="27"/>
      <c r="H292" s="27"/>
      <c r="I292" s="23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3"/>
      <c r="V292" s="23"/>
      <c r="W292" s="23"/>
      <c r="X292" s="23"/>
      <c r="Y292" s="23"/>
      <c r="Z292" s="23"/>
    </row>
    <row r="293" ht="15.75" customHeight="1" spans="1:26">
      <c r="A293" s="23"/>
      <c r="B293" s="23"/>
      <c r="C293" s="23"/>
      <c r="D293" s="27"/>
      <c r="E293" s="27"/>
      <c r="F293" s="27"/>
      <c r="G293" s="27"/>
      <c r="H293" s="27"/>
      <c r="I293" s="23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3"/>
      <c r="V293" s="23"/>
      <c r="W293" s="23"/>
      <c r="X293" s="23"/>
      <c r="Y293" s="23"/>
      <c r="Z293" s="23"/>
    </row>
    <row r="294" ht="15.75" customHeight="1" spans="1:26">
      <c r="A294" s="23"/>
      <c r="B294" s="23"/>
      <c r="C294" s="23"/>
      <c r="D294" s="27"/>
      <c r="E294" s="27"/>
      <c r="F294" s="27"/>
      <c r="G294" s="27"/>
      <c r="H294" s="27"/>
      <c r="I294" s="23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3"/>
      <c r="V294" s="23"/>
      <c r="W294" s="23"/>
      <c r="X294" s="23"/>
      <c r="Y294" s="23"/>
      <c r="Z294" s="23"/>
    </row>
    <row r="295" ht="15.75" customHeight="1" spans="1:26">
      <c r="A295" s="23"/>
      <c r="B295" s="23"/>
      <c r="C295" s="23"/>
      <c r="D295" s="27"/>
      <c r="E295" s="27"/>
      <c r="F295" s="27"/>
      <c r="G295" s="27"/>
      <c r="H295" s="27"/>
      <c r="I295" s="23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3"/>
      <c r="V295" s="23"/>
      <c r="W295" s="23"/>
      <c r="X295" s="23"/>
      <c r="Y295" s="23"/>
      <c r="Z295" s="23"/>
    </row>
    <row r="296" ht="15.75" customHeight="1" spans="1:26">
      <c r="A296" s="23"/>
      <c r="B296" s="23"/>
      <c r="C296" s="23"/>
      <c r="D296" s="27"/>
      <c r="E296" s="27"/>
      <c r="F296" s="27"/>
      <c r="G296" s="27"/>
      <c r="H296" s="27"/>
      <c r="I296" s="23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3"/>
      <c r="V296" s="23"/>
      <c r="W296" s="23"/>
      <c r="X296" s="23"/>
      <c r="Y296" s="23"/>
      <c r="Z296" s="23"/>
    </row>
    <row r="297" ht="15.75" customHeight="1" spans="1:26">
      <c r="A297" s="23"/>
      <c r="B297" s="23"/>
      <c r="C297" s="23"/>
      <c r="D297" s="27"/>
      <c r="E297" s="27"/>
      <c r="F297" s="27"/>
      <c r="G297" s="27"/>
      <c r="H297" s="27"/>
      <c r="I297" s="23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3"/>
      <c r="V297" s="23"/>
      <c r="W297" s="23"/>
      <c r="X297" s="23"/>
      <c r="Y297" s="23"/>
      <c r="Z297" s="23"/>
    </row>
    <row r="298" ht="15.75" customHeight="1" spans="1:26">
      <c r="A298" s="23"/>
      <c r="B298" s="23"/>
      <c r="C298" s="23"/>
      <c r="D298" s="27"/>
      <c r="E298" s="27"/>
      <c r="F298" s="27"/>
      <c r="G298" s="27"/>
      <c r="H298" s="27"/>
      <c r="I298" s="23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3"/>
      <c r="V298" s="23"/>
      <c r="W298" s="23"/>
      <c r="X298" s="23"/>
      <c r="Y298" s="23"/>
      <c r="Z298" s="23"/>
    </row>
    <row r="299" ht="15.75" customHeight="1" spans="1:26">
      <c r="A299" s="23"/>
      <c r="B299" s="23"/>
      <c r="C299" s="23"/>
      <c r="D299" s="27"/>
      <c r="E299" s="27"/>
      <c r="F299" s="27"/>
      <c r="G299" s="27"/>
      <c r="H299" s="27"/>
      <c r="I299" s="23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3"/>
      <c r="V299" s="23"/>
      <c r="W299" s="23"/>
      <c r="X299" s="23"/>
      <c r="Y299" s="23"/>
      <c r="Z299" s="23"/>
    </row>
    <row r="300" ht="15.75" customHeight="1" spans="1:26">
      <c r="A300" s="23"/>
      <c r="B300" s="23"/>
      <c r="C300" s="23"/>
      <c r="D300" s="27"/>
      <c r="E300" s="27"/>
      <c r="F300" s="27"/>
      <c r="G300" s="27"/>
      <c r="H300" s="27"/>
      <c r="I300" s="23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3"/>
      <c r="V300" s="23"/>
      <c r="W300" s="23"/>
      <c r="X300" s="23"/>
      <c r="Y300" s="23"/>
      <c r="Z300" s="23"/>
    </row>
    <row r="301" ht="15.75" customHeight="1" spans="1:26">
      <c r="A301" s="23"/>
      <c r="B301" s="23"/>
      <c r="C301" s="23"/>
      <c r="D301" s="27"/>
      <c r="E301" s="27"/>
      <c r="F301" s="27"/>
      <c r="G301" s="27"/>
      <c r="H301" s="27"/>
      <c r="I301" s="23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3"/>
      <c r="V301" s="23"/>
      <c r="W301" s="23"/>
      <c r="X301" s="23"/>
      <c r="Y301" s="23"/>
      <c r="Z301" s="23"/>
    </row>
    <row r="302" ht="15.75" customHeight="1" spans="1:26">
      <c r="A302" s="23"/>
      <c r="B302" s="23"/>
      <c r="C302" s="23"/>
      <c r="D302" s="27"/>
      <c r="E302" s="27"/>
      <c r="F302" s="27"/>
      <c r="G302" s="27"/>
      <c r="H302" s="27"/>
      <c r="I302" s="23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3"/>
      <c r="V302" s="23"/>
      <c r="W302" s="23"/>
      <c r="X302" s="23"/>
      <c r="Y302" s="23"/>
      <c r="Z302" s="23"/>
    </row>
    <row r="303" ht="15.75" customHeight="1" spans="1:26">
      <c r="A303" s="23"/>
      <c r="B303" s="23"/>
      <c r="C303" s="23"/>
      <c r="D303" s="27"/>
      <c r="E303" s="27"/>
      <c r="F303" s="27"/>
      <c r="G303" s="27"/>
      <c r="H303" s="27"/>
      <c r="I303" s="23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3"/>
      <c r="V303" s="23"/>
      <c r="W303" s="23"/>
      <c r="X303" s="23"/>
      <c r="Y303" s="23"/>
      <c r="Z303" s="23"/>
    </row>
    <row r="304" ht="15.75" customHeight="1" spans="1:26">
      <c r="A304" s="23"/>
      <c r="B304" s="23"/>
      <c r="C304" s="23"/>
      <c r="D304" s="27"/>
      <c r="E304" s="27"/>
      <c r="F304" s="27"/>
      <c r="G304" s="27"/>
      <c r="H304" s="27"/>
      <c r="I304" s="23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3"/>
      <c r="V304" s="23"/>
      <c r="W304" s="23"/>
      <c r="X304" s="23"/>
      <c r="Y304" s="23"/>
      <c r="Z304" s="23"/>
    </row>
    <row r="305" ht="15.75" customHeight="1" spans="1:26">
      <c r="A305" s="23"/>
      <c r="B305" s="23"/>
      <c r="C305" s="23"/>
      <c r="D305" s="27"/>
      <c r="E305" s="27"/>
      <c r="F305" s="27"/>
      <c r="G305" s="27"/>
      <c r="H305" s="27"/>
      <c r="I305" s="23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3"/>
      <c r="V305" s="23"/>
      <c r="W305" s="23"/>
      <c r="X305" s="23"/>
      <c r="Y305" s="23"/>
      <c r="Z305" s="23"/>
    </row>
    <row r="306" ht="15.75" customHeight="1" spans="1:26">
      <c r="A306" s="23"/>
      <c r="B306" s="23"/>
      <c r="C306" s="23"/>
      <c r="D306" s="27"/>
      <c r="E306" s="27"/>
      <c r="F306" s="27"/>
      <c r="G306" s="27"/>
      <c r="H306" s="27"/>
      <c r="I306" s="23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3"/>
      <c r="V306" s="23"/>
      <c r="W306" s="23"/>
      <c r="X306" s="23"/>
      <c r="Y306" s="23"/>
      <c r="Z306" s="23"/>
    </row>
    <row r="307" ht="15.75" customHeight="1" spans="1:26">
      <c r="A307" s="23"/>
      <c r="B307" s="23"/>
      <c r="C307" s="23"/>
      <c r="D307" s="27"/>
      <c r="E307" s="27"/>
      <c r="F307" s="27"/>
      <c r="G307" s="27"/>
      <c r="H307" s="27"/>
      <c r="I307" s="23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3"/>
      <c r="V307" s="23"/>
      <c r="W307" s="23"/>
      <c r="X307" s="23"/>
      <c r="Y307" s="23"/>
      <c r="Z307" s="23"/>
    </row>
    <row r="308" ht="15.75" customHeight="1" spans="1:26">
      <c r="A308" s="23"/>
      <c r="B308" s="23"/>
      <c r="C308" s="23"/>
      <c r="D308" s="27"/>
      <c r="E308" s="27"/>
      <c r="F308" s="27"/>
      <c r="G308" s="27"/>
      <c r="H308" s="27"/>
      <c r="I308" s="23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3"/>
      <c r="V308" s="23"/>
      <c r="W308" s="23"/>
      <c r="X308" s="23"/>
      <c r="Y308" s="23"/>
      <c r="Z308" s="23"/>
    </row>
    <row r="309" ht="15.75" customHeight="1" spans="1:26">
      <c r="A309" s="23"/>
      <c r="B309" s="23"/>
      <c r="C309" s="23"/>
      <c r="D309" s="27"/>
      <c r="E309" s="27"/>
      <c r="F309" s="27"/>
      <c r="G309" s="27"/>
      <c r="H309" s="27"/>
      <c r="I309" s="23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3"/>
      <c r="V309" s="23"/>
      <c r="W309" s="23"/>
      <c r="X309" s="23"/>
      <c r="Y309" s="23"/>
      <c r="Z309" s="23"/>
    </row>
    <row r="310" ht="15.75" customHeight="1" spans="1:26">
      <c r="A310" s="23"/>
      <c r="B310" s="23"/>
      <c r="C310" s="23"/>
      <c r="D310" s="27"/>
      <c r="E310" s="27"/>
      <c r="F310" s="27"/>
      <c r="G310" s="27"/>
      <c r="H310" s="27"/>
      <c r="I310" s="23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3"/>
      <c r="V310" s="23"/>
      <c r="W310" s="23"/>
      <c r="X310" s="23"/>
      <c r="Y310" s="23"/>
      <c r="Z310" s="23"/>
    </row>
    <row r="311" ht="15.75" customHeight="1" spans="1:26">
      <c r="A311" s="23"/>
      <c r="B311" s="23"/>
      <c r="C311" s="23"/>
      <c r="D311" s="27"/>
      <c r="E311" s="27"/>
      <c r="F311" s="27"/>
      <c r="G311" s="27"/>
      <c r="H311" s="27"/>
      <c r="I311" s="23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3"/>
      <c r="V311" s="23"/>
      <c r="W311" s="23"/>
      <c r="X311" s="23"/>
      <c r="Y311" s="23"/>
      <c r="Z311" s="23"/>
    </row>
    <row r="312" ht="15.75" customHeight="1" spans="1:26">
      <c r="A312" s="23"/>
      <c r="B312" s="23"/>
      <c r="C312" s="23"/>
      <c r="D312" s="27"/>
      <c r="E312" s="27"/>
      <c r="F312" s="27"/>
      <c r="G312" s="27"/>
      <c r="H312" s="27"/>
      <c r="I312" s="23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3"/>
      <c r="V312" s="23"/>
      <c r="W312" s="23"/>
      <c r="X312" s="23"/>
      <c r="Y312" s="23"/>
      <c r="Z312" s="23"/>
    </row>
    <row r="313" ht="15.75" customHeight="1" spans="1:26">
      <c r="A313" s="23"/>
      <c r="B313" s="23"/>
      <c r="C313" s="23"/>
      <c r="D313" s="27"/>
      <c r="E313" s="27"/>
      <c r="F313" s="27"/>
      <c r="G313" s="27"/>
      <c r="H313" s="27"/>
      <c r="I313" s="23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3"/>
      <c r="V313" s="23"/>
      <c r="W313" s="23"/>
      <c r="X313" s="23"/>
      <c r="Y313" s="23"/>
      <c r="Z313" s="23"/>
    </row>
    <row r="314" ht="15.75" customHeight="1" spans="1:26">
      <c r="A314" s="23"/>
      <c r="B314" s="23"/>
      <c r="C314" s="23"/>
      <c r="D314" s="27"/>
      <c r="E314" s="27"/>
      <c r="F314" s="27"/>
      <c r="G314" s="27"/>
      <c r="H314" s="27"/>
      <c r="I314" s="23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3"/>
      <c r="V314" s="23"/>
      <c r="W314" s="23"/>
      <c r="X314" s="23"/>
      <c r="Y314" s="23"/>
      <c r="Z314" s="23"/>
    </row>
    <row r="315" ht="15.75" customHeight="1" spans="1:26">
      <c r="A315" s="23"/>
      <c r="B315" s="23"/>
      <c r="C315" s="23"/>
      <c r="D315" s="27"/>
      <c r="E315" s="27"/>
      <c r="F315" s="27"/>
      <c r="G315" s="27"/>
      <c r="H315" s="27"/>
      <c r="I315" s="23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3"/>
      <c r="V315" s="23"/>
      <c r="W315" s="23"/>
      <c r="X315" s="23"/>
      <c r="Y315" s="23"/>
      <c r="Z315" s="23"/>
    </row>
    <row r="316" ht="15.75" customHeight="1" spans="1:26">
      <c r="A316" s="23"/>
      <c r="B316" s="23"/>
      <c r="C316" s="23"/>
      <c r="D316" s="27"/>
      <c r="E316" s="27"/>
      <c r="F316" s="27"/>
      <c r="G316" s="27"/>
      <c r="H316" s="27"/>
      <c r="I316" s="23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3"/>
      <c r="V316" s="23"/>
      <c r="W316" s="23"/>
      <c r="X316" s="23"/>
      <c r="Y316" s="23"/>
      <c r="Z316" s="23"/>
    </row>
    <row r="317" ht="15.75" customHeight="1" spans="1:26">
      <c r="A317" s="23"/>
      <c r="B317" s="23"/>
      <c r="C317" s="23"/>
      <c r="D317" s="27"/>
      <c r="E317" s="27"/>
      <c r="F317" s="27"/>
      <c r="G317" s="27"/>
      <c r="H317" s="27"/>
      <c r="I317" s="23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3"/>
      <c r="V317" s="23"/>
      <c r="W317" s="23"/>
      <c r="X317" s="23"/>
      <c r="Y317" s="23"/>
      <c r="Z317" s="23"/>
    </row>
    <row r="318" ht="15.75" customHeight="1" spans="1:26">
      <c r="A318" s="23"/>
      <c r="B318" s="23"/>
      <c r="C318" s="23"/>
      <c r="D318" s="27"/>
      <c r="E318" s="27"/>
      <c r="F318" s="27"/>
      <c r="G318" s="27"/>
      <c r="H318" s="27"/>
      <c r="I318" s="23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3"/>
      <c r="V318" s="23"/>
      <c r="W318" s="23"/>
      <c r="X318" s="23"/>
      <c r="Y318" s="23"/>
      <c r="Z318" s="23"/>
    </row>
    <row r="319" ht="15.75" customHeight="1" spans="1:26">
      <c r="A319" s="23"/>
      <c r="B319" s="23"/>
      <c r="C319" s="23"/>
      <c r="D319" s="27"/>
      <c r="E319" s="27"/>
      <c r="F319" s="27"/>
      <c r="G319" s="27"/>
      <c r="H319" s="27"/>
      <c r="I319" s="23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3"/>
      <c r="V319" s="23"/>
      <c r="W319" s="23"/>
      <c r="X319" s="23"/>
      <c r="Y319" s="23"/>
      <c r="Z319" s="23"/>
    </row>
    <row r="320" ht="15.75" customHeight="1" spans="1:26">
      <c r="A320" s="23"/>
      <c r="B320" s="23"/>
      <c r="C320" s="23"/>
      <c r="D320" s="27"/>
      <c r="E320" s="27"/>
      <c r="F320" s="27"/>
      <c r="G320" s="27"/>
      <c r="H320" s="27"/>
      <c r="I320" s="23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3"/>
      <c r="V320" s="23"/>
      <c r="W320" s="23"/>
      <c r="X320" s="23"/>
      <c r="Y320" s="23"/>
      <c r="Z320" s="23"/>
    </row>
    <row r="321" ht="15.75" customHeight="1" spans="1:26">
      <c r="A321" s="23"/>
      <c r="B321" s="23"/>
      <c r="C321" s="23"/>
      <c r="D321" s="27"/>
      <c r="E321" s="27"/>
      <c r="F321" s="27"/>
      <c r="G321" s="27"/>
      <c r="H321" s="27"/>
      <c r="I321" s="23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3"/>
      <c r="V321" s="23"/>
      <c r="W321" s="23"/>
      <c r="X321" s="23"/>
      <c r="Y321" s="23"/>
      <c r="Z321" s="23"/>
    </row>
    <row r="322" ht="15.75" customHeight="1" spans="1:26">
      <c r="A322" s="23"/>
      <c r="B322" s="23"/>
      <c r="C322" s="23"/>
      <c r="D322" s="27"/>
      <c r="E322" s="27"/>
      <c r="F322" s="27"/>
      <c r="G322" s="27"/>
      <c r="H322" s="27"/>
      <c r="I322" s="23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3"/>
      <c r="V322" s="23"/>
      <c r="W322" s="23"/>
      <c r="X322" s="23"/>
      <c r="Y322" s="23"/>
      <c r="Z322" s="23"/>
    </row>
    <row r="323" ht="15.75" customHeight="1" spans="1:26">
      <c r="A323" s="23"/>
      <c r="B323" s="23"/>
      <c r="C323" s="23"/>
      <c r="D323" s="27"/>
      <c r="E323" s="27"/>
      <c r="F323" s="27"/>
      <c r="G323" s="27"/>
      <c r="H323" s="27"/>
      <c r="I323" s="23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3"/>
      <c r="V323" s="23"/>
      <c r="W323" s="23"/>
      <c r="X323" s="23"/>
      <c r="Y323" s="23"/>
      <c r="Z323" s="23"/>
    </row>
    <row r="324" ht="15.75" customHeight="1" spans="1:26">
      <c r="A324" s="23"/>
      <c r="B324" s="23"/>
      <c r="C324" s="23"/>
      <c r="D324" s="27"/>
      <c r="E324" s="27"/>
      <c r="F324" s="27"/>
      <c r="G324" s="27"/>
      <c r="H324" s="27"/>
      <c r="I324" s="23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3"/>
      <c r="V324" s="23"/>
      <c r="W324" s="23"/>
      <c r="X324" s="23"/>
      <c r="Y324" s="23"/>
      <c r="Z324" s="23"/>
    </row>
    <row r="325" ht="15.75" customHeight="1" spans="1:26">
      <c r="A325" s="23"/>
      <c r="B325" s="23"/>
      <c r="C325" s="23"/>
      <c r="D325" s="27"/>
      <c r="E325" s="27"/>
      <c r="F325" s="27"/>
      <c r="G325" s="27"/>
      <c r="H325" s="27"/>
      <c r="I325" s="23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3"/>
      <c r="V325" s="23"/>
      <c r="W325" s="23"/>
      <c r="X325" s="23"/>
      <c r="Y325" s="23"/>
      <c r="Z325" s="23"/>
    </row>
    <row r="326" ht="15.75" customHeight="1" spans="1:26">
      <c r="A326" s="23"/>
      <c r="B326" s="23"/>
      <c r="C326" s="23"/>
      <c r="D326" s="27"/>
      <c r="E326" s="27"/>
      <c r="F326" s="27"/>
      <c r="G326" s="27"/>
      <c r="H326" s="27"/>
      <c r="I326" s="23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3"/>
      <c r="V326" s="23"/>
      <c r="W326" s="23"/>
      <c r="X326" s="23"/>
      <c r="Y326" s="23"/>
      <c r="Z326" s="23"/>
    </row>
    <row r="327" ht="15.75" customHeight="1" spans="1:26">
      <c r="A327" s="23"/>
      <c r="B327" s="23"/>
      <c r="C327" s="23"/>
      <c r="D327" s="27"/>
      <c r="E327" s="27"/>
      <c r="F327" s="27"/>
      <c r="G327" s="27"/>
      <c r="H327" s="27"/>
      <c r="I327" s="23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3"/>
      <c r="V327" s="23"/>
      <c r="W327" s="23"/>
      <c r="X327" s="23"/>
      <c r="Y327" s="23"/>
      <c r="Z327" s="23"/>
    </row>
    <row r="328" ht="15.75" customHeight="1" spans="1:26">
      <c r="A328" s="23"/>
      <c r="B328" s="23"/>
      <c r="C328" s="23"/>
      <c r="D328" s="27"/>
      <c r="E328" s="27"/>
      <c r="F328" s="27"/>
      <c r="G328" s="27"/>
      <c r="H328" s="27"/>
      <c r="I328" s="23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3"/>
      <c r="V328" s="23"/>
      <c r="W328" s="23"/>
      <c r="X328" s="23"/>
      <c r="Y328" s="23"/>
      <c r="Z328" s="23"/>
    </row>
    <row r="329" ht="15.75" customHeight="1" spans="1:26">
      <c r="A329" s="23"/>
      <c r="B329" s="23"/>
      <c r="C329" s="23"/>
      <c r="D329" s="27"/>
      <c r="E329" s="27"/>
      <c r="F329" s="27"/>
      <c r="G329" s="27"/>
      <c r="H329" s="27"/>
      <c r="I329" s="23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3"/>
      <c r="V329" s="23"/>
      <c r="W329" s="23"/>
      <c r="X329" s="23"/>
      <c r="Y329" s="23"/>
      <c r="Z329" s="23"/>
    </row>
    <row r="330" ht="15.75" customHeight="1" spans="1:26">
      <c r="A330" s="23"/>
      <c r="B330" s="23"/>
      <c r="C330" s="23"/>
      <c r="D330" s="27"/>
      <c r="E330" s="27"/>
      <c r="F330" s="27"/>
      <c r="G330" s="27"/>
      <c r="H330" s="27"/>
      <c r="I330" s="23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3"/>
      <c r="V330" s="23"/>
      <c r="W330" s="23"/>
      <c r="X330" s="23"/>
      <c r="Y330" s="23"/>
      <c r="Z330" s="23"/>
    </row>
    <row r="331" ht="15.75" customHeight="1" spans="1:26">
      <c r="A331" s="23"/>
      <c r="B331" s="23"/>
      <c r="C331" s="23"/>
      <c r="D331" s="27"/>
      <c r="E331" s="27"/>
      <c r="F331" s="27"/>
      <c r="G331" s="27"/>
      <c r="H331" s="27"/>
      <c r="I331" s="23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3"/>
      <c r="V331" s="23"/>
      <c r="W331" s="23"/>
      <c r="X331" s="23"/>
      <c r="Y331" s="23"/>
      <c r="Z331" s="23"/>
    </row>
    <row r="332" ht="15.75" customHeight="1" spans="1:26">
      <c r="A332" s="23"/>
      <c r="B332" s="23"/>
      <c r="C332" s="23"/>
      <c r="D332" s="27"/>
      <c r="E332" s="27"/>
      <c r="F332" s="27"/>
      <c r="G332" s="27"/>
      <c r="H332" s="27"/>
      <c r="I332" s="23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3"/>
      <c r="V332" s="23"/>
      <c r="W332" s="23"/>
      <c r="X332" s="23"/>
      <c r="Y332" s="23"/>
      <c r="Z332" s="23"/>
    </row>
    <row r="333" ht="15.75" customHeight="1" spans="1:26">
      <c r="A333" s="23"/>
      <c r="B333" s="23"/>
      <c r="C333" s="23"/>
      <c r="D333" s="27"/>
      <c r="E333" s="27"/>
      <c r="F333" s="27"/>
      <c r="G333" s="27"/>
      <c r="H333" s="27"/>
      <c r="I333" s="23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3"/>
      <c r="V333" s="23"/>
      <c r="W333" s="23"/>
      <c r="X333" s="23"/>
      <c r="Y333" s="23"/>
      <c r="Z333" s="23"/>
    </row>
    <row r="334" ht="15.75" customHeight="1" spans="1:26">
      <c r="A334" s="23"/>
      <c r="B334" s="23"/>
      <c r="C334" s="23"/>
      <c r="D334" s="27"/>
      <c r="E334" s="27"/>
      <c r="F334" s="27"/>
      <c r="G334" s="27"/>
      <c r="H334" s="27"/>
      <c r="I334" s="23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3"/>
      <c r="V334" s="23"/>
      <c r="W334" s="23"/>
      <c r="X334" s="23"/>
      <c r="Y334" s="23"/>
      <c r="Z334" s="23"/>
    </row>
    <row r="335" ht="15.75" customHeight="1" spans="1:26">
      <c r="A335" s="23"/>
      <c r="B335" s="23"/>
      <c r="C335" s="23"/>
      <c r="D335" s="27"/>
      <c r="E335" s="27"/>
      <c r="F335" s="27"/>
      <c r="G335" s="27"/>
      <c r="H335" s="27"/>
      <c r="I335" s="23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3"/>
      <c r="V335" s="23"/>
      <c r="W335" s="23"/>
      <c r="X335" s="23"/>
      <c r="Y335" s="23"/>
      <c r="Z335" s="23"/>
    </row>
    <row r="336" ht="15.75" customHeight="1" spans="1:26">
      <c r="A336" s="23"/>
      <c r="B336" s="23"/>
      <c r="C336" s="23"/>
      <c r="D336" s="27"/>
      <c r="E336" s="27"/>
      <c r="F336" s="27"/>
      <c r="G336" s="27"/>
      <c r="H336" s="27"/>
      <c r="I336" s="23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3"/>
      <c r="V336" s="23"/>
      <c r="W336" s="23"/>
      <c r="X336" s="23"/>
      <c r="Y336" s="23"/>
      <c r="Z336" s="23"/>
    </row>
    <row r="337" ht="15.75" customHeight="1" spans="1:26">
      <c r="A337" s="23"/>
      <c r="B337" s="23"/>
      <c r="C337" s="23"/>
      <c r="D337" s="27"/>
      <c r="E337" s="27"/>
      <c r="F337" s="27"/>
      <c r="G337" s="27"/>
      <c r="H337" s="27"/>
      <c r="I337" s="23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3"/>
      <c r="V337" s="23"/>
      <c r="W337" s="23"/>
      <c r="X337" s="23"/>
      <c r="Y337" s="23"/>
      <c r="Z337" s="23"/>
    </row>
    <row r="338" ht="15.75" customHeight="1" spans="1:26">
      <c r="A338" s="23"/>
      <c r="B338" s="23"/>
      <c r="C338" s="23"/>
      <c r="D338" s="27"/>
      <c r="E338" s="27"/>
      <c r="F338" s="27"/>
      <c r="G338" s="27"/>
      <c r="H338" s="27"/>
      <c r="I338" s="23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3"/>
      <c r="V338" s="23"/>
      <c r="W338" s="23"/>
      <c r="X338" s="23"/>
      <c r="Y338" s="23"/>
      <c r="Z338" s="23"/>
    </row>
    <row r="339" ht="15.75" customHeight="1" spans="1:26">
      <c r="A339" s="23"/>
      <c r="B339" s="23"/>
      <c r="C339" s="23"/>
      <c r="D339" s="27"/>
      <c r="E339" s="27"/>
      <c r="F339" s="27"/>
      <c r="G339" s="27"/>
      <c r="H339" s="27"/>
      <c r="I339" s="23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3"/>
      <c r="V339" s="23"/>
      <c r="W339" s="23"/>
      <c r="X339" s="23"/>
      <c r="Y339" s="23"/>
      <c r="Z339" s="23"/>
    </row>
    <row r="340" ht="15.75" customHeight="1" spans="1:26">
      <c r="A340" s="23"/>
      <c r="B340" s="23"/>
      <c r="C340" s="23"/>
      <c r="D340" s="27"/>
      <c r="E340" s="27"/>
      <c r="F340" s="27"/>
      <c r="G340" s="27"/>
      <c r="H340" s="27"/>
      <c r="I340" s="23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3"/>
      <c r="V340" s="23"/>
      <c r="W340" s="23"/>
      <c r="X340" s="23"/>
      <c r="Y340" s="23"/>
      <c r="Z340" s="23"/>
    </row>
    <row r="341" ht="15.75" customHeight="1" spans="1:26">
      <c r="A341" s="23"/>
      <c r="B341" s="23"/>
      <c r="C341" s="23"/>
      <c r="D341" s="27"/>
      <c r="E341" s="27"/>
      <c r="F341" s="27"/>
      <c r="G341" s="27"/>
      <c r="H341" s="27"/>
      <c r="I341" s="23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3"/>
      <c r="V341" s="23"/>
      <c r="W341" s="23"/>
      <c r="X341" s="23"/>
      <c r="Y341" s="23"/>
      <c r="Z341" s="23"/>
    </row>
    <row r="342" ht="15.75" customHeight="1" spans="1:26">
      <c r="A342" s="23"/>
      <c r="B342" s="23"/>
      <c r="C342" s="23"/>
      <c r="D342" s="27"/>
      <c r="E342" s="27"/>
      <c r="F342" s="27"/>
      <c r="G342" s="27"/>
      <c r="H342" s="27"/>
      <c r="I342" s="23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3"/>
      <c r="V342" s="23"/>
      <c r="W342" s="23"/>
      <c r="X342" s="23"/>
      <c r="Y342" s="23"/>
      <c r="Z342" s="23"/>
    </row>
    <row r="343" ht="15.75" customHeight="1" spans="1:26">
      <c r="A343" s="23"/>
      <c r="B343" s="23"/>
      <c r="C343" s="23"/>
      <c r="D343" s="27"/>
      <c r="E343" s="27"/>
      <c r="F343" s="27"/>
      <c r="G343" s="27"/>
      <c r="H343" s="27"/>
      <c r="I343" s="23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3"/>
      <c r="V343" s="23"/>
      <c r="W343" s="23"/>
      <c r="X343" s="23"/>
      <c r="Y343" s="23"/>
      <c r="Z343" s="23"/>
    </row>
    <row r="344" ht="15.75" customHeight="1" spans="1:26">
      <c r="A344" s="23"/>
      <c r="B344" s="23"/>
      <c r="C344" s="23"/>
      <c r="D344" s="27"/>
      <c r="E344" s="27"/>
      <c r="F344" s="27"/>
      <c r="G344" s="27"/>
      <c r="H344" s="27"/>
      <c r="I344" s="23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3"/>
      <c r="V344" s="23"/>
      <c r="W344" s="23"/>
      <c r="X344" s="23"/>
      <c r="Y344" s="23"/>
      <c r="Z344" s="23"/>
    </row>
    <row r="345" ht="15.75" customHeight="1" spans="1:26">
      <c r="A345" s="23"/>
      <c r="B345" s="23"/>
      <c r="C345" s="23"/>
      <c r="D345" s="27"/>
      <c r="E345" s="27"/>
      <c r="F345" s="27"/>
      <c r="G345" s="27"/>
      <c r="H345" s="27"/>
      <c r="I345" s="23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3"/>
      <c r="V345" s="23"/>
      <c r="W345" s="23"/>
      <c r="X345" s="23"/>
      <c r="Y345" s="23"/>
      <c r="Z345" s="23"/>
    </row>
    <row r="346" ht="15.75" customHeight="1" spans="1:26">
      <c r="A346" s="23"/>
      <c r="B346" s="23"/>
      <c r="C346" s="23"/>
      <c r="D346" s="27"/>
      <c r="E346" s="27"/>
      <c r="F346" s="27"/>
      <c r="G346" s="27"/>
      <c r="H346" s="27"/>
      <c r="I346" s="23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3"/>
      <c r="V346" s="23"/>
      <c r="W346" s="23"/>
      <c r="X346" s="23"/>
      <c r="Y346" s="23"/>
      <c r="Z346" s="23"/>
    </row>
    <row r="347" ht="15.75" customHeight="1" spans="1:26">
      <c r="A347" s="23"/>
      <c r="B347" s="23"/>
      <c r="C347" s="23"/>
      <c r="D347" s="27"/>
      <c r="E347" s="27"/>
      <c r="F347" s="27"/>
      <c r="G347" s="27"/>
      <c r="H347" s="27"/>
      <c r="I347" s="23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3"/>
      <c r="V347" s="23"/>
      <c r="W347" s="23"/>
      <c r="X347" s="23"/>
      <c r="Y347" s="23"/>
      <c r="Z347" s="23"/>
    </row>
    <row r="348" ht="15.75" customHeight="1" spans="1:26">
      <c r="A348" s="23"/>
      <c r="B348" s="23"/>
      <c r="C348" s="23"/>
      <c r="D348" s="27"/>
      <c r="E348" s="27"/>
      <c r="F348" s="27"/>
      <c r="G348" s="27"/>
      <c r="H348" s="27"/>
      <c r="I348" s="23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3"/>
      <c r="V348" s="23"/>
      <c r="W348" s="23"/>
      <c r="X348" s="23"/>
      <c r="Y348" s="23"/>
      <c r="Z348" s="23"/>
    </row>
    <row r="349" ht="15.75" customHeight="1" spans="1:26">
      <c r="A349" s="23"/>
      <c r="B349" s="23"/>
      <c r="C349" s="23"/>
      <c r="D349" s="27"/>
      <c r="E349" s="27"/>
      <c r="F349" s="27"/>
      <c r="G349" s="27"/>
      <c r="H349" s="27"/>
      <c r="I349" s="23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3"/>
      <c r="V349" s="23"/>
      <c r="W349" s="23"/>
      <c r="X349" s="23"/>
      <c r="Y349" s="23"/>
      <c r="Z349" s="23"/>
    </row>
    <row r="350" ht="15.75" customHeight="1" spans="1:26">
      <c r="A350" s="23"/>
      <c r="B350" s="23"/>
      <c r="C350" s="23"/>
      <c r="D350" s="27"/>
      <c r="E350" s="27"/>
      <c r="F350" s="27"/>
      <c r="G350" s="27"/>
      <c r="H350" s="27"/>
      <c r="I350" s="23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3"/>
      <c r="V350" s="23"/>
      <c r="W350" s="23"/>
      <c r="X350" s="23"/>
      <c r="Y350" s="23"/>
      <c r="Z350" s="23"/>
    </row>
    <row r="351" ht="15.75" customHeight="1" spans="1:26">
      <c r="A351" s="23"/>
      <c r="B351" s="23"/>
      <c r="C351" s="23"/>
      <c r="D351" s="27"/>
      <c r="E351" s="27"/>
      <c r="F351" s="27"/>
      <c r="G351" s="27"/>
      <c r="H351" s="27"/>
      <c r="I351" s="23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3"/>
      <c r="V351" s="23"/>
      <c r="W351" s="23"/>
      <c r="X351" s="23"/>
      <c r="Y351" s="23"/>
      <c r="Z351" s="23"/>
    </row>
    <row r="352" ht="15.75" customHeight="1" spans="1:26">
      <c r="A352" s="23"/>
      <c r="B352" s="23"/>
      <c r="C352" s="23"/>
      <c r="D352" s="27"/>
      <c r="E352" s="27"/>
      <c r="F352" s="27"/>
      <c r="G352" s="27"/>
      <c r="H352" s="27"/>
      <c r="I352" s="23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3"/>
      <c r="V352" s="23"/>
      <c r="W352" s="23"/>
      <c r="X352" s="23"/>
      <c r="Y352" s="23"/>
      <c r="Z352" s="23"/>
    </row>
    <row r="353" ht="15.75" customHeight="1" spans="1:26">
      <c r="A353" s="23"/>
      <c r="B353" s="23"/>
      <c r="C353" s="23"/>
      <c r="D353" s="27"/>
      <c r="E353" s="27"/>
      <c r="F353" s="27"/>
      <c r="G353" s="27"/>
      <c r="H353" s="27"/>
      <c r="I353" s="23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3"/>
      <c r="V353" s="23"/>
      <c r="W353" s="23"/>
      <c r="X353" s="23"/>
      <c r="Y353" s="23"/>
      <c r="Z353" s="23"/>
    </row>
    <row r="354" ht="15.75" customHeight="1" spans="1:26">
      <c r="A354" s="23"/>
      <c r="B354" s="23"/>
      <c r="C354" s="23"/>
      <c r="D354" s="27"/>
      <c r="E354" s="27"/>
      <c r="F354" s="27"/>
      <c r="G354" s="27"/>
      <c r="H354" s="27"/>
      <c r="I354" s="23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3"/>
      <c r="V354" s="23"/>
      <c r="W354" s="23"/>
      <c r="X354" s="23"/>
      <c r="Y354" s="23"/>
      <c r="Z354" s="23"/>
    </row>
    <row r="355" ht="15.75" customHeight="1" spans="1:26">
      <c r="A355" s="23"/>
      <c r="B355" s="23"/>
      <c r="C355" s="23"/>
      <c r="D355" s="27"/>
      <c r="E355" s="27"/>
      <c r="F355" s="27"/>
      <c r="G355" s="27"/>
      <c r="H355" s="27"/>
      <c r="I355" s="23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3"/>
      <c r="V355" s="23"/>
      <c r="W355" s="23"/>
      <c r="X355" s="23"/>
      <c r="Y355" s="23"/>
      <c r="Z355" s="23"/>
    </row>
    <row r="356" ht="15.75" customHeight="1" spans="1:26">
      <c r="A356" s="23"/>
      <c r="B356" s="23"/>
      <c r="C356" s="23"/>
      <c r="D356" s="27"/>
      <c r="E356" s="27"/>
      <c r="F356" s="27"/>
      <c r="G356" s="27"/>
      <c r="H356" s="27"/>
      <c r="I356" s="23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3"/>
      <c r="V356" s="23"/>
      <c r="W356" s="23"/>
      <c r="X356" s="23"/>
      <c r="Y356" s="23"/>
      <c r="Z356" s="23"/>
    </row>
    <row r="357" ht="15.75" customHeight="1" spans="1:26">
      <c r="A357" s="23"/>
      <c r="B357" s="23"/>
      <c r="C357" s="23"/>
      <c r="D357" s="27"/>
      <c r="E357" s="27"/>
      <c r="F357" s="27"/>
      <c r="G357" s="27"/>
      <c r="H357" s="27"/>
      <c r="I357" s="23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3"/>
      <c r="V357" s="23"/>
      <c r="W357" s="23"/>
      <c r="X357" s="23"/>
      <c r="Y357" s="23"/>
      <c r="Z357" s="23"/>
    </row>
    <row r="358" ht="15.75" customHeight="1" spans="1:26">
      <c r="A358" s="23"/>
      <c r="B358" s="23"/>
      <c r="C358" s="23"/>
      <c r="D358" s="27"/>
      <c r="E358" s="27"/>
      <c r="F358" s="27"/>
      <c r="G358" s="27"/>
      <c r="H358" s="27"/>
      <c r="I358" s="23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3"/>
      <c r="V358" s="23"/>
      <c r="W358" s="23"/>
      <c r="X358" s="23"/>
      <c r="Y358" s="23"/>
      <c r="Z358" s="23"/>
    </row>
    <row r="359" ht="15.75" customHeight="1" spans="1:26">
      <c r="A359" s="23"/>
      <c r="B359" s="23"/>
      <c r="C359" s="23"/>
      <c r="D359" s="27"/>
      <c r="E359" s="27"/>
      <c r="F359" s="27"/>
      <c r="G359" s="27"/>
      <c r="H359" s="27"/>
      <c r="I359" s="23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3"/>
      <c r="V359" s="23"/>
      <c r="W359" s="23"/>
      <c r="X359" s="23"/>
      <c r="Y359" s="23"/>
      <c r="Z359" s="23"/>
    </row>
    <row r="360" ht="15.75" customHeight="1" spans="1:26">
      <c r="A360" s="23"/>
      <c r="B360" s="23"/>
      <c r="C360" s="23"/>
      <c r="D360" s="27"/>
      <c r="E360" s="27"/>
      <c r="F360" s="27"/>
      <c r="G360" s="27"/>
      <c r="H360" s="27"/>
      <c r="I360" s="23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3"/>
      <c r="V360" s="23"/>
      <c r="W360" s="23"/>
      <c r="X360" s="23"/>
      <c r="Y360" s="23"/>
      <c r="Z360" s="23"/>
    </row>
    <row r="361" ht="15.75" customHeight="1" spans="1:26">
      <c r="A361" s="23"/>
      <c r="B361" s="23"/>
      <c r="C361" s="23"/>
      <c r="D361" s="27"/>
      <c r="E361" s="27"/>
      <c r="F361" s="27"/>
      <c r="G361" s="27"/>
      <c r="H361" s="27"/>
      <c r="I361" s="23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3"/>
      <c r="V361" s="23"/>
      <c r="W361" s="23"/>
      <c r="X361" s="23"/>
      <c r="Y361" s="23"/>
      <c r="Z361" s="23"/>
    </row>
    <row r="362" ht="15.75" customHeight="1" spans="1:26">
      <c r="A362" s="23"/>
      <c r="B362" s="23"/>
      <c r="C362" s="23"/>
      <c r="D362" s="27"/>
      <c r="E362" s="27"/>
      <c r="F362" s="27"/>
      <c r="G362" s="27"/>
      <c r="H362" s="27"/>
      <c r="I362" s="23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3"/>
      <c r="V362" s="23"/>
      <c r="W362" s="23"/>
      <c r="X362" s="23"/>
      <c r="Y362" s="23"/>
      <c r="Z362" s="23"/>
    </row>
    <row r="363" ht="15.75" customHeight="1" spans="1:26">
      <c r="A363" s="23"/>
      <c r="B363" s="23"/>
      <c r="C363" s="23"/>
      <c r="D363" s="27"/>
      <c r="E363" s="27"/>
      <c r="F363" s="27"/>
      <c r="G363" s="27"/>
      <c r="H363" s="27"/>
      <c r="I363" s="23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3"/>
      <c r="V363" s="23"/>
      <c r="W363" s="23"/>
      <c r="X363" s="23"/>
      <c r="Y363" s="23"/>
      <c r="Z363" s="23"/>
    </row>
    <row r="364" ht="15.75" customHeight="1" spans="1:26">
      <c r="A364" s="23"/>
      <c r="B364" s="23"/>
      <c r="C364" s="23"/>
      <c r="D364" s="27"/>
      <c r="E364" s="27"/>
      <c r="F364" s="27"/>
      <c r="G364" s="27"/>
      <c r="H364" s="27"/>
      <c r="I364" s="23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3"/>
      <c r="V364" s="23"/>
      <c r="W364" s="23"/>
      <c r="X364" s="23"/>
      <c r="Y364" s="23"/>
      <c r="Z364" s="23"/>
    </row>
    <row r="365" ht="15.75" customHeight="1" spans="1:26">
      <c r="A365" s="23"/>
      <c r="B365" s="23"/>
      <c r="C365" s="23"/>
      <c r="D365" s="27"/>
      <c r="E365" s="27"/>
      <c r="F365" s="27"/>
      <c r="G365" s="27"/>
      <c r="H365" s="27"/>
      <c r="I365" s="23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3"/>
      <c r="V365" s="23"/>
      <c r="W365" s="23"/>
      <c r="X365" s="23"/>
      <c r="Y365" s="23"/>
      <c r="Z365" s="23"/>
    </row>
    <row r="366" ht="15.75" customHeight="1" spans="1:26">
      <c r="A366" s="23"/>
      <c r="B366" s="23"/>
      <c r="C366" s="23"/>
      <c r="D366" s="27"/>
      <c r="E366" s="27"/>
      <c r="F366" s="27"/>
      <c r="G366" s="27"/>
      <c r="H366" s="27"/>
      <c r="I366" s="23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3"/>
      <c r="V366" s="23"/>
      <c r="W366" s="23"/>
      <c r="X366" s="23"/>
      <c r="Y366" s="23"/>
      <c r="Z366" s="23"/>
    </row>
    <row r="367" ht="15.75" customHeight="1" spans="1:26">
      <c r="A367" s="23"/>
      <c r="B367" s="23"/>
      <c r="C367" s="23"/>
      <c r="D367" s="27"/>
      <c r="E367" s="27"/>
      <c r="F367" s="27"/>
      <c r="G367" s="27"/>
      <c r="H367" s="27"/>
      <c r="I367" s="23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3"/>
      <c r="V367" s="23"/>
      <c r="W367" s="23"/>
      <c r="X367" s="23"/>
      <c r="Y367" s="23"/>
      <c r="Z367" s="23"/>
    </row>
    <row r="368" ht="15.75" customHeight="1" spans="1:26">
      <c r="A368" s="23"/>
      <c r="B368" s="23"/>
      <c r="C368" s="23"/>
      <c r="D368" s="27"/>
      <c r="E368" s="27"/>
      <c r="F368" s="27"/>
      <c r="G368" s="27"/>
      <c r="H368" s="27"/>
      <c r="I368" s="23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3"/>
      <c r="V368" s="23"/>
      <c r="W368" s="23"/>
      <c r="X368" s="23"/>
      <c r="Y368" s="23"/>
      <c r="Z368" s="23"/>
    </row>
    <row r="369" ht="15.75" customHeight="1" spans="1:26">
      <c r="A369" s="23"/>
      <c r="B369" s="23"/>
      <c r="C369" s="23"/>
      <c r="D369" s="27"/>
      <c r="E369" s="27"/>
      <c r="F369" s="27"/>
      <c r="G369" s="27"/>
      <c r="H369" s="27"/>
      <c r="I369" s="23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3"/>
      <c r="V369" s="23"/>
      <c r="W369" s="23"/>
      <c r="X369" s="23"/>
      <c r="Y369" s="23"/>
      <c r="Z369" s="23"/>
    </row>
    <row r="370" ht="15.75" customHeight="1" spans="1:26">
      <c r="A370" s="23"/>
      <c r="B370" s="23"/>
      <c r="C370" s="23"/>
      <c r="D370" s="27"/>
      <c r="E370" s="27"/>
      <c r="F370" s="27"/>
      <c r="G370" s="27"/>
      <c r="H370" s="27"/>
      <c r="I370" s="23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3"/>
      <c r="V370" s="23"/>
      <c r="W370" s="23"/>
      <c r="X370" s="23"/>
      <c r="Y370" s="23"/>
      <c r="Z370" s="23"/>
    </row>
    <row r="371" ht="15.75" customHeight="1" spans="1:26">
      <c r="A371" s="23"/>
      <c r="B371" s="23"/>
      <c r="C371" s="23"/>
      <c r="D371" s="27"/>
      <c r="E371" s="27"/>
      <c r="F371" s="27"/>
      <c r="G371" s="27"/>
      <c r="H371" s="27"/>
      <c r="I371" s="23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3"/>
      <c r="V371" s="23"/>
      <c r="W371" s="23"/>
      <c r="X371" s="23"/>
      <c r="Y371" s="23"/>
      <c r="Z371" s="23"/>
    </row>
    <row r="372" ht="15.75" customHeight="1" spans="1:26">
      <c r="A372" s="23"/>
      <c r="B372" s="23"/>
      <c r="C372" s="23"/>
      <c r="D372" s="27"/>
      <c r="E372" s="27"/>
      <c r="F372" s="27"/>
      <c r="G372" s="27"/>
      <c r="H372" s="27"/>
      <c r="I372" s="23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3"/>
      <c r="V372" s="23"/>
      <c r="W372" s="23"/>
      <c r="X372" s="23"/>
      <c r="Y372" s="23"/>
      <c r="Z372" s="23"/>
    </row>
    <row r="373" ht="15.75" customHeight="1" spans="1:26">
      <c r="A373" s="23"/>
      <c r="B373" s="23"/>
      <c r="C373" s="23"/>
      <c r="D373" s="27"/>
      <c r="E373" s="27"/>
      <c r="F373" s="27"/>
      <c r="G373" s="27"/>
      <c r="H373" s="27"/>
      <c r="I373" s="23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3"/>
      <c r="V373" s="23"/>
      <c r="W373" s="23"/>
      <c r="X373" s="23"/>
      <c r="Y373" s="23"/>
      <c r="Z373" s="23"/>
    </row>
    <row r="374" ht="15.75" customHeight="1" spans="1:26">
      <c r="A374" s="23"/>
      <c r="B374" s="23"/>
      <c r="C374" s="23"/>
      <c r="D374" s="27"/>
      <c r="E374" s="27"/>
      <c r="F374" s="27"/>
      <c r="G374" s="27"/>
      <c r="H374" s="27"/>
      <c r="I374" s="23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3"/>
      <c r="V374" s="23"/>
      <c r="W374" s="23"/>
      <c r="X374" s="23"/>
      <c r="Y374" s="23"/>
      <c r="Z374" s="23"/>
    </row>
    <row r="375" ht="15.75" customHeight="1" spans="1:26">
      <c r="A375" s="23"/>
      <c r="B375" s="23"/>
      <c r="C375" s="23"/>
      <c r="D375" s="27"/>
      <c r="E375" s="27"/>
      <c r="F375" s="27"/>
      <c r="G375" s="27"/>
      <c r="H375" s="27"/>
      <c r="I375" s="23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3"/>
      <c r="V375" s="23"/>
      <c r="W375" s="23"/>
      <c r="X375" s="23"/>
      <c r="Y375" s="23"/>
      <c r="Z375" s="23"/>
    </row>
    <row r="376" ht="15.75" customHeight="1" spans="1:26">
      <c r="A376" s="23"/>
      <c r="B376" s="23"/>
      <c r="C376" s="23"/>
      <c r="D376" s="27"/>
      <c r="E376" s="27"/>
      <c r="F376" s="27"/>
      <c r="G376" s="27"/>
      <c r="H376" s="27"/>
      <c r="I376" s="23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3"/>
      <c r="V376" s="23"/>
      <c r="W376" s="23"/>
      <c r="X376" s="23"/>
      <c r="Y376" s="23"/>
      <c r="Z376" s="23"/>
    </row>
    <row r="377" ht="15.75" customHeight="1" spans="1:26">
      <c r="A377" s="23"/>
      <c r="B377" s="23"/>
      <c r="C377" s="23"/>
      <c r="D377" s="27"/>
      <c r="E377" s="27"/>
      <c r="F377" s="27"/>
      <c r="G377" s="27"/>
      <c r="H377" s="27"/>
      <c r="I377" s="23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3"/>
      <c r="V377" s="23"/>
      <c r="W377" s="23"/>
      <c r="X377" s="23"/>
      <c r="Y377" s="23"/>
      <c r="Z377" s="23"/>
    </row>
    <row r="378" ht="15.75" customHeight="1" spans="1:26">
      <c r="A378" s="23"/>
      <c r="B378" s="23"/>
      <c r="C378" s="23"/>
      <c r="D378" s="27"/>
      <c r="E378" s="27"/>
      <c r="F378" s="27"/>
      <c r="G378" s="27"/>
      <c r="H378" s="27"/>
      <c r="I378" s="23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3"/>
      <c r="V378" s="23"/>
      <c r="W378" s="23"/>
      <c r="X378" s="23"/>
      <c r="Y378" s="23"/>
      <c r="Z378" s="23"/>
    </row>
    <row r="379" ht="15.75" customHeight="1" spans="1:26">
      <c r="A379" s="23"/>
      <c r="B379" s="23"/>
      <c r="C379" s="23"/>
      <c r="D379" s="27"/>
      <c r="E379" s="27"/>
      <c r="F379" s="27"/>
      <c r="G379" s="27"/>
      <c r="H379" s="27"/>
      <c r="I379" s="23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3"/>
      <c r="V379" s="23"/>
      <c r="W379" s="23"/>
      <c r="X379" s="23"/>
      <c r="Y379" s="23"/>
      <c r="Z379" s="23"/>
    </row>
    <row r="380" ht="15.75" customHeight="1" spans="1:26">
      <c r="A380" s="23"/>
      <c r="B380" s="23"/>
      <c r="C380" s="23"/>
      <c r="D380" s="27"/>
      <c r="E380" s="27"/>
      <c r="F380" s="27"/>
      <c r="G380" s="27"/>
      <c r="H380" s="27"/>
      <c r="I380" s="23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3"/>
      <c r="V380" s="23"/>
      <c r="W380" s="23"/>
      <c r="X380" s="23"/>
      <c r="Y380" s="23"/>
      <c r="Z380" s="23"/>
    </row>
    <row r="381" ht="15.75" customHeight="1" spans="1:26">
      <c r="A381" s="23"/>
      <c r="B381" s="23"/>
      <c r="C381" s="23"/>
      <c r="D381" s="27"/>
      <c r="E381" s="27"/>
      <c r="F381" s="27"/>
      <c r="G381" s="27"/>
      <c r="H381" s="27"/>
      <c r="I381" s="23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3"/>
      <c r="V381" s="23"/>
      <c r="W381" s="23"/>
      <c r="X381" s="23"/>
      <c r="Y381" s="23"/>
      <c r="Z381" s="23"/>
    </row>
    <row r="382" ht="15.75" customHeight="1" spans="1:26">
      <c r="A382" s="23"/>
      <c r="B382" s="23"/>
      <c r="C382" s="23"/>
      <c r="D382" s="27"/>
      <c r="E382" s="27"/>
      <c r="F382" s="27"/>
      <c r="G382" s="27"/>
      <c r="H382" s="27"/>
      <c r="I382" s="23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3"/>
      <c r="V382" s="23"/>
      <c r="W382" s="23"/>
      <c r="X382" s="23"/>
      <c r="Y382" s="23"/>
      <c r="Z382" s="23"/>
    </row>
    <row r="383" ht="15.75" customHeight="1" spans="1:26">
      <c r="A383" s="23"/>
      <c r="B383" s="23"/>
      <c r="C383" s="23"/>
      <c r="D383" s="27"/>
      <c r="E383" s="27"/>
      <c r="F383" s="27"/>
      <c r="G383" s="27"/>
      <c r="H383" s="27"/>
      <c r="I383" s="23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3"/>
      <c r="V383" s="23"/>
      <c r="W383" s="23"/>
      <c r="X383" s="23"/>
      <c r="Y383" s="23"/>
      <c r="Z383" s="23"/>
    </row>
    <row r="384" ht="15.75" customHeight="1" spans="1:26">
      <c r="A384" s="23"/>
      <c r="B384" s="23"/>
      <c r="C384" s="23"/>
      <c r="D384" s="27"/>
      <c r="E384" s="27"/>
      <c r="F384" s="27"/>
      <c r="G384" s="27"/>
      <c r="H384" s="27"/>
      <c r="I384" s="23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3"/>
      <c r="V384" s="23"/>
      <c r="W384" s="23"/>
      <c r="X384" s="23"/>
      <c r="Y384" s="23"/>
      <c r="Z384" s="23"/>
    </row>
    <row r="385" ht="15.75" customHeight="1" spans="1:26">
      <c r="A385" s="23"/>
      <c r="B385" s="23"/>
      <c r="C385" s="23"/>
      <c r="D385" s="27"/>
      <c r="E385" s="27"/>
      <c r="F385" s="27"/>
      <c r="G385" s="27"/>
      <c r="H385" s="27"/>
      <c r="I385" s="23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3"/>
      <c r="V385" s="23"/>
      <c r="W385" s="23"/>
      <c r="X385" s="23"/>
      <c r="Y385" s="23"/>
      <c r="Z385" s="23"/>
    </row>
    <row r="386" ht="15.75" customHeight="1" spans="1:26">
      <c r="A386" s="23"/>
      <c r="B386" s="23"/>
      <c r="C386" s="23"/>
      <c r="D386" s="27"/>
      <c r="E386" s="27"/>
      <c r="F386" s="27"/>
      <c r="G386" s="27"/>
      <c r="H386" s="27"/>
      <c r="I386" s="23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3"/>
      <c r="V386" s="23"/>
      <c r="W386" s="23"/>
      <c r="X386" s="23"/>
      <c r="Y386" s="23"/>
      <c r="Z386" s="23"/>
    </row>
    <row r="387" ht="15.75" customHeight="1" spans="1:26">
      <c r="A387" s="23"/>
      <c r="B387" s="23"/>
      <c r="C387" s="23"/>
      <c r="D387" s="27"/>
      <c r="E387" s="27"/>
      <c r="F387" s="27"/>
      <c r="G387" s="27"/>
      <c r="H387" s="27"/>
      <c r="I387" s="23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3"/>
      <c r="V387" s="23"/>
      <c r="W387" s="23"/>
      <c r="X387" s="23"/>
      <c r="Y387" s="23"/>
      <c r="Z387" s="23"/>
    </row>
    <row r="388" ht="15.75" customHeight="1" spans="1:26">
      <c r="A388" s="23"/>
      <c r="B388" s="23"/>
      <c r="C388" s="23"/>
      <c r="D388" s="27"/>
      <c r="E388" s="27"/>
      <c r="F388" s="27"/>
      <c r="G388" s="27"/>
      <c r="H388" s="27"/>
      <c r="I388" s="23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3"/>
      <c r="V388" s="23"/>
      <c r="W388" s="23"/>
      <c r="X388" s="23"/>
      <c r="Y388" s="23"/>
      <c r="Z388" s="23"/>
    </row>
    <row r="389" ht="15.75" customHeight="1" spans="1:26">
      <c r="A389" s="23"/>
      <c r="B389" s="23"/>
      <c r="C389" s="23"/>
      <c r="D389" s="27"/>
      <c r="E389" s="27"/>
      <c r="F389" s="27"/>
      <c r="G389" s="27"/>
      <c r="H389" s="27"/>
      <c r="I389" s="23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3"/>
      <c r="V389" s="23"/>
      <c r="W389" s="23"/>
      <c r="X389" s="23"/>
      <c r="Y389" s="23"/>
      <c r="Z389" s="23"/>
    </row>
    <row r="390" ht="15.75" customHeight="1" spans="1:26">
      <c r="A390" s="23"/>
      <c r="B390" s="23"/>
      <c r="C390" s="23"/>
      <c r="D390" s="27"/>
      <c r="E390" s="27"/>
      <c r="F390" s="27"/>
      <c r="G390" s="27"/>
      <c r="H390" s="27"/>
      <c r="I390" s="23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3"/>
      <c r="V390" s="23"/>
      <c r="W390" s="23"/>
      <c r="X390" s="23"/>
      <c r="Y390" s="23"/>
      <c r="Z390" s="23"/>
    </row>
    <row r="391" ht="15.75" customHeight="1" spans="1:26">
      <c r="A391" s="23"/>
      <c r="B391" s="23"/>
      <c r="C391" s="23"/>
      <c r="D391" s="27"/>
      <c r="E391" s="27"/>
      <c r="F391" s="27"/>
      <c r="G391" s="27"/>
      <c r="H391" s="27"/>
      <c r="I391" s="23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3"/>
      <c r="V391" s="23"/>
      <c r="W391" s="23"/>
      <c r="X391" s="23"/>
      <c r="Y391" s="23"/>
      <c r="Z391" s="23"/>
    </row>
    <row r="392" ht="15.75" customHeight="1" spans="1:26">
      <c r="A392" s="23"/>
      <c r="B392" s="23"/>
      <c r="C392" s="23"/>
      <c r="D392" s="27"/>
      <c r="E392" s="27"/>
      <c r="F392" s="27"/>
      <c r="G392" s="27"/>
      <c r="H392" s="27"/>
      <c r="I392" s="23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3"/>
      <c r="V392" s="23"/>
      <c r="W392" s="23"/>
      <c r="X392" s="23"/>
      <c r="Y392" s="23"/>
      <c r="Z392" s="23"/>
    </row>
    <row r="393" ht="15.75" customHeight="1" spans="1:26">
      <c r="A393" s="23"/>
      <c r="B393" s="23"/>
      <c r="C393" s="23"/>
      <c r="D393" s="27"/>
      <c r="E393" s="27"/>
      <c r="F393" s="27"/>
      <c r="G393" s="27"/>
      <c r="H393" s="27"/>
      <c r="I393" s="23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3"/>
      <c r="V393" s="23"/>
      <c r="W393" s="23"/>
      <c r="X393" s="23"/>
      <c r="Y393" s="23"/>
      <c r="Z393" s="23"/>
    </row>
    <row r="394" ht="15.75" customHeight="1" spans="1:26">
      <c r="A394" s="23"/>
      <c r="B394" s="23"/>
      <c r="C394" s="23"/>
      <c r="D394" s="27"/>
      <c r="E394" s="27"/>
      <c r="F394" s="27"/>
      <c r="G394" s="27"/>
      <c r="H394" s="27"/>
      <c r="I394" s="23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3"/>
      <c r="V394" s="23"/>
      <c r="W394" s="23"/>
      <c r="X394" s="23"/>
      <c r="Y394" s="23"/>
      <c r="Z394" s="23"/>
    </row>
    <row r="395" ht="15.75" customHeight="1" spans="1:26">
      <c r="A395" s="23"/>
      <c r="B395" s="23"/>
      <c r="C395" s="23"/>
      <c r="D395" s="27"/>
      <c r="E395" s="27"/>
      <c r="F395" s="27"/>
      <c r="G395" s="27"/>
      <c r="H395" s="27"/>
      <c r="I395" s="23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3"/>
      <c r="V395" s="23"/>
      <c r="W395" s="23"/>
      <c r="X395" s="23"/>
      <c r="Y395" s="23"/>
      <c r="Z395" s="23"/>
    </row>
    <row r="396" ht="15.75" customHeight="1" spans="1:26">
      <c r="A396" s="23"/>
      <c r="B396" s="23"/>
      <c r="C396" s="23"/>
      <c r="D396" s="27"/>
      <c r="E396" s="27"/>
      <c r="F396" s="27"/>
      <c r="G396" s="27"/>
      <c r="H396" s="27"/>
      <c r="I396" s="23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3"/>
      <c r="V396" s="23"/>
      <c r="W396" s="23"/>
      <c r="X396" s="23"/>
      <c r="Y396" s="23"/>
      <c r="Z396" s="23"/>
    </row>
    <row r="397" ht="15.75" customHeight="1" spans="1:26">
      <c r="A397" s="23"/>
      <c r="B397" s="23"/>
      <c r="C397" s="23"/>
      <c r="D397" s="27"/>
      <c r="E397" s="27"/>
      <c r="F397" s="27"/>
      <c r="G397" s="27"/>
      <c r="H397" s="27"/>
      <c r="I397" s="23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3"/>
      <c r="V397" s="23"/>
      <c r="W397" s="23"/>
      <c r="X397" s="23"/>
      <c r="Y397" s="23"/>
      <c r="Z397" s="23"/>
    </row>
    <row r="398" ht="15.75" customHeight="1" spans="1:26">
      <c r="A398" s="23"/>
      <c r="B398" s="23"/>
      <c r="C398" s="23"/>
      <c r="D398" s="27"/>
      <c r="E398" s="27"/>
      <c r="F398" s="27"/>
      <c r="G398" s="27"/>
      <c r="H398" s="27"/>
      <c r="I398" s="23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3"/>
      <c r="V398" s="23"/>
      <c r="W398" s="23"/>
      <c r="X398" s="23"/>
      <c r="Y398" s="23"/>
      <c r="Z398" s="23"/>
    </row>
    <row r="399" ht="15.75" customHeight="1" spans="1:26">
      <c r="A399" s="23"/>
      <c r="B399" s="23"/>
      <c r="C399" s="23"/>
      <c r="D399" s="27"/>
      <c r="E399" s="27"/>
      <c r="F399" s="27"/>
      <c r="G399" s="27"/>
      <c r="H399" s="27"/>
      <c r="I399" s="23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3"/>
      <c r="V399" s="23"/>
      <c r="W399" s="23"/>
      <c r="X399" s="23"/>
      <c r="Y399" s="23"/>
      <c r="Z399" s="23"/>
    </row>
    <row r="400" ht="15.75" customHeight="1" spans="1:26">
      <c r="A400" s="23"/>
      <c r="B400" s="23"/>
      <c r="C400" s="23"/>
      <c r="D400" s="27"/>
      <c r="E400" s="27"/>
      <c r="F400" s="27"/>
      <c r="G400" s="27"/>
      <c r="H400" s="27"/>
      <c r="I400" s="23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3"/>
      <c r="V400" s="23"/>
      <c r="W400" s="23"/>
      <c r="X400" s="23"/>
      <c r="Y400" s="23"/>
      <c r="Z400" s="23"/>
    </row>
    <row r="401" ht="15.75" customHeight="1" spans="1:26">
      <c r="A401" s="23"/>
      <c r="B401" s="23"/>
      <c r="C401" s="23"/>
      <c r="D401" s="27"/>
      <c r="E401" s="27"/>
      <c r="F401" s="27"/>
      <c r="G401" s="27"/>
      <c r="H401" s="27"/>
      <c r="I401" s="23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3"/>
      <c r="V401" s="23"/>
      <c r="W401" s="23"/>
      <c r="X401" s="23"/>
      <c r="Y401" s="23"/>
      <c r="Z401" s="23"/>
    </row>
    <row r="402" ht="15.75" customHeight="1" spans="1:26">
      <c r="A402" s="23"/>
      <c r="B402" s="23"/>
      <c r="C402" s="23"/>
      <c r="D402" s="27"/>
      <c r="E402" s="27"/>
      <c r="F402" s="27"/>
      <c r="G402" s="27"/>
      <c r="H402" s="27"/>
      <c r="I402" s="23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3"/>
      <c r="V402" s="23"/>
      <c r="W402" s="23"/>
      <c r="X402" s="23"/>
      <c r="Y402" s="23"/>
      <c r="Z402" s="23"/>
    </row>
    <row r="403" ht="15.75" customHeight="1" spans="1:26">
      <c r="A403" s="23"/>
      <c r="B403" s="23"/>
      <c r="C403" s="23"/>
      <c r="D403" s="27"/>
      <c r="E403" s="27"/>
      <c r="F403" s="27"/>
      <c r="G403" s="27"/>
      <c r="H403" s="27"/>
      <c r="I403" s="23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3"/>
      <c r="V403" s="23"/>
      <c r="W403" s="23"/>
      <c r="X403" s="23"/>
      <c r="Y403" s="23"/>
      <c r="Z403" s="23"/>
    </row>
    <row r="404" ht="15.75" customHeight="1" spans="1:26">
      <c r="A404" s="23"/>
      <c r="B404" s="23"/>
      <c r="C404" s="23"/>
      <c r="D404" s="27"/>
      <c r="E404" s="27"/>
      <c r="F404" s="27"/>
      <c r="G404" s="27"/>
      <c r="H404" s="27"/>
      <c r="I404" s="23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3"/>
      <c r="V404" s="23"/>
      <c r="W404" s="23"/>
      <c r="X404" s="23"/>
      <c r="Y404" s="23"/>
      <c r="Z404" s="23"/>
    </row>
    <row r="405" ht="15.75" customHeight="1" spans="1:26">
      <c r="A405" s="23"/>
      <c r="B405" s="23"/>
      <c r="C405" s="23"/>
      <c r="D405" s="27"/>
      <c r="E405" s="27"/>
      <c r="F405" s="27"/>
      <c r="G405" s="27"/>
      <c r="H405" s="27"/>
      <c r="I405" s="23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3"/>
      <c r="V405" s="23"/>
      <c r="W405" s="23"/>
      <c r="X405" s="23"/>
      <c r="Y405" s="23"/>
      <c r="Z405" s="23"/>
    </row>
    <row r="406" ht="15.75" customHeight="1" spans="1:26">
      <c r="A406" s="23"/>
      <c r="B406" s="23"/>
      <c r="C406" s="23"/>
      <c r="D406" s="27"/>
      <c r="E406" s="27"/>
      <c r="F406" s="27"/>
      <c r="G406" s="27"/>
      <c r="H406" s="27"/>
      <c r="I406" s="23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3"/>
      <c r="V406" s="23"/>
      <c r="W406" s="23"/>
      <c r="X406" s="23"/>
      <c r="Y406" s="23"/>
      <c r="Z406" s="23"/>
    </row>
    <row r="407" ht="15.75" customHeight="1" spans="1:26">
      <c r="A407" s="23"/>
      <c r="B407" s="23"/>
      <c r="C407" s="23"/>
      <c r="D407" s="27"/>
      <c r="E407" s="27"/>
      <c r="F407" s="27"/>
      <c r="G407" s="27"/>
      <c r="H407" s="27"/>
      <c r="I407" s="23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3"/>
      <c r="V407" s="23"/>
      <c r="W407" s="23"/>
      <c r="X407" s="23"/>
      <c r="Y407" s="23"/>
      <c r="Z407" s="23"/>
    </row>
    <row r="408" ht="15.75" customHeight="1" spans="1:26">
      <c r="A408" s="23"/>
      <c r="B408" s="23"/>
      <c r="C408" s="23"/>
      <c r="D408" s="27"/>
      <c r="E408" s="27"/>
      <c r="F408" s="27"/>
      <c r="G408" s="27"/>
      <c r="H408" s="27"/>
      <c r="I408" s="23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3"/>
      <c r="V408" s="23"/>
      <c r="W408" s="23"/>
      <c r="X408" s="23"/>
      <c r="Y408" s="23"/>
      <c r="Z408" s="23"/>
    </row>
    <row r="409" ht="15.75" customHeight="1" spans="1:26">
      <c r="A409" s="23"/>
      <c r="B409" s="23"/>
      <c r="C409" s="23"/>
      <c r="D409" s="27"/>
      <c r="E409" s="27"/>
      <c r="F409" s="27"/>
      <c r="G409" s="27"/>
      <c r="H409" s="27"/>
      <c r="I409" s="23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3"/>
      <c r="V409" s="23"/>
      <c r="W409" s="23"/>
      <c r="X409" s="23"/>
      <c r="Y409" s="23"/>
      <c r="Z409" s="23"/>
    </row>
    <row r="410" ht="15.75" customHeight="1" spans="1:26">
      <c r="A410" s="23"/>
      <c r="B410" s="23"/>
      <c r="C410" s="23"/>
      <c r="D410" s="27"/>
      <c r="E410" s="27"/>
      <c r="F410" s="27"/>
      <c r="G410" s="27"/>
      <c r="H410" s="27"/>
      <c r="I410" s="23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3"/>
      <c r="V410" s="23"/>
      <c r="W410" s="23"/>
      <c r="X410" s="23"/>
      <c r="Y410" s="23"/>
      <c r="Z410" s="23"/>
    </row>
    <row r="411" ht="15.75" customHeight="1" spans="1:26">
      <c r="A411" s="23"/>
      <c r="B411" s="23"/>
      <c r="C411" s="23"/>
      <c r="D411" s="27"/>
      <c r="E411" s="27"/>
      <c r="F411" s="27"/>
      <c r="G411" s="27"/>
      <c r="H411" s="27"/>
      <c r="I411" s="23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3"/>
      <c r="V411" s="23"/>
      <c r="W411" s="23"/>
      <c r="X411" s="23"/>
      <c r="Y411" s="23"/>
      <c r="Z411" s="23"/>
    </row>
    <row r="412" ht="15.75" customHeight="1" spans="1:26">
      <c r="A412" s="23"/>
      <c r="B412" s="23"/>
      <c r="C412" s="23"/>
      <c r="D412" s="27"/>
      <c r="E412" s="27"/>
      <c r="F412" s="27"/>
      <c r="G412" s="27"/>
      <c r="H412" s="27"/>
      <c r="I412" s="23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3"/>
      <c r="V412" s="23"/>
      <c r="W412" s="23"/>
      <c r="X412" s="23"/>
      <c r="Y412" s="23"/>
      <c r="Z412" s="23"/>
    </row>
    <row r="413" ht="15.75" customHeight="1" spans="1:26">
      <c r="A413" s="23"/>
      <c r="B413" s="23"/>
      <c r="C413" s="23"/>
      <c r="D413" s="27"/>
      <c r="E413" s="27"/>
      <c r="F413" s="27"/>
      <c r="G413" s="27"/>
      <c r="H413" s="27"/>
      <c r="I413" s="23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3"/>
      <c r="V413" s="23"/>
      <c r="W413" s="23"/>
      <c r="X413" s="23"/>
      <c r="Y413" s="23"/>
      <c r="Z413" s="23"/>
    </row>
    <row r="414" ht="15.75" customHeight="1" spans="1:26">
      <c r="A414" s="23"/>
      <c r="B414" s="23"/>
      <c r="C414" s="23"/>
      <c r="D414" s="27"/>
      <c r="E414" s="27"/>
      <c r="F414" s="27"/>
      <c r="G414" s="27"/>
      <c r="H414" s="27"/>
      <c r="I414" s="23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3"/>
      <c r="V414" s="23"/>
      <c r="W414" s="23"/>
      <c r="X414" s="23"/>
      <c r="Y414" s="23"/>
      <c r="Z414" s="23"/>
    </row>
    <row r="415" ht="15.75" customHeight="1" spans="1:26">
      <c r="A415" s="23"/>
      <c r="B415" s="23"/>
      <c r="C415" s="23"/>
      <c r="D415" s="27"/>
      <c r="E415" s="27"/>
      <c r="F415" s="27"/>
      <c r="G415" s="27"/>
      <c r="H415" s="27"/>
      <c r="I415" s="23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3"/>
      <c r="V415" s="23"/>
      <c r="W415" s="23"/>
      <c r="X415" s="23"/>
      <c r="Y415" s="23"/>
      <c r="Z415" s="23"/>
    </row>
    <row r="416" ht="15.75" customHeight="1" spans="1:26">
      <c r="A416" s="23"/>
      <c r="B416" s="23"/>
      <c r="C416" s="23"/>
      <c r="D416" s="27"/>
      <c r="E416" s="27"/>
      <c r="F416" s="27"/>
      <c r="G416" s="27"/>
      <c r="H416" s="27"/>
      <c r="I416" s="23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3"/>
      <c r="V416" s="23"/>
      <c r="W416" s="23"/>
      <c r="X416" s="23"/>
      <c r="Y416" s="23"/>
      <c r="Z416" s="23"/>
    </row>
    <row r="417" ht="15.75" customHeight="1" spans="1:26">
      <c r="A417" s="23"/>
      <c r="B417" s="23"/>
      <c r="C417" s="23"/>
      <c r="D417" s="27"/>
      <c r="E417" s="27"/>
      <c r="F417" s="27"/>
      <c r="G417" s="27"/>
      <c r="H417" s="27"/>
      <c r="I417" s="23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3"/>
      <c r="V417" s="23"/>
      <c r="W417" s="23"/>
      <c r="X417" s="23"/>
      <c r="Y417" s="23"/>
      <c r="Z417" s="23"/>
    </row>
    <row r="418" ht="15.75" customHeight="1" spans="1:26">
      <c r="A418" s="23"/>
      <c r="B418" s="23"/>
      <c r="C418" s="23"/>
      <c r="D418" s="27"/>
      <c r="E418" s="27"/>
      <c r="F418" s="27"/>
      <c r="G418" s="27"/>
      <c r="H418" s="27"/>
      <c r="I418" s="23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3"/>
      <c r="V418" s="23"/>
      <c r="W418" s="23"/>
      <c r="X418" s="23"/>
      <c r="Y418" s="23"/>
      <c r="Z418" s="23"/>
    </row>
    <row r="419" ht="15.75" customHeight="1" spans="1:26">
      <c r="A419" s="23"/>
      <c r="B419" s="23"/>
      <c r="C419" s="23"/>
      <c r="D419" s="27"/>
      <c r="E419" s="27"/>
      <c r="F419" s="27"/>
      <c r="G419" s="27"/>
      <c r="H419" s="27"/>
      <c r="I419" s="23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3"/>
      <c r="V419" s="23"/>
      <c r="W419" s="23"/>
      <c r="X419" s="23"/>
      <c r="Y419" s="23"/>
      <c r="Z419" s="23"/>
    </row>
    <row r="420" ht="15.75" customHeight="1" spans="1:26">
      <c r="A420" s="23"/>
      <c r="B420" s="23"/>
      <c r="C420" s="23"/>
      <c r="D420" s="27"/>
      <c r="E420" s="27"/>
      <c r="F420" s="27"/>
      <c r="G420" s="27"/>
      <c r="H420" s="27"/>
      <c r="I420" s="23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3"/>
      <c r="V420" s="23"/>
      <c r="W420" s="23"/>
      <c r="X420" s="23"/>
      <c r="Y420" s="23"/>
      <c r="Z420" s="23"/>
    </row>
    <row r="421" ht="15.75" customHeight="1" spans="1:26">
      <c r="A421" s="23"/>
      <c r="B421" s="23"/>
      <c r="C421" s="23"/>
      <c r="D421" s="27"/>
      <c r="E421" s="27"/>
      <c r="F421" s="27"/>
      <c r="G421" s="27"/>
      <c r="H421" s="27"/>
      <c r="I421" s="23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3"/>
      <c r="V421" s="23"/>
      <c r="W421" s="23"/>
      <c r="X421" s="23"/>
      <c r="Y421" s="23"/>
      <c r="Z421" s="23"/>
    </row>
    <row r="422" ht="15.75" customHeight="1" spans="1:26">
      <c r="A422" s="23"/>
      <c r="B422" s="23"/>
      <c r="C422" s="23"/>
      <c r="D422" s="27"/>
      <c r="E422" s="27"/>
      <c r="F422" s="27"/>
      <c r="G422" s="27"/>
      <c r="H422" s="27"/>
      <c r="I422" s="23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3"/>
      <c r="V422" s="23"/>
      <c r="W422" s="23"/>
      <c r="X422" s="23"/>
      <c r="Y422" s="23"/>
      <c r="Z422" s="23"/>
    </row>
    <row r="423" ht="15.75" customHeight="1" spans="1:26">
      <c r="A423" s="23"/>
      <c r="B423" s="23"/>
      <c r="C423" s="23"/>
      <c r="D423" s="27"/>
      <c r="E423" s="27"/>
      <c r="F423" s="27"/>
      <c r="G423" s="27"/>
      <c r="H423" s="27"/>
      <c r="I423" s="23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3"/>
      <c r="V423" s="23"/>
      <c r="W423" s="23"/>
      <c r="X423" s="23"/>
      <c r="Y423" s="23"/>
      <c r="Z423" s="23"/>
    </row>
    <row r="424" ht="15.75" customHeight="1" spans="1:26">
      <c r="A424" s="23"/>
      <c r="B424" s="23"/>
      <c r="C424" s="23"/>
      <c r="D424" s="27"/>
      <c r="E424" s="27"/>
      <c r="F424" s="27"/>
      <c r="G424" s="27"/>
      <c r="H424" s="27"/>
      <c r="I424" s="23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3"/>
      <c r="V424" s="23"/>
      <c r="W424" s="23"/>
      <c r="X424" s="23"/>
      <c r="Y424" s="23"/>
      <c r="Z424" s="23"/>
    </row>
    <row r="425" ht="15.75" customHeight="1" spans="1:26">
      <c r="A425" s="23"/>
      <c r="B425" s="23"/>
      <c r="C425" s="23"/>
      <c r="D425" s="27"/>
      <c r="E425" s="27"/>
      <c r="F425" s="27"/>
      <c r="G425" s="27"/>
      <c r="H425" s="27"/>
      <c r="I425" s="23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3"/>
      <c r="V425" s="23"/>
      <c r="W425" s="23"/>
      <c r="X425" s="23"/>
      <c r="Y425" s="23"/>
      <c r="Z425" s="23"/>
    </row>
    <row r="426" ht="15.75" customHeight="1" spans="1:26">
      <c r="A426" s="23"/>
      <c r="B426" s="23"/>
      <c r="C426" s="23"/>
      <c r="D426" s="27"/>
      <c r="E426" s="27"/>
      <c r="F426" s="27"/>
      <c r="G426" s="27"/>
      <c r="H426" s="27"/>
      <c r="I426" s="23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3"/>
      <c r="V426" s="23"/>
      <c r="W426" s="23"/>
      <c r="X426" s="23"/>
      <c r="Y426" s="23"/>
      <c r="Z426" s="23"/>
    </row>
    <row r="427" ht="15.75" customHeight="1" spans="1:26">
      <c r="A427" s="23"/>
      <c r="B427" s="23"/>
      <c r="C427" s="23"/>
      <c r="D427" s="27"/>
      <c r="E427" s="27"/>
      <c r="F427" s="27"/>
      <c r="G427" s="27"/>
      <c r="H427" s="27"/>
      <c r="I427" s="23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3"/>
      <c r="V427" s="23"/>
      <c r="W427" s="23"/>
      <c r="X427" s="23"/>
      <c r="Y427" s="23"/>
      <c r="Z427" s="23"/>
    </row>
    <row r="428" ht="15.75" customHeight="1" spans="1:26">
      <c r="A428" s="23"/>
      <c r="B428" s="23"/>
      <c r="C428" s="23"/>
      <c r="D428" s="27"/>
      <c r="E428" s="27"/>
      <c r="F428" s="27"/>
      <c r="G428" s="27"/>
      <c r="H428" s="27"/>
      <c r="I428" s="23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3"/>
      <c r="V428" s="23"/>
      <c r="W428" s="23"/>
      <c r="X428" s="23"/>
      <c r="Y428" s="23"/>
      <c r="Z428" s="23"/>
    </row>
    <row r="429" ht="15.75" customHeight="1" spans="1:26">
      <c r="A429" s="23"/>
      <c r="B429" s="23"/>
      <c r="C429" s="23"/>
      <c r="D429" s="27"/>
      <c r="E429" s="27"/>
      <c r="F429" s="27"/>
      <c r="G429" s="27"/>
      <c r="H429" s="27"/>
      <c r="I429" s="23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3"/>
      <c r="V429" s="23"/>
      <c r="W429" s="23"/>
      <c r="X429" s="23"/>
      <c r="Y429" s="23"/>
      <c r="Z429" s="23"/>
    </row>
    <row r="430" ht="15.75" customHeight="1" spans="1:26">
      <c r="A430" s="23"/>
      <c r="B430" s="23"/>
      <c r="C430" s="23"/>
      <c r="D430" s="27"/>
      <c r="E430" s="27"/>
      <c r="F430" s="27"/>
      <c r="G430" s="27"/>
      <c r="H430" s="27"/>
      <c r="I430" s="23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3"/>
      <c r="V430" s="23"/>
      <c r="W430" s="23"/>
      <c r="X430" s="23"/>
      <c r="Y430" s="23"/>
      <c r="Z430" s="23"/>
    </row>
    <row r="431" ht="15.75" customHeight="1" spans="1:26">
      <c r="A431" s="23"/>
      <c r="B431" s="23"/>
      <c r="C431" s="23"/>
      <c r="D431" s="27"/>
      <c r="E431" s="27"/>
      <c r="F431" s="27"/>
      <c r="G431" s="27"/>
      <c r="H431" s="27"/>
      <c r="I431" s="23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3"/>
      <c r="V431" s="23"/>
      <c r="W431" s="23"/>
      <c r="X431" s="23"/>
      <c r="Y431" s="23"/>
      <c r="Z431" s="23"/>
    </row>
    <row r="432" ht="15.75" customHeight="1" spans="1:26">
      <c r="A432" s="23"/>
      <c r="B432" s="23"/>
      <c r="C432" s="23"/>
      <c r="D432" s="27"/>
      <c r="E432" s="27"/>
      <c r="F432" s="27"/>
      <c r="G432" s="27"/>
      <c r="H432" s="27"/>
      <c r="I432" s="23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3"/>
      <c r="V432" s="23"/>
      <c r="W432" s="23"/>
      <c r="X432" s="23"/>
      <c r="Y432" s="23"/>
      <c r="Z432" s="23"/>
    </row>
    <row r="433" ht="15.75" customHeight="1" spans="1:26">
      <c r="A433" s="23"/>
      <c r="B433" s="23"/>
      <c r="C433" s="23"/>
      <c r="D433" s="27"/>
      <c r="E433" s="27"/>
      <c r="F433" s="27"/>
      <c r="G433" s="27"/>
      <c r="H433" s="27"/>
      <c r="I433" s="23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3"/>
      <c r="V433" s="23"/>
      <c r="W433" s="23"/>
      <c r="X433" s="23"/>
      <c r="Y433" s="23"/>
      <c r="Z433" s="23"/>
    </row>
    <row r="434" ht="15.75" customHeight="1" spans="1:26">
      <c r="A434" s="23"/>
      <c r="B434" s="23"/>
      <c r="C434" s="23"/>
      <c r="D434" s="27"/>
      <c r="E434" s="27"/>
      <c r="F434" s="27"/>
      <c r="G434" s="27"/>
      <c r="H434" s="27"/>
      <c r="I434" s="23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3"/>
      <c r="V434" s="23"/>
      <c r="W434" s="23"/>
      <c r="X434" s="23"/>
      <c r="Y434" s="23"/>
      <c r="Z434" s="23"/>
    </row>
    <row r="435" ht="15.75" customHeight="1" spans="1:26">
      <c r="A435" s="23"/>
      <c r="B435" s="23"/>
      <c r="C435" s="23"/>
      <c r="D435" s="27"/>
      <c r="E435" s="27"/>
      <c r="F435" s="27"/>
      <c r="G435" s="27"/>
      <c r="H435" s="27"/>
      <c r="I435" s="23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3"/>
      <c r="V435" s="23"/>
      <c r="W435" s="23"/>
      <c r="X435" s="23"/>
      <c r="Y435" s="23"/>
      <c r="Z435" s="23"/>
    </row>
    <row r="436" ht="15.75" customHeight="1" spans="1:26">
      <c r="A436" s="23"/>
      <c r="B436" s="23"/>
      <c r="C436" s="23"/>
      <c r="D436" s="27"/>
      <c r="E436" s="27"/>
      <c r="F436" s="27"/>
      <c r="G436" s="27"/>
      <c r="H436" s="27"/>
      <c r="I436" s="23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3"/>
      <c r="V436" s="23"/>
      <c r="W436" s="23"/>
      <c r="X436" s="23"/>
      <c r="Y436" s="23"/>
      <c r="Z436" s="23"/>
    </row>
    <row r="437" ht="15.75" customHeight="1" spans="1:26">
      <c r="A437" s="23"/>
      <c r="B437" s="23"/>
      <c r="C437" s="23"/>
      <c r="D437" s="27"/>
      <c r="E437" s="27"/>
      <c r="F437" s="27"/>
      <c r="G437" s="27"/>
      <c r="H437" s="27"/>
      <c r="I437" s="23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3"/>
      <c r="V437" s="23"/>
      <c r="W437" s="23"/>
      <c r="X437" s="23"/>
      <c r="Y437" s="23"/>
      <c r="Z437" s="23"/>
    </row>
    <row r="438" ht="15.75" customHeight="1" spans="1:26">
      <c r="A438" s="23"/>
      <c r="B438" s="23"/>
      <c r="C438" s="23"/>
      <c r="D438" s="27"/>
      <c r="E438" s="27"/>
      <c r="F438" s="27"/>
      <c r="G438" s="27"/>
      <c r="H438" s="27"/>
      <c r="I438" s="23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3"/>
      <c r="V438" s="23"/>
      <c r="W438" s="23"/>
      <c r="X438" s="23"/>
      <c r="Y438" s="23"/>
      <c r="Z438" s="23"/>
    </row>
    <row r="439" ht="15.75" customHeight="1" spans="1:26">
      <c r="A439" s="23"/>
      <c r="B439" s="23"/>
      <c r="C439" s="23"/>
      <c r="D439" s="27"/>
      <c r="E439" s="27"/>
      <c r="F439" s="27"/>
      <c r="G439" s="27"/>
      <c r="H439" s="27"/>
      <c r="I439" s="23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3"/>
      <c r="V439" s="23"/>
      <c r="W439" s="23"/>
      <c r="X439" s="23"/>
      <c r="Y439" s="23"/>
      <c r="Z439" s="23"/>
    </row>
    <row r="440" ht="15.75" customHeight="1" spans="1:26">
      <c r="A440" s="23"/>
      <c r="B440" s="23"/>
      <c r="C440" s="23"/>
      <c r="D440" s="27"/>
      <c r="E440" s="27"/>
      <c r="F440" s="27"/>
      <c r="G440" s="27"/>
      <c r="H440" s="27"/>
      <c r="I440" s="23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3"/>
      <c r="V440" s="23"/>
      <c r="W440" s="23"/>
      <c r="X440" s="23"/>
      <c r="Y440" s="23"/>
      <c r="Z440" s="23"/>
    </row>
    <row r="441" ht="15.75" customHeight="1" spans="1:26">
      <c r="A441" s="23"/>
      <c r="B441" s="23"/>
      <c r="C441" s="23"/>
      <c r="D441" s="27"/>
      <c r="E441" s="27"/>
      <c r="F441" s="27"/>
      <c r="G441" s="27"/>
      <c r="H441" s="27"/>
      <c r="I441" s="23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3"/>
      <c r="V441" s="23"/>
      <c r="W441" s="23"/>
      <c r="X441" s="23"/>
      <c r="Y441" s="23"/>
      <c r="Z441" s="23"/>
    </row>
    <row r="442" ht="15.75" customHeight="1" spans="1:26">
      <c r="A442" s="23"/>
      <c r="B442" s="23"/>
      <c r="C442" s="23"/>
      <c r="D442" s="27"/>
      <c r="E442" s="27"/>
      <c r="F442" s="27"/>
      <c r="G442" s="27"/>
      <c r="H442" s="27"/>
      <c r="I442" s="23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3"/>
      <c r="V442" s="23"/>
      <c r="W442" s="23"/>
      <c r="X442" s="23"/>
      <c r="Y442" s="23"/>
      <c r="Z442" s="23"/>
    </row>
    <row r="443" ht="15.75" customHeight="1" spans="1:26">
      <c r="A443" s="23"/>
      <c r="B443" s="23"/>
      <c r="C443" s="23"/>
      <c r="D443" s="27"/>
      <c r="E443" s="27"/>
      <c r="F443" s="27"/>
      <c r="G443" s="27"/>
      <c r="H443" s="27"/>
      <c r="I443" s="23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3"/>
      <c r="V443" s="23"/>
      <c r="W443" s="23"/>
      <c r="X443" s="23"/>
      <c r="Y443" s="23"/>
      <c r="Z443" s="23"/>
    </row>
    <row r="444" ht="15.75" customHeight="1" spans="1:26">
      <c r="A444" s="23"/>
      <c r="B444" s="23"/>
      <c r="C444" s="23"/>
      <c r="D444" s="27"/>
      <c r="E444" s="27"/>
      <c r="F444" s="27"/>
      <c r="G444" s="27"/>
      <c r="H444" s="27"/>
      <c r="I444" s="23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3"/>
      <c r="V444" s="23"/>
      <c r="W444" s="23"/>
      <c r="X444" s="23"/>
      <c r="Y444" s="23"/>
      <c r="Z444" s="23"/>
    </row>
    <row r="445" ht="15.75" customHeight="1" spans="1:26">
      <c r="A445" s="23"/>
      <c r="B445" s="23"/>
      <c r="C445" s="23"/>
      <c r="D445" s="27"/>
      <c r="E445" s="27"/>
      <c r="F445" s="27"/>
      <c r="G445" s="27"/>
      <c r="H445" s="27"/>
      <c r="I445" s="23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3"/>
      <c r="V445" s="23"/>
      <c r="W445" s="23"/>
      <c r="X445" s="23"/>
      <c r="Y445" s="23"/>
      <c r="Z445" s="23"/>
    </row>
    <row r="446" ht="15.75" customHeight="1" spans="1:26">
      <c r="A446" s="23"/>
      <c r="B446" s="23"/>
      <c r="C446" s="23"/>
      <c r="D446" s="27"/>
      <c r="E446" s="27"/>
      <c r="F446" s="27"/>
      <c r="G446" s="27"/>
      <c r="H446" s="27"/>
      <c r="I446" s="23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3"/>
      <c r="V446" s="23"/>
      <c r="W446" s="23"/>
      <c r="X446" s="23"/>
      <c r="Y446" s="23"/>
      <c r="Z446" s="23"/>
    </row>
    <row r="447" ht="15.75" customHeight="1" spans="1:26">
      <c r="A447" s="23"/>
      <c r="B447" s="23"/>
      <c r="C447" s="23"/>
      <c r="D447" s="27"/>
      <c r="E447" s="27"/>
      <c r="F447" s="27"/>
      <c r="G447" s="27"/>
      <c r="H447" s="27"/>
      <c r="I447" s="23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3"/>
      <c r="V447" s="23"/>
      <c r="W447" s="23"/>
      <c r="X447" s="23"/>
      <c r="Y447" s="23"/>
      <c r="Z447" s="23"/>
    </row>
    <row r="448" ht="15.75" customHeight="1" spans="1:26">
      <c r="A448" s="23"/>
      <c r="B448" s="23"/>
      <c r="C448" s="23"/>
      <c r="D448" s="27"/>
      <c r="E448" s="27"/>
      <c r="F448" s="27"/>
      <c r="G448" s="27"/>
      <c r="H448" s="27"/>
      <c r="I448" s="23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3"/>
      <c r="V448" s="23"/>
      <c r="W448" s="23"/>
      <c r="X448" s="23"/>
      <c r="Y448" s="23"/>
      <c r="Z448" s="23"/>
    </row>
    <row r="449" ht="15.75" customHeight="1" spans="1:26">
      <c r="A449" s="23"/>
      <c r="B449" s="23"/>
      <c r="C449" s="23"/>
      <c r="D449" s="27"/>
      <c r="E449" s="27"/>
      <c r="F449" s="27"/>
      <c r="G449" s="27"/>
      <c r="H449" s="27"/>
      <c r="I449" s="23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3"/>
      <c r="V449" s="23"/>
      <c r="W449" s="23"/>
      <c r="X449" s="23"/>
      <c r="Y449" s="23"/>
      <c r="Z449" s="23"/>
    </row>
    <row r="450" ht="15.75" customHeight="1" spans="1:26">
      <c r="A450" s="23"/>
      <c r="B450" s="23"/>
      <c r="C450" s="23"/>
      <c r="D450" s="27"/>
      <c r="E450" s="27"/>
      <c r="F450" s="27"/>
      <c r="G450" s="27"/>
      <c r="H450" s="27"/>
      <c r="I450" s="23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3"/>
      <c r="V450" s="23"/>
      <c r="W450" s="23"/>
      <c r="X450" s="23"/>
      <c r="Y450" s="23"/>
      <c r="Z450" s="23"/>
    </row>
    <row r="451" ht="15.75" customHeight="1" spans="1:26">
      <c r="A451" s="23"/>
      <c r="B451" s="23"/>
      <c r="C451" s="23"/>
      <c r="D451" s="27"/>
      <c r="E451" s="27"/>
      <c r="F451" s="27"/>
      <c r="G451" s="27"/>
      <c r="H451" s="27"/>
      <c r="I451" s="23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3"/>
      <c r="V451" s="23"/>
      <c r="W451" s="23"/>
      <c r="X451" s="23"/>
      <c r="Y451" s="23"/>
      <c r="Z451" s="23"/>
    </row>
    <row r="452" ht="15.75" customHeight="1" spans="1:26">
      <c r="A452" s="23"/>
      <c r="B452" s="23"/>
      <c r="C452" s="23"/>
      <c r="D452" s="27"/>
      <c r="E452" s="27"/>
      <c r="F452" s="27"/>
      <c r="G452" s="27"/>
      <c r="H452" s="27"/>
      <c r="I452" s="23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3"/>
      <c r="V452" s="23"/>
      <c r="W452" s="23"/>
      <c r="X452" s="23"/>
      <c r="Y452" s="23"/>
      <c r="Z452" s="23"/>
    </row>
    <row r="453" ht="15.75" customHeight="1" spans="1:26">
      <c r="A453" s="23"/>
      <c r="B453" s="23"/>
      <c r="C453" s="23"/>
      <c r="D453" s="27"/>
      <c r="E453" s="27"/>
      <c r="F453" s="27"/>
      <c r="G453" s="27"/>
      <c r="H453" s="27"/>
      <c r="I453" s="23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3"/>
      <c r="V453" s="23"/>
      <c r="W453" s="23"/>
      <c r="X453" s="23"/>
      <c r="Y453" s="23"/>
      <c r="Z453" s="23"/>
    </row>
    <row r="454" ht="15.75" customHeight="1" spans="1:26">
      <c r="A454" s="23"/>
      <c r="B454" s="23"/>
      <c r="C454" s="23"/>
      <c r="D454" s="27"/>
      <c r="E454" s="27"/>
      <c r="F454" s="27"/>
      <c r="G454" s="27"/>
      <c r="H454" s="27"/>
      <c r="I454" s="23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3"/>
      <c r="V454" s="23"/>
      <c r="W454" s="23"/>
      <c r="X454" s="23"/>
      <c r="Y454" s="23"/>
      <c r="Z454" s="23"/>
    </row>
    <row r="455" ht="15.75" customHeight="1" spans="1:26">
      <c r="A455" s="23"/>
      <c r="B455" s="23"/>
      <c r="C455" s="23"/>
      <c r="D455" s="27"/>
      <c r="E455" s="27"/>
      <c r="F455" s="27"/>
      <c r="G455" s="27"/>
      <c r="H455" s="27"/>
      <c r="I455" s="23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3"/>
      <c r="V455" s="23"/>
      <c r="W455" s="23"/>
      <c r="X455" s="23"/>
      <c r="Y455" s="23"/>
      <c r="Z455" s="23"/>
    </row>
    <row r="456" ht="15.75" customHeight="1" spans="1:26">
      <c r="A456" s="23"/>
      <c r="B456" s="23"/>
      <c r="C456" s="23"/>
      <c r="D456" s="27"/>
      <c r="E456" s="27"/>
      <c r="F456" s="27"/>
      <c r="G456" s="27"/>
      <c r="H456" s="27"/>
      <c r="I456" s="23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3"/>
      <c r="V456" s="23"/>
      <c r="W456" s="23"/>
      <c r="X456" s="23"/>
      <c r="Y456" s="23"/>
      <c r="Z456" s="23"/>
    </row>
    <row r="457" ht="15.75" customHeight="1" spans="1:26">
      <c r="A457" s="23"/>
      <c r="B457" s="23"/>
      <c r="C457" s="23"/>
      <c r="D457" s="27"/>
      <c r="E457" s="27"/>
      <c r="F457" s="27"/>
      <c r="G457" s="27"/>
      <c r="H457" s="27"/>
      <c r="I457" s="23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3"/>
      <c r="V457" s="23"/>
      <c r="W457" s="23"/>
      <c r="X457" s="23"/>
      <c r="Y457" s="23"/>
      <c r="Z457" s="23"/>
    </row>
    <row r="458" ht="15.75" customHeight="1" spans="1:26">
      <c r="A458" s="23"/>
      <c r="B458" s="23"/>
      <c r="C458" s="23"/>
      <c r="D458" s="27"/>
      <c r="E458" s="27"/>
      <c r="F458" s="27"/>
      <c r="G458" s="27"/>
      <c r="H458" s="27"/>
      <c r="I458" s="23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3"/>
      <c r="V458" s="23"/>
      <c r="W458" s="23"/>
      <c r="X458" s="23"/>
      <c r="Y458" s="23"/>
      <c r="Z458" s="23"/>
    </row>
    <row r="459" ht="15.75" customHeight="1" spans="1:26">
      <c r="A459" s="23"/>
      <c r="B459" s="23"/>
      <c r="C459" s="23"/>
      <c r="D459" s="27"/>
      <c r="E459" s="27"/>
      <c r="F459" s="27"/>
      <c r="G459" s="27"/>
      <c r="H459" s="27"/>
      <c r="I459" s="23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3"/>
      <c r="V459" s="23"/>
      <c r="W459" s="23"/>
      <c r="X459" s="23"/>
      <c r="Y459" s="23"/>
      <c r="Z459" s="23"/>
    </row>
    <row r="460" ht="15.75" customHeight="1" spans="1:26">
      <c r="A460" s="23"/>
      <c r="B460" s="23"/>
      <c r="C460" s="23"/>
      <c r="D460" s="27"/>
      <c r="E460" s="27"/>
      <c r="F460" s="27"/>
      <c r="G460" s="27"/>
      <c r="H460" s="27"/>
      <c r="I460" s="23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3"/>
      <c r="V460" s="23"/>
      <c r="W460" s="23"/>
      <c r="X460" s="23"/>
      <c r="Y460" s="23"/>
      <c r="Z460" s="23"/>
    </row>
    <row r="461" ht="15.75" customHeight="1" spans="1:26">
      <c r="A461" s="23"/>
      <c r="B461" s="23"/>
      <c r="C461" s="23"/>
      <c r="D461" s="27"/>
      <c r="E461" s="27"/>
      <c r="F461" s="27"/>
      <c r="G461" s="27"/>
      <c r="H461" s="27"/>
      <c r="I461" s="23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3"/>
      <c r="V461" s="23"/>
      <c r="W461" s="23"/>
      <c r="X461" s="23"/>
      <c r="Y461" s="23"/>
      <c r="Z461" s="23"/>
    </row>
    <row r="462" ht="15.75" customHeight="1" spans="1:26">
      <c r="A462" s="23"/>
      <c r="B462" s="23"/>
      <c r="C462" s="23"/>
      <c r="D462" s="27"/>
      <c r="E462" s="27"/>
      <c r="F462" s="27"/>
      <c r="G462" s="27"/>
      <c r="H462" s="27"/>
      <c r="I462" s="23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3"/>
      <c r="V462" s="23"/>
      <c r="W462" s="23"/>
      <c r="X462" s="23"/>
      <c r="Y462" s="23"/>
      <c r="Z462" s="23"/>
    </row>
    <row r="463" ht="15.75" customHeight="1" spans="1:26">
      <c r="A463" s="23"/>
      <c r="B463" s="23"/>
      <c r="C463" s="23"/>
      <c r="D463" s="27"/>
      <c r="E463" s="27"/>
      <c r="F463" s="27"/>
      <c r="G463" s="27"/>
      <c r="H463" s="27"/>
      <c r="I463" s="23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3"/>
      <c r="V463" s="23"/>
      <c r="W463" s="23"/>
      <c r="X463" s="23"/>
      <c r="Y463" s="23"/>
      <c r="Z463" s="23"/>
    </row>
    <row r="464" ht="15.75" customHeight="1" spans="1:26">
      <c r="A464" s="23"/>
      <c r="B464" s="23"/>
      <c r="C464" s="23"/>
      <c r="D464" s="27"/>
      <c r="E464" s="27"/>
      <c r="F464" s="27"/>
      <c r="G464" s="27"/>
      <c r="H464" s="27"/>
      <c r="I464" s="23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3"/>
      <c r="V464" s="23"/>
      <c r="W464" s="23"/>
      <c r="X464" s="23"/>
      <c r="Y464" s="23"/>
      <c r="Z464" s="23"/>
    </row>
    <row r="465" ht="15.75" customHeight="1" spans="1:26">
      <c r="A465" s="23"/>
      <c r="B465" s="23"/>
      <c r="C465" s="23"/>
      <c r="D465" s="27"/>
      <c r="E465" s="27"/>
      <c r="F465" s="27"/>
      <c r="G465" s="27"/>
      <c r="H465" s="27"/>
      <c r="I465" s="23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3"/>
      <c r="V465" s="23"/>
      <c r="W465" s="23"/>
      <c r="X465" s="23"/>
      <c r="Y465" s="23"/>
      <c r="Z465" s="23"/>
    </row>
    <row r="466" ht="15.75" customHeight="1" spans="1:26">
      <c r="A466" s="23"/>
      <c r="B466" s="23"/>
      <c r="C466" s="23"/>
      <c r="D466" s="27"/>
      <c r="E466" s="27"/>
      <c r="F466" s="27"/>
      <c r="G466" s="27"/>
      <c r="H466" s="27"/>
      <c r="I466" s="23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3"/>
      <c r="V466" s="23"/>
      <c r="W466" s="23"/>
      <c r="X466" s="23"/>
      <c r="Y466" s="23"/>
      <c r="Z466" s="23"/>
    </row>
    <row r="467" ht="15.75" customHeight="1" spans="1:26">
      <c r="A467" s="23"/>
      <c r="B467" s="23"/>
      <c r="C467" s="23"/>
      <c r="D467" s="27"/>
      <c r="E467" s="27"/>
      <c r="F467" s="27"/>
      <c r="G467" s="27"/>
      <c r="H467" s="27"/>
      <c r="I467" s="23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3"/>
      <c r="V467" s="23"/>
      <c r="W467" s="23"/>
      <c r="X467" s="23"/>
      <c r="Y467" s="23"/>
      <c r="Z467" s="23"/>
    </row>
    <row r="468" ht="15.75" customHeight="1" spans="1:26">
      <c r="A468" s="23"/>
      <c r="B468" s="23"/>
      <c r="C468" s="23"/>
      <c r="D468" s="27"/>
      <c r="E468" s="27"/>
      <c r="F468" s="27"/>
      <c r="G468" s="27"/>
      <c r="H468" s="27"/>
      <c r="I468" s="23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3"/>
      <c r="V468" s="23"/>
      <c r="W468" s="23"/>
      <c r="X468" s="23"/>
      <c r="Y468" s="23"/>
      <c r="Z468" s="23"/>
    </row>
    <row r="469" ht="15.75" customHeight="1" spans="1:26">
      <c r="A469" s="23"/>
      <c r="B469" s="23"/>
      <c r="C469" s="23"/>
      <c r="D469" s="27"/>
      <c r="E469" s="27"/>
      <c r="F469" s="27"/>
      <c r="G469" s="27"/>
      <c r="H469" s="27"/>
      <c r="I469" s="23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3"/>
      <c r="V469" s="23"/>
      <c r="W469" s="23"/>
      <c r="X469" s="23"/>
      <c r="Y469" s="23"/>
      <c r="Z469" s="23"/>
    </row>
    <row r="470" ht="15.75" customHeight="1" spans="1:26">
      <c r="A470" s="23"/>
      <c r="B470" s="23"/>
      <c r="C470" s="23"/>
      <c r="D470" s="27"/>
      <c r="E470" s="27"/>
      <c r="F470" s="27"/>
      <c r="G470" s="27"/>
      <c r="H470" s="27"/>
      <c r="I470" s="23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3"/>
      <c r="V470" s="23"/>
      <c r="W470" s="23"/>
      <c r="X470" s="23"/>
      <c r="Y470" s="23"/>
      <c r="Z470" s="23"/>
    </row>
    <row r="471" ht="15.75" customHeight="1" spans="1:26">
      <c r="A471" s="23"/>
      <c r="B471" s="23"/>
      <c r="C471" s="23"/>
      <c r="D471" s="27"/>
      <c r="E471" s="27"/>
      <c r="F471" s="27"/>
      <c r="G471" s="27"/>
      <c r="H471" s="27"/>
      <c r="I471" s="23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3"/>
      <c r="V471" s="23"/>
      <c r="W471" s="23"/>
      <c r="X471" s="23"/>
      <c r="Y471" s="23"/>
      <c r="Z471" s="23"/>
    </row>
    <row r="472" ht="15.75" customHeight="1" spans="1:26">
      <c r="A472" s="23"/>
      <c r="B472" s="23"/>
      <c r="C472" s="23"/>
      <c r="D472" s="27"/>
      <c r="E472" s="27"/>
      <c r="F472" s="27"/>
      <c r="G472" s="27"/>
      <c r="H472" s="27"/>
      <c r="I472" s="23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3"/>
      <c r="V472" s="23"/>
      <c r="W472" s="23"/>
      <c r="X472" s="23"/>
      <c r="Y472" s="23"/>
      <c r="Z472" s="23"/>
    </row>
    <row r="473" ht="15.75" customHeight="1" spans="1:26">
      <c r="A473" s="23"/>
      <c r="B473" s="23"/>
      <c r="C473" s="23"/>
      <c r="D473" s="27"/>
      <c r="E473" s="27"/>
      <c r="F473" s="27"/>
      <c r="G473" s="27"/>
      <c r="H473" s="27"/>
      <c r="I473" s="23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3"/>
      <c r="V473" s="23"/>
      <c r="W473" s="23"/>
      <c r="X473" s="23"/>
      <c r="Y473" s="23"/>
      <c r="Z473" s="23"/>
    </row>
    <row r="474" ht="15.75" customHeight="1" spans="1:26">
      <c r="A474" s="23"/>
      <c r="B474" s="23"/>
      <c r="C474" s="23"/>
      <c r="D474" s="27"/>
      <c r="E474" s="27"/>
      <c r="F474" s="27"/>
      <c r="G474" s="27"/>
      <c r="H474" s="27"/>
      <c r="I474" s="23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3"/>
      <c r="V474" s="23"/>
      <c r="W474" s="23"/>
      <c r="X474" s="23"/>
      <c r="Y474" s="23"/>
      <c r="Z474" s="23"/>
    </row>
    <row r="475" ht="15.75" customHeight="1" spans="1:26">
      <c r="A475" s="23"/>
      <c r="B475" s="23"/>
      <c r="C475" s="23"/>
      <c r="D475" s="27"/>
      <c r="E475" s="27"/>
      <c r="F475" s="27"/>
      <c r="G475" s="27"/>
      <c r="H475" s="27"/>
      <c r="I475" s="23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3"/>
      <c r="V475" s="23"/>
      <c r="W475" s="23"/>
      <c r="X475" s="23"/>
      <c r="Y475" s="23"/>
      <c r="Z475" s="23"/>
    </row>
    <row r="476" ht="15.75" customHeight="1" spans="1:26">
      <c r="A476" s="23"/>
      <c r="B476" s="23"/>
      <c r="C476" s="23"/>
      <c r="D476" s="27"/>
      <c r="E476" s="27"/>
      <c r="F476" s="27"/>
      <c r="G476" s="27"/>
      <c r="H476" s="27"/>
      <c r="I476" s="23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3"/>
      <c r="V476" s="23"/>
      <c r="W476" s="23"/>
      <c r="X476" s="23"/>
      <c r="Y476" s="23"/>
      <c r="Z476" s="23"/>
    </row>
    <row r="477" ht="15.75" customHeight="1" spans="1:26">
      <c r="A477" s="23"/>
      <c r="B477" s="23"/>
      <c r="C477" s="23"/>
      <c r="D477" s="27"/>
      <c r="E477" s="27"/>
      <c r="F477" s="27"/>
      <c r="G477" s="27"/>
      <c r="H477" s="27"/>
      <c r="I477" s="23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3"/>
      <c r="V477" s="23"/>
      <c r="W477" s="23"/>
      <c r="X477" s="23"/>
      <c r="Y477" s="23"/>
      <c r="Z477" s="23"/>
    </row>
    <row r="478" ht="15.75" customHeight="1" spans="1:26">
      <c r="A478" s="23"/>
      <c r="B478" s="23"/>
      <c r="C478" s="23"/>
      <c r="D478" s="27"/>
      <c r="E478" s="27"/>
      <c r="F478" s="27"/>
      <c r="G478" s="27"/>
      <c r="H478" s="27"/>
      <c r="I478" s="23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3"/>
      <c r="V478" s="23"/>
      <c r="W478" s="23"/>
      <c r="X478" s="23"/>
      <c r="Y478" s="23"/>
      <c r="Z478" s="23"/>
    </row>
    <row r="479" ht="15.75" customHeight="1" spans="1:26">
      <c r="A479" s="23"/>
      <c r="B479" s="23"/>
      <c r="C479" s="23"/>
      <c r="D479" s="27"/>
      <c r="E479" s="27"/>
      <c r="F479" s="27"/>
      <c r="G479" s="27"/>
      <c r="H479" s="27"/>
      <c r="I479" s="23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3"/>
      <c r="V479" s="23"/>
      <c r="W479" s="23"/>
      <c r="X479" s="23"/>
      <c r="Y479" s="23"/>
      <c r="Z479" s="23"/>
    </row>
    <row r="480" ht="15.75" customHeight="1" spans="1:26">
      <c r="A480" s="23"/>
      <c r="B480" s="23"/>
      <c r="C480" s="23"/>
      <c r="D480" s="27"/>
      <c r="E480" s="27"/>
      <c r="F480" s="27"/>
      <c r="G480" s="27"/>
      <c r="H480" s="27"/>
      <c r="I480" s="23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3"/>
      <c r="V480" s="23"/>
      <c r="W480" s="23"/>
      <c r="X480" s="23"/>
      <c r="Y480" s="23"/>
      <c r="Z480" s="23"/>
    </row>
    <row r="481" ht="15.75" customHeight="1" spans="1:26">
      <c r="A481" s="23"/>
      <c r="B481" s="23"/>
      <c r="C481" s="23"/>
      <c r="D481" s="27"/>
      <c r="E481" s="27"/>
      <c r="F481" s="27"/>
      <c r="G481" s="27"/>
      <c r="H481" s="27"/>
      <c r="I481" s="23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3"/>
      <c r="V481" s="23"/>
      <c r="W481" s="23"/>
      <c r="X481" s="23"/>
      <c r="Y481" s="23"/>
      <c r="Z481" s="23"/>
    </row>
    <row r="482" ht="15.75" customHeight="1" spans="1:26">
      <c r="A482" s="23"/>
      <c r="B482" s="23"/>
      <c r="C482" s="23"/>
      <c r="D482" s="27"/>
      <c r="E482" s="27"/>
      <c r="F482" s="27"/>
      <c r="G482" s="27"/>
      <c r="H482" s="27"/>
      <c r="I482" s="23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3"/>
      <c r="V482" s="23"/>
      <c r="W482" s="23"/>
      <c r="X482" s="23"/>
      <c r="Y482" s="23"/>
      <c r="Z482" s="23"/>
    </row>
    <row r="483" ht="15.75" customHeight="1" spans="1:26">
      <c r="A483" s="23"/>
      <c r="B483" s="23"/>
      <c r="C483" s="23"/>
      <c r="D483" s="27"/>
      <c r="E483" s="27"/>
      <c r="F483" s="27"/>
      <c r="G483" s="27"/>
      <c r="H483" s="27"/>
      <c r="I483" s="23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3"/>
      <c r="V483" s="23"/>
      <c r="W483" s="23"/>
      <c r="X483" s="23"/>
      <c r="Y483" s="23"/>
      <c r="Z483" s="23"/>
    </row>
    <row r="484" ht="15.75" customHeight="1" spans="1:26">
      <c r="A484" s="23"/>
      <c r="B484" s="23"/>
      <c r="C484" s="23"/>
      <c r="D484" s="27"/>
      <c r="E484" s="27"/>
      <c r="F484" s="27"/>
      <c r="G484" s="27"/>
      <c r="H484" s="27"/>
      <c r="I484" s="23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3"/>
      <c r="V484" s="23"/>
      <c r="W484" s="23"/>
      <c r="X484" s="23"/>
      <c r="Y484" s="23"/>
      <c r="Z484" s="23"/>
    </row>
    <row r="485" ht="15.75" customHeight="1" spans="1:26">
      <c r="A485" s="23"/>
      <c r="B485" s="23"/>
      <c r="C485" s="23"/>
      <c r="D485" s="27"/>
      <c r="E485" s="27"/>
      <c r="F485" s="27"/>
      <c r="G485" s="27"/>
      <c r="H485" s="27"/>
      <c r="I485" s="23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3"/>
      <c r="V485" s="23"/>
      <c r="W485" s="23"/>
      <c r="X485" s="23"/>
      <c r="Y485" s="23"/>
      <c r="Z485" s="23"/>
    </row>
    <row r="486" ht="15.75" customHeight="1" spans="1:26">
      <c r="A486" s="23"/>
      <c r="B486" s="23"/>
      <c r="C486" s="23"/>
      <c r="D486" s="27"/>
      <c r="E486" s="27"/>
      <c r="F486" s="27"/>
      <c r="G486" s="27"/>
      <c r="H486" s="27"/>
      <c r="I486" s="23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3"/>
      <c r="V486" s="23"/>
      <c r="W486" s="23"/>
      <c r="X486" s="23"/>
      <c r="Y486" s="23"/>
      <c r="Z486" s="23"/>
    </row>
    <row r="487" ht="15.75" customHeight="1" spans="1:26">
      <c r="A487" s="23"/>
      <c r="B487" s="23"/>
      <c r="C487" s="23"/>
      <c r="D487" s="27"/>
      <c r="E487" s="27"/>
      <c r="F487" s="27"/>
      <c r="G487" s="27"/>
      <c r="H487" s="27"/>
      <c r="I487" s="23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3"/>
      <c r="V487" s="23"/>
      <c r="W487" s="23"/>
      <c r="X487" s="23"/>
      <c r="Y487" s="23"/>
      <c r="Z487" s="23"/>
    </row>
    <row r="488" ht="15.75" customHeight="1" spans="1:26">
      <c r="A488" s="23"/>
      <c r="B488" s="23"/>
      <c r="C488" s="23"/>
      <c r="D488" s="27"/>
      <c r="E488" s="27"/>
      <c r="F488" s="27"/>
      <c r="G488" s="27"/>
      <c r="H488" s="27"/>
      <c r="I488" s="23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3"/>
      <c r="V488" s="23"/>
      <c r="W488" s="23"/>
      <c r="X488" s="23"/>
      <c r="Y488" s="23"/>
      <c r="Z488" s="23"/>
    </row>
    <row r="489" ht="15.75" customHeight="1" spans="1:26">
      <c r="A489" s="23"/>
      <c r="B489" s="23"/>
      <c r="C489" s="23"/>
      <c r="D489" s="27"/>
      <c r="E489" s="27"/>
      <c r="F489" s="27"/>
      <c r="G489" s="27"/>
      <c r="H489" s="27"/>
      <c r="I489" s="23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3"/>
      <c r="V489" s="23"/>
      <c r="W489" s="23"/>
      <c r="X489" s="23"/>
      <c r="Y489" s="23"/>
      <c r="Z489" s="23"/>
    </row>
    <row r="490" ht="15.75" customHeight="1" spans="1:26">
      <c r="A490" s="23"/>
      <c r="B490" s="23"/>
      <c r="C490" s="23"/>
      <c r="D490" s="27"/>
      <c r="E490" s="27"/>
      <c r="F490" s="27"/>
      <c r="G490" s="27"/>
      <c r="H490" s="27"/>
      <c r="I490" s="23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3"/>
      <c r="V490" s="23"/>
      <c r="W490" s="23"/>
      <c r="X490" s="23"/>
      <c r="Y490" s="23"/>
      <c r="Z490" s="23"/>
    </row>
    <row r="491" ht="15.75" customHeight="1" spans="1:26">
      <c r="A491" s="23"/>
      <c r="B491" s="23"/>
      <c r="C491" s="23"/>
      <c r="D491" s="27"/>
      <c r="E491" s="27"/>
      <c r="F491" s="27"/>
      <c r="G491" s="27"/>
      <c r="H491" s="27"/>
      <c r="I491" s="23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3"/>
      <c r="V491" s="23"/>
      <c r="W491" s="23"/>
      <c r="X491" s="23"/>
      <c r="Y491" s="23"/>
      <c r="Z491" s="23"/>
    </row>
    <row r="492" ht="15.75" customHeight="1" spans="1:26">
      <c r="A492" s="23"/>
      <c r="B492" s="23"/>
      <c r="C492" s="23"/>
      <c r="D492" s="27"/>
      <c r="E492" s="27"/>
      <c r="F492" s="27"/>
      <c r="G492" s="27"/>
      <c r="H492" s="27"/>
      <c r="I492" s="23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3"/>
      <c r="V492" s="23"/>
      <c r="W492" s="23"/>
      <c r="X492" s="23"/>
      <c r="Y492" s="23"/>
      <c r="Z492" s="23"/>
    </row>
    <row r="493" ht="15.75" customHeight="1" spans="1:26">
      <c r="A493" s="23"/>
      <c r="B493" s="23"/>
      <c r="C493" s="23"/>
      <c r="D493" s="27"/>
      <c r="E493" s="27"/>
      <c r="F493" s="27"/>
      <c r="G493" s="27"/>
      <c r="H493" s="27"/>
      <c r="I493" s="23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3"/>
      <c r="V493" s="23"/>
      <c r="W493" s="23"/>
      <c r="X493" s="23"/>
      <c r="Y493" s="23"/>
      <c r="Z493" s="23"/>
    </row>
    <row r="494" ht="15.75" customHeight="1" spans="1:26">
      <c r="A494" s="23"/>
      <c r="B494" s="23"/>
      <c r="C494" s="23"/>
      <c r="D494" s="27"/>
      <c r="E494" s="27"/>
      <c r="F494" s="27"/>
      <c r="G494" s="27"/>
      <c r="H494" s="27"/>
      <c r="I494" s="23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3"/>
      <c r="V494" s="23"/>
      <c r="W494" s="23"/>
      <c r="X494" s="23"/>
      <c r="Y494" s="23"/>
      <c r="Z494" s="23"/>
    </row>
    <row r="495" ht="15.75" customHeight="1" spans="1:26">
      <c r="A495" s="23"/>
      <c r="B495" s="23"/>
      <c r="C495" s="23"/>
      <c r="D495" s="27"/>
      <c r="E495" s="27"/>
      <c r="F495" s="27"/>
      <c r="G495" s="27"/>
      <c r="H495" s="27"/>
      <c r="I495" s="23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3"/>
      <c r="V495" s="23"/>
      <c r="W495" s="23"/>
      <c r="X495" s="23"/>
      <c r="Y495" s="23"/>
      <c r="Z495" s="23"/>
    </row>
    <row r="496" ht="15.75" customHeight="1" spans="1:26">
      <c r="A496" s="23"/>
      <c r="B496" s="23"/>
      <c r="C496" s="23"/>
      <c r="D496" s="27"/>
      <c r="E496" s="27"/>
      <c r="F496" s="27"/>
      <c r="G496" s="27"/>
      <c r="H496" s="27"/>
      <c r="I496" s="23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3"/>
      <c r="V496" s="23"/>
      <c r="W496" s="23"/>
      <c r="X496" s="23"/>
      <c r="Y496" s="23"/>
      <c r="Z496" s="23"/>
    </row>
    <row r="497" ht="15.75" customHeight="1" spans="1:26">
      <c r="A497" s="23"/>
      <c r="B497" s="23"/>
      <c r="C497" s="23"/>
      <c r="D497" s="27"/>
      <c r="E497" s="27"/>
      <c r="F497" s="27"/>
      <c r="G497" s="27"/>
      <c r="H497" s="27"/>
      <c r="I497" s="23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3"/>
      <c r="V497" s="23"/>
      <c r="W497" s="23"/>
      <c r="X497" s="23"/>
      <c r="Y497" s="23"/>
      <c r="Z497" s="23"/>
    </row>
    <row r="498" ht="15.75" customHeight="1" spans="1:26">
      <c r="A498" s="23"/>
      <c r="B498" s="23"/>
      <c r="C498" s="23"/>
      <c r="D498" s="27"/>
      <c r="E498" s="27"/>
      <c r="F498" s="27"/>
      <c r="G498" s="27"/>
      <c r="H498" s="27"/>
      <c r="I498" s="23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3"/>
      <c r="V498" s="23"/>
      <c r="W498" s="23"/>
      <c r="X498" s="23"/>
      <c r="Y498" s="23"/>
      <c r="Z498" s="23"/>
    </row>
    <row r="499" ht="15.75" customHeight="1" spans="1:26">
      <c r="A499" s="23"/>
      <c r="B499" s="23"/>
      <c r="C499" s="23"/>
      <c r="D499" s="27"/>
      <c r="E499" s="27"/>
      <c r="F499" s="27"/>
      <c r="G499" s="27"/>
      <c r="H499" s="27"/>
      <c r="I499" s="23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3"/>
      <c r="V499" s="23"/>
      <c r="W499" s="23"/>
      <c r="X499" s="23"/>
      <c r="Y499" s="23"/>
      <c r="Z499" s="23"/>
    </row>
    <row r="500" ht="15.75" customHeight="1" spans="1:26">
      <c r="A500" s="23"/>
      <c r="B500" s="23"/>
      <c r="C500" s="23"/>
      <c r="D500" s="27"/>
      <c r="E500" s="27"/>
      <c r="F500" s="27"/>
      <c r="G500" s="27"/>
      <c r="H500" s="27"/>
      <c r="I500" s="23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3"/>
      <c r="V500" s="23"/>
      <c r="W500" s="23"/>
      <c r="X500" s="23"/>
      <c r="Y500" s="23"/>
      <c r="Z500" s="23"/>
    </row>
    <row r="501" ht="15.75" customHeight="1" spans="1:26">
      <c r="A501" s="23"/>
      <c r="B501" s="23"/>
      <c r="C501" s="23"/>
      <c r="D501" s="27"/>
      <c r="E501" s="27"/>
      <c r="F501" s="27"/>
      <c r="G501" s="27"/>
      <c r="H501" s="27"/>
      <c r="I501" s="23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3"/>
      <c r="V501" s="23"/>
      <c r="W501" s="23"/>
      <c r="X501" s="23"/>
      <c r="Y501" s="23"/>
      <c r="Z501" s="23"/>
    </row>
    <row r="502" ht="15.75" customHeight="1" spans="1:26">
      <c r="A502" s="23"/>
      <c r="B502" s="23"/>
      <c r="C502" s="23"/>
      <c r="D502" s="27"/>
      <c r="E502" s="27"/>
      <c r="F502" s="27"/>
      <c r="G502" s="27"/>
      <c r="H502" s="27"/>
      <c r="I502" s="23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3"/>
      <c r="V502" s="23"/>
      <c r="W502" s="23"/>
      <c r="X502" s="23"/>
      <c r="Y502" s="23"/>
      <c r="Z502" s="23"/>
    </row>
    <row r="503" ht="15.75" customHeight="1" spans="1:26">
      <c r="A503" s="23"/>
      <c r="B503" s="23"/>
      <c r="C503" s="23"/>
      <c r="D503" s="27"/>
      <c r="E503" s="27"/>
      <c r="F503" s="27"/>
      <c r="G503" s="27"/>
      <c r="H503" s="27"/>
      <c r="I503" s="23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3"/>
      <c r="V503" s="23"/>
      <c r="W503" s="23"/>
      <c r="X503" s="23"/>
      <c r="Y503" s="23"/>
      <c r="Z503" s="23"/>
    </row>
    <row r="504" ht="15.75" customHeight="1" spans="1:26">
      <c r="A504" s="23"/>
      <c r="B504" s="23"/>
      <c r="C504" s="23"/>
      <c r="D504" s="27"/>
      <c r="E504" s="27"/>
      <c r="F504" s="27"/>
      <c r="G504" s="27"/>
      <c r="H504" s="27"/>
      <c r="I504" s="23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3"/>
      <c r="V504" s="23"/>
      <c r="W504" s="23"/>
      <c r="X504" s="23"/>
      <c r="Y504" s="23"/>
      <c r="Z504" s="23"/>
    </row>
    <row r="505" ht="15.75" customHeight="1" spans="1:26">
      <c r="A505" s="23"/>
      <c r="B505" s="23"/>
      <c r="C505" s="23"/>
      <c r="D505" s="27"/>
      <c r="E505" s="27"/>
      <c r="F505" s="27"/>
      <c r="G505" s="27"/>
      <c r="H505" s="27"/>
      <c r="I505" s="23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3"/>
      <c r="V505" s="23"/>
      <c r="W505" s="23"/>
      <c r="X505" s="23"/>
      <c r="Y505" s="23"/>
      <c r="Z505" s="23"/>
    </row>
    <row r="506" ht="15.75" customHeight="1" spans="1:26">
      <c r="A506" s="23"/>
      <c r="B506" s="23"/>
      <c r="C506" s="23"/>
      <c r="D506" s="27"/>
      <c r="E506" s="27"/>
      <c r="F506" s="27"/>
      <c r="G506" s="27"/>
      <c r="H506" s="27"/>
      <c r="I506" s="23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3"/>
      <c r="V506" s="23"/>
      <c r="W506" s="23"/>
      <c r="X506" s="23"/>
      <c r="Y506" s="23"/>
      <c r="Z506" s="23"/>
    </row>
    <row r="507" ht="15.75" customHeight="1" spans="1:26">
      <c r="A507" s="23"/>
      <c r="B507" s="23"/>
      <c r="C507" s="23"/>
      <c r="D507" s="27"/>
      <c r="E507" s="27"/>
      <c r="F507" s="27"/>
      <c r="G507" s="27"/>
      <c r="H507" s="27"/>
      <c r="I507" s="23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3"/>
      <c r="V507" s="23"/>
      <c r="W507" s="23"/>
      <c r="X507" s="23"/>
      <c r="Y507" s="23"/>
      <c r="Z507" s="23"/>
    </row>
    <row r="508" ht="15.75" customHeight="1" spans="1:26">
      <c r="A508" s="23"/>
      <c r="B508" s="23"/>
      <c r="C508" s="23"/>
      <c r="D508" s="27"/>
      <c r="E508" s="27"/>
      <c r="F508" s="27"/>
      <c r="G508" s="27"/>
      <c r="H508" s="27"/>
      <c r="I508" s="23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3"/>
      <c r="V508" s="23"/>
      <c r="W508" s="23"/>
      <c r="X508" s="23"/>
      <c r="Y508" s="23"/>
      <c r="Z508" s="23"/>
    </row>
    <row r="509" ht="15.75" customHeight="1" spans="1:26">
      <c r="A509" s="23"/>
      <c r="B509" s="23"/>
      <c r="C509" s="23"/>
      <c r="D509" s="27"/>
      <c r="E509" s="27"/>
      <c r="F509" s="27"/>
      <c r="G509" s="27"/>
      <c r="H509" s="27"/>
      <c r="I509" s="23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3"/>
      <c r="V509" s="23"/>
      <c r="W509" s="23"/>
      <c r="X509" s="23"/>
      <c r="Y509" s="23"/>
      <c r="Z509" s="23"/>
    </row>
    <row r="510" ht="15.75" customHeight="1" spans="1:26">
      <c r="A510" s="23"/>
      <c r="B510" s="23"/>
      <c r="C510" s="23"/>
      <c r="D510" s="27"/>
      <c r="E510" s="27"/>
      <c r="F510" s="27"/>
      <c r="G510" s="27"/>
      <c r="H510" s="27"/>
      <c r="I510" s="23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3"/>
      <c r="V510" s="23"/>
      <c r="W510" s="23"/>
      <c r="X510" s="23"/>
      <c r="Y510" s="23"/>
      <c r="Z510" s="23"/>
    </row>
    <row r="511" ht="15.75" customHeight="1" spans="1:26">
      <c r="A511" s="23"/>
      <c r="B511" s="23"/>
      <c r="C511" s="23"/>
      <c r="D511" s="27"/>
      <c r="E511" s="27"/>
      <c r="F511" s="27"/>
      <c r="G511" s="27"/>
      <c r="H511" s="27"/>
      <c r="I511" s="23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3"/>
      <c r="V511" s="23"/>
      <c r="W511" s="23"/>
      <c r="X511" s="23"/>
      <c r="Y511" s="23"/>
      <c r="Z511" s="23"/>
    </row>
    <row r="512" ht="15.75" customHeight="1" spans="1:26">
      <c r="A512" s="23"/>
      <c r="B512" s="23"/>
      <c r="C512" s="23"/>
      <c r="D512" s="27"/>
      <c r="E512" s="27"/>
      <c r="F512" s="27"/>
      <c r="G512" s="27"/>
      <c r="H512" s="27"/>
      <c r="I512" s="23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3"/>
      <c r="V512" s="23"/>
      <c r="W512" s="23"/>
      <c r="X512" s="23"/>
      <c r="Y512" s="23"/>
      <c r="Z512" s="23"/>
    </row>
    <row r="513" ht="15.75" customHeight="1" spans="1:26">
      <c r="A513" s="23"/>
      <c r="B513" s="23"/>
      <c r="C513" s="23"/>
      <c r="D513" s="27"/>
      <c r="E513" s="27"/>
      <c r="F513" s="27"/>
      <c r="G513" s="27"/>
      <c r="H513" s="27"/>
      <c r="I513" s="23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3"/>
      <c r="V513" s="23"/>
      <c r="W513" s="23"/>
      <c r="X513" s="23"/>
      <c r="Y513" s="23"/>
      <c r="Z513" s="23"/>
    </row>
    <row r="514" ht="15.75" customHeight="1" spans="1:26">
      <c r="A514" s="23"/>
      <c r="B514" s="23"/>
      <c r="C514" s="23"/>
      <c r="D514" s="27"/>
      <c r="E514" s="27"/>
      <c r="F514" s="27"/>
      <c r="G514" s="27"/>
      <c r="H514" s="27"/>
      <c r="I514" s="23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3"/>
      <c r="V514" s="23"/>
      <c r="W514" s="23"/>
      <c r="X514" s="23"/>
      <c r="Y514" s="23"/>
      <c r="Z514" s="23"/>
    </row>
    <row r="515" ht="15.75" customHeight="1" spans="1:26">
      <c r="A515" s="23"/>
      <c r="B515" s="23"/>
      <c r="C515" s="23"/>
      <c r="D515" s="27"/>
      <c r="E515" s="27"/>
      <c r="F515" s="27"/>
      <c r="G515" s="27"/>
      <c r="H515" s="27"/>
      <c r="I515" s="23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3"/>
      <c r="V515" s="23"/>
      <c r="W515" s="23"/>
      <c r="X515" s="23"/>
      <c r="Y515" s="23"/>
      <c r="Z515" s="23"/>
    </row>
    <row r="516" ht="15.75" customHeight="1" spans="1:26">
      <c r="A516" s="23"/>
      <c r="B516" s="23"/>
      <c r="C516" s="23"/>
      <c r="D516" s="27"/>
      <c r="E516" s="27"/>
      <c r="F516" s="27"/>
      <c r="G516" s="27"/>
      <c r="H516" s="27"/>
      <c r="I516" s="23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3"/>
      <c r="V516" s="23"/>
      <c r="W516" s="23"/>
      <c r="X516" s="23"/>
      <c r="Y516" s="23"/>
      <c r="Z516" s="23"/>
    </row>
    <row r="517" ht="15.75" customHeight="1" spans="1:26">
      <c r="A517" s="23"/>
      <c r="B517" s="23"/>
      <c r="C517" s="23"/>
      <c r="D517" s="27"/>
      <c r="E517" s="27"/>
      <c r="F517" s="27"/>
      <c r="G517" s="27"/>
      <c r="H517" s="27"/>
      <c r="I517" s="23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3"/>
      <c r="V517" s="23"/>
      <c r="W517" s="23"/>
      <c r="X517" s="23"/>
      <c r="Y517" s="23"/>
      <c r="Z517" s="23"/>
    </row>
    <row r="518" ht="15.75" customHeight="1" spans="1:26">
      <c r="A518" s="23"/>
      <c r="B518" s="23"/>
      <c r="C518" s="23"/>
      <c r="D518" s="27"/>
      <c r="E518" s="27"/>
      <c r="F518" s="27"/>
      <c r="G518" s="27"/>
      <c r="H518" s="27"/>
      <c r="I518" s="23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3"/>
      <c r="V518" s="23"/>
      <c r="W518" s="23"/>
      <c r="X518" s="23"/>
      <c r="Y518" s="23"/>
      <c r="Z518" s="23"/>
    </row>
    <row r="519" ht="15.75" customHeight="1" spans="1:26">
      <c r="A519" s="23"/>
      <c r="B519" s="23"/>
      <c r="C519" s="23"/>
      <c r="D519" s="27"/>
      <c r="E519" s="27"/>
      <c r="F519" s="27"/>
      <c r="G519" s="27"/>
      <c r="H519" s="27"/>
      <c r="I519" s="23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3"/>
      <c r="V519" s="23"/>
      <c r="W519" s="23"/>
      <c r="X519" s="23"/>
      <c r="Y519" s="23"/>
      <c r="Z519" s="23"/>
    </row>
    <row r="520" ht="15.75" customHeight="1" spans="1:26">
      <c r="A520" s="23"/>
      <c r="B520" s="23"/>
      <c r="C520" s="23"/>
      <c r="D520" s="27"/>
      <c r="E520" s="27"/>
      <c r="F520" s="27"/>
      <c r="G520" s="27"/>
      <c r="H520" s="27"/>
      <c r="I520" s="23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3"/>
      <c r="V520" s="23"/>
      <c r="W520" s="23"/>
      <c r="X520" s="23"/>
      <c r="Y520" s="23"/>
      <c r="Z520" s="23"/>
    </row>
    <row r="521" ht="15.75" customHeight="1" spans="1:26">
      <c r="A521" s="23"/>
      <c r="B521" s="23"/>
      <c r="C521" s="23"/>
      <c r="D521" s="27"/>
      <c r="E521" s="27"/>
      <c r="F521" s="27"/>
      <c r="G521" s="27"/>
      <c r="H521" s="27"/>
      <c r="I521" s="23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3"/>
      <c r="V521" s="23"/>
      <c r="W521" s="23"/>
      <c r="X521" s="23"/>
      <c r="Y521" s="23"/>
      <c r="Z521" s="23"/>
    </row>
    <row r="522" ht="15.75" customHeight="1" spans="1:26">
      <c r="A522" s="23"/>
      <c r="B522" s="23"/>
      <c r="C522" s="23"/>
      <c r="D522" s="27"/>
      <c r="E522" s="27"/>
      <c r="F522" s="27"/>
      <c r="G522" s="27"/>
      <c r="H522" s="27"/>
      <c r="I522" s="23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3"/>
      <c r="V522" s="23"/>
      <c r="W522" s="23"/>
      <c r="X522" s="23"/>
      <c r="Y522" s="23"/>
      <c r="Z522" s="23"/>
    </row>
    <row r="523" ht="15.75" customHeight="1" spans="1:26">
      <c r="A523" s="23"/>
      <c r="B523" s="23"/>
      <c r="C523" s="23"/>
      <c r="D523" s="27"/>
      <c r="E523" s="27"/>
      <c r="F523" s="27"/>
      <c r="G523" s="27"/>
      <c r="H523" s="27"/>
      <c r="I523" s="23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3"/>
      <c r="V523" s="23"/>
      <c r="W523" s="23"/>
      <c r="X523" s="23"/>
      <c r="Y523" s="23"/>
      <c r="Z523" s="23"/>
    </row>
    <row r="524" ht="15.75" customHeight="1" spans="1:26">
      <c r="A524" s="23"/>
      <c r="B524" s="23"/>
      <c r="C524" s="23"/>
      <c r="D524" s="27"/>
      <c r="E524" s="27"/>
      <c r="F524" s="27"/>
      <c r="G524" s="27"/>
      <c r="H524" s="27"/>
      <c r="I524" s="23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3"/>
      <c r="V524" s="23"/>
      <c r="W524" s="23"/>
      <c r="X524" s="23"/>
      <c r="Y524" s="23"/>
      <c r="Z524" s="23"/>
    </row>
    <row r="525" ht="15.75" customHeight="1" spans="1:26">
      <c r="A525" s="23"/>
      <c r="B525" s="23"/>
      <c r="C525" s="23"/>
      <c r="D525" s="27"/>
      <c r="E525" s="27"/>
      <c r="F525" s="27"/>
      <c r="G525" s="27"/>
      <c r="H525" s="27"/>
      <c r="I525" s="23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3"/>
      <c r="V525" s="23"/>
      <c r="W525" s="23"/>
      <c r="X525" s="23"/>
      <c r="Y525" s="23"/>
      <c r="Z525" s="23"/>
    </row>
    <row r="526" ht="15.75" customHeight="1" spans="1:26">
      <c r="A526" s="23"/>
      <c r="B526" s="23"/>
      <c r="C526" s="23"/>
      <c r="D526" s="27"/>
      <c r="E526" s="27"/>
      <c r="F526" s="27"/>
      <c r="G526" s="27"/>
      <c r="H526" s="27"/>
      <c r="I526" s="23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3"/>
      <c r="V526" s="23"/>
      <c r="W526" s="23"/>
      <c r="X526" s="23"/>
      <c r="Y526" s="23"/>
      <c r="Z526" s="23"/>
    </row>
    <row r="527" ht="15.75" customHeight="1" spans="1:26">
      <c r="A527" s="23"/>
      <c r="B527" s="23"/>
      <c r="C527" s="23"/>
      <c r="D527" s="27"/>
      <c r="E527" s="27"/>
      <c r="F527" s="27"/>
      <c r="G527" s="27"/>
      <c r="H527" s="27"/>
      <c r="I527" s="23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3"/>
      <c r="V527" s="23"/>
      <c r="W527" s="23"/>
      <c r="X527" s="23"/>
      <c r="Y527" s="23"/>
      <c r="Z527" s="23"/>
    </row>
    <row r="528" ht="15.75" customHeight="1" spans="1:26">
      <c r="A528" s="23"/>
      <c r="B528" s="23"/>
      <c r="C528" s="23"/>
      <c r="D528" s="27"/>
      <c r="E528" s="27"/>
      <c r="F528" s="27"/>
      <c r="G528" s="27"/>
      <c r="H528" s="27"/>
      <c r="I528" s="23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3"/>
      <c r="V528" s="23"/>
      <c r="W528" s="23"/>
      <c r="X528" s="23"/>
      <c r="Y528" s="23"/>
      <c r="Z528" s="23"/>
    </row>
    <row r="529" ht="15.75" customHeight="1" spans="1:26">
      <c r="A529" s="23"/>
      <c r="B529" s="23"/>
      <c r="C529" s="23"/>
      <c r="D529" s="27"/>
      <c r="E529" s="27"/>
      <c r="F529" s="27"/>
      <c r="G529" s="27"/>
      <c r="H529" s="27"/>
      <c r="I529" s="23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3"/>
      <c r="V529" s="23"/>
      <c r="W529" s="23"/>
      <c r="X529" s="23"/>
      <c r="Y529" s="23"/>
      <c r="Z529" s="23"/>
    </row>
    <row r="530" ht="15.75" customHeight="1" spans="1:26">
      <c r="A530" s="23"/>
      <c r="B530" s="23"/>
      <c r="C530" s="23"/>
      <c r="D530" s="27"/>
      <c r="E530" s="27"/>
      <c r="F530" s="27"/>
      <c r="G530" s="27"/>
      <c r="H530" s="27"/>
      <c r="I530" s="23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3"/>
      <c r="V530" s="23"/>
      <c r="W530" s="23"/>
      <c r="X530" s="23"/>
      <c r="Y530" s="23"/>
      <c r="Z530" s="23"/>
    </row>
    <row r="531" ht="15.75" customHeight="1" spans="1:26">
      <c r="A531" s="23"/>
      <c r="B531" s="23"/>
      <c r="C531" s="23"/>
      <c r="D531" s="27"/>
      <c r="E531" s="27"/>
      <c r="F531" s="27"/>
      <c r="G531" s="27"/>
      <c r="H531" s="27"/>
      <c r="I531" s="23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3"/>
      <c r="V531" s="23"/>
      <c r="W531" s="23"/>
      <c r="X531" s="23"/>
      <c r="Y531" s="23"/>
      <c r="Z531" s="23"/>
    </row>
    <row r="532" ht="15.75" customHeight="1" spans="1:26">
      <c r="A532" s="23"/>
      <c r="B532" s="23"/>
      <c r="C532" s="23"/>
      <c r="D532" s="27"/>
      <c r="E532" s="27"/>
      <c r="F532" s="27"/>
      <c r="G532" s="27"/>
      <c r="H532" s="27"/>
      <c r="I532" s="23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3"/>
      <c r="V532" s="23"/>
      <c r="W532" s="23"/>
      <c r="X532" s="23"/>
      <c r="Y532" s="23"/>
      <c r="Z532" s="23"/>
    </row>
    <row r="533" ht="15.75" customHeight="1" spans="1:26">
      <c r="A533" s="23"/>
      <c r="B533" s="23"/>
      <c r="C533" s="23"/>
      <c r="D533" s="27"/>
      <c r="E533" s="27"/>
      <c r="F533" s="27"/>
      <c r="G533" s="27"/>
      <c r="H533" s="27"/>
      <c r="I533" s="23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3"/>
      <c r="V533" s="23"/>
      <c r="W533" s="23"/>
      <c r="X533" s="23"/>
      <c r="Y533" s="23"/>
      <c r="Z533" s="23"/>
    </row>
    <row r="534" ht="15.75" customHeight="1" spans="1:26">
      <c r="A534" s="23"/>
      <c r="B534" s="23"/>
      <c r="C534" s="23"/>
      <c r="D534" s="27"/>
      <c r="E534" s="27"/>
      <c r="F534" s="27"/>
      <c r="G534" s="27"/>
      <c r="H534" s="27"/>
      <c r="I534" s="23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3"/>
      <c r="V534" s="23"/>
      <c r="W534" s="23"/>
      <c r="X534" s="23"/>
      <c r="Y534" s="23"/>
      <c r="Z534" s="23"/>
    </row>
    <row r="535" ht="15.75" customHeight="1" spans="1:26">
      <c r="A535" s="23"/>
      <c r="B535" s="23"/>
      <c r="C535" s="23"/>
      <c r="D535" s="27"/>
      <c r="E535" s="27"/>
      <c r="F535" s="27"/>
      <c r="G535" s="27"/>
      <c r="H535" s="27"/>
      <c r="I535" s="23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3"/>
      <c r="V535" s="23"/>
      <c r="W535" s="23"/>
      <c r="X535" s="23"/>
      <c r="Y535" s="23"/>
      <c r="Z535" s="23"/>
    </row>
    <row r="536" ht="15.75" customHeight="1" spans="1:26">
      <c r="A536" s="23"/>
      <c r="B536" s="23"/>
      <c r="C536" s="23"/>
      <c r="D536" s="27"/>
      <c r="E536" s="27"/>
      <c r="F536" s="27"/>
      <c r="G536" s="27"/>
      <c r="H536" s="27"/>
      <c r="I536" s="23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3"/>
      <c r="V536" s="23"/>
      <c r="W536" s="23"/>
      <c r="X536" s="23"/>
      <c r="Y536" s="23"/>
      <c r="Z536" s="23"/>
    </row>
    <row r="537" ht="15.75" customHeight="1" spans="1:26">
      <c r="A537" s="23"/>
      <c r="B537" s="23"/>
      <c r="C537" s="23"/>
      <c r="D537" s="27"/>
      <c r="E537" s="27"/>
      <c r="F537" s="27"/>
      <c r="G537" s="27"/>
      <c r="H537" s="27"/>
      <c r="I537" s="23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3"/>
      <c r="V537" s="23"/>
      <c r="W537" s="23"/>
      <c r="X537" s="23"/>
      <c r="Y537" s="23"/>
      <c r="Z537" s="23"/>
    </row>
    <row r="538" ht="15.75" customHeight="1" spans="1:26">
      <c r="A538" s="23"/>
      <c r="B538" s="23"/>
      <c r="C538" s="23"/>
      <c r="D538" s="27"/>
      <c r="E538" s="27"/>
      <c r="F538" s="27"/>
      <c r="G538" s="27"/>
      <c r="H538" s="27"/>
      <c r="I538" s="23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3"/>
      <c r="V538" s="23"/>
      <c r="W538" s="23"/>
      <c r="X538" s="23"/>
      <c r="Y538" s="23"/>
      <c r="Z538" s="23"/>
    </row>
    <row r="539" ht="15.75" customHeight="1" spans="1:26">
      <c r="A539" s="23"/>
      <c r="B539" s="23"/>
      <c r="C539" s="23"/>
      <c r="D539" s="27"/>
      <c r="E539" s="27"/>
      <c r="F539" s="27"/>
      <c r="G539" s="27"/>
      <c r="H539" s="27"/>
      <c r="I539" s="23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3"/>
      <c r="V539" s="23"/>
      <c r="W539" s="23"/>
      <c r="X539" s="23"/>
      <c r="Y539" s="23"/>
      <c r="Z539" s="23"/>
    </row>
    <row r="540" ht="15.75" customHeight="1" spans="1:26">
      <c r="A540" s="23"/>
      <c r="B540" s="23"/>
      <c r="C540" s="23"/>
      <c r="D540" s="27"/>
      <c r="E540" s="27"/>
      <c r="F540" s="27"/>
      <c r="G540" s="27"/>
      <c r="H540" s="27"/>
      <c r="I540" s="23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3"/>
      <c r="V540" s="23"/>
      <c r="W540" s="23"/>
      <c r="X540" s="23"/>
      <c r="Y540" s="23"/>
      <c r="Z540" s="23"/>
    </row>
    <row r="541" ht="15.75" customHeight="1" spans="1:26">
      <c r="A541" s="23"/>
      <c r="B541" s="23"/>
      <c r="C541" s="23"/>
      <c r="D541" s="27"/>
      <c r="E541" s="27"/>
      <c r="F541" s="27"/>
      <c r="G541" s="27"/>
      <c r="H541" s="27"/>
      <c r="I541" s="23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3"/>
      <c r="V541" s="23"/>
      <c r="W541" s="23"/>
      <c r="X541" s="23"/>
      <c r="Y541" s="23"/>
      <c r="Z541" s="23"/>
    </row>
    <row r="542" ht="15.75" customHeight="1" spans="1:26">
      <c r="A542" s="23"/>
      <c r="B542" s="23"/>
      <c r="C542" s="23"/>
      <c r="D542" s="27"/>
      <c r="E542" s="27"/>
      <c r="F542" s="27"/>
      <c r="G542" s="27"/>
      <c r="H542" s="27"/>
      <c r="I542" s="23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3"/>
      <c r="V542" s="23"/>
      <c r="W542" s="23"/>
      <c r="X542" s="23"/>
      <c r="Y542" s="23"/>
      <c r="Z542" s="23"/>
    </row>
    <row r="543" ht="15.75" customHeight="1" spans="1:26">
      <c r="A543" s="23"/>
      <c r="B543" s="23"/>
      <c r="C543" s="23"/>
      <c r="D543" s="27"/>
      <c r="E543" s="27"/>
      <c r="F543" s="27"/>
      <c r="G543" s="27"/>
      <c r="H543" s="27"/>
      <c r="I543" s="23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3"/>
      <c r="V543" s="23"/>
      <c r="W543" s="23"/>
      <c r="X543" s="23"/>
      <c r="Y543" s="23"/>
      <c r="Z543" s="23"/>
    </row>
    <row r="544" ht="15.75" customHeight="1" spans="1:26">
      <c r="A544" s="23"/>
      <c r="B544" s="23"/>
      <c r="C544" s="23"/>
      <c r="D544" s="27"/>
      <c r="E544" s="27"/>
      <c r="F544" s="27"/>
      <c r="G544" s="27"/>
      <c r="H544" s="27"/>
      <c r="I544" s="23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3"/>
      <c r="V544" s="23"/>
      <c r="W544" s="23"/>
      <c r="X544" s="23"/>
      <c r="Y544" s="23"/>
      <c r="Z544" s="23"/>
    </row>
    <row r="545" ht="15.75" customHeight="1" spans="1:26">
      <c r="A545" s="23"/>
      <c r="B545" s="23"/>
      <c r="C545" s="23"/>
      <c r="D545" s="27"/>
      <c r="E545" s="27"/>
      <c r="F545" s="27"/>
      <c r="G545" s="27"/>
      <c r="H545" s="27"/>
      <c r="I545" s="23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3"/>
      <c r="V545" s="23"/>
      <c r="W545" s="23"/>
      <c r="X545" s="23"/>
      <c r="Y545" s="23"/>
      <c r="Z545" s="23"/>
    </row>
    <row r="546" ht="15.75" customHeight="1" spans="1:26">
      <c r="A546" s="23"/>
      <c r="B546" s="23"/>
      <c r="C546" s="23"/>
      <c r="D546" s="27"/>
      <c r="E546" s="27"/>
      <c r="F546" s="27"/>
      <c r="G546" s="27"/>
      <c r="H546" s="27"/>
      <c r="I546" s="23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3"/>
      <c r="V546" s="23"/>
      <c r="W546" s="23"/>
      <c r="X546" s="23"/>
      <c r="Y546" s="23"/>
      <c r="Z546" s="23"/>
    </row>
    <row r="547" ht="15.75" customHeight="1" spans="1:26">
      <c r="A547" s="23"/>
      <c r="B547" s="23"/>
      <c r="C547" s="23"/>
      <c r="D547" s="27"/>
      <c r="E547" s="27"/>
      <c r="F547" s="27"/>
      <c r="G547" s="27"/>
      <c r="H547" s="27"/>
      <c r="I547" s="23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3"/>
      <c r="V547" s="23"/>
      <c r="W547" s="23"/>
      <c r="X547" s="23"/>
      <c r="Y547" s="23"/>
      <c r="Z547" s="23"/>
    </row>
    <row r="548" ht="15.75" customHeight="1" spans="1:26">
      <c r="A548" s="23"/>
      <c r="B548" s="23"/>
      <c r="C548" s="23"/>
      <c r="D548" s="27"/>
      <c r="E548" s="27"/>
      <c r="F548" s="27"/>
      <c r="G548" s="27"/>
      <c r="H548" s="27"/>
      <c r="I548" s="23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3"/>
      <c r="V548" s="23"/>
      <c r="W548" s="23"/>
      <c r="X548" s="23"/>
      <c r="Y548" s="23"/>
      <c r="Z548" s="23"/>
    </row>
    <row r="549" ht="15.75" customHeight="1" spans="1:26">
      <c r="A549" s="23"/>
      <c r="B549" s="23"/>
      <c r="C549" s="23"/>
      <c r="D549" s="27"/>
      <c r="E549" s="27"/>
      <c r="F549" s="27"/>
      <c r="G549" s="27"/>
      <c r="H549" s="27"/>
      <c r="I549" s="23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3"/>
      <c r="V549" s="23"/>
      <c r="W549" s="23"/>
      <c r="X549" s="23"/>
      <c r="Y549" s="23"/>
      <c r="Z549" s="23"/>
    </row>
    <row r="550" ht="15.75" customHeight="1" spans="1:26">
      <c r="A550" s="23"/>
      <c r="B550" s="23"/>
      <c r="C550" s="23"/>
      <c r="D550" s="27"/>
      <c r="E550" s="27"/>
      <c r="F550" s="27"/>
      <c r="G550" s="27"/>
      <c r="H550" s="27"/>
      <c r="I550" s="23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3"/>
      <c r="V550" s="23"/>
      <c r="W550" s="23"/>
      <c r="X550" s="23"/>
      <c r="Y550" s="23"/>
      <c r="Z550" s="23"/>
    </row>
    <row r="551" ht="15.75" customHeight="1" spans="1:26">
      <c r="A551" s="23"/>
      <c r="B551" s="23"/>
      <c r="C551" s="23"/>
      <c r="D551" s="27"/>
      <c r="E551" s="27"/>
      <c r="F551" s="27"/>
      <c r="G551" s="27"/>
      <c r="H551" s="27"/>
      <c r="I551" s="23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3"/>
      <c r="V551" s="23"/>
      <c r="W551" s="23"/>
      <c r="X551" s="23"/>
      <c r="Y551" s="23"/>
      <c r="Z551" s="23"/>
    </row>
    <row r="552" ht="15.75" customHeight="1" spans="1:26">
      <c r="A552" s="23"/>
      <c r="B552" s="23"/>
      <c r="C552" s="23"/>
      <c r="D552" s="27"/>
      <c r="E552" s="27"/>
      <c r="F552" s="27"/>
      <c r="G552" s="27"/>
      <c r="H552" s="27"/>
      <c r="I552" s="23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3"/>
      <c r="V552" s="23"/>
      <c r="W552" s="23"/>
      <c r="X552" s="23"/>
      <c r="Y552" s="23"/>
      <c r="Z552" s="23"/>
    </row>
    <row r="553" ht="15.75" customHeight="1" spans="1:26">
      <c r="A553" s="23"/>
      <c r="B553" s="23"/>
      <c r="C553" s="23"/>
      <c r="D553" s="27"/>
      <c r="E553" s="27"/>
      <c r="F553" s="27"/>
      <c r="G553" s="27"/>
      <c r="H553" s="27"/>
      <c r="I553" s="23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3"/>
      <c r="V553" s="23"/>
      <c r="W553" s="23"/>
      <c r="X553" s="23"/>
      <c r="Y553" s="23"/>
      <c r="Z553" s="23"/>
    </row>
    <row r="554" ht="15.75" customHeight="1" spans="1:26">
      <c r="A554" s="23"/>
      <c r="B554" s="23"/>
      <c r="C554" s="23"/>
      <c r="D554" s="27"/>
      <c r="E554" s="27"/>
      <c r="F554" s="27"/>
      <c r="G554" s="27"/>
      <c r="H554" s="27"/>
      <c r="I554" s="23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3"/>
      <c r="V554" s="23"/>
      <c r="W554" s="23"/>
      <c r="X554" s="23"/>
      <c r="Y554" s="23"/>
      <c r="Z554" s="23"/>
    </row>
    <row r="555" ht="15.75" customHeight="1" spans="1:26">
      <c r="A555" s="23"/>
      <c r="B555" s="23"/>
      <c r="C555" s="23"/>
      <c r="D555" s="27"/>
      <c r="E555" s="27"/>
      <c r="F555" s="27"/>
      <c r="G555" s="27"/>
      <c r="H555" s="27"/>
      <c r="I555" s="23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3"/>
      <c r="V555" s="23"/>
      <c r="W555" s="23"/>
      <c r="X555" s="23"/>
      <c r="Y555" s="23"/>
      <c r="Z555" s="23"/>
    </row>
    <row r="556" ht="15.75" customHeight="1" spans="1:26">
      <c r="A556" s="23"/>
      <c r="B556" s="23"/>
      <c r="C556" s="23"/>
      <c r="D556" s="27"/>
      <c r="E556" s="27"/>
      <c r="F556" s="27"/>
      <c r="G556" s="27"/>
      <c r="H556" s="27"/>
      <c r="I556" s="23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3"/>
      <c r="V556" s="23"/>
      <c r="W556" s="23"/>
      <c r="X556" s="23"/>
      <c r="Y556" s="23"/>
      <c r="Z556" s="23"/>
    </row>
    <row r="557" ht="15.75" customHeight="1" spans="1:26">
      <c r="A557" s="23"/>
      <c r="B557" s="23"/>
      <c r="C557" s="23"/>
      <c r="D557" s="27"/>
      <c r="E557" s="27"/>
      <c r="F557" s="27"/>
      <c r="G557" s="27"/>
      <c r="H557" s="27"/>
      <c r="I557" s="23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3"/>
      <c r="V557" s="23"/>
      <c r="W557" s="23"/>
      <c r="X557" s="23"/>
      <c r="Y557" s="23"/>
      <c r="Z557" s="23"/>
    </row>
    <row r="558" ht="15.75" customHeight="1" spans="1:26">
      <c r="A558" s="23"/>
      <c r="B558" s="23"/>
      <c r="C558" s="23"/>
      <c r="D558" s="27"/>
      <c r="E558" s="27"/>
      <c r="F558" s="27"/>
      <c r="G558" s="27"/>
      <c r="H558" s="27"/>
      <c r="I558" s="23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3"/>
      <c r="V558" s="23"/>
      <c r="W558" s="23"/>
      <c r="X558" s="23"/>
      <c r="Y558" s="23"/>
      <c r="Z558" s="23"/>
    </row>
    <row r="559" ht="15.75" customHeight="1" spans="1:26">
      <c r="A559" s="23"/>
      <c r="B559" s="23"/>
      <c r="C559" s="23"/>
      <c r="D559" s="27"/>
      <c r="E559" s="27"/>
      <c r="F559" s="27"/>
      <c r="G559" s="27"/>
      <c r="H559" s="27"/>
      <c r="I559" s="23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3"/>
      <c r="V559" s="23"/>
      <c r="W559" s="23"/>
      <c r="X559" s="23"/>
      <c r="Y559" s="23"/>
      <c r="Z559" s="23"/>
    </row>
    <row r="560" ht="15.75" customHeight="1" spans="1:26">
      <c r="A560" s="23"/>
      <c r="B560" s="23"/>
      <c r="C560" s="23"/>
      <c r="D560" s="27"/>
      <c r="E560" s="27"/>
      <c r="F560" s="27"/>
      <c r="G560" s="27"/>
      <c r="H560" s="27"/>
      <c r="I560" s="23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3"/>
      <c r="V560" s="23"/>
      <c r="W560" s="23"/>
      <c r="X560" s="23"/>
      <c r="Y560" s="23"/>
      <c r="Z560" s="23"/>
    </row>
    <row r="561" ht="15.75" customHeight="1" spans="1:26">
      <c r="A561" s="23"/>
      <c r="B561" s="23"/>
      <c r="C561" s="23"/>
      <c r="D561" s="27"/>
      <c r="E561" s="27"/>
      <c r="F561" s="27"/>
      <c r="G561" s="27"/>
      <c r="H561" s="27"/>
      <c r="I561" s="23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3"/>
      <c r="V561" s="23"/>
      <c r="W561" s="23"/>
      <c r="X561" s="23"/>
      <c r="Y561" s="23"/>
      <c r="Z561" s="23"/>
    </row>
    <row r="562" ht="15.75" customHeight="1" spans="1:26">
      <c r="A562" s="23"/>
      <c r="B562" s="23"/>
      <c r="C562" s="23"/>
      <c r="D562" s="27"/>
      <c r="E562" s="27"/>
      <c r="F562" s="27"/>
      <c r="G562" s="27"/>
      <c r="H562" s="27"/>
      <c r="I562" s="23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3"/>
      <c r="V562" s="23"/>
      <c r="W562" s="23"/>
      <c r="X562" s="23"/>
      <c r="Y562" s="23"/>
      <c r="Z562" s="23"/>
    </row>
    <row r="563" ht="15.75" customHeight="1" spans="1:26">
      <c r="A563" s="23"/>
      <c r="B563" s="23"/>
      <c r="C563" s="23"/>
      <c r="D563" s="27"/>
      <c r="E563" s="27"/>
      <c r="F563" s="27"/>
      <c r="G563" s="27"/>
      <c r="H563" s="27"/>
      <c r="I563" s="23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3"/>
      <c r="V563" s="23"/>
      <c r="W563" s="23"/>
      <c r="X563" s="23"/>
      <c r="Y563" s="23"/>
      <c r="Z563" s="23"/>
    </row>
    <row r="564" ht="15.75" customHeight="1" spans="1:26">
      <c r="A564" s="23"/>
      <c r="B564" s="23"/>
      <c r="C564" s="23"/>
      <c r="D564" s="27"/>
      <c r="E564" s="27"/>
      <c r="F564" s="27"/>
      <c r="G564" s="27"/>
      <c r="H564" s="27"/>
      <c r="I564" s="23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3"/>
      <c r="V564" s="23"/>
      <c r="W564" s="23"/>
      <c r="X564" s="23"/>
      <c r="Y564" s="23"/>
      <c r="Z564" s="23"/>
    </row>
    <row r="565" ht="15.75" customHeight="1" spans="1:26">
      <c r="A565" s="23"/>
      <c r="B565" s="23"/>
      <c r="C565" s="23"/>
      <c r="D565" s="27"/>
      <c r="E565" s="27"/>
      <c r="F565" s="27"/>
      <c r="G565" s="27"/>
      <c r="H565" s="27"/>
      <c r="I565" s="23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3"/>
      <c r="V565" s="23"/>
      <c r="W565" s="23"/>
      <c r="X565" s="23"/>
      <c r="Y565" s="23"/>
      <c r="Z565" s="23"/>
    </row>
    <row r="566" ht="15.75" customHeight="1" spans="1:26">
      <c r="A566" s="23"/>
      <c r="B566" s="23"/>
      <c r="C566" s="23"/>
      <c r="D566" s="27"/>
      <c r="E566" s="27"/>
      <c r="F566" s="27"/>
      <c r="G566" s="27"/>
      <c r="H566" s="27"/>
      <c r="I566" s="23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3"/>
      <c r="V566" s="23"/>
      <c r="W566" s="23"/>
      <c r="X566" s="23"/>
      <c r="Y566" s="23"/>
      <c r="Z566" s="23"/>
    </row>
    <row r="567" ht="15.75" customHeight="1" spans="1:26">
      <c r="A567" s="23"/>
      <c r="B567" s="23"/>
      <c r="C567" s="23"/>
      <c r="D567" s="27"/>
      <c r="E567" s="27"/>
      <c r="F567" s="27"/>
      <c r="G567" s="27"/>
      <c r="H567" s="27"/>
      <c r="I567" s="23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3"/>
      <c r="V567" s="23"/>
      <c r="W567" s="23"/>
      <c r="X567" s="23"/>
      <c r="Y567" s="23"/>
      <c r="Z567" s="23"/>
    </row>
    <row r="568" ht="15.75" customHeight="1" spans="1:26">
      <c r="A568" s="23"/>
      <c r="B568" s="23"/>
      <c r="C568" s="23"/>
      <c r="D568" s="27"/>
      <c r="E568" s="27"/>
      <c r="F568" s="27"/>
      <c r="G568" s="27"/>
      <c r="H568" s="27"/>
      <c r="I568" s="23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3"/>
      <c r="V568" s="23"/>
      <c r="W568" s="23"/>
      <c r="X568" s="23"/>
      <c r="Y568" s="23"/>
      <c r="Z568" s="23"/>
    </row>
    <row r="569" ht="15.75" customHeight="1" spans="1:26">
      <c r="A569" s="23"/>
      <c r="B569" s="23"/>
      <c r="C569" s="23"/>
      <c r="D569" s="27"/>
      <c r="E569" s="27"/>
      <c r="F569" s="27"/>
      <c r="G569" s="27"/>
      <c r="H569" s="27"/>
      <c r="I569" s="23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3"/>
      <c r="V569" s="23"/>
      <c r="W569" s="23"/>
      <c r="X569" s="23"/>
      <c r="Y569" s="23"/>
      <c r="Z569" s="23"/>
    </row>
    <row r="570" ht="15.75" customHeight="1" spans="1:26">
      <c r="A570" s="23"/>
      <c r="B570" s="23"/>
      <c r="C570" s="23"/>
      <c r="D570" s="27"/>
      <c r="E570" s="27"/>
      <c r="F570" s="27"/>
      <c r="G570" s="27"/>
      <c r="H570" s="27"/>
      <c r="I570" s="23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3"/>
      <c r="V570" s="23"/>
      <c r="W570" s="23"/>
      <c r="X570" s="23"/>
      <c r="Y570" s="23"/>
      <c r="Z570" s="23"/>
    </row>
    <row r="571" ht="15.75" customHeight="1" spans="1:26">
      <c r="A571" s="23"/>
      <c r="B571" s="23"/>
      <c r="C571" s="23"/>
      <c r="D571" s="27"/>
      <c r="E571" s="27"/>
      <c r="F571" s="27"/>
      <c r="G571" s="27"/>
      <c r="H571" s="27"/>
      <c r="I571" s="23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3"/>
      <c r="V571" s="23"/>
      <c r="W571" s="23"/>
      <c r="X571" s="23"/>
      <c r="Y571" s="23"/>
      <c r="Z571" s="23"/>
    </row>
    <row r="572" ht="15.75" customHeight="1" spans="1:26">
      <c r="A572" s="23"/>
      <c r="B572" s="23"/>
      <c r="C572" s="23"/>
      <c r="D572" s="27"/>
      <c r="E572" s="27"/>
      <c r="F572" s="27"/>
      <c r="G572" s="27"/>
      <c r="H572" s="27"/>
      <c r="I572" s="23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3"/>
      <c r="V572" s="23"/>
      <c r="W572" s="23"/>
      <c r="X572" s="23"/>
      <c r="Y572" s="23"/>
      <c r="Z572" s="23"/>
    </row>
    <row r="573" ht="15.75" customHeight="1" spans="1:26">
      <c r="A573" s="23"/>
      <c r="B573" s="23"/>
      <c r="C573" s="23"/>
      <c r="D573" s="27"/>
      <c r="E573" s="27"/>
      <c r="F573" s="27"/>
      <c r="G573" s="27"/>
      <c r="H573" s="27"/>
      <c r="I573" s="23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3"/>
      <c r="V573" s="23"/>
      <c r="W573" s="23"/>
      <c r="X573" s="23"/>
      <c r="Y573" s="23"/>
      <c r="Z573" s="23"/>
    </row>
    <row r="574" ht="15.75" customHeight="1" spans="1:26">
      <c r="A574" s="23"/>
      <c r="B574" s="23"/>
      <c r="C574" s="23"/>
      <c r="D574" s="27"/>
      <c r="E574" s="27"/>
      <c r="F574" s="27"/>
      <c r="G574" s="27"/>
      <c r="H574" s="27"/>
      <c r="I574" s="23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3"/>
      <c r="V574" s="23"/>
      <c r="W574" s="23"/>
      <c r="X574" s="23"/>
      <c r="Y574" s="23"/>
      <c r="Z574" s="23"/>
    </row>
    <row r="575" ht="15.75" customHeight="1" spans="1:26">
      <c r="A575" s="23"/>
      <c r="B575" s="23"/>
      <c r="C575" s="23"/>
      <c r="D575" s="27"/>
      <c r="E575" s="27"/>
      <c r="F575" s="27"/>
      <c r="G575" s="27"/>
      <c r="H575" s="27"/>
      <c r="I575" s="23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3"/>
      <c r="V575" s="23"/>
      <c r="W575" s="23"/>
      <c r="X575" s="23"/>
      <c r="Y575" s="23"/>
      <c r="Z575" s="23"/>
    </row>
    <row r="576" ht="15.75" customHeight="1" spans="1:26">
      <c r="A576" s="23"/>
      <c r="B576" s="23"/>
      <c r="C576" s="23"/>
      <c r="D576" s="27"/>
      <c r="E576" s="27"/>
      <c r="F576" s="27"/>
      <c r="G576" s="27"/>
      <c r="H576" s="27"/>
      <c r="I576" s="23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3"/>
      <c r="V576" s="23"/>
      <c r="W576" s="23"/>
      <c r="X576" s="23"/>
      <c r="Y576" s="23"/>
      <c r="Z576" s="23"/>
    </row>
    <row r="577" ht="15.75" customHeight="1" spans="1:26">
      <c r="A577" s="23"/>
      <c r="B577" s="23"/>
      <c r="C577" s="23"/>
      <c r="D577" s="27"/>
      <c r="E577" s="27"/>
      <c r="F577" s="27"/>
      <c r="G577" s="27"/>
      <c r="H577" s="27"/>
      <c r="I577" s="23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3"/>
      <c r="V577" s="23"/>
      <c r="W577" s="23"/>
      <c r="X577" s="23"/>
      <c r="Y577" s="23"/>
      <c r="Z577" s="23"/>
    </row>
    <row r="578" ht="15.75" customHeight="1" spans="1:26">
      <c r="A578" s="23"/>
      <c r="B578" s="23"/>
      <c r="C578" s="23"/>
      <c r="D578" s="27"/>
      <c r="E578" s="27"/>
      <c r="F578" s="27"/>
      <c r="G578" s="27"/>
      <c r="H578" s="27"/>
      <c r="I578" s="23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3"/>
      <c r="V578" s="23"/>
      <c r="W578" s="23"/>
      <c r="X578" s="23"/>
      <c r="Y578" s="23"/>
      <c r="Z578" s="23"/>
    </row>
    <row r="579" ht="15.75" customHeight="1" spans="1:26">
      <c r="A579" s="23"/>
      <c r="B579" s="23"/>
      <c r="C579" s="23"/>
      <c r="D579" s="27"/>
      <c r="E579" s="27"/>
      <c r="F579" s="27"/>
      <c r="G579" s="27"/>
      <c r="H579" s="27"/>
      <c r="I579" s="23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3"/>
      <c r="V579" s="23"/>
      <c r="W579" s="23"/>
      <c r="X579" s="23"/>
      <c r="Y579" s="23"/>
      <c r="Z579" s="23"/>
    </row>
    <row r="580" ht="15.75" customHeight="1" spans="1:26">
      <c r="A580" s="23"/>
      <c r="B580" s="23"/>
      <c r="C580" s="23"/>
      <c r="D580" s="27"/>
      <c r="E580" s="27"/>
      <c r="F580" s="27"/>
      <c r="G580" s="27"/>
      <c r="H580" s="27"/>
      <c r="I580" s="23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3"/>
      <c r="V580" s="23"/>
      <c r="W580" s="23"/>
      <c r="X580" s="23"/>
      <c r="Y580" s="23"/>
      <c r="Z580" s="23"/>
    </row>
    <row r="581" ht="15.75" customHeight="1" spans="1:26">
      <c r="A581" s="23"/>
      <c r="B581" s="23"/>
      <c r="C581" s="23"/>
      <c r="D581" s="27"/>
      <c r="E581" s="27"/>
      <c r="F581" s="27"/>
      <c r="G581" s="27"/>
      <c r="H581" s="27"/>
      <c r="I581" s="23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3"/>
      <c r="V581" s="23"/>
      <c r="W581" s="23"/>
      <c r="X581" s="23"/>
      <c r="Y581" s="23"/>
      <c r="Z581" s="23"/>
    </row>
    <row r="582" ht="15.75" customHeight="1" spans="1:26">
      <c r="A582" s="23"/>
      <c r="B582" s="23"/>
      <c r="C582" s="23"/>
      <c r="D582" s="27"/>
      <c r="E582" s="27"/>
      <c r="F582" s="27"/>
      <c r="G582" s="27"/>
      <c r="H582" s="27"/>
      <c r="I582" s="23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3"/>
      <c r="V582" s="23"/>
      <c r="W582" s="23"/>
      <c r="X582" s="23"/>
      <c r="Y582" s="23"/>
      <c r="Z582" s="23"/>
    </row>
    <row r="583" ht="15.75" customHeight="1" spans="1:26">
      <c r="A583" s="23"/>
      <c r="B583" s="23"/>
      <c r="C583" s="23"/>
      <c r="D583" s="27"/>
      <c r="E583" s="27"/>
      <c r="F583" s="27"/>
      <c r="G583" s="27"/>
      <c r="H583" s="27"/>
      <c r="I583" s="23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3"/>
      <c r="V583" s="23"/>
      <c r="W583" s="23"/>
      <c r="X583" s="23"/>
      <c r="Y583" s="23"/>
      <c r="Z583" s="23"/>
    </row>
    <row r="584" ht="15.75" customHeight="1" spans="1:26">
      <c r="A584" s="23"/>
      <c r="B584" s="23"/>
      <c r="C584" s="23"/>
      <c r="D584" s="27"/>
      <c r="E584" s="27"/>
      <c r="F584" s="27"/>
      <c r="G584" s="27"/>
      <c r="H584" s="27"/>
      <c r="I584" s="23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3"/>
      <c r="V584" s="23"/>
      <c r="W584" s="23"/>
      <c r="X584" s="23"/>
      <c r="Y584" s="23"/>
      <c r="Z584" s="23"/>
    </row>
    <row r="585" ht="15.75" customHeight="1" spans="1:26">
      <c r="A585" s="23"/>
      <c r="B585" s="23"/>
      <c r="C585" s="23"/>
      <c r="D585" s="27"/>
      <c r="E585" s="27"/>
      <c r="F585" s="27"/>
      <c r="G585" s="27"/>
      <c r="H585" s="27"/>
      <c r="I585" s="23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3"/>
      <c r="V585" s="23"/>
      <c r="W585" s="23"/>
      <c r="X585" s="23"/>
      <c r="Y585" s="23"/>
      <c r="Z585" s="23"/>
    </row>
    <row r="586" ht="15.75" customHeight="1" spans="1:26">
      <c r="A586" s="23"/>
      <c r="B586" s="23"/>
      <c r="C586" s="23"/>
      <c r="D586" s="27"/>
      <c r="E586" s="27"/>
      <c r="F586" s="27"/>
      <c r="G586" s="27"/>
      <c r="H586" s="27"/>
      <c r="I586" s="23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3"/>
      <c r="V586" s="23"/>
      <c r="W586" s="23"/>
      <c r="X586" s="23"/>
      <c r="Y586" s="23"/>
      <c r="Z586" s="23"/>
    </row>
    <row r="587" ht="15.75" customHeight="1" spans="1:26">
      <c r="A587" s="23"/>
      <c r="B587" s="23"/>
      <c r="C587" s="23"/>
      <c r="D587" s="27"/>
      <c r="E587" s="27"/>
      <c r="F587" s="27"/>
      <c r="G587" s="27"/>
      <c r="H587" s="27"/>
      <c r="I587" s="23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3"/>
      <c r="V587" s="23"/>
      <c r="W587" s="23"/>
      <c r="X587" s="23"/>
      <c r="Y587" s="23"/>
      <c r="Z587" s="23"/>
    </row>
    <row r="588" ht="15.75" customHeight="1" spans="1:26">
      <c r="A588" s="23"/>
      <c r="B588" s="23"/>
      <c r="C588" s="23"/>
      <c r="D588" s="27"/>
      <c r="E588" s="27"/>
      <c r="F588" s="27"/>
      <c r="G588" s="27"/>
      <c r="H588" s="27"/>
      <c r="I588" s="23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3"/>
      <c r="V588" s="23"/>
      <c r="W588" s="23"/>
      <c r="X588" s="23"/>
      <c r="Y588" s="23"/>
      <c r="Z588" s="23"/>
    </row>
    <row r="589" ht="15.75" customHeight="1" spans="1:26">
      <c r="A589" s="23"/>
      <c r="B589" s="23"/>
      <c r="C589" s="23"/>
      <c r="D589" s="27"/>
      <c r="E589" s="27"/>
      <c r="F589" s="27"/>
      <c r="G589" s="27"/>
      <c r="H589" s="27"/>
      <c r="I589" s="23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3"/>
      <c r="V589" s="23"/>
      <c r="W589" s="23"/>
      <c r="X589" s="23"/>
      <c r="Y589" s="23"/>
      <c r="Z589" s="23"/>
    </row>
    <row r="590" ht="15.75" customHeight="1" spans="1:26">
      <c r="A590" s="23"/>
      <c r="B590" s="23"/>
      <c r="C590" s="23"/>
      <c r="D590" s="27"/>
      <c r="E590" s="27"/>
      <c r="F590" s="27"/>
      <c r="G590" s="27"/>
      <c r="H590" s="27"/>
      <c r="I590" s="23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3"/>
      <c r="V590" s="23"/>
      <c r="W590" s="23"/>
      <c r="X590" s="23"/>
      <c r="Y590" s="23"/>
      <c r="Z590" s="23"/>
    </row>
    <row r="591" ht="15.75" customHeight="1" spans="1:26">
      <c r="A591" s="23"/>
      <c r="B591" s="23"/>
      <c r="C591" s="23"/>
      <c r="D591" s="27"/>
      <c r="E591" s="27"/>
      <c r="F591" s="27"/>
      <c r="G591" s="27"/>
      <c r="H591" s="27"/>
      <c r="I591" s="23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3"/>
      <c r="V591" s="23"/>
      <c r="W591" s="23"/>
      <c r="X591" s="23"/>
      <c r="Y591" s="23"/>
      <c r="Z591" s="23"/>
    </row>
    <row r="592" ht="15.75" customHeight="1" spans="1:26">
      <c r="A592" s="23"/>
      <c r="B592" s="23"/>
      <c r="C592" s="23"/>
      <c r="D592" s="27"/>
      <c r="E592" s="27"/>
      <c r="F592" s="27"/>
      <c r="G592" s="27"/>
      <c r="H592" s="27"/>
      <c r="I592" s="23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3"/>
      <c r="V592" s="23"/>
      <c r="W592" s="23"/>
      <c r="X592" s="23"/>
      <c r="Y592" s="23"/>
      <c r="Z592" s="23"/>
    </row>
    <row r="593" ht="15.75" customHeight="1" spans="1:26">
      <c r="A593" s="23"/>
      <c r="B593" s="23"/>
      <c r="C593" s="23"/>
      <c r="D593" s="27"/>
      <c r="E593" s="27"/>
      <c r="F593" s="27"/>
      <c r="G593" s="27"/>
      <c r="H593" s="27"/>
      <c r="I593" s="23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3"/>
      <c r="V593" s="23"/>
      <c r="W593" s="23"/>
      <c r="X593" s="23"/>
      <c r="Y593" s="23"/>
      <c r="Z593" s="23"/>
    </row>
    <row r="594" ht="15.75" customHeight="1" spans="1:26">
      <c r="A594" s="23"/>
      <c r="B594" s="23"/>
      <c r="C594" s="23"/>
      <c r="D594" s="27"/>
      <c r="E594" s="27"/>
      <c r="F594" s="27"/>
      <c r="G594" s="27"/>
      <c r="H594" s="27"/>
      <c r="I594" s="23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3"/>
      <c r="V594" s="23"/>
      <c r="W594" s="23"/>
      <c r="X594" s="23"/>
      <c r="Y594" s="23"/>
      <c r="Z594" s="23"/>
    </row>
    <row r="595" ht="15.75" customHeight="1" spans="1:26">
      <c r="A595" s="23"/>
      <c r="B595" s="23"/>
      <c r="C595" s="23"/>
      <c r="D595" s="27"/>
      <c r="E595" s="27"/>
      <c r="F595" s="27"/>
      <c r="G595" s="27"/>
      <c r="H595" s="27"/>
      <c r="I595" s="23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3"/>
      <c r="V595" s="23"/>
      <c r="W595" s="23"/>
      <c r="X595" s="23"/>
      <c r="Y595" s="23"/>
      <c r="Z595" s="23"/>
    </row>
    <row r="596" ht="15.75" customHeight="1" spans="1:26">
      <c r="A596" s="23"/>
      <c r="B596" s="23"/>
      <c r="C596" s="23"/>
      <c r="D596" s="27"/>
      <c r="E596" s="27"/>
      <c r="F596" s="27"/>
      <c r="G596" s="27"/>
      <c r="H596" s="27"/>
      <c r="I596" s="23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3"/>
      <c r="V596" s="23"/>
      <c r="W596" s="23"/>
      <c r="X596" s="23"/>
      <c r="Y596" s="23"/>
      <c r="Z596" s="23"/>
    </row>
    <row r="597" ht="15.75" customHeight="1" spans="1:26">
      <c r="A597" s="23"/>
      <c r="B597" s="23"/>
      <c r="C597" s="23"/>
      <c r="D597" s="27"/>
      <c r="E597" s="27"/>
      <c r="F597" s="27"/>
      <c r="G597" s="27"/>
      <c r="H597" s="27"/>
      <c r="I597" s="23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3"/>
      <c r="V597" s="23"/>
      <c r="W597" s="23"/>
      <c r="X597" s="23"/>
      <c r="Y597" s="23"/>
      <c r="Z597" s="23"/>
    </row>
    <row r="598" ht="15.75" customHeight="1" spans="1:26">
      <c r="A598" s="23"/>
      <c r="B598" s="23"/>
      <c r="C598" s="23"/>
      <c r="D598" s="27"/>
      <c r="E598" s="27"/>
      <c r="F598" s="27"/>
      <c r="G598" s="27"/>
      <c r="H598" s="27"/>
      <c r="I598" s="23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3"/>
      <c r="V598" s="23"/>
      <c r="W598" s="23"/>
      <c r="X598" s="23"/>
      <c r="Y598" s="23"/>
      <c r="Z598" s="23"/>
    </row>
    <row r="599" ht="15.75" customHeight="1" spans="1:26">
      <c r="A599" s="23"/>
      <c r="B599" s="23"/>
      <c r="C599" s="23"/>
      <c r="D599" s="27"/>
      <c r="E599" s="27"/>
      <c r="F599" s="27"/>
      <c r="G599" s="27"/>
      <c r="H599" s="27"/>
      <c r="I599" s="23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3"/>
      <c r="V599" s="23"/>
      <c r="W599" s="23"/>
      <c r="X599" s="23"/>
      <c r="Y599" s="23"/>
      <c r="Z599" s="23"/>
    </row>
    <row r="600" ht="15.75" customHeight="1" spans="1:26">
      <c r="A600" s="23"/>
      <c r="B600" s="23"/>
      <c r="C600" s="23"/>
      <c r="D600" s="27"/>
      <c r="E600" s="27"/>
      <c r="F600" s="27"/>
      <c r="G600" s="27"/>
      <c r="H600" s="27"/>
      <c r="I600" s="23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3"/>
      <c r="V600" s="23"/>
      <c r="W600" s="23"/>
      <c r="X600" s="23"/>
      <c r="Y600" s="23"/>
      <c r="Z600" s="23"/>
    </row>
    <row r="601" ht="15.75" customHeight="1" spans="1:26">
      <c r="A601" s="23"/>
      <c r="B601" s="23"/>
      <c r="C601" s="23"/>
      <c r="D601" s="27"/>
      <c r="E601" s="27"/>
      <c r="F601" s="27"/>
      <c r="G601" s="27"/>
      <c r="H601" s="27"/>
      <c r="I601" s="23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3"/>
      <c r="V601" s="23"/>
      <c r="W601" s="23"/>
      <c r="X601" s="23"/>
      <c r="Y601" s="23"/>
      <c r="Z601" s="23"/>
    </row>
    <row r="602" ht="15.75" customHeight="1" spans="1:26">
      <c r="A602" s="23"/>
      <c r="B602" s="23"/>
      <c r="C602" s="23"/>
      <c r="D602" s="27"/>
      <c r="E602" s="27"/>
      <c r="F602" s="27"/>
      <c r="G602" s="27"/>
      <c r="H602" s="27"/>
      <c r="I602" s="23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3"/>
      <c r="V602" s="23"/>
      <c r="W602" s="23"/>
      <c r="X602" s="23"/>
      <c r="Y602" s="23"/>
      <c r="Z602" s="23"/>
    </row>
    <row r="603" ht="15.75" customHeight="1" spans="1:26">
      <c r="A603" s="23"/>
      <c r="B603" s="23"/>
      <c r="C603" s="23"/>
      <c r="D603" s="27"/>
      <c r="E603" s="27"/>
      <c r="F603" s="27"/>
      <c r="G603" s="27"/>
      <c r="H603" s="27"/>
      <c r="I603" s="23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3"/>
      <c r="V603" s="23"/>
      <c r="W603" s="23"/>
      <c r="X603" s="23"/>
      <c r="Y603" s="23"/>
      <c r="Z603" s="23"/>
    </row>
    <row r="604" ht="15.75" customHeight="1" spans="1:26">
      <c r="A604" s="23"/>
      <c r="B604" s="23"/>
      <c r="C604" s="23"/>
      <c r="D604" s="27"/>
      <c r="E604" s="27"/>
      <c r="F604" s="27"/>
      <c r="G604" s="27"/>
      <c r="H604" s="27"/>
      <c r="I604" s="23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3"/>
      <c r="V604" s="23"/>
      <c r="W604" s="23"/>
      <c r="X604" s="23"/>
      <c r="Y604" s="23"/>
      <c r="Z604" s="23"/>
    </row>
    <row r="605" ht="15.75" customHeight="1" spans="1:26">
      <c r="A605" s="23"/>
      <c r="B605" s="23"/>
      <c r="C605" s="23"/>
      <c r="D605" s="27"/>
      <c r="E605" s="27"/>
      <c r="F605" s="27"/>
      <c r="G605" s="27"/>
      <c r="H605" s="27"/>
      <c r="I605" s="23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3"/>
      <c r="V605" s="23"/>
      <c r="W605" s="23"/>
      <c r="X605" s="23"/>
      <c r="Y605" s="23"/>
      <c r="Z605" s="23"/>
    </row>
    <row r="606" ht="15.75" customHeight="1" spans="1:26">
      <c r="A606" s="23"/>
      <c r="B606" s="23"/>
      <c r="C606" s="23"/>
      <c r="D606" s="27"/>
      <c r="E606" s="27"/>
      <c r="F606" s="27"/>
      <c r="G606" s="27"/>
      <c r="H606" s="27"/>
      <c r="I606" s="23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3"/>
      <c r="V606" s="23"/>
      <c r="W606" s="23"/>
      <c r="X606" s="23"/>
      <c r="Y606" s="23"/>
      <c r="Z606" s="23"/>
    </row>
    <row r="607" ht="15.75" customHeight="1" spans="1:26">
      <c r="A607" s="23"/>
      <c r="B607" s="23"/>
      <c r="C607" s="23"/>
      <c r="D607" s="27"/>
      <c r="E607" s="27"/>
      <c r="F607" s="27"/>
      <c r="G607" s="27"/>
      <c r="H607" s="27"/>
      <c r="I607" s="23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3"/>
      <c r="V607" s="23"/>
      <c r="W607" s="23"/>
      <c r="X607" s="23"/>
      <c r="Y607" s="23"/>
      <c r="Z607" s="23"/>
    </row>
    <row r="608" ht="15.75" customHeight="1" spans="1:26">
      <c r="A608" s="23"/>
      <c r="B608" s="23"/>
      <c r="C608" s="23"/>
      <c r="D608" s="27"/>
      <c r="E608" s="27"/>
      <c r="F608" s="27"/>
      <c r="G608" s="27"/>
      <c r="H608" s="27"/>
      <c r="I608" s="23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3"/>
      <c r="V608" s="23"/>
      <c r="W608" s="23"/>
      <c r="X608" s="23"/>
      <c r="Y608" s="23"/>
      <c r="Z608" s="23"/>
    </row>
    <row r="609" ht="15.75" customHeight="1" spans="1:26">
      <c r="A609" s="23"/>
      <c r="B609" s="23"/>
      <c r="C609" s="23"/>
      <c r="D609" s="27"/>
      <c r="E609" s="27"/>
      <c r="F609" s="27"/>
      <c r="G609" s="27"/>
      <c r="H609" s="27"/>
      <c r="I609" s="23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3"/>
      <c r="V609" s="23"/>
      <c r="W609" s="23"/>
      <c r="X609" s="23"/>
      <c r="Y609" s="23"/>
      <c r="Z609" s="23"/>
    </row>
    <row r="610" ht="15.75" customHeight="1" spans="1:26">
      <c r="A610" s="23"/>
      <c r="B610" s="23"/>
      <c r="C610" s="23"/>
      <c r="D610" s="27"/>
      <c r="E610" s="27"/>
      <c r="F610" s="27"/>
      <c r="G610" s="27"/>
      <c r="H610" s="27"/>
      <c r="I610" s="23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3"/>
      <c r="V610" s="23"/>
      <c r="W610" s="23"/>
      <c r="X610" s="23"/>
      <c r="Y610" s="23"/>
      <c r="Z610" s="23"/>
    </row>
    <row r="611" ht="15.75" customHeight="1" spans="1:26">
      <c r="A611" s="23"/>
      <c r="B611" s="23"/>
      <c r="C611" s="23"/>
      <c r="D611" s="27"/>
      <c r="E611" s="27"/>
      <c r="F611" s="27"/>
      <c r="G611" s="27"/>
      <c r="H611" s="27"/>
      <c r="I611" s="23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3"/>
      <c r="V611" s="23"/>
      <c r="W611" s="23"/>
      <c r="X611" s="23"/>
      <c r="Y611" s="23"/>
      <c r="Z611" s="23"/>
    </row>
    <row r="612" ht="15.75" customHeight="1" spans="1:26">
      <c r="A612" s="23"/>
      <c r="B612" s="23"/>
      <c r="C612" s="23"/>
      <c r="D612" s="27"/>
      <c r="E612" s="27"/>
      <c r="F612" s="27"/>
      <c r="G612" s="27"/>
      <c r="H612" s="27"/>
      <c r="I612" s="23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3"/>
      <c r="V612" s="23"/>
      <c r="W612" s="23"/>
      <c r="X612" s="23"/>
      <c r="Y612" s="23"/>
      <c r="Z612" s="23"/>
    </row>
    <row r="613" ht="15.75" customHeight="1" spans="1:26">
      <c r="A613" s="23"/>
      <c r="B613" s="23"/>
      <c r="C613" s="23"/>
      <c r="D613" s="27"/>
      <c r="E613" s="27"/>
      <c r="F613" s="27"/>
      <c r="G613" s="27"/>
      <c r="H613" s="27"/>
      <c r="I613" s="23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3"/>
      <c r="V613" s="23"/>
      <c r="W613" s="23"/>
      <c r="X613" s="23"/>
      <c r="Y613" s="23"/>
      <c r="Z613" s="23"/>
    </row>
    <row r="614" ht="15.75" customHeight="1" spans="1:26">
      <c r="A614" s="23"/>
      <c r="B614" s="23"/>
      <c r="C614" s="23"/>
      <c r="D614" s="27"/>
      <c r="E614" s="27"/>
      <c r="F614" s="27"/>
      <c r="G614" s="27"/>
      <c r="H614" s="27"/>
      <c r="I614" s="23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3"/>
      <c r="V614" s="23"/>
      <c r="W614" s="23"/>
      <c r="X614" s="23"/>
      <c r="Y614" s="23"/>
      <c r="Z614" s="23"/>
    </row>
    <row r="615" ht="15.75" customHeight="1" spans="1:26">
      <c r="A615" s="23"/>
      <c r="B615" s="23"/>
      <c r="C615" s="23"/>
      <c r="D615" s="27"/>
      <c r="E615" s="27"/>
      <c r="F615" s="27"/>
      <c r="G615" s="27"/>
      <c r="H615" s="27"/>
      <c r="I615" s="23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3"/>
      <c r="V615" s="23"/>
      <c r="W615" s="23"/>
      <c r="X615" s="23"/>
      <c r="Y615" s="23"/>
      <c r="Z615" s="23"/>
    </row>
    <row r="616" ht="15.75" customHeight="1" spans="1:26">
      <c r="A616" s="23"/>
      <c r="B616" s="23"/>
      <c r="C616" s="23"/>
      <c r="D616" s="27"/>
      <c r="E616" s="27"/>
      <c r="F616" s="27"/>
      <c r="G616" s="27"/>
      <c r="H616" s="27"/>
      <c r="I616" s="23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3"/>
      <c r="V616" s="23"/>
      <c r="W616" s="23"/>
      <c r="X616" s="23"/>
      <c r="Y616" s="23"/>
      <c r="Z616" s="23"/>
    </row>
    <row r="617" ht="15.75" customHeight="1" spans="1:26">
      <c r="A617" s="23"/>
      <c r="B617" s="23"/>
      <c r="C617" s="23"/>
      <c r="D617" s="27"/>
      <c r="E617" s="27"/>
      <c r="F617" s="27"/>
      <c r="G617" s="27"/>
      <c r="H617" s="27"/>
      <c r="I617" s="23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3"/>
      <c r="V617" s="23"/>
      <c r="W617" s="23"/>
      <c r="X617" s="23"/>
      <c r="Y617" s="23"/>
      <c r="Z617" s="23"/>
    </row>
    <row r="618" ht="15.75" customHeight="1" spans="1:26">
      <c r="A618" s="23"/>
      <c r="B618" s="23"/>
      <c r="C618" s="23"/>
      <c r="D618" s="27"/>
      <c r="E618" s="27"/>
      <c r="F618" s="27"/>
      <c r="G618" s="27"/>
      <c r="H618" s="27"/>
      <c r="I618" s="23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3"/>
      <c r="V618" s="23"/>
      <c r="W618" s="23"/>
      <c r="X618" s="23"/>
      <c r="Y618" s="23"/>
      <c r="Z618" s="23"/>
    </row>
    <row r="619" ht="15.75" customHeight="1" spans="1:26">
      <c r="A619" s="23"/>
      <c r="B619" s="23"/>
      <c r="C619" s="23"/>
      <c r="D619" s="27"/>
      <c r="E619" s="27"/>
      <c r="F619" s="27"/>
      <c r="G619" s="27"/>
      <c r="H619" s="27"/>
      <c r="I619" s="23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3"/>
      <c r="V619" s="23"/>
      <c r="W619" s="23"/>
      <c r="X619" s="23"/>
      <c r="Y619" s="23"/>
      <c r="Z619" s="23"/>
    </row>
    <row r="620" ht="15.75" customHeight="1" spans="1:26">
      <c r="A620" s="23"/>
      <c r="B620" s="23"/>
      <c r="C620" s="23"/>
      <c r="D620" s="27"/>
      <c r="E620" s="27"/>
      <c r="F620" s="27"/>
      <c r="G620" s="27"/>
      <c r="H620" s="27"/>
      <c r="I620" s="23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3"/>
      <c r="V620" s="23"/>
      <c r="W620" s="23"/>
      <c r="X620" s="23"/>
      <c r="Y620" s="23"/>
      <c r="Z620" s="23"/>
    </row>
    <row r="621" ht="15.75" customHeight="1" spans="1:26">
      <c r="A621" s="23"/>
      <c r="B621" s="23"/>
      <c r="C621" s="23"/>
      <c r="D621" s="27"/>
      <c r="E621" s="27"/>
      <c r="F621" s="27"/>
      <c r="G621" s="27"/>
      <c r="H621" s="27"/>
      <c r="I621" s="23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3"/>
      <c r="V621" s="23"/>
      <c r="W621" s="23"/>
      <c r="X621" s="23"/>
      <c r="Y621" s="23"/>
      <c r="Z621" s="23"/>
    </row>
    <row r="622" ht="15.75" customHeight="1" spans="1:26">
      <c r="A622" s="23"/>
      <c r="B622" s="23"/>
      <c r="C622" s="23"/>
      <c r="D622" s="27"/>
      <c r="E622" s="27"/>
      <c r="F622" s="27"/>
      <c r="G622" s="27"/>
      <c r="H622" s="27"/>
      <c r="I622" s="23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3"/>
      <c r="V622" s="23"/>
      <c r="W622" s="23"/>
      <c r="X622" s="23"/>
      <c r="Y622" s="23"/>
      <c r="Z622" s="23"/>
    </row>
    <row r="623" ht="15.75" customHeight="1" spans="1:26">
      <c r="A623" s="23"/>
      <c r="B623" s="23"/>
      <c r="C623" s="23"/>
      <c r="D623" s="27"/>
      <c r="E623" s="27"/>
      <c r="F623" s="27"/>
      <c r="G623" s="27"/>
      <c r="H623" s="27"/>
      <c r="I623" s="23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3"/>
      <c r="V623" s="23"/>
      <c r="W623" s="23"/>
      <c r="X623" s="23"/>
      <c r="Y623" s="23"/>
      <c r="Z623" s="23"/>
    </row>
    <row r="624" ht="15.75" customHeight="1" spans="1:26">
      <c r="A624" s="23"/>
      <c r="B624" s="23"/>
      <c r="C624" s="23"/>
      <c r="D624" s="27"/>
      <c r="E624" s="27"/>
      <c r="F624" s="27"/>
      <c r="G624" s="27"/>
      <c r="H624" s="27"/>
      <c r="I624" s="23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3"/>
      <c r="V624" s="23"/>
      <c r="W624" s="23"/>
      <c r="X624" s="23"/>
      <c r="Y624" s="23"/>
      <c r="Z624" s="23"/>
    </row>
    <row r="625" ht="15.75" customHeight="1" spans="1:26">
      <c r="A625" s="23"/>
      <c r="B625" s="23"/>
      <c r="C625" s="23"/>
      <c r="D625" s="27"/>
      <c r="E625" s="27"/>
      <c r="F625" s="27"/>
      <c r="G625" s="27"/>
      <c r="H625" s="27"/>
      <c r="I625" s="23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3"/>
      <c r="V625" s="23"/>
      <c r="W625" s="23"/>
      <c r="X625" s="23"/>
      <c r="Y625" s="23"/>
      <c r="Z625" s="23"/>
    </row>
    <row r="626" ht="15.75" customHeight="1" spans="1:26">
      <c r="A626" s="23"/>
      <c r="B626" s="23"/>
      <c r="C626" s="23"/>
      <c r="D626" s="27"/>
      <c r="E626" s="27"/>
      <c r="F626" s="27"/>
      <c r="G626" s="27"/>
      <c r="H626" s="27"/>
      <c r="I626" s="23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3"/>
      <c r="V626" s="23"/>
      <c r="W626" s="23"/>
      <c r="X626" s="23"/>
      <c r="Y626" s="23"/>
      <c r="Z626" s="23"/>
    </row>
    <row r="627" ht="15.75" customHeight="1" spans="1:26">
      <c r="A627" s="23"/>
      <c r="B627" s="23"/>
      <c r="C627" s="23"/>
      <c r="D627" s="27"/>
      <c r="E627" s="27"/>
      <c r="F627" s="27"/>
      <c r="G627" s="27"/>
      <c r="H627" s="27"/>
      <c r="I627" s="23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3"/>
      <c r="V627" s="23"/>
      <c r="W627" s="23"/>
      <c r="X627" s="23"/>
      <c r="Y627" s="23"/>
      <c r="Z627" s="23"/>
    </row>
    <row r="628" ht="15.75" customHeight="1" spans="1:26">
      <c r="A628" s="23"/>
      <c r="B628" s="23"/>
      <c r="C628" s="23"/>
      <c r="D628" s="27"/>
      <c r="E628" s="27"/>
      <c r="F628" s="27"/>
      <c r="G628" s="27"/>
      <c r="H628" s="27"/>
      <c r="I628" s="23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3"/>
      <c r="V628" s="23"/>
      <c r="W628" s="23"/>
      <c r="X628" s="23"/>
      <c r="Y628" s="23"/>
      <c r="Z628" s="23"/>
    </row>
    <row r="629" ht="15.75" customHeight="1" spans="1:26">
      <c r="A629" s="23"/>
      <c r="B629" s="23"/>
      <c r="C629" s="23"/>
      <c r="D629" s="27"/>
      <c r="E629" s="27"/>
      <c r="F629" s="27"/>
      <c r="G629" s="27"/>
      <c r="H629" s="27"/>
      <c r="I629" s="23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3"/>
      <c r="V629" s="23"/>
      <c r="W629" s="23"/>
      <c r="X629" s="23"/>
      <c r="Y629" s="23"/>
      <c r="Z629" s="23"/>
    </row>
    <row r="630" ht="15.75" customHeight="1" spans="1:26">
      <c r="A630" s="23"/>
      <c r="B630" s="23"/>
      <c r="C630" s="23"/>
      <c r="D630" s="27"/>
      <c r="E630" s="27"/>
      <c r="F630" s="27"/>
      <c r="G630" s="27"/>
      <c r="H630" s="27"/>
      <c r="I630" s="23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3"/>
      <c r="V630" s="23"/>
      <c r="W630" s="23"/>
      <c r="X630" s="23"/>
      <c r="Y630" s="23"/>
      <c r="Z630" s="23"/>
    </row>
    <row r="631" ht="15.75" customHeight="1" spans="1:26">
      <c r="A631" s="23"/>
      <c r="B631" s="23"/>
      <c r="C631" s="23"/>
      <c r="D631" s="27"/>
      <c r="E631" s="27"/>
      <c r="F631" s="27"/>
      <c r="G631" s="27"/>
      <c r="H631" s="27"/>
      <c r="I631" s="23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3"/>
      <c r="V631" s="23"/>
      <c r="W631" s="23"/>
      <c r="X631" s="23"/>
      <c r="Y631" s="23"/>
      <c r="Z631" s="23"/>
    </row>
    <row r="632" ht="15.75" customHeight="1" spans="1:26">
      <c r="A632" s="23"/>
      <c r="B632" s="23"/>
      <c r="C632" s="23"/>
      <c r="D632" s="27"/>
      <c r="E632" s="27"/>
      <c r="F632" s="27"/>
      <c r="G632" s="27"/>
      <c r="H632" s="27"/>
      <c r="I632" s="23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3"/>
      <c r="V632" s="23"/>
      <c r="W632" s="23"/>
      <c r="X632" s="23"/>
      <c r="Y632" s="23"/>
      <c r="Z632" s="23"/>
    </row>
    <row r="633" ht="15.75" customHeight="1" spans="1:26">
      <c r="A633" s="23"/>
      <c r="B633" s="23"/>
      <c r="C633" s="23"/>
      <c r="D633" s="27"/>
      <c r="E633" s="27"/>
      <c r="F633" s="27"/>
      <c r="G633" s="27"/>
      <c r="H633" s="27"/>
      <c r="I633" s="23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3"/>
      <c r="V633" s="23"/>
      <c r="W633" s="23"/>
      <c r="X633" s="23"/>
      <c r="Y633" s="23"/>
      <c r="Z633" s="23"/>
    </row>
    <row r="634" ht="15.75" customHeight="1" spans="1:26">
      <c r="A634" s="23"/>
      <c r="B634" s="23"/>
      <c r="C634" s="23"/>
      <c r="D634" s="27"/>
      <c r="E634" s="27"/>
      <c r="F634" s="27"/>
      <c r="G634" s="27"/>
      <c r="H634" s="27"/>
      <c r="I634" s="23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3"/>
      <c r="V634" s="23"/>
      <c r="W634" s="23"/>
      <c r="X634" s="23"/>
      <c r="Y634" s="23"/>
      <c r="Z634" s="23"/>
    </row>
    <row r="635" ht="15.75" customHeight="1" spans="1:26">
      <c r="A635" s="23"/>
      <c r="B635" s="23"/>
      <c r="C635" s="23"/>
      <c r="D635" s="27"/>
      <c r="E635" s="27"/>
      <c r="F635" s="27"/>
      <c r="G635" s="27"/>
      <c r="H635" s="27"/>
      <c r="I635" s="23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3"/>
      <c r="V635" s="23"/>
      <c r="W635" s="23"/>
      <c r="X635" s="23"/>
      <c r="Y635" s="23"/>
      <c r="Z635" s="23"/>
    </row>
    <row r="636" ht="15.75" customHeight="1" spans="1:26">
      <c r="A636" s="23"/>
      <c r="B636" s="23"/>
      <c r="C636" s="23"/>
      <c r="D636" s="27"/>
      <c r="E636" s="27"/>
      <c r="F636" s="27"/>
      <c r="G636" s="27"/>
      <c r="H636" s="27"/>
      <c r="I636" s="23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3"/>
      <c r="V636" s="23"/>
      <c r="W636" s="23"/>
      <c r="X636" s="23"/>
      <c r="Y636" s="23"/>
      <c r="Z636" s="23"/>
    </row>
    <row r="637" ht="15.75" customHeight="1" spans="1:26">
      <c r="A637" s="23"/>
      <c r="B637" s="23"/>
      <c r="C637" s="23"/>
      <c r="D637" s="27"/>
      <c r="E637" s="27"/>
      <c r="F637" s="27"/>
      <c r="G637" s="27"/>
      <c r="H637" s="27"/>
      <c r="I637" s="23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3"/>
      <c r="V637" s="23"/>
      <c r="W637" s="23"/>
      <c r="X637" s="23"/>
      <c r="Y637" s="23"/>
      <c r="Z637" s="23"/>
    </row>
    <row r="638" ht="15.75" customHeight="1" spans="1:26">
      <c r="A638" s="23"/>
      <c r="B638" s="23"/>
      <c r="C638" s="23"/>
      <c r="D638" s="27"/>
      <c r="E638" s="27"/>
      <c r="F638" s="27"/>
      <c r="G638" s="27"/>
      <c r="H638" s="27"/>
      <c r="I638" s="23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3"/>
      <c r="V638" s="23"/>
      <c r="W638" s="23"/>
      <c r="X638" s="23"/>
      <c r="Y638" s="23"/>
      <c r="Z638" s="23"/>
    </row>
    <row r="639" ht="15.75" customHeight="1" spans="1:26">
      <c r="A639" s="23"/>
      <c r="B639" s="23"/>
      <c r="C639" s="23"/>
      <c r="D639" s="27"/>
      <c r="E639" s="27"/>
      <c r="F639" s="27"/>
      <c r="G639" s="27"/>
      <c r="H639" s="27"/>
      <c r="I639" s="23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3"/>
      <c r="V639" s="23"/>
      <c r="W639" s="23"/>
      <c r="X639" s="23"/>
      <c r="Y639" s="23"/>
      <c r="Z639" s="23"/>
    </row>
    <row r="640" ht="15.75" customHeight="1" spans="1:26">
      <c r="A640" s="23"/>
      <c r="B640" s="23"/>
      <c r="C640" s="23"/>
      <c r="D640" s="27"/>
      <c r="E640" s="27"/>
      <c r="F640" s="27"/>
      <c r="G640" s="27"/>
      <c r="H640" s="27"/>
      <c r="I640" s="23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3"/>
      <c r="V640" s="23"/>
      <c r="W640" s="23"/>
      <c r="X640" s="23"/>
      <c r="Y640" s="23"/>
      <c r="Z640" s="23"/>
    </row>
    <row r="641" ht="15.75" customHeight="1" spans="1:26">
      <c r="A641" s="23"/>
      <c r="B641" s="23"/>
      <c r="C641" s="23"/>
      <c r="D641" s="27"/>
      <c r="E641" s="27"/>
      <c r="F641" s="27"/>
      <c r="G641" s="27"/>
      <c r="H641" s="27"/>
      <c r="I641" s="23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3"/>
      <c r="V641" s="23"/>
      <c r="W641" s="23"/>
      <c r="X641" s="23"/>
      <c r="Y641" s="23"/>
      <c r="Z641" s="23"/>
    </row>
    <row r="642" ht="15.75" customHeight="1" spans="1:26">
      <c r="A642" s="23"/>
      <c r="B642" s="23"/>
      <c r="C642" s="23"/>
      <c r="D642" s="27"/>
      <c r="E642" s="27"/>
      <c r="F642" s="27"/>
      <c r="G642" s="27"/>
      <c r="H642" s="27"/>
      <c r="I642" s="23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3"/>
      <c r="V642" s="23"/>
      <c r="W642" s="23"/>
      <c r="X642" s="23"/>
      <c r="Y642" s="23"/>
      <c r="Z642" s="23"/>
    </row>
    <row r="643" ht="15.75" customHeight="1" spans="1:26">
      <c r="A643" s="23"/>
      <c r="B643" s="23"/>
      <c r="C643" s="23"/>
      <c r="D643" s="27"/>
      <c r="E643" s="27"/>
      <c r="F643" s="27"/>
      <c r="G643" s="27"/>
      <c r="H643" s="27"/>
      <c r="I643" s="23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3"/>
      <c r="V643" s="23"/>
      <c r="W643" s="23"/>
      <c r="X643" s="23"/>
      <c r="Y643" s="23"/>
      <c r="Z643" s="23"/>
    </row>
    <row r="644" ht="15.75" customHeight="1" spans="1:26">
      <c r="A644" s="23"/>
      <c r="B644" s="23"/>
      <c r="C644" s="23"/>
      <c r="D644" s="27"/>
      <c r="E644" s="27"/>
      <c r="F644" s="27"/>
      <c r="G644" s="27"/>
      <c r="H644" s="27"/>
      <c r="I644" s="23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3"/>
      <c r="V644" s="23"/>
      <c r="W644" s="23"/>
      <c r="X644" s="23"/>
      <c r="Y644" s="23"/>
      <c r="Z644" s="23"/>
    </row>
    <row r="645" ht="15.75" customHeight="1" spans="1:26">
      <c r="A645" s="23"/>
      <c r="B645" s="23"/>
      <c r="C645" s="23"/>
      <c r="D645" s="27"/>
      <c r="E645" s="27"/>
      <c r="F645" s="27"/>
      <c r="G645" s="27"/>
      <c r="H645" s="27"/>
      <c r="I645" s="23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3"/>
      <c r="V645" s="23"/>
      <c r="W645" s="23"/>
      <c r="X645" s="23"/>
      <c r="Y645" s="23"/>
      <c r="Z645" s="23"/>
    </row>
    <row r="646" ht="15.75" customHeight="1" spans="1:26">
      <c r="A646" s="23"/>
      <c r="B646" s="23"/>
      <c r="C646" s="23"/>
      <c r="D646" s="27"/>
      <c r="E646" s="27"/>
      <c r="F646" s="27"/>
      <c r="G646" s="27"/>
      <c r="H646" s="27"/>
      <c r="I646" s="23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3"/>
      <c r="V646" s="23"/>
      <c r="W646" s="23"/>
      <c r="X646" s="23"/>
      <c r="Y646" s="23"/>
      <c r="Z646" s="23"/>
    </row>
    <row r="647" ht="15.75" customHeight="1" spans="1:26">
      <c r="A647" s="23"/>
      <c r="B647" s="23"/>
      <c r="C647" s="23"/>
      <c r="D647" s="27"/>
      <c r="E647" s="27"/>
      <c r="F647" s="27"/>
      <c r="G647" s="27"/>
      <c r="H647" s="27"/>
      <c r="I647" s="23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3"/>
      <c r="V647" s="23"/>
      <c r="W647" s="23"/>
      <c r="X647" s="23"/>
      <c r="Y647" s="23"/>
      <c r="Z647" s="23"/>
    </row>
    <row r="648" ht="15.75" customHeight="1" spans="1:26">
      <c r="A648" s="23"/>
      <c r="B648" s="23"/>
      <c r="C648" s="23"/>
      <c r="D648" s="27"/>
      <c r="E648" s="27"/>
      <c r="F648" s="27"/>
      <c r="G648" s="27"/>
      <c r="H648" s="27"/>
      <c r="I648" s="23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3"/>
      <c r="V648" s="23"/>
      <c r="W648" s="23"/>
      <c r="X648" s="23"/>
      <c r="Y648" s="23"/>
      <c r="Z648" s="23"/>
    </row>
    <row r="649" ht="15.75" customHeight="1" spans="1:26">
      <c r="A649" s="23"/>
      <c r="B649" s="23"/>
      <c r="C649" s="23"/>
      <c r="D649" s="27"/>
      <c r="E649" s="27"/>
      <c r="F649" s="27"/>
      <c r="G649" s="27"/>
      <c r="H649" s="27"/>
      <c r="I649" s="23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3"/>
      <c r="V649" s="23"/>
      <c r="W649" s="23"/>
      <c r="X649" s="23"/>
      <c r="Y649" s="23"/>
      <c r="Z649" s="23"/>
    </row>
    <row r="650" ht="15.75" customHeight="1" spans="1:26">
      <c r="A650" s="23"/>
      <c r="B650" s="23"/>
      <c r="C650" s="23"/>
      <c r="D650" s="27"/>
      <c r="E650" s="27"/>
      <c r="F650" s="27"/>
      <c r="G650" s="27"/>
      <c r="H650" s="27"/>
      <c r="I650" s="23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3"/>
      <c r="V650" s="23"/>
      <c r="W650" s="23"/>
      <c r="X650" s="23"/>
      <c r="Y650" s="23"/>
      <c r="Z650" s="23"/>
    </row>
    <row r="651" ht="15.75" customHeight="1" spans="1:26">
      <c r="A651" s="23"/>
      <c r="B651" s="23"/>
      <c r="C651" s="23"/>
      <c r="D651" s="27"/>
      <c r="E651" s="27"/>
      <c r="F651" s="27"/>
      <c r="G651" s="27"/>
      <c r="H651" s="27"/>
      <c r="I651" s="23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3"/>
      <c r="V651" s="23"/>
      <c r="W651" s="23"/>
      <c r="X651" s="23"/>
      <c r="Y651" s="23"/>
      <c r="Z651" s="23"/>
    </row>
    <row r="652" ht="15.75" customHeight="1" spans="1:26">
      <c r="A652" s="23"/>
      <c r="B652" s="23"/>
      <c r="C652" s="23"/>
      <c r="D652" s="27"/>
      <c r="E652" s="27"/>
      <c r="F652" s="27"/>
      <c r="G652" s="27"/>
      <c r="H652" s="27"/>
      <c r="I652" s="23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3"/>
      <c r="V652" s="23"/>
      <c r="W652" s="23"/>
      <c r="X652" s="23"/>
      <c r="Y652" s="23"/>
      <c r="Z652" s="23"/>
    </row>
    <row r="653" ht="15.75" customHeight="1" spans="1:26">
      <c r="A653" s="23"/>
      <c r="B653" s="23"/>
      <c r="C653" s="23"/>
      <c r="D653" s="27"/>
      <c r="E653" s="27"/>
      <c r="F653" s="27"/>
      <c r="G653" s="27"/>
      <c r="H653" s="27"/>
      <c r="I653" s="23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3"/>
      <c r="V653" s="23"/>
      <c r="W653" s="23"/>
      <c r="X653" s="23"/>
      <c r="Y653" s="23"/>
      <c r="Z653" s="23"/>
    </row>
    <row r="654" ht="15.75" customHeight="1" spans="1:26">
      <c r="A654" s="23"/>
      <c r="B654" s="23"/>
      <c r="C654" s="23"/>
      <c r="D654" s="27"/>
      <c r="E654" s="27"/>
      <c r="F654" s="27"/>
      <c r="G654" s="27"/>
      <c r="H654" s="27"/>
      <c r="I654" s="23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3"/>
      <c r="V654" s="23"/>
      <c r="W654" s="23"/>
      <c r="X654" s="23"/>
      <c r="Y654" s="23"/>
      <c r="Z654" s="23"/>
    </row>
    <row r="655" ht="15.75" customHeight="1" spans="1:26">
      <c r="A655" s="23"/>
      <c r="B655" s="23"/>
      <c r="C655" s="23"/>
      <c r="D655" s="27"/>
      <c r="E655" s="27"/>
      <c r="F655" s="27"/>
      <c r="G655" s="27"/>
      <c r="H655" s="27"/>
      <c r="I655" s="23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3"/>
      <c r="V655" s="23"/>
      <c r="W655" s="23"/>
      <c r="X655" s="23"/>
      <c r="Y655" s="23"/>
      <c r="Z655" s="23"/>
    </row>
    <row r="656" ht="15.75" customHeight="1" spans="1:26">
      <c r="A656" s="23"/>
      <c r="B656" s="23"/>
      <c r="C656" s="23"/>
      <c r="D656" s="27"/>
      <c r="E656" s="27"/>
      <c r="F656" s="27"/>
      <c r="G656" s="27"/>
      <c r="H656" s="27"/>
      <c r="I656" s="23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3"/>
      <c r="V656" s="23"/>
      <c r="W656" s="23"/>
      <c r="X656" s="23"/>
      <c r="Y656" s="23"/>
      <c r="Z656" s="23"/>
    </row>
    <row r="657" ht="15.75" customHeight="1" spans="1:26">
      <c r="A657" s="23"/>
      <c r="B657" s="23"/>
      <c r="C657" s="23"/>
      <c r="D657" s="27"/>
      <c r="E657" s="27"/>
      <c r="F657" s="27"/>
      <c r="G657" s="27"/>
      <c r="H657" s="27"/>
      <c r="I657" s="23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3"/>
      <c r="V657" s="23"/>
      <c r="W657" s="23"/>
      <c r="X657" s="23"/>
      <c r="Y657" s="23"/>
      <c r="Z657" s="23"/>
    </row>
    <row r="658" ht="15.75" customHeight="1" spans="1:26">
      <c r="A658" s="23"/>
      <c r="B658" s="23"/>
      <c r="C658" s="23"/>
      <c r="D658" s="27"/>
      <c r="E658" s="27"/>
      <c r="F658" s="27"/>
      <c r="G658" s="27"/>
      <c r="H658" s="27"/>
      <c r="I658" s="23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3"/>
      <c r="V658" s="23"/>
      <c r="W658" s="23"/>
      <c r="X658" s="23"/>
      <c r="Y658" s="23"/>
      <c r="Z658" s="23"/>
    </row>
    <row r="659" ht="15.75" customHeight="1" spans="1:26">
      <c r="A659" s="23"/>
      <c r="B659" s="23"/>
      <c r="C659" s="23"/>
      <c r="D659" s="27"/>
      <c r="E659" s="27"/>
      <c r="F659" s="27"/>
      <c r="G659" s="27"/>
      <c r="H659" s="27"/>
      <c r="I659" s="23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3"/>
      <c r="V659" s="23"/>
      <c r="W659" s="23"/>
      <c r="X659" s="23"/>
      <c r="Y659" s="23"/>
      <c r="Z659" s="23"/>
    </row>
    <row r="660" ht="15.75" customHeight="1" spans="1:26">
      <c r="A660" s="23"/>
      <c r="B660" s="23"/>
      <c r="C660" s="23"/>
      <c r="D660" s="27"/>
      <c r="E660" s="27"/>
      <c r="F660" s="27"/>
      <c r="G660" s="27"/>
      <c r="H660" s="27"/>
      <c r="I660" s="23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3"/>
      <c r="V660" s="23"/>
      <c r="W660" s="23"/>
      <c r="X660" s="23"/>
      <c r="Y660" s="23"/>
      <c r="Z660" s="23"/>
    </row>
    <row r="661" ht="15.75" customHeight="1" spans="1:26">
      <c r="A661" s="23"/>
      <c r="B661" s="23"/>
      <c r="C661" s="23"/>
      <c r="D661" s="27"/>
      <c r="E661" s="27"/>
      <c r="F661" s="27"/>
      <c r="G661" s="27"/>
      <c r="H661" s="27"/>
      <c r="I661" s="23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3"/>
      <c r="V661" s="23"/>
      <c r="W661" s="23"/>
      <c r="X661" s="23"/>
      <c r="Y661" s="23"/>
      <c r="Z661" s="23"/>
    </row>
    <row r="662" ht="15.75" customHeight="1" spans="1:26">
      <c r="A662" s="23"/>
      <c r="B662" s="23"/>
      <c r="C662" s="23"/>
      <c r="D662" s="27"/>
      <c r="E662" s="27"/>
      <c r="F662" s="27"/>
      <c r="G662" s="27"/>
      <c r="H662" s="27"/>
      <c r="I662" s="23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3"/>
      <c r="V662" s="23"/>
      <c r="W662" s="23"/>
      <c r="X662" s="23"/>
      <c r="Y662" s="23"/>
      <c r="Z662" s="23"/>
    </row>
    <row r="663" ht="15.75" customHeight="1" spans="1:26">
      <c r="A663" s="23"/>
      <c r="B663" s="23"/>
      <c r="C663" s="23"/>
      <c r="D663" s="27"/>
      <c r="E663" s="27"/>
      <c r="F663" s="27"/>
      <c r="G663" s="27"/>
      <c r="H663" s="27"/>
      <c r="I663" s="23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3"/>
      <c r="V663" s="23"/>
      <c r="W663" s="23"/>
      <c r="X663" s="23"/>
      <c r="Y663" s="23"/>
      <c r="Z663" s="23"/>
    </row>
    <row r="664" ht="15.75" customHeight="1" spans="1:26">
      <c r="A664" s="23"/>
      <c r="B664" s="23"/>
      <c r="C664" s="23"/>
      <c r="D664" s="27"/>
      <c r="E664" s="27"/>
      <c r="F664" s="27"/>
      <c r="G664" s="27"/>
      <c r="H664" s="27"/>
      <c r="I664" s="23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3"/>
      <c r="V664" s="23"/>
      <c r="W664" s="23"/>
      <c r="X664" s="23"/>
      <c r="Y664" s="23"/>
      <c r="Z664" s="23"/>
    </row>
    <row r="665" ht="15.75" customHeight="1" spans="1:26">
      <c r="A665" s="23"/>
      <c r="B665" s="23"/>
      <c r="C665" s="23"/>
      <c r="D665" s="27"/>
      <c r="E665" s="27"/>
      <c r="F665" s="27"/>
      <c r="G665" s="27"/>
      <c r="H665" s="27"/>
      <c r="I665" s="23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3"/>
      <c r="V665" s="23"/>
      <c r="W665" s="23"/>
      <c r="X665" s="23"/>
      <c r="Y665" s="23"/>
      <c r="Z665" s="23"/>
    </row>
    <row r="666" ht="15.75" customHeight="1" spans="1:26">
      <c r="A666" s="23"/>
      <c r="B666" s="23"/>
      <c r="C666" s="23"/>
      <c r="D666" s="27"/>
      <c r="E666" s="27"/>
      <c r="F666" s="27"/>
      <c r="G666" s="27"/>
      <c r="H666" s="27"/>
      <c r="I666" s="23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3"/>
      <c r="V666" s="23"/>
      <c r="W666" s="23"/>
      <c r="X666" s="23"/>
      <c r="Y666" s="23"/>
      <c r="Z666" s="23"/>
    </row>
    <row r="667" ht="15.75" customHeight="1" spans="1:26">
      <c r="A667" s="23"/>
      <c r="B667" s="23"/>
      <c r="C667" s="23"/>
      <c r="D667" s="27"/>
      <c r="E667" s="27"/>
      <c r="F667" s="27"/>
      <c r="G667" s="27"/>
      <c r="H667" s="27"/>
      <c r="I667" s="23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3"/>
      <c r="V667" s="23"/>
      <c r="W667" s="23"/>
      <c r="X667" s="23"/>
      <c r="Y667" s="23"/>
      <c r="Z667" s="23"/>
    </row>
    <row r="668" ht="15.75" customHeight="1" spans="1:26">
      <c r="A668" s="23"/>
      <c r="B668" s="23"/>
      <c r="C668" s="23"/>
      <c r="D668" s="27"/>
      <c r="E668" s="27"/>
      <c r="F668" s="27"/>
      <c r="G668" s="27"/>
      <c r="H668" s="27"/>
      <c r="I668" s="23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3"/>
      <c r="V668" s="23"/>
      <c r="W668" s="23"/>
      <c r="X668" s="23"/>
      <c r="Y668" s="23"/>
      <c r="Z668" s="23"/>
    </row>
    <row r="669" ht="15.75" customHeight="1" spans="1:26">
      <c r="A669" s="23"/>
      <c r="B669" s="23"/>
      <c r="C669" s="23"/>
      <c r="D669" s="27"/>
      <c r="E669" s="27"/>
      <c r="F669" s="27"/>
      <c r="G669" s="27"/>
      <c r="H669" s="27"/>
      <c r="I669" s="23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3"/>
      <c r="V669" s="23"/>
      <c r="W669" s="23"/>
      <c r="X669" s="23"/>
      <c r="Y669" s="23"/>
      <c r="Z669" s="23"/>
    </row>
    <row r="670" ht="15.75" customHeight="1" spans="1:26">
      <c r="A670" s="23"/>
      <c r="B670" s="23"/>
      <c r="C670" s="23"/>
      <c r="D670" s="27"/>
      <c r="E670" s="27"/>
      <c r="F670" s="27"/>
      <c r="G670" s="27"/>
      <c r="H670" s="27"/>
      <c r="I670" s="23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3"/>
      <c r="V670" s="23"/>
      <c r="W670" s="23"/>
      <c r="X670" s="23"/>
      <c r="Y670" s="23"/>
      <c r="Z670" s="23"/>
    </row>
    <row r="671" ht="15.75" customHeight="1" spans="1:26">
      <c r="A671" s="23"/>
      <c r="B671" s="23"/>
      <c r="C671" s="23"/>
      <c r="D671" s="27"/>
      <c r="E671" s="27"/>
      <c r="F671" s="27"/>
      <c r="G671" s="27"/>
      <c r="H671" s="27"/>
      <c r="I671" s="23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3"/>
      <c r="V671" s="23"/>
      <c r="W671" s="23"/>
      <c r="X671" s="23"/>
      <c r="Y671" s="23"/>
      <c r="Z671" s="23"/>
    </row>
    <row r="672" ht="15.75" customHeight="1" spans="1:26">
      <c r="A672" s="23"/>
      <c r="B672" s="23"/>
      <c r="C672" s="23"/>
      <c r="D672" s="27"/>
      <c r="E672" s="27"/>
      <c r="F672" s="27"/>
      <c r="G672" s="27"/>
      <c r="H672" s="27"/>
      <c r="I672" s="23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3"/>
      <c r="V672" s="23"/>
      <c r="W672" s="23"/>
      <c r="X672" s="23"/>
      <c r="Y672" s="23"/>
      <c r="Z672" s="23"/>
    </row>
    <row r="673" ht="15.75" customHeight="1" spans="1:26">
      <c r="A673" s="23"/>
      <c r="B673" s="23"/>
      <c r="C673" s="23"/>
      <c r="D673" s="27"/>
      <c r="E673" s="27"/>
      <c r="F673" s="27"/>
      <c r="G673" s="27"/>
      <c r="H673" s="27"/>
      <c r="I673" s="23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3"/>
      <c r="V673" s="23"/>
      <c r="W673" s="23"/>
      <c r="X673" s="23"/>
      <c r="Y673" s="23"/>
      <c r="Z673" s="23"/>
    </row>
    <row r="674" ht="15.75" customHeight="1" spans="1:26">
      <c r="A674" s="23"/>
      <c r="B674" s="23"/>
      <c r="C674" s="23"/>
      <c r="D674" s="27"/>
      <c r="E674" s="27"/>
      <c r="F674" s="27"/>
      <c r="G674" s="27"/>
      <c r="H674" s="27"/>
      <c r="I674" s="23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3"/>
      <c r="V674" s="23"/>
      <c r="W674" s="23"/>
      <c r="X674" s="23"/>
      <c r="Y674" s="23"/>
      <c r="Z674" s="23"/>
    </row>
    <row r="675" ht="15.75" customHeight="1" spans="1:26">
      <c r="A675" s="23"/>
      <c r="B675" s="23"/>
      <c r="C675" s="23"/>
      <c r="D675" s="27"/>
      <c r="E675" s="27"/>
      <c r="F675" s="27"/>
      <c r="G675" s="27"/>
      <c r="H675" s="27"/>
      <c r="I675" s="23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3"/>
      <c r="V675" s="23"/>
      <c r="W675" s="23"/>
      <c r="X675" s="23"/>
      <c r="Y675" s="23"/>
      <c r="Z675" s="23"/>
    </row>
    <row r="676" ht="15.75" customHeight="1" spans="1:26">
      <c r="A676" s="23"/>
      <c r="B676" s="23"/>
      <c r="C676" s="23"/>
      <c r="D676" s="27"/>
      <c r="E676" s="27"/>
      <c r="F676" s="27"/>
      <c r="G676" s="27"/>
      <c r="H676" s="27"/>
      <c r="I676" s="23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3"/>
      <c r="V676" s="23"/>
      <c r="W676" s="23"/>
      <c r="X676" s="23"/>
      <c r="Y676" s="23"/>
      <c r="Z676" s="23"/>
    </row>
    <row r="677" ht="15.75" customHeight="1" spans="1:26">
      <c r="A677" s="23"/>
      <c r="B677" s="23"/>
      <c r="C677" s="23"/>
      <c r="D677" s="27"/>
      <c r="E677" s="27"/>
      <c r="F677" s="27"/>
      <c r="G677" s="27"/>
      <c r="H677" s="27"/>
      <c r="I677" s="23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3"/>
      <c r="V677" s="23"/>
      <c r="W677" s="23"/>
      <c r="X677" s="23"/>
      <c r="Y677" s="23"/>
      <c r="Z677" s="23"/>
    </row>
    <row r="678" ht="15.75" customHeight="1" spans="1:26">
      <c r="A678" s="23"/>
      <c r="B678" s="23"/>
      <c r="C678" s="23"/>
      <c r="D678" s="27"/>
      <c r="E678" s="27"/>
      <c r="F678" s="27"/>
      <c r="G678" s="27"/>
      <c r="H678" s="27"/>
      <c r="I678" s="23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3"/>
      <c r="V678" s="23"/>
      <c r="W678" s="23"/>
      <c r="X678" s="23"/>
      <c r="Y678" s="23"/>
      <c r="Z678" s="23"/>
    </row>
    <row r="679" ht="15.75" customHeight="1" spans="1:26">
      <c r="A679" s="23"/>
      <c r="B679" s="23"/>
      <c r="C679" s="23"/>
      <c r="D679" s="27"/>
      <c r="E679" s="27"/>
      <c r="F679" s="27"/>
      <c r="G679" s="27"/>
      <c r="H679" s="27"/>
      <c r="I679" s="23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3"/>
      <c r="V679" s="23"/>
      <c r="W679" s="23"/>
      <c r="X679" s="23"/>
      <c r="Y679" s="23"/>
      <c r="Z679" s="23"/>
    </row>
    <row r="680" ht="15.75" customHeight="1" spans="1:26">
      <c r="A680" s="23"/>
      <c r="B680" s="23"/>
      <c r="C680" s="23"/>
      <c r="D680" s="27"/>
      <c r="E680" s="27"/>
      <c r="F680" s="27"/>
      <c r="G680" s="27"/>
      <c r="H680" s="27"/>
      <c r="I680" s="23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3"/>
      <c r="V680" s="23"/>
      <c r="W680" s="23"/>
      <c r="X680" s="23"/>
      <c r="Y680" s="23"/>
      <c r="Z680" s="23"/>
    </row>
    <row r="681" ht="15.75" customHeight="1" spans="1:26">
      <c r="A681" s="23"/>
      <c r="B681" s="23"/>
      <c r="C681" s="23"/>
      <c r="D681" s="27"/>
      <c r="E681" s="27"/>
      <c r="F681" s="27"/>
      <c r="G681" s="27"/>
      <c r="H681" s="27"/>
      <c r="I681" s="23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3"/>
      <c r="V681" s="23"/>
      <c r="W681" s="23"/>
      <c r="X681" s="23"/>
      <c r="Y681" s="23"/>
      <c r="Z681" s="23"/>
    </row>
    <row r="682" ht="15.75" customHeight="1" spans="1:26">
      <c r="A682" s="23"/>
      <c r="B682" s="23"/>
      <c r="C682" s="23"/>
      <c r="D682" s="27"/>
      <c r="E682" s="27"/>
      <c r="F682" s="27"/>
      <c r="G682" s="27"/>
      <c r="H682" s="27"/>
      <c r="I682" s="23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3"/>
      <c r="V682" s="23"/>
      <c r="W682" s="23"/>
      <c r="X682" s="23"/>
      <c r="Y682" s="23"/>
      <c r="Z682" s="23"/>
    </row>
    <row r="683" ht="15.75" customHeight="1" spans="1:26">
      <c r="A683" s="23"/>
      <c r="B683" s="23"/>
      <c r="C683" s="23"/>
      <c r="D683" s="27"/>
      <c r="E683" s="27"/>
      <c r="F683" s="27"/>
      <c r="G683" s="27"/>
      <c r="H683" s="27"/>
      <c r="I683" s="23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3"/>
      <c r="V683" s="23"/>
      <c r="W683" s="23"/>
      <c r="X683" s="23"/>
      <c r="Y683" s="23"/>
      <c r="Z683" s="23"/>
    </row>
    <row r="684" ht="15.75" customHeight="1" spans="1:26">
      <c r="A684" s="23"/>
      <c r="B684" s="23"/>
      <c r="C684" s="23"/>
      <c r="D684" s="27"/>
      <c r="E684" s="27"/>
      <c r="F684" s="27"/>
      <c r="G684" s="27"/>
      <c r="H684" s="27"/>
      <c r="I684" s="23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3"/>
      <c r="V684" s="23"/>
      <c r="W684" s="23"/>
      <c r="X684" s="23"/>
      <c r="Y684" s="23"/>
      <c r="Z684" s="23"/>
    </row>
    <row r="685" ht="15.75" customHeight="1" spans="1:26">
      <c r="A685" s="23"/>
      <c r="B685" s="23"/>
      <c r="C685" s="23"/>
      <c r="D685" s="27"/>
      <c r="E685" s="27"/>
      <c r="F685" s="27"/>
      <c r="G685" s="27"/>
      <c r="H685" s="27"/>
      <c r="I685" s="23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3"/>
      <c r="V685" s="23"/>
      <c r="W685" s="23"/>
      <c r="X685" s="23"/>
      <c r="Y685" s="23"/>
      <c r="Z685" s="23"/>
    </row>
    <row r="686" ht="15.75" customHeight="1" spans="1:26">
      <c r="A686" s="23"/>
      <c r="B686" s="23"/>
      <c r="C686" s="23"/>
      <c r="D686" s="27"/>
      <c r="E686" s="27"/>
      <c r="F686" s="27"/>
      <c r="G686" s="27"/>
      <c r="H686" s="27"/>
      <c r="I686" s="23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3"/>
      <c r="V686" s="23"/>
      <c r="W686" s="23"/>
      <c r="X686" s="23"/>
      <c r="Y686" s="23"/>
      <c r="Z686" s="23"/>
    </row>
    <row r="687" ht="15.75" customHeight="1" spans="1:26">
      <c r="A687" s="23"/>
      <c r="B687" s="23"/>
      <c r="C687" s="23"/>
      <c r="D687" s="27"/>
      <c r="E687" s="27"/>
      <c r="F687" s="27"/>
      <c r="G687" s="27"/>
      <c r="H687" s="27"/>
      <c r="I687" s="23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3"/>
      <c r="V687" s="23"/>
      <c r="W687" s="23"/>
      <c r="X687" s="23"/>
      <c r="Y687" s="23"/>
      <c r="Z687" s="23"/>
    </row>
    <row r="688" ht="15.75" customHeight="1" spans="1:26">
      <c r="A688" s="23"/>
      <c r="B688" s="23"/>
      <c r="C688" s="23"/>
      <c r="D688" s="27"/>
      <c r="E688" s="27"/>
      <c r="F688" s="27"/>
      <c r="G688" s="27"/>
      <c r="H688" s="27"/>
      <c r="I688" s="23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3"/>
      <c r="V688" s="23"/>
      <c r="W688" s="23"/>
      <c r="X688" s="23"/>
      <c r="Y688" s="23"/>
      <c r="Z688" s="23"/>
    </row>
    <row r="689" ht="15.75" customHeight="1" spans="1:26">
      <c r="A689" s="23"/>
      <c r="B689" s="23"/>
      <c r="C689" s="23"/>
      <c r="D689" s="27"/>
      <c r="E689" s="27"/>
      <c r="F689" s="27"/>
      <c r="G689" s="27"/>
      <c r="H689" s="27"/>
      <c r="I689" s="23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3"/>
      <c r="V689" s="23"/>
      <c r="W689" s="23"/>
      <c r="X689" s="23"/>
      <c r="Y689" s="23"/>
      <c r="Z689" s="23"/>
    </row>
    <row r="690" ht="15.75" customHeight="1" spans="1:26">
      <c r="A690" s="23"/>
      <c r="B690" s="23"/>
      <c r="C690" s="23"/>
      <c r="D690" s="27"/>
      <c r="E690" s="27"/>
      <c r="F690" s="27"/>
      <c r="G690" s="27"/>
      <c r="H690" s="27"/>
      <c r="I690" s="23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3"/>
      <c r="V690" s="23"/>
      <c r="W690" s="23"/>
      <c r="X690" s="23"/>
      <c r="Y690" s="23"/>
      <c r="Z690" s="23"/>
    </row>
    <row r="691" ht="15.75" customHeight="1" spans="1:26">
      <c r="A691" s="23"/>
      <c r="B691" s="23"/>
      <c r="C691" s="23"/>
      <c r="D691" s="27"/>
      <c r="E691" s="27"/>
      <c r="F691" s="27"/>
      <c r="G691" s="27"/>
      <c r="H691" s="27"/>
      <c r="I691" s="23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3"/>
      <c r="V691" s="23"/>
      <c r="W691" s="23"/>
      <c r="X691" s="23"/>
      <c r="Y691" s="23"/>
      <c r="Z691" s="23"/>
    </row>
    <row r="692" ht="15.75" customHeight="1" spans="1:26">
      <c r="A692" s="23"/>
      <c r="B692" s="23"/>
      <c r="C692" s="23"/>
      <c r="D692" s="27"/>
      <c r="E692" s="27"/>
      <c r="F692" s="27"/>
      <c r="G692" s="27"/>
      <c r="H692" s="27"/>
      <c r="I692" s="23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3"/>
      <c r="V692" s="23"/>
      <c r="W692" s="23"/>
      <c r="X692" s="23"/>
      <c r="Y692" s="23"/>
      <c r="Z692" s="23"/>
    </row>
    <row r="693" ht="15.75" customHeight="1" spans="1:26">
      <c r="A693" s="23"/>
      <c r="B693" s="23"/>
      <c r="C693" s="23"/>
      <c r="D693" s="27"/>
      <c r="E693" s="27"/>
      <c r="F693" s="27"/>
      <c r="G693" s="27"/>
      <c r="H693" s="27"/>
      <c r="I693" s="23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3"/>
      <c r="V693" s="23"/>
      <c r="W693" s="23"/>
      <c r="X693" s="23"/>
      <c r="Y693" s="23"/>
      <c r="Z693" s="23"/>
    </row>
    <row r="694" ht="15.75" customHeight="1" spans="1:26">
      <c r="A694" s="23"/>
      <c r="B694" s="23"/>
      <c r="C694" s="23"/>
      <c r="D694" s="27"/>
      <c r="E694" s="27"/>
      <c r="F694" s="27"/>
      <c r="G694" s="27"/>
      <c r="H694" s="27"/>
      <c r="I694" s="23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3"/>
      <c r="V694" s="23"/>
      <c r="W694" s="23"/>
      <c r="X694" s="23"/>
      <c r="Y694" s="23"/>
      <c r="Z694" s="23"/>
    </row>
    <row r="695" ht="15.75" customHeight="1" spans="1:26">
      <c r="A695" s="23"/>
      <c r="B695" s="23"/>
      <c r="C695" s="23"/>
      <c r="D695" s="27"/>
      <c r="E695" s="27"/>
      <c r="F695" s="27"/>
      <c r="G695" s="27"/>
      <c r="H695" s="27"/>
      <c r="I695" s="23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3"/>
      <c r="V695" s="23"/>
      <c r="W695" s="23"/>
      <c r="X695" s="23"/>
      <c r="Y695" s="23"/>
      <c r="Z695" s="23"/>
    </row>
    <row r="696" ht="15.75" customHeight="1" spans="1:26">
      <c r="A696" s="23"/>
      <c r="B696" s="23"/>
      <c r="C696" s="23"/>
      <c r="D696" s="27"/>
      <c r="E696" s="27"/>
      <c r="F696" s="27"/>
      <c r="G696" s="27"/>
      <c r="H696" s="27"/>
      <c r="I696" s="23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3"/>
      <c r="V696" s="23"/>
      <c r="W696" s="23"/>
      <c r="X696" s="23"/>
      <c r="Y696" s="23"/>
      <c r="Z696" s="23"/>
    </row>
    <row r="697" ht="15.75" customHeight="1" spans="1:26">
      <c r="A697" s="23"/>
      <c r="B697" s="23"/>
      <c r="C697" s="23"/>
      <c r="D697" s="27"/>
      <c r="E697" s="27"/>
      <c r="F697" s="27"/>
      <c r="G697" s="27"/>
      <c r="H697" s="27"/>
      <c r="I697" s="23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3"/>
      <c r="V697" s="23"/>
      <c r="W697" s="23"/>
      <c r="X697" s="23"/>
      <c r="Y697" s="23"/>
      <c r="Z697" s="23"/>
    </row>
    <row r="698" ht="15.75" customHeight="1" spans="1:26">
      <c r="A698" s="23"/>
      <c r="B698" s="23"/>
      <c r="C698" s="23"/>
      <c r="D698" s="27"/>
      <c r="E698" s="27"/>
      <c r="F698" s="27"/>
      <c r="G698" s="27"/>
      <c r="H698" s="27"/>
      <c r="I698" s="23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3"/>
      <c r="V698" s="23"/>
      <c r="W698" s="23"/>
      <c r="X698" s="23"/>
      <c r="Y698" s="23"/>
      <c r="Z698" s="23"/>
    </row>
    <row r="699" ht="15.75" customHeight="1" spans="1:26">
      <c r="A699" s="23"/>
      <c r="B699" s="23"/>
      <c r="C699" s="23"/>
      <c r="D699" s="27"/>
      <c r="E699" s="27"/>
      <c r="F699" s="27"/>
      <c r="G699" s="27"/>
      <c r="H699" s="27"/>
      <c r="I699" s="23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3"/>
      <c r="V699" s="23"/>
      <c r="W699" s="23"/>
      <c r="X699" s="23"/>
      <c r="Y699" s="23"/>
      <c r="Z699" s="23"/>
    </row>
    <row r="700" ht="15.75" customHeight="1" spans="1:26">
      <c r="A700" s="23"/>
      <c r="B700" s="23"/>
      <c r="C700" s="23"/>
      <c r="D700" s="27"/>
      <c r="E700" s="27"/>
      <c r="F700" s="27"/>
      <c r="G700" s="27"/>
      <c r="H700" s="27"/>
      <c r="I700" s="23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3"/>
      <c r="V700" s="23"/>
      <c r="W700" s="23"/>
      <c r="X700" s="23"/>
      <c r="Y700" s="23"/>
      <c r="Z700" s="23"/>
    </row>
    <row r="701" ht="15.75" customHeight="1" spans="1:26">
      <c r="A701" s="23"/>
      <c r="B701" s="23"/>
      <c r="C701" s="23"/>
      <c r="D701" s="27"/>
      <c r="E701" s="27"/>
      <c r="F701" s="27"/>
      <c r="G701" s="27"/>
      <c r="H701" s="27"/>
      <c r="I701" s="23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3"/>
      <c r="V701" s="23"/>
      <c r="W701" s="23"/>
      <c r="X701" s="23"/>
      <c r="Y701" s="23"/>
      <c r="Z701" s="23"/>
    </row>
    <row r="702" ht="15.75" customHeight="1" spans="1:26">
      <c r="A702" s="23"/>
      <c r="B702" s="23"/>
      <c r="C702" s="23"/>
      <c r="D702" s="27"/>
      <c r="E702" s="27"/>
      <c r="F702" s="27"/>
      <c r="G702" s="27"/>
      <c r="H702" s="27"/>
      <c r="I702" s="23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3"/>
      <c r="V702" s="23"/>
      <c r="W702" s="23"/>
      <c r="X702" s="23"/>
      <c r="Y702" s="23"/>
      <c r="Z702" s="23"/>
    </row>
    <row r="703" ht="15.75" customHeight="1" spans="1:26">
      <c r="A703" s="23"/>
      <c r="B703" s="23"/>
      <c r="C703" s="23"/>
      <c r="D703" s="27"/>
      <c r="E703" s="27"/>
      <c r="F703" s="27"/>
      <c r="G703" s="27"/>
      <c r="H703" s="27"/>
      <c r="I703" s="23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3"/>
      <c r="V703" s="23"/>
      <c r="W703" s="23"/>
      <c r="X703" s="23"/>
      <c r="Y703" s="23"/>
      <c r="Z703" s="23"/>
    </row>
    <row r="704" ht="15.75" customHeight="1" spans="1:26">
      <c r="A704" s="23"/>
      <c r="B704" s="23"/>
      <c r="C704" s="23"/>
      <c r="D704" s="27"/>
      <c r="E704" s="27"/>
      <c r="F704" s="27"/>
      <c r="G704" s="27"/>
      <c r="H704" s="27"/>
      <c r="I704" s="23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3"/>
      <c r="V704" s="23"/>
      <c r="W704" s="23"/>
      <c r="X704" s="23"/>
      <c r="Y704" s="23"/>
      <c r="Z704" s="23"/>
    </row>
    <row r="705" ht="15.75" customHeight="1" spans="1:26">
      <c r="A705" s="23"/>
      <c r="B705" s="23"/>
      <c r="C705" s="23"/>
      <c r="D705" s="27"/>
      <c r="E705" s="27"/>
      <c r="F705" s="27"/>
      <c r="G705" s="27"/>
      <c r="H705" s="27"/>
      <c r="I705" s="23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3"/>
      <c r="V705" s="23"/>
      <c r="W705" s="23"/>
      <c r="X705" s="23"/>
      <c r="Y705" s="23"/>
      <c r="Z705" s="23"/>
    </row>
    <row r="706" ht="15.75" customHeight="1" spans="1:26">
      <c r="A706" s="23"/>
      <c r="B706" s="23"/>
      <c r="C706" s="23"/>
      <c r="D706" s="27"/>
      <c r="E706" s="27"/>
      <c r="F706" s="27"/>
      <c r="G706" s="27"/>
      <c r="H706" s="27"/>
      <c r="I706" s="23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3"/>
      <c r="V706" s="23"/>
      <c r="W706" s="23"/>
      <c r="X706" s="23"/>
      <c r="Y706" s="23"/>
      <c r="Z706" s="23"/>
    </row>
    <row r="707" ht="15.75" customHeight="1" spans="1:26">
      <c r="A707" s="23"/>
      <c r="B707" s="23"/>
      <c r="C707" s="23"/>
      <c r="D707" s="27"/>
      <c r="E707" s="27"/>
      <c r="F707" s="27"/>
      <c r="G707" s="27"/>
      <c r="H707" s="27"/>
      <c r="I707" s="23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3"/>
      <c r="V707" s="23"/>
      <c r="W707" s="23"/>
      <c r="X707" s="23"/>
      <c r="Y707" s="23"/>
      <c r="Z707" s="23"/>
    </row>
    <row r="708" ht="15.75" customHeight="1" spans="1:26">
      <c r="A708" s="23"/>
      <c r="B708" s="23"/>
      <c r="C708" s="23"/>
      <c r="D708" s="27"/>
      <c r="E708" s="27"/>
      <c r="F708" s="27"/>
      <c r="G708" s="27"/>
      <c r="H708" s="27"/>
      <c r="I708" s="23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3"/>
      <c r="V708" s="23"/>
      <c r="W708" s="23"/>
      <c r="X708" s="23"/>
      <c r="Y708" s="23"/>
      <c r="Z708" s="23"/>
    </row>
    <row r="709" ht="15.75" customHeight="1" spans="1:26">
      <c r="A709" s="23"/>
      <c r="B709" s="23"/>
      <c r="C709" s="23"/>
      <c r="D709" s="27"/>
      <c r="E709" s="27"/>
      <c r="F709" s="27"/>
      <c r="G709" s="27"/>
      <c r="H709" s="27"/>
      <c r="I709" s="23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3"/>
      <c r="V709" s="23"/>
      <c r="W709" s="23"/>
      <c r="X709" s="23"/>
      <c r="Y709" s="23"/>
      <c r="Z709" s="23"/>
    </row>
    <row r="710" ht="15.75" customHeight="1" spans="1:26">
      <c r="A710" s="23"/>
      <c r="B710" s="23"/>
      <c r="C710" s="23"/>
      <c r="D710" s="27"/>
      <c r="E710" s="27"/>
      <c r="F710" s="27"/>
      <c r="G710" s="27"/>
      <c r="H710" s="27"/>
      <c r="I710" s="23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3"/>
      <c r="V710" s="23"/>
      <c r="W710" s="23"/>
      <c r="X710" s="23"/>
      <c r="Y710" s="23"/>
      <c r="Z710" s="23"/>
    </row>
    <row r="711" ht="15.75" customHeight="1" spans="1:26">
      <c r="A711" s="23"/>
      <c r="B711" s="23"/>
      <c r="C711" s="23"/>
      <c r="D711" s="27"/>
      <c r="E711" s="27"/>
      <c r="F711" s="27"/>
      <c r="G711" s="27"/>
      <c r="H711" s="27"/>
      <c r="I711" s="23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3"/>
      <c r="V711" s="23"/>
      <c r="W711" s="23"/>
      <c r="X711" s="23"/>
      <c r="Y711" s="23"/>
      <c r="Z711" s="23"/>
    </row>
    <row r="712" ht="15.75" customHeight="1" spans="1:26">
      <c r="A712" s="23"/>
      <c r="B712" s="23"/>
      <c r="C712" s="23"/>
      <c r="D712" s="27"/>
      <c r="E712" s="27"/>
      <c r="F712" s="27"/>
      <c r="G712" s="27"/>
      <c r="H712" s="27"/>
      <c r="I712" s="23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3"/>
      <c r="V712" s="23"/>
      <c r="W712" s="23"/>
      <c r="X712" s="23"/>
      <c r="Y712" s="23"/>
      <c r="Z712" s="23"/>
    </row>
    <row r="713" ht="15.75" customHeight="1" spans="1:26">
      <c r="A713" s="23"/>
      <c r="B713" s="23"/>
      <c r="C713" s="23"/>
      <c r="D713" s="27"/>
      <c r="E713" s="27"/>
      <c r="F713" s="27"/>
      <c r="G713" s="27"/>
      <c r="H713" s="27"/>
      <c r="I713" s="23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3"/>
      <c r="V713" s="23"/>
      <c r="W713" s="23"/>
      <c r="X713" s="23"/>
      <c r="Y713" s="23"/>
      <c r="Z713" s="23"/>
    </row>
    <row r="714" ht="15.75" customHeight="1" spans="1:26">
      <c r="A714" s="23"/>
      <c r="B714" s="23"/>
      <c r="C714" s="23"/>
      <c r="D714" s="27"/>
      <c r="E714" s="27"/>
      <c r="F714" s="27"/>
      <c r="G714" s="27"/>
      <c r="H714" s="27"/>
      <c r="I714" s="23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3"/>
      <c r="V714" s="23"/>
      <c r="W714" s="23"/>
      <c r="X714" s="23"/>
      <c r="Y714" s="23"/>
      <c r="Z714" s="23"/>
    </row>
    <row r="715" ht="15.75" customHeight="1" spans="1:26">
      <c r="A715" s="23"/>
      <c r="B715" s="23"/>
      <c r="C715" s="23"/>
      <c r="D715" s="27"/>
      <c r="E715" s="27"/>
      <c r="F715" s="27"/>
      <c r="G715" s="27"/>
      <c r="H715" s="27"/>
      <c r="I715" s="23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3"/>
      <c r="V715" s="23"/>
      <c r="W715" s="23"/>
      <c r="X715" s="23"/>
      <c r="Y715" s="23"/>
      <c r="Z715" s="23"/>
    </row>
    <row r="716" ht="15.75" customHeight="1" spans="1:26">
      <c r="A716" s="23"/>
      <c r="B716" s="23"/>
      <c r="C716" s="23"/>
      <c r="D716" s="27"/>
      <c r="E716" s="27"/>
      <c r="F716" s="27"/>
      <c r="G716" s="27"/>
      <c r="H716" s="27"/>
      <c r="I716" s="23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3"/>
      <c r="V716" s="23"/>
      <c r="W716" s="23"/>
      <c r="X716" s="23"/>
      <c r="Y716" s="23"/>
      <c r="Z716" s="23"/>
    </row>
    <row r="717" ht="15.75" customHeight="1" spans="1:26">
      <c r="A717" s="23"/>
      <c r="B717" s="23"/>
      <c r="C717" s="23"/>
      <c r="D717" s="27"/>
      <c r="E717" s="27"/>
      <c r="F717" s="27"/>
      <c r="G717" s="27"/>
      <c r="H717" s="27"/>
      <c r="I717" s="23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3"/>
      <c r="V717" s="23"/>
      <c r="W717" s="23"/>
      <c r="X717" s="23"/>
      <c r="Y717" s="23"/>
      <c r="Z717" s="23"/>
    </row>
    <row r="718" ht="15.75" customHeight="1" spans="1:26">
      <c r="A718" s="23"/>
      <c r="B718" s="23"/>
      <c r="C718" s="23"/>
      <c r="D718" s="27"/>
      <c r="E718" s="27"/>
      <c r="F718" s="27"/>
      <c r="G718" s="27"/>
      <c r="H718" s="27"/>
      <c r="I718" s="23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3"/>
      <c r="V718" s="23"/>
      <c r="W718" s="23"/>
      <c r="X718" s="23"/>
      <c r="Y718" s="23"/>
      <c r="Z718" s="23"/>
    </row>
    <row r="719" ht="15.75" customHeight="1" spans="1:26">
      <c r="A719" s="23"/>
      <c r="B719" s="23"/>
      <c r="C719" s="23"/>
      <c r="D719" s="27"/>
      <c r="E719" s="27"/>
      <c r="F719" s="27"/>
      <c r="G719" s="27"/>
      <c r="H719" s="27"/>
      <c r="I719" s="23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3"/>
      <c r="V719" s="23"/>
      <c r="W719" s="23"/>
      <c r="X719" s="23"/>
      <c r="Y719" s="23"/>
      <c r="Z719" s="23"/>
    </row>
    <row r="720" ht="15.75" customHeight="1" spans="1:26">
      <c r="A720" s="23"/>
      <c r="B720" s="23"/>
      <c r="C720" s="23"/>
      <c r="D720" s="27"/>
      <c r="E720" s="27"/>
      <c r="F720" s="27"/>
      <c r="G720" s="27"/>
      <c r="H720" s="27"/>
      <c r="I720" s="23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3"/>
      <c r="V720" s="23"/>
      <c r="W720" s="23"/>
      <c r="X720" s="23"/>
      <c r="Y720" s="23"/>
      <c r="Z720" s="23"/>
    </row>
    <row r="721" ht="15.75" customHeight="1" spans="1:26">
      <c r="A721" s="23"/>
      <c r="B721" s="23"/>
      <c r="C721" s="23"/>
      <c r="D721" s="27"/>
      <c r="E721" s="27"/>
      <c r="F721" s="27"/>
      <c r="G721" s="27"/>
      <c r="H721" s="27"/>
      <c r="I721" s="23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3"/>
      <c r="V721" s="23"/>
      <c r="W721" s="23"/>
      <c r="X721" s="23"/>
      <c r="Y721" s="23"/>
      <c r="Z721" s="23"/>
    </row>
    <row r="722" ht="15.75" customHeight="1" spans="1:26">
      <c r="A722" s="23"/>
      <c r="B722" s="23"/>
      <c r="C722" s="23"/>
      <c r="D722" s="27"/>
      <c r="E722" s="27"/>
      <c r="F722" s="27"/>
      <c r="G722" s="27"/>
      <c r="H722" s="27"/>
      <c r="I722" s="23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3"/>
      <c r="V722" s="23"/>
      <c r="W722" s="23"/>
      <c r="X722" s="23"/>
      <c r="Y722" s="23"/>
      <c r="Z722" s="23"/>
    </row>
    <row r="723" ht="15.75" customHeight="1" spans="1:26">
      <c r="A723" s="23"/>
      <c r="B723" s="23"/>
      <c r="C723" s="23"/>
      <c r="D723" s="27"/>
      <c r="E723" s="27"/>
      <c r="F723" s="27"/>
      <c r="G723" s="27"/>
      <c r="H723" s="27"/>
      <c r="I723" s="23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3"/>
      <c r="V723" s="23"/>
      <c r="W723" s="23"/>
      <c r="X723" s="23"/>
      <c r="Y723" s="23"/>
      <c r="Z723" s="23"/>
    </row>
    <row r="724" ht="15.75" customHeight="1" spans="1:26">
      <c r="A724" s="23"/>
      <c r="B724" s="23"/>
      <c r="C724" s="23"/>
      <c r="D724" s="27"/>
      <c r="E724" s="27"/>
      <c r="F724" s="27"/>
      <c r="G724" s="27"/>
      <c r="H724" s="27"/>
      <c r="I724" s="23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3"/>
      <c r="V724" s="23"/>
      <c r="W724" s="23"/>
      <c r="X724" s="23"/>
      <c r="Y724" s="23"/>
      <c r="Z724" s="23"/>
    </row>
    <row r="725" ht="15.75" customHeight="1" spans="1:26">
      <c r="A725" s="23"/>
      <c r="B725" s="23"/>
      <c r="C725" s="23"/>
      <c r="D725" s="27"/>
      <c r="E725" s="27"/>
      <c r="F725" s="27"/>
      <c r="G725" s="27"/>
      <c r="H725" s="27"/>
      <c r="I725" s="23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3"/>
      <c r="V725" s="23"/>
      <c r="W725" s="23"/>
      <c r="X725" s="23"/>
      <c r="Y725" s="23"/>
      <c r="Z725" s="23"/>
    </row>
    <row r="726" ht="15.75" customHeight="1" spans="1:26">
      <c r="A726" s="23"/>
      <c r="B726" s="23"/>
      <c r="C726" s="23"/>
      <c r="D726" s="27"/>
      <c r="E726" s="27"/>
      <c r="F726" s="27"/>
      <c r="G726" s="27"/>
      <c r="H726" s="27"/>
      <c r="I726" s="23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3"/>
      <c r="V726" s="23"/>
      <c r="W726" s="23"/>
      <c r="X726" s="23"/>
      <c r="Y726" s="23"/>
      <c r="Z726" s="23"/>
    </row>
    <row r="727" ht="15.75" customHeight="1" spans="1:26">
      <c r="A727" s="23"/>
      <c r="B727" s="23"/>
      <c r="C727" s="23"/>
      <c r="D727" s="27"/>
      <c r="E727" s="27"/>
      <c r="F727" s="27"/>
      <c r="G727" s="27"/>
      <c r="H727" s="27"/>
      <c r="I727" s="23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3"/>
      <c r="V727" s="23"/>
      <c r="W727" s="23"/>
      <c r="X727" s="23"/>
      <c r="Y727" s="23"/>
      <c r="Z727" s="23"/>
    </row>
    <row r="728" ht="15.75" customHeight="1" spans="1:26">
      <c r="A728" s="23"/>
      <c r="B728" s="23"/>
      <c r="C728" s="23"/>
      <c r="D728" s="27"/>
      <c r="E728" s="27"/>
      <c r="F728" s="27"/>
      <c r="G728" s="27"/>
      <c r="H728" s="27"/>
      <c r="I728" s="23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3"/>
      <c r="V728" s="23"/>
      <c r="W728" s="23"/>
      <c r="X728" s="23"/>
      <c r="Y728" s="23"/>
      <c r="Z728" s="23"/>
    </row>
    <row r="729" ht="15.75" customHeight="1" spans="1:26">
      <c r="A729" s="23"/>
      <c r="B729" s="23"/>
      <c r="C729" s="23"/>
      <c r="D729" s="27"/>
      <c r="E729" s="27"/>
      <c r="F729" s="27"/>
      <c r="G729" s="27"/>
      <c r="H729" s="27"/>
      <c r="I729" s="23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3"/>
      <c r="V729" s="23"/>
      <c r="W729" s="23"/>
      <c r="X729" s="23"/>
      <c r="Y729" s="23"/>
      <c r="Z729" s="23"/>
    </row>
    <row r="730" ht="15.75" customHeight="1" spans="1:26">
      <c r="A730" s="23"/>
      <c r="B730" s="23"/>
      <c r="C730" s="23"/>
      <c r="D730" s="27"/>
      <c r="E730" s="27"/>
      <c r="F730" s="27"/>
      <c r="G730" s="27"/>
      <c r="H730" s="27"/>
      <c r="I730" s="23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3"/>
      <c r="V730" s="23"/>
      <c r="W730" s="23"/>
      <c r="X730" s="23"/>
      <c r="Y730" s="23"/>
      <c r="Z730" s="23"/>
    </row>
    <row r="731" ht="15.75" customHeight="1" spans="1:26">
      <c r="A731" s="23"/>
      <c r="B731" s="23"/>
      <c r="C731" s="23"/>
      <c r="D731" s="27"/>
      <c r="E731" s="27"/>
      <c r="F731" s="27"/>
      <c r="G731" s="27"/>
      <c r="H731" s="27"/>
      <c r="I731" s="23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3"/>
      <c r="V731" s="23"/>
      <c r="W731" s="23"/>
      <c r="X731" s="23"/>
      <c r="Y731" s="23"/>
      <c r="Z731" s="23"/>
    </row>
    <row r="732" ht="15.75" customHeight="1" spans="1:26">
      <c r="A732" s="23"/>
      <c r="B732" s="23"/>
      <c r="C732" s="23"/>
      <c r="D732" s="27"/>
      <c r="E732" s="27"/>
      <c r="F732" s="27"/>
      <c r="G732" s="27"/>
      <c r="H732" s="27"/>
      <c r="I732" s="23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3"/>
      <c r="V732" s="23"/>
      <c r="W732" s="23"/>
      <c r="X732" s="23"/>
      <c r="Y732" s="23"/>
      <c r="Z732" s="23"/>
    </row>
    <row r="733" ht="15.75" customHeight="1" spans="1:26">
      <c r="A733" s="23"/>
      <c r="B733" s="23"/>
      <c r="C733" s="23"/>
      <c r="D733" s="27"/>
      <c r="E733" s="27"/>
      <c r="F733" s="27"/>
      <c r="G733" s="27"/>
      <c r="H733" s="27"/>
      <c r="I733" s="23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3"/>
      <c r="V733" s="23"/>
      <c r="W733" s="23"/>
      <c r="X733" s="23"/>
      <c r="Y733" s="23"/>
      <c r="Z733" s="23"/>
    </row>
    <row r="734" ht="15.75" customHeight="1" spans="1:26">
      <c r="A734" s="23"/>
      <c r="B734" s="23"/>
      <c r="C734" s="23"/>
      <c r="D734" s="27"/>
      <c r="E734" s="27"/>
      <c r="F734" s="27"/>
      <c r="G734" s="27"/>
      <c r="H734" s="27"/>
      <c r="I734" s="23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3"/>
      <c r="V734" s="23"/>
      <c r="W734" s="23"/>
      <c r="X734" s="23"/>
      <c r="Y734" s="23"/>
      <c r="Z734" s="23"/>
    </row>
    <row r="735" ht="15.75" customHeight="1" spans="1:26">
      <c r="A735" s="23"/>
      <c r="B735" s="23"/>
      <c r="C735" s="23"/>
      <c r="D735" s="27"/>
      <c r="E735" s="27"/>
      <c r="F735" s="27"/>
      <c r="G735" s="27"/>
      <c r="H735" s="27"/>
      <c r="I735" s="23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3"/>
      <c r="V735" s="23"/>
      <c r="W735" s="23"/>
      <c r="X735" s="23"/>
      <c r="Y735" s="23"/>
      <c r="Z735" s="23"/>
    </row>
    <row r="736" ht="15.75" customHeight="1" spans="1:26">
      <c r="A736" s="23"/>
      <c r="B736" s="23"/>
      <c r="C736" s="23"/>
      <c r="D736" s="27"/>
      <c r="E736" s="27"/>
      <c r="F736" s="27"/>
      <c r="G736" s="27"/>
      <c r="H736" s="27"/>
      <c r="I736" s="23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3"/>
      <c r="V736" s="23"/>
      <c r="W736" s="23"/>
      <c r="X736" s="23"/>
      <c r="Y736" s="23"/>
      <c r="Z736" s="23"/>
    </row>
    <row r="737" ht="15.75" customHeight="1" spans="1:26">
      <c r="A737" s="23"/>
      <c r="B737" s="23"/>
      <c r="C737" s="23"/>
      <c r="D737" s="27"/>
      <c r="E737" s="27"/>
      <c r="F737" s="27"/>
      <c r="G737" s="27"/>
      <c r="H737" s="27"/>
      <c r="I737" s="23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3"/>
      <c r="V737" s="23"/>
      <c r="W737" s="23"/>
      <c r="X737" s="23"/>
      <c r="Y737" s="23"/>
      <c r="Z737" s="23"/>
    </row>
    <row r="738" ht="15.75" customHeight="1" spans="1:26">
      <c r="A738" s="23"/>
      <c r="B738" s="23"/>
      <c r="C738" s="23"/>
      <c r="D738" s="27"/>
      <c r="E738" s="27"/>
      <c r="F738" s="27"/>
      <c r="G738" s="27"/>
      <c r="H738" s="27"/>
      <c r="I738" s="23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3"/>
      <c r="V738" s="23"/>
      <c r="W738" s="23"/>
      <c r="X738" s="23"/>
      <c r="Y738" s="23"/>
      <c r="Z738" s="23"/>
    </row>
    <row r="739" ht="15.75" customHeight="1" spans="1:26">
      <c r="A739" s="23"/>
      <c r="B739" s="23"/>
      <c r="C739" s="23"/>
      <c r="D739" s="27"/>
      <c r="E739" s="27"/>
      <c r="F739" s="27"/>
      <c r="G739" s="27"/>
      <c r="H739" s="27"/>
      <c r="I739" s="23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3"/>
      <c r="V739" s="23"/>
      <c r="W739" s="23"/>
      <c r="X739" s="23"/>
      <c r="Y739" s="23"/>
      <c r="Z739" s="23"/>
    </row>
    <row r="740" ht="15.75" customHeight="1" spans="1:26">
      <c r="A740" s="23"/>
      <c r="B740" s="23"/>
      <c r="C740" s="23"/>
      <c r="D740" s="27"/>
      <c r="E740" s="27"/>
      <c r="F740" s="27"/>
      <c r="G740" s="27"/>
      <c r="H740" s="27"/>
      <c r="I740" s="23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3"/>
      <c r="V740" s="23"/>
      <c r="W740" s="23"/>
      <c r="X740" s="23"/>
      <c r="Y740" s="23"/>
      <c r="Z740" s="23"/>
    </row>
    <row r="741" ht="15.75" customHeight="1" spans="1:26">
      <c r="A741" s="23"/>
      <c r="B741" s="23"/>
      <c r="C741" s="23"/>
      <c r="D741" s="27"/>
      <c r="E741" s="27"/>
      <c r="F741" s="27"/>
      <c r="G741" s="27"/>
      <c r="H741" s="27"/>
      <c r="I741" s="23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3"/>
      <c r="V741" s="23"/>
      <c r="W741" s="23"/>
      <c r="X741" s="23"/>
      <c r="Y741" s="23"/>
      <c r="Z741" s="23"/>
    </row>
    <row r="742" ht="15.75" customHeight="1" spans="1:26">
      <c r="A742" s="23"/>
      <c r="B742" s="23"/>
      <c r="C742" s="23"/>
      <c r="D742" s="27"/>
      <c r="E742" s="27"/>
      <c r="F742" s="27"/>
      <c r="G742" s="27"/>
      <c r="H742" s="27"/>
      <c r="I742" s="23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3"/>
      <c r="V742" s="23"/>
      <c r="W742" s="23"/>
      <c r="X742" s="23"/>
      <c r="Y742" s="23"/>
      <c r="Z742" s="23"/>
    </row>
    <row r="743" ht="15.75" customHeight="1" spans="1:26">
      <c r="A743" s="23"/>
      <c r="B743" s="23"/>
      <c r="C743" s="23"/>
      <c r="D743" s="27"/>
      <c r="E743" s="27"/>
      <c r="F743" s="27"/>
      <c r="G743" s="27"/>
      <c r="H743" s="27"/>
      <c r="I743" s="23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3"/>
      <c r="V743" s="23"/>
      <c r="W743" s="23"/>
      <c r="X743" s="23"/>
      <c r="Y743" s="23"/>
      <c r="Z743" s="23"/>
    </row>
    <row r="744" ht="15.75" customHeight="1" spans="1:26">
      <c r="A744" s="23"/>
      <c r="B744" s="23"/>
      <c r="C744" s="23"/>
      <c r="D744" s="27"/>
      <c r="E744" s="27"/>
      <c r="F744" s="27"/>
      <c r="G744" s="27"/>
      <c r="H744" s="27"/>
      <c r="I744" s="23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3"/>
      <c r="V744" s="23"/>
      <c r="W744" s="23"/>
      <c r="X744" s="23"/>
      <c r="Y744" s="23"/>
      <c r="Z744" s="23"/>
    </row>
    <row r="745" ht="15.75" customHeight="1" spans="1:26">
      <c r="A745" s="23"/>
      <c r="B745" s="23"/>
      <c r="C745" s="23"/>
      <c r="D745" s="27"/>
      <c r="E745" s="27"/>
      <c r="F745" s="27"/>
      <c r="G745" s="27"/>
      <c r="H745" s="27"/>
      <c r="I745" s="23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3"/>
      <c r="V745" s="23"/>
      <c r="W745" s="23"/>
      <c r="X745" s="23"/>
      <c r="Y745" s="23"/>
      <c r="Z745" s="23"/>
    </row>
    <row r="746" ht="15.75" customHeight="1" spans="1:26">
      <c r="A746" s="23"/>
      <c r="B746" s="23"/>
      <c r="C746" s="23"/>
      <c r="D746" s="27"/>
      <c r="E746" s="27"/>
      <c r="F746" s="27"/>
      <c r="G746" s="27"/>
      <c r="H746" s="27"/>
      <c r="I746" s="23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3"/>
      <c r="V746" s="23"/>
      <c r="W746" s="23"/>
      <c r="X746" s="23"/>
      <c r="Y746" s="23"/>
      <c r="Z746" s="23"/>
    </row>
    <row r="747" ht="15.75" customHeight="1" spans="1:26">
      <c r="A747" s="23"/>
      <c r="B747" s="23"/>
      <c r="C747" s="23"/>
      <c r="D747" s="27"/>
      <c r="E747" s="27"/>
      <c r="F747" s="27"/>
      <c r="G747" s="27"/>
      <c r="H747" s="27"/>
      <c r="I747" s="23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3"/>
      <c r="V747" s="23"/>
      <c r="W747" s="23"/>
      <c r="X747" s="23"/>
      <c r="Y747" s="23"/>
      <c r="Z747" s="23"/>
    </row>
    <row r="748" ht="15.75" customHeight="1" spans="1:26">
      <c r="A748" s="23"/>
      <c r="B748" s="23"/>
      <c r="C748" s="23"/>
      <c r="D748" s="27"/>
      <c r="E748" s="27"/>
      <c r="F748" s="27"/>
      <c r="G748" s="27"/>
      <c r="H748" s="27"/>
      <c r="I748" s="23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3"/>
      <c r="V748" s="23"/>
      <c r="W748" s="23"/>
      <c r="X748" s="23"/>
      <c r="Y748" s="23"/>
      <c r="Z748" s="23"/>
    </row>
    <row r="749" ht="15.75" customHeight="1" spans="1:26">
      <c r="A749" s="23"/>
      <c r="B749" s="23"/>
      <c r="C749" s="23"/>
      <c r="D749" s="27"/>
      <c r="E749" s="27"/>
      <c r="F749" s="27"/>
      <c r="G749" s="27"/>
      <c r="H749" s="27"/>
      <c r="I749" s="23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3"/>
      <c r="V749" s="23"/>
      <c r="W749" s="23"/>
      <c r="X749" s="23"/>
      <c r="Y749" s="23"/>
      <c r="Z749" s="23"/>
    </row>
    <row r="750" ht="15.75" customHeight="1" spans="1:26">
      <c r="A750" s="23"/>
      <c r="B750" s="23"/>
      <c r="C750" s="23"/>
      <c r="D750" s="27"/>
      <c r="E750" s="27"/>
      <c r="F750" s="27"/>
      <c r="G750" s="27"/>
      <c r="H750" s="27"/>
      <c r="I750" s="23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3"/>
      <c r="V750" s="23"/>
      <c r="W750" s="23"/>
      <c r="X750" s="23"/>
      <c r="Y750" s="23"/>
      <c r="Z750" s="23"/>
    </row>
    <row r="751" ht="15.75" customHeight="1" spans="1:26">
      <c r="A751" s="23"/>
      <c r="B751" s="23"/>
      <c r="C751" s="23"/>
      <c r="D751" s="27"/>
      <c r="E751" s="27"/>
      <c r="F751" s="27"/>
      <c r="G751" s="27"/>
      <c r="H751" s="27"/>
      <c r="I751" s="23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3"/>
      <c r="V751" s="23"/>
      <c r="W751" s="23"/>
      <c r="X751" s="23"/>
      <c r="Y751" s="23"/>
      <c r="Z751" s="23"/>
    </row>
    <row r="752" ht="15.75" customHeight="1" spans="1:26">
      <c r="A752" s="23"/>
      <c r="B752" s="23"/>
      <c r="C752" s="23"/>
      <c r="D752" s="27"/>
      <c r="E752" s="27"/>
      <c r="F752" s="27"/>
      <c r="G752" s="27"/>
      <c r="H752" s="27"/>
      <c r="I752" s="23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3"/>
      <c r="V752" s="23"/>
      <c r="W752" s="23"/>
      <c r="X752" s="23"/>
      <c r="Y752" s="23"/>
      <c r="Z752" s="23"/>
    </row>
    <row r="753" ht="15.75" customHeight="1" spans="1:26">
      <c r="A753" s="23"/>
      <c r="B753" s="23"/>
      <c r="C753" s="23"/>
      <c r="D753" s="27"/>
      <c r="E753" s="27"/>
      <c r="F753" s="27"/>
      <c r="G753" s="27"/>
      <c r="H753" s="27"/>
      <c r="I753" s="23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3"/>
      <c r="V753" s="23"/>
      <c r="W753" s="23"/>
      <c r="X753" s="23"/>
      <c r="Y753" s="23"/>
      <c r="Z753" s="23"/>
    </row>
    <row r="754" ht="15.75" customHeight="1" spans="1:26">
      <c r="A754" s="23"/>
      <c r="B754" s="23"/>
      <c r="C754" s="23"/>
      <c r="D754" s="27"/>
      <c r="E754" s="27"/>
      <c r="F754" s="27"/>
      <c r="G754" s="27"/>
      <c r="H754" s="27"/>
      <c r="I754" s="23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3"/>
      <c r="V754" s="23"/>
      <c r="W754" s="23"/>
      <c r="X754" s="23"/>
      <c r="Y754" s="23"/>
      <c r="Z754" s="23"/>
    </row>
    <row r="755" ht="15.75" customHeight="1" spans="1:26">
      <c r="A755" s="23"/>
      <c r="B755" s="23"/>
      <c r="C755" s="23"/>
      <c r="D755" s="27"/>
      <c r="E755" s="27"/>
      <c r="F755" s="27"/>
      <c r="G755" s="27"/>
      <c r="H755" s="27"/>
      <c r="I755" s="23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3"/>
      <c r="V755" s="23"/>
      <c r="W755" s="23"/>
      <c r="X755" s="23"/>
      <c r="Y755" s="23"/>
      <c r="Z755" s="23"/>
    </row>
    <row r="756" ht="15.75" customHeight="1" spans="1:26">
      <c r="A756" s="23"/>
      <c r="B756" s="23"/>
      <c r="C756" s="23"/>
      <c r="D756" s="27"/>
      <c r="E756" s="27"/>
      <c r="F756" s="27"/>
      <c r="G756" s="27"/>
      <c r="H756" s="27"/>
      <c r="I756" s="23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3"/>
      <c r="V756" s="23"/>
      <c r="W756" s="23"/>
      <c r="X756" s="23"/>
      <c r="Y756" s="23"/>
      <c r="Z756" s="23"/>
    </row>
    <row r="757" ht="15.75" customHeight="1" spans="1:26">
      <c r="A757" s="23"/>
      <c r="B757" s="23"/>
      <c r="C757" s="23"/>
      <c r="D757" s="27"/>
      <c r="E757" s="27"/>
      <c r="F757" s="27"/>
      <c r="G757" s="27"/>
      <c r="H757" s="27"/>
      <c r="I757" s="23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3"/>
      <c r="V757" s="23"/>
      <c r="W757" s="23"/>
      <c r="X757" s="23"/>
      <c r="Y757" s="23"/>
      <c r="Z757" s="23"/>
    </row>
    <row r="758" ht="15.75" customHeight="1" spans="1:26">
      <c r="A758" s="23"/>
      <c r="B758" s="23"/>
      <c r="C758" s="23"/>
      <c r="D758" s="27"/>
      <c r="E758" s="27"/>
      <c r="F758" s="27"/>
      <c r="G758" s="27"/>
      <c r="H758" s="27"/>
      <c r="I758" s="23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3"/>
      <c r="V758" s="23"/>
      <c r="W758" s="23"/>
      <c r="X758" s="23"/>
      <c r="Y758" s="23"/>
      <c r="Z758" s="23"/>
    </row>
    <row r="759" ht="15.75" customHeight="1" spans="1:26">
      <c r="A759" s="23"/>
      <c r="B759" s="23"/>
      <c r="C759" s="23"/>
      <c r="D759" s="27"/>
      <c r="E759" s="27"/>
      <c r="F759" s="27"/>
      <c r="G759" s="27"/>
      <c r="H759" s="27"/>
      <c r="I759" s="23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3"/>
      <c r="V759" s="23"/>
      <c r="W759" s="23"/>
      <c r="X759" s="23"/>
      <c r="Y759" s="23"/>
      <c r="Z759" s="23"/>
    </row>
    <row r="760" ht="15.75" customHeight="1" spans="1:26">
      <c r="A760" s="23"/>
      <c r="B760" s="23"/>
      <c r="C760" s="23"/>
      <c r="D760" s="27"/>
      <c r="E760" s="27"/>
      <c r="F760" s="27"/>
      <c r="G760" s="27"/>
      <c r="H760" s="27"/>
      <c r="I760" s="23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3"/>
      <c r="V760" s="23"/>
      <c r="W760" s="23"/>
      <c r="X760" s="23"/>
      <c r="Y760" s="23"/>
      <c r="Z760" s="23"/>
    </row>
    <row r="761" ht="15.75" customHeight="1" spans="1:26">
      <c r="A761" s="23"/>
      <c r="B761" s="23"/>
      <c r="C761" s="23"/>
      <c r="D761" s="27"/>
      <c r="E761" s="27"/>
      <c r="F761" s="27"/>
      <c r="G761" s="27"/>
      <c r="H761" s="27"/>
      <c r="I761" s="23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3"/>
      <c r="V761" s="23"/>
      <c r="W761" s="23"/>
      <c r="X761" s="23"/>
      <c r="Y761" s="23"/>
      <c r="Z761" s="23"/>
    </row>
    <row r="762" ht="15.75" customHeight="1" spans="1:26">
      <c r="A762" s="23"/>
      <c r="B762" s="23"/>
      <c r="C762" s="23"/>
      <c r="D762" s="27"/>
      <c r="E762" s="27"/>
      <c r="F762" s="27"/>
      <c r="G762" s="27"/>
      <c r="H762" s="27"/>
      <c r="I762" s="23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3"/>
      <c r="V762" s="23"/>
      <c r="W762" s="23"/>
      <c r="X762" s="23"/>
      <c r="Y762" s="23"/>
      <c r="Z762" s="23"/>
    </row>
    <row r="763" ht="15.75" customHeight="1" spans="1:26">
      <c r="A763" s="23"/>
      <c r="B763" s="23"/>
      <c r="C763" s="23"/>
      <c r="D763" s="27"/>
      <c r="E763" s="27"/>
      <c r="F763" s="27"/>
      <c r="G763" s="27"/>
      <c r="H763" s="27"/>
      <c r="I763" s="23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3"/>
      <c r="V763" s="23"/>
      <c r="W763" s="23"/>
      <c r="X763" s="23"/>
      <c r="Y763" s="23"/>
      <c r="Z763" s="23"/>
    </row>
    <row r="764" ht="15.75" customHeight="1" spans="1:26">
      <c r="A764" s="23"/>
      <c r="B764" s="23"/>
      <c r="C764" s="23"/>
      <c r="D764" s="27"/>
      <c r="E764" s="27"/>
      <c r="F764" s="27"/>
      <c r="G764" s="27"/>
      <c r="H764" s="27"/>
      <c r="I764" s="23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3"/>
      <c r="V764" s="23"/>
      <c r="W764" s="23"/>
      <c r="X764" s="23"/>
      <c r="Y764" s="23"/>
      <c r="Z764" s="23"/>
    </row>
    <row r="765" ht="15.75" customHeight="1" spans="1:26">
      <c r="A765" s="23"/>
      <c r="B765" s="23"/>
      <c r="C765" s="23"/>
      <c r="D765" s="27"/>
      <c r="E765" s="27"/>
      <c r="F765" s="27"/>
      <c r="G765" s="27"/>
      <c r="H765" s="27"/>
      <c r="I765" s="23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3"/>
      <c r="V765" s="23"/>
      <c r="W765" s="23"/>
      <c r="X765" s="23"/>
      <c r="Y765" s="23"/>
      <c r="Z765" s="23"/>
    </row>
    <row r="766" ht="15.75" customHeight="1" spans="1:26">
      <c r="A766" s="23"/>
      <c r="B766" s="23"/>
      <c r="C766" s="23"/>
      <c r="D766" s="27"/>
      <c r="E766" s="27"/>
      <c r="F766" s="27"/>
      <c r="G766" s="27"/>
      <c r="H766" s="27"/>
      <c r="I766" s="23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3"/>
      <c r="V766" s="23"/>
      <c r="W766" s="23"/>
      <c r="X766" s="23"/>
      <c r="Y766" s="23"/>
      <c r="Z766" s="23"/>
    </row>
    <row r="767" ht="15.75" customHeight="1" spans="1:26">
      <c r="A767" s="23"/>
      <c r="B767" s="23"/>
      <c r="C767" s="23"/>
      <c r="D767" s="27"/>
      <c r="E767" s="27"/>
      <c r="F767" s="27"/>
      <c r="G767" s="27"/>
      <c r="H767" s="27"/>
      <c r="I767" s="23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3"/>
      <c r="V767" s="23"/>
      <c r="W767" s="23"/>
      <c r="X767" s="23"/>
      <c r="Y767" s="23"/>
      <c r="Z767" s="23"/>
    </row>
    <row r="768" ht="15.75" customHeight="1" spans="1:26">
      <c r="A768" s="23"/>
      <c r="B768" s="23"/>
      <c r="C768" s="23"/>
      <c r="D768" s="27"/>
      <c r="E768" s="27"/>
      <c r="F768" s="27"/>
      <c r="G768" s="27"/>
      <c r="H768" s="27"/>
      <c r="I768" s="23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3"/>
      <c r="V768" s="23"/>
      <c r="W768" s="23"/>
      <c r="X768" s="23"/>
      <c r="Y768" s="23"/>
      <c r="Z768" s="23"/>
    </row>
    <row r="769" ht="15.75" customHeight="1" spans="1:26">
      <c r="A769" s="23"/>
      <c r="B769" s="23"/>
      <c r="C769" s="23"/>
      <c r="D769" s="27"/>
      <c r="E769" s="27"/>
      <c r="F769" s="27"/>
      <c r="G769" s="27"/>
      <c r="H769" s="27"/>
      <c r="I769" s="23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3"/>
      <c r="V769" s="23"/>
      <c r="W769" s="23"/>
      <c r="X769" s="23"/>
      <c r="Y769" s="23"/>
      <c r="Z769" s="23"/>
    </row>
    <row r="770" ht="15.75" customHeight="1" spans="1:26">
      <c r="A770" s="23"/>
      <c r="B770" s="23"/>
      <c r="C770" s="23"/>
      <c r="D770" s="27"/>
      <c r="E770" s="27"/>
      <c r="F770" s="27"/>
      <c r="G770" s="27"/>
      <c r="H770" s="27"/>
      <c r="I770" s="23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3"/>
      <c r="V770" s="23"/>
      <c r="W770" s="23"/>
      <c r="X770" s="23"/>
      <c r="Y770" s="23"/>
      <c r="Z770" s="23"/>
    </row>
    <row r="771" ht="15.75" customHeight="1" spans="1:26">
      <c r="A771" s="23"/>
      <c r="B771" s="23"/>
      <c r="C771" s="23"/>
      <c r="D771" s="27"/>
      <c r="E771" s="27"/>
      <c r="F771" s="27"/>
      <c r="G771" s="27"/>
      <c r="H771" s="27"/>
      <c r="I771" s="23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3"/>
      <c r="V771" s="23"/>
      <c r="W771" s="23"/>
      <c r="X771" s="23"/>
      <c r="Y771" s="23"/>
      <c r="Z771" s="23"/>
    </row>
    <row r="772" ht="15.75" customHeight="1" spans="1:26">
      <c r="A772" s="23"/>
      <c r="B772" s="23"/>
      <c r="C772" s="23"/>
      <c r="D772" s="27"/>
      <c r="E772" s="27"/>
      <c r="F772" s="27"/>
      <c r="G772" s="27"/>
      <c r="H772" s="27"/>
      <c r="I772" s="23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3"/>
      <c r="V772" s="23"/>
      <c r="W772" s="23"/>
      <c r="X772" s="23"/>
      <c r="Y772" s="23"/>
      <c r="Z772" s="23"/>
    </row>
    <row r="773" ht="15.75" customHeight="1" spans="1:26">
      <c r="A773" s="23"/>
      <c r="B773" s="23"/>
      <c r="C773" s="23"/>
      <c r="D773" s="27"/>
      <c r="E773" s="27"/>
      <c r="F773" s="27"/>
      <c r="G773" s="27"/>
      <c r="H773" s="27"/>
      <c r="I773" s="23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3"/>
      <c r="V773" s="23"/>
      <c r="W773" s="23"/>
      <c r="X773" s="23"/>
      <c r="Y773" s="23"/>
      <c r="Z773" s="23"/>
    </row>
    <row r="774" ht="15.75" customHeight="1" spans="1:26">
      <c r="A774" s="23"/>
      <c r="B774" s="23"/>
      <c r="C774" s="23"/>
      <c r="D774" s="27"/>
      <c r="E774" s="27"/>
      <c r="F774" s="27"/>
      <c r="G774" s="27"/>
      <c r="H774" s="27"/>
      <c r="I774" s="23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3"/>
      <c r="V774" s="23"/>
      <c r="W774" s="23"/>
      <c r="X774" s="23"/>
      <c r="Y774" s="23"/>
      <c r="Z774" s="23"/>
    </row>
    <row r="775" ht="15.75" customHeight="1" spans="1:26">
      <c r="A775" s="23"/>
      <c r="B775" s="23"/>
      <c r="C775" s="23"/>
      <c r="D775" s="27"/>
      <c r="E775" s="27"/>
      <c r="F775" s="27"/>
      <c r="G775" s="27"/>
      <c r="H775" s="27"/>
      <c r="I775" s="23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3"/>
      <c r="V775" s="23"/>
      <c r="W775" s="23"/>
      <c r="X775" s="23"/>
      <c r="Y775" s="23"/>
      <c r="Z775" s="23"/>
    </row>
    <row r="776" ht="15.75" customHeight="1" spans="1:26">
      <c r="A776" s="23"/>
      <c r="B776" s="23"/>
      <c r="C776" s="23"/>
      <c r="D776" s="27"/>
      <c r="E776" s="27"/>
      <c r="F776" s="27"/>
      <c r="G776" s="27"/>
      <c r="H776" s="27"/>
      <c r="I776" s="23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3"/>
      <c r="V776" s="23"/>
      <c r="W776" s="23"/>
      <c r="X776" s="23"/>
      <c r="Y776" s="23"/>
      <c r="Z776" s="23"/>
    </row>
    <row r="777" ht="15.75" customHeight="1" spans="1:26">
      <c r="A777" s="23"/>
      <c r="B777" s="23"/>
      <c r="C777" s="23"/>
      <c r="D777" s="27"/>
      <c r="E777" s="27"/>
      <c r="F777" s="27"/>
      <c r="G777" s="27"/>
      <c r="H777" s="27"/>
      <c r="I777" s="23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3"/>
      <c r="V777" s="23"/>
      <c r="W777" s="23"/>
      <c r="X777" s="23"/>
      <c r="Y777" s="23"/>
      <c r="Z777" s="23"/>
    </row>
    <row r="778" ht="15.75" customHeight="1" spans="1:26">
      <c r="A778" s="23"/>
      <c r="B778" s="23"/>
      <c r="C778" s="23"/>
      <c r="D778" s="27"/>
      <c r="E778" s="27"/>
      <c r="F778" s="27"/>
      <c r="G778" s="27"/>
      <c r="H778" s="27"/>
      <c r="I778" s="23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3"/>
      <c r="V778" s="23"/>
      <c r="W778" s="23"/>
      <c r="X778" s="23"/>
      <c r="Y778" s="23"/>
      <c r="Z778" s="23"/>
    </row>
    <row r="779" ht="15.75" customHeight="1" spans="1:26">
      <c r="A779" s="23"/>
      <c r="B779" s="23"/>
      <c r="C779" s="23"/>
      <c r="D779" s="27"/>
      <c r="E779" s="27"/>
      <c r="F779" s="27"/>
      <c r="G779" s="27"/>
      <c r="H779" s="27"/>
      <c r="I779" s="23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3"/>
      <c r="V779" s="23"/>
      <c r="W779" s="23"/>
      <c r="X779" s="23"/>
      <c r="Y779" s="23"/>
      <c r="Z779" s="23"/>
    </row>
    <row r="780" ht="15.75" customHeight="1" spans="1:26">
      <c r="A780" s="23"/>
      <c r="B780" s="23"/>
      <c r="C780" s="23"/>
      <c r="D780" s="27"/>
      <c r="E780" s="27"/>
      <c r="F780" s="27"/>
      <c r="G780" s="27"/>
      <c r="H780" s="27"/>
      <c r="I780" s="23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3"/>
      <c r="V780" s="23"/>
      <c r="W780" s="23"/>
      <c r="X780" s="23"/>
      <c r="Y780" s="23"/>
      <c r="Z780" s="23"/>
    </row>
    <row r="781" ht="15.75" customHeight="1" spans="1:26">
      <c r="A781" s="23"/>
      <c r="B781" s="23"/>
      <c r="C781" s="23"/>
      <c r="D781" s="27"/>
      <c r="E781" s="27"/>
      <c r="F781" s="27"/>
      <c r="G781" s="27"/>
      <c r="H781" s="27"/>
      <c r="I781" s="23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3"/>
      <c r="V781" s="23"/>
      <c r="W781" s="23"/>
      <c r="X781" s="23"/>
      <c r="Y781" s="23"/>
      <c r="Z781" s="23"/>
    </row>
    <row r="782" ht="15.75" customHeight="1" spans="1:26">
      <c r="A782" s="23"/>
      <c r="B782" s="23"/>
      <c r="C782" s="23"/>
      <c r="D782" s="27"/>
      <c r="E782" s="27"/>
      <c r="F782" s="27"/>
      <c r="G782" s="27"/>
      <c r="H782" s="27"/>
      <c r="I782" s="23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3"/>
      <c r="V782" s="23"/>
      <c r="W782" s="23"/>
      <c r="X782" s="23"/>
      <c r="Y782" s="23"/>
      <c r="Z782" s="23"/>
    </row>
    <row r="783" ht="15.75" customHeight="1" spans="1:26">
      <c r="A783" s="23"/>
      <c r="B783" s="23"/>
      <c r="C783" s="23"/>
      <c r="D783" s="27"/>
      <c r="E783" s="27"/>
      <c r="F783" s="27"/>
      <c r="G783" s="27"/>
      <c r="H783" s="27"/>
      <c r="I783" s="23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3"/>
      <c r="V783" s="23"/>
      <c r="W783" s="23"/>
      <c r="X783" s="23"/>
      <c r="Y783" s="23"/>
      <c r="Z783" s="23"/>
    </row>
    <row r="784" ht="15.75" customHeight="1" spans="1:26">
      <c r="A784" s="23"/>
      <c r="B784" s="23"/>
      <c r="C784" s="23"/>
      <c r="D784" s="27"/>
      <c r="E784" s="27"/>
      <c r="F784" s="27"/>
      <c r="G784" s="27"/>
      <c r="H784" s="27"/>
      <c r="I784" s="23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3"/>
      <c r="V784" s="23"/>
      <c r="W784" s="23"/>
      <c r="X784" s="23"/>
      <c r="Y784" s="23"/>
      <c r="Z784" s="23"/>
    </row>
    <row r="785" ht="15.75" customHeight="1" spans="1:26">
      <c r="A785" s="23"/>
      <c r="B785" s="23"/>
      <c r="C785" s="23"/>
      <c r="D785" s="27"/>
      <c r="E785" s="27"/>
      <c r="F785" s="27"/>
      <c r="G785" s="27"/>
      <c r="H785" s="27"/>
      <c r="I785" s="23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3"/>
      <c r="V785" s="23"/>
      <c r="W785" s="23"/>
      <c r="X785" s="23"/>
      <c r="Y785" s="23"/>
      <c r="Z785" s="23"/>
    </row>
    <row r="786" ht="15.75" customHeight="1" spans="1:26">
      <c r="A786" s="23"/>
      <c r="B786" s="23"/>
      <c r="C786" s="23"/>
      <c r="D786" s="27"/>
      <c r="E786" s="27"/>
      <c r="F786" s="27"/>
      <c r="G786" s="27"/>
      <c r="H786" s="27"/>
      <c r="I786" s="23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3"/>
      <c r="V786" s="23"/>
      <c r="W786" s="23"/>
      <c r="X786" s="23"/>
      <c r="Y786" s="23"/>
      <c r="Z786" s="23"/>
    </row>
    <row r="787" ht="15.75" customHeight="1" spans="1:26">
      <c r="A787" s="23"/>
      <c r="B787" s="23"/>
      <c r="C787" s="23"/>
      <c r="D787" s="27"/>
      <c r="E787" s="27"/>
      <c r="F787" s="27"/>
      <c r="G787" s="27"/>
      <c r="H787" s="27"/>
      <c r="I787" s="23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3"/>
      <c r="V787" s="23"/>
      <c r="W787" s="23"/>
      <c r="X787" s="23"/>
      <c r="Y787" s="23"/>
      <c r="Z787" s="23"/>
    </row>
    <row r="788" ht="15.75" customHeight="1" spans="1:26">
      <c r="A788" s="23"/>
      <c r="B788" s="23"/>
      <c r="C788" s="23"/>
      <c r="D788" s="27"/>
      <c r="E788" s="27"/>
      <c r="F788" s="27"/>
      <c r="G788" s="27"/>
      <c r="H788" s="27"/>
      <c r="I788" s="23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3"/>
      <c r="V788" s="23"/>
      <c r="W788" s="23"/>
      <c r="X788" s="23"/>
      <c r="Y788" s="23"/>
      <c r="Z788" s="23"/>
    </row>
    <row r="789" ht="15.75" customHeight="1" spans="1:26">
      <c r="A789" s="23"/>
      <c r="B789" s="23"/>
      <c r="C789" s="23"/>
      <c r="D789" s="27"/>
      <c r="E789" s="27"/>
      <c r="F789" s="27"/>
      <c r="G789" s="27"/>
      <c r="H789" s="27"/>
      <c r="I789" s="23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3"/>
      <c r="V789" s="23"/>
      <c r="W789" s="23"/>
      <c r="X789" s="23"/>
      <c r="Y789" s="23"/>
      <c r="Z789" s="23"/>
    </row>
    <row r="790" ht="15.75" customHeight="1" spans="1:26">
      <c r="A790" s="23"/>
      <c r="B790" s="23"/>
      <c r="C790" s="23"/>
      <c r="D790" s="27"/>
      <c r="E790" s="27"/>
      <c r="F790" s="27"/>
      <c r="G790" s="27"/>
      <c r="H790" s="27"/>
      <c r="I790" s="23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3"/>
      <c r="V790" s="23"/>
      <c r="W790" s="23"/>
      <c r="X790" s="23"/>
      <c r="Y790" s="23"/>
      <c r="Z790" s="23"/>
    </row>
    <row r="791" ht="15.75" customHeight="1" spans="1:26">
      <c r="A791" s="23"/>
      <c r="B791" s="23"/>
      <c r="C791" s="23"/>
      <c r="D791" s="27"/>
      <c r="E791" s="27"/>
      <c r="F791" s="27"/>
      <c r="G791" s="27"/>
      <c r="H791" s="27"/>
      <c r="I791" s="23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3"/>
      <c r="V791" s="23"/>
      <c r="W791" s="23"/>
      <c r="X791" s="23"/>
      <c r="Y791" s="23"/>
      <c r="Z791" s="23"/>
    </row>
    <row r="792" ht="15.75" customHeight="1" spans="1:26">
      <c r="A792" s="23"/>
      <c r="B792" s="23"/>
      <c r="C792" s="23"/>
      <c r="D792" s="27"/>
      <c r="E792" s="27"/>
      <c r="F792" s="27"/>
      <c r="G792" s="27"/>
      <c r="H792" s="27"/>
      <c r="I792" s="23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3"/>
      <c r="V792" s="23"/>
      <c r="W792" s="23"/>
      <c r="X792" s="23"/>
      <c r="Y792" s="23"/>
      <c r="Z792" s="23"/>
    </row>
    <row r="793" ht="15.75" customHeight="1" spans="1:26">
      <c r="A793" s="23"/>
      <c r="B793" s="23"/>
      <c r="C793" s="23"/>
      <c r="D793" s="27"/>
      <c r="E793" s="27"/>
      <c r="F793" s="27"/>
      <c r="G793" s="27"/>
      <c r="H793" s="27"/>
      <c r="I793" s="23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3"/>
      <c r="V793" s="23"/>
      <c r="W793" s="23"/>
      <c r="X793" s="23"/>
      <c r="Y793" s="23"/>
      <c r="Z793" s="23"/>
    </row>
    <row r="794" ht="15.75" customHeight="1" spans="1:26">
      <c r="A794" s="23"/>
      <c r="B794" s="23"/>
      <c r="C794" s="23"/>
      <c r="D794" s="27"/>
      <c r="E794" s="27"/>
      <c r="F794" s="27"/>
      <c r="G794" s="27"/>
      <c r="H794" s="27"/>
      <c r="I794" s="23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3"/>
      <c r="V794" s="23"/>
      <c r="W794" s="23"/>
      <c r="X794" s="23"/>
      <c r="Y794" s="23"/>
      <c r="Z794" s="23"/>
    </row>
    <row r="795" ht="15.75" customHeight="1" spans="1:26">
      <c r="A795" s="23"/>
      <c r="B795" s="23"/>
      <c r="C795" s="23"/>
      <c r="D795" s="27"/>
      <c r="E795" s="27"/>
      <c r="F795" s="27"/>
      <c r="G795" s="27"/>
      <c r="H795" s="27"/>
      <c r="I795" s="23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3"/>
      <c r="V795" s="23"/>
      <c r="W795" s="23"/>
      <c r="X795" s="23"/>
      <c r="Y795" s="23"/>
      <c r="Z795" s="23"/>
    </row>
    <row r="796" ht="15.75" customHeight="1" spans="1:26">
      <c r="A796" s="23"/>
      <c r="B796" s="23"/>
      <c r="C796" s="23"/>
      <c r="D796" s="27"/>
      <c r="E796" s="27"/>
      <c r="F796" s="27"/>
      <c r="G796" s="27"/>
      <c r="H796" s="27"/>
      <c r="I796" s="23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3"/>
      <c r="V796" s="23"/>
      <c r="W796" s="23"/>
      <c r="X796" s="23"/>
      <c r="Y796" s="23"/>
      <c r="Z796" s="23"/>
    </row>
    <row r="797" ht="15.75" customHeight="1" spans="1:26">
      <c r="A797" s="23"/>
      <c r="B797" s="23"/>
      <c r="C797" s="23"/>
      <c r="D797" s="27"/>
      <c r="E797" s="27"/>
      <c r="F797" s="27"/>
      <c r="G797" s="27"/>
      <c r="H797" s="27"/>
      <c r="I797" s="23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3"/>
      <c r="V797" s="23"/>
      <c r="W797" s="23"/>
      <c r="X797" s="23"/>
      <c r="Y797" s="23"/>
      <c r="Z797" s="23"/>
    </row>
    <row r="798" ht="15.75" customHeight="1" spans="1:26">
      <c r="A798" s="23"/>
      <c r="B798" s="23"/>
      <c r="C798" s="23"/>
      <c r="D798" s="27"/>
      <c r="E798" s="27"/>
      <c r="F798" s="27"/>
      <c r="G798" s="27"/>
      <c r="H798" s="27"/>
      <c r="I798" s="23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3"/>
      <c r="V798" s="23"/>
      <c r="W798" s="23"/>
      <c r="X798" s="23"/>
      <c r="Y798" s="23"/>
      <c r="Z798" s="23"/>
    </row>
    <row r="799" ht="15.75" customHeight="1" spans="1:26">
      <c r="A799" s="23"/>
      <c r="B799" s="23"/>
      <c r="C799" s="23"/>
      <c r="D799" s="27"/>
      <c r="E799" s="27"/>
      <c r="F799" s="27"/>
      <c r="G799" s="27"/>
      <c r="H799" s="27"/>
      <c r="I799" s="23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3"/>
      <c r="V799" s="23"/>
      <c r="W799" s="23"/>
      <c r="X799" s="23"/>
      <c r="Y799" s="23"/>
      <c r="Z799" s="23"/>
    </row>
    <row r="800" ht="15.75" customHeight="1" spans="1:26">
      <c r="A800" s="23"/>
      <c r="B800" s="23"/>
      <c r="C800" s="23"/>
      <c r="D800" s="27"/>
      <c r="E800" s="27"/>
      <c r="F800" s="27"/>
      <c r="G800" s="27"/>
      <c r="H800" s="27"/>
      <c r="I800" s="23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3"/>
      <c r="V800" s="23"/>
      <c r="W800" s="23"/>
      <c r="X800" s="23"/>
      <c r="Y800" s="23"/>
      <c r="Z800" s="23"/>
    </row>
    <row r="801" ht="15.75" customHeight="1" spans="1:26">
      <c r="A801" s="23"/>
      <c r="B801" s="23"/>
      <c r="C801" s="23"/>
      <c r="D801" s="27"/>
      <c r="E801" s="27"/>
      <c r="F801" s="27"/>
      <c r="G801" s="27"/>
      <c r="H801" s="27"/>
      <c r="I801" s="23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3"/>
      <c r="V801" s="23"/>
      <c r="W801" s="23"/>
      <c r="X801" s="23"/>
      <c r="Y801" s="23"/>
      <c r="Z801" s="23"/>
    </row>
    <row r="802" ht="15.75" customHeight="1" spans="1:26">
      <c r="A802" s="23"/>
      <c r="B802" s="23"/>
      <c r="C802" s="23"/>
      <c r="D802" s="27"/>
      <c r="E802" s="27"/>
      <c r="F802" s="27"/>
      <c r="G802" s="27"/>
      <c r="H802" s="27"/>
      <c r="I802" s="23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3"/>
      <c r="V802" s="23"/>
      <c r="W802" s="23"/>
      <c r="X802" s="23"/>
      <c r="Y802" s="23"/>
      <c r="Z802" s="23"/>
    </row>
    <row r="803" ht="15.75" customHeight="1" spans="1:26">
      <c r="A803" s="23"/>
      <c r="B803" s="23"/>
      <c r="C803" s="23"/>
      <c r="D803" s="27"/>
      <c r="E803" s="27"/>
      <c r="F803" s="27"/>
      <c r="G803" s="27"/>
      <c r="H803" s="27"/>
      <c r="I803" s="23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3"/>
      <c r="V803" s="23"/>
      <c r="W803" s="23"/>
      <c r="X803" s="23"/>
      <c r="Y803" s="23"/>
      <c r="Z803" s="23"/>
    </row>
    <row r="804" ht="15.75" customHeight="1" spans="1:26">
      <c r="A804" s="23"/>
      <c r="B804" s="23"/>
      <c r="C804" s="23"/>
      <c r="D804" s="27"/>
      <c r="E804" s="27"/>
      <c r="F804" s="27"/>
      <c r="G804" s="27"/>
      <c r="H804" s="27"/>
      <c r="I804" s="23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3"/>
      <c r="V804" s="23"/>
      <c r="W804" s="23"/>
      <c r="X804" s="23"/>
      <c r="Y804" s="23"/>
      <c r="Z804" s="23"/>
    </row>
    <row r="805" ht="15.75" customHeight="1" spans="1:26">
      <c r="A805" s="23"/>
      <c r="B805" s="23"/>
      <c r="C805" s="23"/>
      <c r="D805" s="27"/>
      <c r="E805" s="27"/>
      <c r="F805" s="27"/>
      <c r="G805" s="27"/>
      <c r="H805" s="27"/>
      <c r="I805" s="23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3"/>
      <c r="V805" s="23"/>
      <c r="W805" s="23"/>
      <c r="X805" s="23"/>
      <c r="Y805" s="23"/>
      <c r="Z805" s="23"/>
    </row>
    <row r="806" ht="15.75" customHeight="1" spans="1:26">
      <c r="A806" s="23"/>
      <c r="B806" s="23"/>
      <c r="C806" s="23"/>
      <c r="D806" s="27"/>
      <c r="E806" s="27"/>
      <c r="F806" s="27"/>
      <c r="G806" s="27"/>
      <c r="H806" s="27"/>
      <c r="I806" s="23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3"/>
      <c r="V806" s="23"/>
      <c r="W806" s="23"/>
      <c r="X806" s="23"/>
      <c r="Y806" s="23"/>
      <c r="Z806" s="23"/>
    </row>
    <row r="807" ht="15.75" customHeight="1" spans="1:26">
      <c r="A807" s="23"/>
      <c r="B807" s="23"/>
      <c r="C807" s="23"/>
      <c r="D807" s="27"/>
      <c r="E807" s="27"/>
      <c r="F807" s="27"/>
      <c r="G807" s="27"/>
      <c r="H807" s="27"/>
      <c r="I807" s="23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3"/>
      <c r="V807" s="23"/>
      <c r="W807" s="23"/>
      <c r="X807" s="23"/>
      <c r="Y807" s="23"/>
      <c r="Z807" s="23"/>
    </row>
    <row r="808" ht="15.75" customHeight="1" spans="1:26">
      <c r="A808" s="23"/>
      <c r="B808" s="23"/>
      <c r="C808" s="23"/>
      <c r="D808" s="27"/>
      <c r="E808" s="27"/>
      <c r="F808" s="27"/>
      <c r="G808" s="27"/>
      <c r="H808" s="27"/>
      <c r="I808" s="23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3"/>
      <c r="V808" s="23"/>
      <c r="W808" s="23"/>
      <c r="X808" s="23"/>
      <c r="Y808" s="23"/>
      <c r="Z808" s="23"/>
    </row>
    <row r="809" ht="15.75" customHeight="1" spans="1:26">
      <c r="A809" s="23"/>
      <c r="B809" s="23"/>
      <c r="C809" s="23"/>
      <c r="D809" s="27"/>
      <c r="E809" s="27"/>
      <c r="F809" s="27"/>
      <c r="G809" s="27"/>
      <c r="H809" s="27"/>
      <c r="I809" s="23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3"/>
      <c r="V809" s="23"/>
      <c r="W809" s="23"/>
      <c r="X809" s="23"/>
      <c r="Y809" s="23"/>
      <c r="Z809" s="23"/>
    </row>
    <row r="810" ht="15.75" customHeight="1" spans="1:26">
      <c r="A810" s="23"/>
      <c r="B810" s="23"/>
      <c r="C810" s="23"/>
      <c r="D810" s="27"/>
      <c r="E810" s="27"/>
      <c r="F810" s="27"/>
      <c r="G810" s="27"/>
      <c r="H810" s="27"/>
      <c r="I810" s="23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3"/>
      <c r="V810" s="23"/>
      <c r="W810" s="23"/>
      <c r="X810" s="23"/>
      <c r="Y810" s="23"/>
      <c r="Z810" s="23"/>
    </row>
    <row r="811" ht="15.75" customHeight="1" spans="1:26">
      <c r="A811" s="23"/>
      <c r="B811" s="23"/>
      <c r="C811" s="23"/>
      <c r="D811" s="27"/>
      <c r="E811" s="27"/>
      <c r="F811" s="27"/>
      <c r="G811" s="27"/>
      <c r="H811" s="27"/>
      <c r="I811" s="23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3"/>
      <c r="V811" s="23"/>
      <c r="W811" s="23"/>
      <c r="X811" s="23"/>
      <c r="Y811" s="23"/>
      <c r="Z811" s="23"/>
    </row>
    <row r="812" ht="15.75" customHeight="1" spans="1:26">
      <c r="A812" s="23"/>
      <c r="B812" s="23"/>
      <c r="C812" s="23"/>
      <c r="D812" s="27"/>
      <c r="E812" s="27"/>
      <c r="F812" s="27"/>
      <c r="G812" s="27"/>
      <c r="H812" s="27"/>
      <c r="I812" s="23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3"/>
      <c r="V812" s="23"/>
      <c r="W812" s="23"/>
      <c r="X812" s="23"/>
      <c r="Y812" s="23"/>
      <c r="Z812" s="23"/>
    </row>
    <row r="813" ht="15.75" customHeight="1" spans="1:26">
      <c r="A813" s="23"/>
      <c r="B813" s="23"/>
      <c r="C813" s="23"/>
      <c r="D813" s="27"/>
      <c r="E813" s="27"/>
      <c r="F813" s="27"/>
      <c r="G813" s="27"/>
      <c r="H813" s="27"/>
      <c r="I813" s="23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3"/>
      <c r="V813" s="23"/>
      <c r="W813" s="23"/>
      <c r="X813" s="23"/>
      <c r="Y813" s="23"/>
      <c r="Z813" s="23"/>
    </row>
    <row r="814" ht="15.75" customHeight="1" spans="1:26">
      <c r="A814" s="23"/>
      <c r="B814" s="23"/>
      <c r="C814" s="23"/>
      <c r="D814" s="27"/>
      <c r="E814" s="27"/>
      <c r="F814" s="27"/>
      <c r="G814" s="27"/>
      <c r="H814" s="27"/>
      <c r="I814" s="23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3"/>
      <c r="V814" s="23"/>
      <c r="W814" s="23"/>
      <c r="X814" s="23"/>
      <c r="Y814" s="23"/>
      <c r="Z814" s="23"/>
    </row>
    <row r="815" ht="15.75" customHeight="1" spans="1:26">
      <c r="A815" s="23"/>
      <c r="B815" s="23"/>
      <c r="C815" s="23"/>
      <c r="D815" s="27"/>
      <c r="E815" s="27"/>
      <c r="F815" s="27"/>
      <c r="G815" s="27"/>
      <c r="H815" s="27"/>
      <c r="I815" s="23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3"/>
      <c r="V815" s="23"/>
      <c r="W815" s="23"/>
      <c r="X815" s="23"/>
      <c r="Y815" s="23"/>
      <c r="Z815" s="23"/>
    </row>
    <row r="816" ht="15.75" customHeight="1" spans="1:26">
      <c r="A816" s="23"/>
      <c r="B816" s="23"/>
      <c r="C816" s="23"/>
      <c r="D816" s="27"/>
      <c r="E816" s="27"/>
      <c r="F816" s="27"/>
      <c r="G816" s="27"/>
      <c r="H816" s="27"/>
      <c r="I816" s="23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3"/>
      <c r="V816" s="23"/>
      <c r="W816" s="23"/>
      <c r="X816" s="23"/>
      <c r="Y816" s="23"/>
      <c r="Z816" s="23"/>
    </row>
    <row r="817" ht="15.75" customHeight="1" spans="1:26">
      <c r="A817" s="23"/>
      <c r="B817" s="23"/>
      <c r="C817" s="23"/>
      <c r="D817" s="27"/>
      <c r="E817" s="27"/>
      <c r="F817" s="27"/>
      <c r="G817" s="27"/>
      <c r="H817" s="27"/>
      <c r="I817" s="23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3"/>
      <c r="V817" s="23"/>
      <c r="W817" s="23"/>
      <c r="X817" s="23"/>
      <c r="Y817" s="23"/>
      <c r="Z817" s="23"/>
    </row>
    <row r="818" ht="15.75" customHeight="1" spans="1:26">
      <c r="A818" s="23"/>
      <c r="B818" s="23"/>
      <c r="C818" s="23"/>
      <c r="D818" s="27"/>
      <c r="E818" s="27"/>
      <c r="F818" s="27"/>
      <c r="G818" s="27"/>
      <c r="H818" s="27"/>
      <c r="I818" s="23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3"/>
      <c r="V818" s="23"/>
      <c r="W818" s="23"/>
      <c r="X818" s="23"/>
      <c r="Y818" s="23"/>
      <c r="Z818" s="23"/>
    </row>
    <row r="819" ht="15.75" customHeight="1" spans="1:26">
      <c r="A819" s="23"/>
      <c r="B819" s="23"/>
      <c r="C819" s="23"/>
      <c r="D819" s="27"/>
      <c r="E819" s="27"/>
      <c r="F819" s="27"/>
      <c r="G819" s="27"/>
      <c r="H819" s="27"/>
      <c r="I819" s="23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3"/>
      <c r="V819" s="23"/>
      <c r="W819" s="23"/>
      <c r="X819" s="23"/>
      <c r="Y819" s="23"/>
      <c r="Z819" s="23"/>
    </row>
    <row r="820" ht="15.75" customHeight="1" spans="1:26">
      <c r="A820" s="23"/>
      <c r="B820" s="23"/>
      <c r="C820" s="23"/>
      <c r="D820" s="27"/>
      <c r="E820" s="27"/>
      <c r="F820" s="27"/>
      <c r="G820" s="27"/>
      <c r="H820" s="27"/>
      <c r="I820" s="23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3"/>
      <c r="V820" s="23"/>
      <c r="W820" s="23"/>
      <c r="X820" s="23"/>
      <c r="Y820" s="23"/>
      <c r="Z820" s="23"/>
    </row>
    <row r="821" ht="15.75" customHeight="1" spans="1:26">
      <c r="A821" s="23"/>
      <c r="B821" s="23"/>
      <c r="C821" s="23"/>
      <c r="D821" s="27"/>
      <c r="E821" s="27"/>
      <c r="F821" s="27"/>
      <c r="G821" s="27"/>
      <c r="H821" s="27"/>
      <c r="I821" s="23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3"/>
      <c r="V821" s="23"/>
      <c r="W821" s="23"/>
      <c r="X821" s="23"/>
      <c r="Y821" s="23"/>
      <c r="Z821" s="23"/>
    </row>
    <row r="822" ht="15.75" customHeight="1" spans="1:26">
      <c r="A822" s="23"/>
      <c r="B822" s="23"/>
      <c r="C822" s="23"/>
      <c r="D822" s="27"/>
      <c r="E822" s="27"/>
      <c r="F822" s="27"/>
      <c r="G822" s="27"/>
      <c r="H822" s="27"/>
      <c r="I822" s="23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3"/>
      <c r="V822" s="23"/>
      <c r="W822" s="23"/>
      <c r="X822" s="23"/>
      <c r="Y822" s="23"/>
      <c r="Z822" s="23"/>
    </row>
    <row r="823" ht="15.75" customHeight="1" spans="1:26">
      <c r="A823" s="23"/>
      <c r="B823" s="23"/>
      <c r="C823" s="23"/>
      <c r="D823" s="27"/>
      <c r="E823" s="27"/>
      <c r="F823" s="27"/>
      <c r="G823" s="27"/>
      <c r="H823" s="27"/>
      <c r="I823" s="23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3"/>
      <c r="V823" s="23"/>
      <c r="W823" s="23"/>
      <c r="X823" s="23"/>
      <c r="Y823" s="23"/>
      <c r="Z823" s="23"/>
    </row>
    <row r="824" ht="15.75" customHeight="1" spans="1:26">
      <c r="A824" s="23"/>
      <c r="B824" s="23"/>
      <c r="C824" s="23"/>
      <c r="D824" s="27"/>
      <c r="E824" s="27"/>
      <c r="F824" s="27"/>
      <c r="G824" s="27"/>
      <c r="H824" s="27"/>
      <c r="I824" s="23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3"/>
      <c r="V824" s="23"/>
      <c r="W824" s="23"/>
      <c r="X824" s="23"/>
      <c r="Y824" s="23"/>
      <c r="Z824" s="23"/>
    </row>
    <row r="825" ht="15.75" customHeight="1" spans="1:26">
      <c r="A825" s="23"/>
      <c r="B825" s="23"/>
      <c r="C825" s="23"/>
      <c r="D825" s="27"/>
      <c r="E825" s="27"/>
      <c r="F825" s="27"/>
      <c r="G825" s="27"/>
      <c r="H825" s="27"/>
      <c r="I825" s="23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3"/>
      <c r="V825" s="23"/>
      <c r="W825" s="23"/>
      <c r="X825" s="23"/>
      <c r="Y825" s="23"/>
      <c r="Z825" s="23"/>
    </row>
    <row r="826" ht="15.75" customHeight="1" spans="1:26">
      <c r="A826" s="23"/>
      <c r="B826" s="23"/>
      <c r="C826" s="23"/>
      <c r="D826" s="27"/>
      <c r="E826" s="27"/>
      <c r="F826" s="27"/>
      <c r="G826" s="27"/>
      <c r="H826" s="27"/>
      <c r="I826" s="23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3"/>
      <c r="V826" s="23"/>
      <c r="W826" s="23"/>
      <c r="X826" s="23"/>
      <c r="Y826" s="23"/>
      <c r="Z826" s="23"/>
    </row>
    <row r="827" ht="15.75" customHeight="1" spans="1:26">
      <c r="A827" s="23"/>
      <c r="B827" s="23"/>
      <c r="C827" s="23"/>
      <c r="D827" s="27"/>
      <c r="E827" s="27"/>
      <c r="F827" s="27"/>
      <c r="G827" s="27"/>
      <c r="H827" s="27"/>
      <c r="I827" s="23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3"/>
      <c r="V827" s="23"/>
      <c r="W827" s="23"/>
      <c r="X827" s="23"/>
      <c r="Y827" s="23"/>
      <c r="Z827" s="23"/>
    </row>
    <row r="828" ht="15.75" customHeight="1" spans="1:26">
      <c r="A828" s="23"/>
      <c r="B828" s="23"/>
      <c r="C828" s="23"/>
      <c r="D828" s="27"/>
      <c r="E828" s="27"/>
      <c r="F828" s="27"/>
      <c r="G828" s="27"/>
      <c r="H828" s="27"/>
      <c r="I828" s="23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3"/>
      <c r="V828" s="23"/>
      <c r="W828" s="23"/>
      <c r="X828" s="23"/>
      <c r="Y828" s="23"/>
      <c r="Z828" s="23"/>
    </row>
    <row r="829" ht="15.75" customHeight="1" spans="1:26">
      <c r="A829" s="23"/>
      <c r="B829" s="23"/>
      <c r="C829" s="23"/>
      <c r="D829" s="27"/>
      <c r="E829" s="27"/>
      <c r="F829" s="27"/>
      <c r="G829" s="27"/>
      <c r="H829" s="27"/>
      <c r="I829" s="23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3"/>
      <c r="V829" s="23"/>
      <c r="W829" s="23"/>
      <c r="X829" s="23"/>
      <c r="Y829" s="23"/>
      <c r="Z829" s="23"/>
    </row>
    <row r="830" ht="15.75" customHeight="1" spans="1:26">
      <c r="A830" s="23"/>
      <c r="B830" s="23"/>
      <c r="C830" s="23"/>
      <c r="D830" s="27"/>
      <c r="E830" s="27"/>
      <c r="F830" s="27"/>
      <c r="G830" s="27"/>
      <c r="H830" s="27"/>
      <c r="I830" s="23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3"/>
      <c r="V830" s="23"/>
      <c r="W830" s="23"/>
      <c r="X830" s="23"/>
      <c r="Y830" s="23"/>
      <c r="Z830" s="23"/>
    </row>
    <row r="831" ht="15.75" customHeight="1" spans="1:26">
      <c r="A831" s="23"/>
      <c r="B831" s="23"/>
      <c r="C831" s="23"/>
      <c r="D831" s="27"/>
      <c r="E831" s="27"/>
      <c r="F831" s="27"/>
      <c r="G831" s="27"/>
      <c r="H831" s="27"/>
      <c r="I831" s="23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3"/>
      <c r="V831" s="23"/>
      <c r="W831" s="23"/>
      <c r="X831" s="23"/>
      <c r="Y831" s="23"/>
      <c r="Z831" s="23"/>
    </row>
    <row r="832" ht="15.75" customHeight="1" spans="1:26">
      <c r="A832" s="23"/>
      <c r="B832" s="23"/>
      <c r="C832" s="23"/>
      <c r="D832" s="27"/>
      <c r="E832" s="27"/>
      <c r="F832" s="27"/>
      <c r="G832" s="27"/>
      <c r="H832" s="27"/>
      <c r="I832" s="23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3"/>
      <c r="V832" s="23"/>
      <c r="W832" s="23"/>
      <c r="X832" s="23"/>
      <c r="Y832" s="23"/>
      <c r="Z832" s="23"/>
    </row>
    <row r="833" ht="15.75" customHeight="1" spans="1:26">
      <c r="A833" s="23"/>
      <c r="B833" s="23"/>
      <c r="C833" s="23"/>
      <c r="D833" s="27"/>
      <c r="E833" s="27"/>
      <c r="F833" s="27"/>
      <c r="G833" s="27"/>
      <c r="H833" s="27"/>
      <c r="I833" s="23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3"/>
      <c r="V833" s="23"/>
      <c r="W833" s="23"/>
      <c r="X833" s="23"/>
      <c r="Y833" s="23"/>
      <c r="Z833" s="23"/>
    </row>
    <row r="834" ht="15.75" customHeight="1" spans="1:26">
      <c r="A834" s="23"/>
      <c r="B834" s="23"/>
      <c r="C834" s="23"/>
      <c r="D834" s="27"/>
      <c r="E834" s="27"/>
      <c r="F834" s="27"/>
      <c r="G834" s="27"/>
      <c r="H834" s="27"/>
      <c r="I834" s="23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3"/>
      <c r="V834" s="23"/>
      <c r="W834" s="23"/>
      <c r="X834" s="23"/>
      <c r="Y834" s="23"/>
      <c r="Z834" s="23"/>
    </row>
    <row r="835" ht="15.75" customHeight="1" spans="1:26">
      <c r="A835" s="23"/>
      <c r="B835" s="23"/>
      <c r="C835" s="23"/>
      <c r="D835" s="27"/>
      <c r="E835" s="27"/>
      <c r="F835" s="27"/>
      <c r="G835" s="27"/>
      <c r="H835" s="27"/>
      <c r="I835" s="23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3"/>
      <c r="V835" s="23"/>
      <c r="W835" s="23"/>
      <c r="X835" s="23"/>
      <c r="Y835" s="23"/>
      <c r="Z835" s="23"/>
    </row>
    <row r="836" ht="15.75" customHeight="1" spans="1:26">
      <c r="A836" s="23"/>
      <c r="B836" s="23"/>
      <c r="C836" s="23"/>
      <c r="D836" s="27"/>
      <c r="E836" s="27"/>
      <c r="F836" s="27"/>
      <c r="G836" s="27"/>
      <c r="H836" s="27"/>
      <c r="I836" s="23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3"/>
      <c r="V836" s="23"/>
      <c r="W836" s="23"/>
      <c r="X836" s="23"/>
      <c r="Y836" s="23"/>
      <c r="Z836" s="23"/>
    </row>
    <row r="837" ht="15.75" customHeight="1" spans="1:26">
      <c r="A837" s="23"/>
      <c r="B837" s="23"/>
      <c r="C837" s="23"/>
      <c r="D837" s="27"/>
      <c r="E837" s="27"/>
      <c r="F837" s="27"/>
      <c r="G837" s="27"/>
      <c r="H837" s="27"/>
      <c r="I837" s="23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3"/>
      <c r="V837" s="23"/>
      <c r="W837" s="23"/>
      <c r="X837" s="23"/>
      <c r="Y837" s="23"/>
      <c r="Z837" s="23"/>
    </row>
    <row r="838" ht="15.75" customHeight="1" spans="1:26">
      <c r="A838" s="23"/>
      <c r="B838" s="23"/>
      <c r="C838" s="23"/>
      <c r="D838" s="27"/>
      <c r="E838" s="27"/>
      <c r="F838" s="27"/>
      <c r="G838" s="27"/>
      <c r="H838" s="27"/>
      <c r="I838" s="23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3"/>
      <c r="V838" s="23"/>
      <c r="W838" s="23"/>
      <c r="X838" s="23"/>
      <c r="Y838" s="23"/>
      <c r="Z838" s="23"/>
    </row>
    <row r="839" ht="15.75" customHeight="1" spans="1:26">
      <c r="A839" s="23"/>
      <c r="B839" s="23"/>
      <c r="C839" s="23"/>
      <c r="D839" s="27"/>
      <c r="E839" s="27"/>
      <c r="F839" s="27"/>
      <c r="G839" s="27"/>
      <c r="H839" s="27"/>
      <c r="I839" s="23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3"/>
      <c r="V839" s="23"/>
      <c r="W839" s="23"/>
      <c r="X839" s="23"/>
      <c r="Y839" s="23"/>
      <c r="Z839" s="23"/>
    </row>
    <row r="840" ht="15.75" customHeight="1" spans="1:26">
      <c r="A840" s="23"/>
      <c r="B840" s="23"/>
      <c r="C840" s="23"/>
      <c r="D840" s="27"/>
      <c r="E840" s="27"/>
      <c r="F840" s="27"/>
      <c r="G840" s="27"/>
      <c r="H840" s="27"/>
      <c r="I840" s="23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3"/>
      <c r="V840" s="23"/>
      <c r="W840" s="23"/>
      <c r="X840" s="23"/>
      <c r="Y840" s="23"/>
      <c r="Z840" s="23"/>
    </row>
    <row r="841" ht="15.75" customHeight="1" spans="1:26">
      <c r="A841" s="23"/>
      <c r="B841" s="23"/>
      <c r="C841" s="23"/>
      <c r="D841" s="27"/>
      <c r="E841" s="27"/>
      <c r="F841" s="27"/>
      <c r="G841" s="27"/>
      <c r="H841" s="27"/>
      <c r="I841" s="23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3"/>
      <c r="V841" s="23"/>
      <c r="W841" s="23"/>
      <c r="X841" s="23"/>
      <c r="Y841" s="23"/>
      <c r="Z841" s="23"/>
    </row>
    <row r="842" ht="15.75" customHeight="1" spans="1:26">
      <c r="A842" s="23"/>
      <c r="B842" s="23"/>
      <c r="C842" s="23"/>
      <c r="D842" s="27"/>
      <c r="E842" s="27"/>
      <c r="F842" s="27"/>
      <c r="G842" s="27"/>
      <c r="H842" s="27"/>
      <c r="I842" s="23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3"/>
      <c r="V842" s="23"/>
      <c r="W842" s="23"/>
      <c r="X842" s="23"/>
      <c r="Y842" s="23"/>
      <c r="Z842" s="23"/>
    </row>
    <row r="843" ht="15.75" customHeight="1" spans="1:26">
      <c r="A843" s="23"/>
      <c r="B843" s="23"/>
      <c r="C843" s="23"/>
      <c r="D843" s="27"/>
      <c r="E843" s="27"/>
      <c r="F843" s="27"/>
      <c r="G843" s="27"/>
      <c r="H843" s="27"/>
      <c r="I843" s="23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3"/>
      <c r="V843" s="23"/>
      <c r="W843" s="23"/>
      <c r="X843" s="23"/>
      <c r="Y843" s="23"/>
      <c r="Z843" s="23"/>
    </row>
    <row r="844" ht="15.75" customHeight="1" spans="1:26">
      <c r="A844" s="23"/>
      <c r="B844" s="23"/>
      <c r="C844" s="23"/>
      <c r="D844" s="27"/>
      <c r="E844" s="27"/>
      <c r="F844" s="27"/>
      <c r="G844" s="27"/>
      <c r="H844" s="27"/>
      <c r="I844" s="23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3"/>
      <c r="V844" s="23"/>
      <c r="W844" s="23"/>
      <c r="X844" s="23"/>
      <c r="Y844" s="23"/>
      <c r="Z844" s="23"/>
    </row>
    <row r="845" ht="15.75" customHeight="1" spans="1:26">
      <c r="A845" s="23"/>
      <c r="B845" s="23"/>
      <c r="C845" s="23"/>
      <c r="D845" s="27"/>
      <c r="E845" s="27"/>
      <c r="F845" s="27"/>
      <c r="G845" s="27"/>
      <c r="H845" s="27"/>
      <c r="I845" s="23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3"/>
      <c r="V845" s="23"/>
      <c r="W845" s="23"/>
      <c r="X845" s="23"/>
      <c r="Y845" s="23"/>
      <c r="Z845" s="23"/>
    </row>
    <row r="846" ht="15.75" customHeight="1" spans="1:26">
      <c r="A846" s="23"/>
      <c r="B846" s="23"/>
      <c r="C846" s="23"/>
      <c r="D846" s="27"/>
      <c r="E846" s="27"/>
      <c r="F846" s="27"/>
      <c r="G846" s="27"/>
      <c r="H846" s="27"/>
      <c r="I846" s="23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3"/>
      <c r="V846" s="23"/>
      <c r="W846" s="23"/>
      <c r="X846" s="23"/>
      <c r="Y846" s="23"/>
      <c r="Z846" s="23"/>
    </row>
    <row r="847" ht="15.75" customHeight="1" spans="1:26">
      <c r="A847" s="23"/>
      <c r="B847" s="23"/>
      <c r="C847" s="23"/>
      <c r="D847" s="27"/>
      <c r="E847" s="27"/>
      <c r="F847" s="27"/>
      <c r="G847" s="27"/>
      <c r="H847" s="27"/>
      <c r="I847" s="23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3"/>
      <c r="V847" s="23"/>
      <c r="W847" s="23"/>
      <c r="X847" s="23"/>
      <c r="Y847" s="23"/>
      <c r="Z847" s="23"/>
    </row>
    <row r="848" ht="15.75" customHeight="1" spans="1:26">
      <c r="A848" s="23"/>
      <c r="B848" s="23"/>
      <c r="C848" s="23"/>
      <c r="D848" s="27"/>
      <c r="E848" s="27"/>
      <c r="F848" s="27"/>
      <c r="G848" s="27"/>
      <c r="H848" s="27"/>
      <c r="I848" s="23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3"/>
      <c r="V848" s="23"/>
      <c r="W848" s="23"/>
      <c r="X848" s="23"/>
      <c r="Y848" s="23"/>
      <c r="Z848" s="23"/>
    </row>
    <row r="849" ht="15.75" customHeight="1" spans="1:26">
      <c r="A849" s="23"/>
      <c r="B849" s="23"/>
      <c r="C849" s="23"/>
      <c r="D849" s="27"/>
      <c r="E849" s="27"/>
      <c r="F849" s="27"/>
      <c r="G849" s="27"/>
      <c r="H849" s="27"/>
      <c r="I849" s="23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3"/>
      <c r="V849" s="23"/>
      <c r="W849" s="23"/>
      <c r="X849" s="23"/>
      <c r="Y849" s="23"/>
      <c r="Z849" s="23"/>
    </row>
    <row r="850" ht="15.75" customHeight="1" spans="1:26">
      <c r="A850" s="23"/>
      <c r="B850" s="23"/>
      <c r="C850" s="23"/>
      <c r="D850" s="27"/>
      <c r="E850" s="27"/>
      <c r="F850" s="27"/>
      <c r="G850" s="27"/>
      <c r="H850" s="27"/>
      <c r="I850" s="23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3"/>
      <c r="V850" s="23"/>
      <c r="W850" s="23"/>
      <c r="X850" s="23"/>
      <c r="Y850" s="23"/>
      <c r="Z850" s="23"/>
    </row>
    <row r="851" ht="15.75" customHeight="1" spans="1:26">
      <c r="A851" s="23"/>
      <c r="B851" s="23"/>
      <c r="C851" s="23"/>
      <c r="D851" s="27"/>
      <c r="E851" s="27"/>
      <c r="F851" s="27"/>
      <c r="G851" s="27"/>
      <c r="H851" s="27"/>
      <c r="I851" s="23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3"/>
      <c r="V851" s="23"/>
      <c r="W851" s="23"/>
      <c r="X851" s="23"/>
      <c r="Y851" s="23"/>
      <c r="Z851" s="23"/>
    </row>
    <row r="852" ht="15.75" customHeight="1" spans="1:26">
      <c r="A852" s="23"/>
      <c r="B852" s="23"/>
      <c r="C852" s="23"/>
      <c r="D852" s="27"/>
      <c r="E852" s="27"/>
      <c r="F852" s="27"/>
      <c r="G852" s="27"/>
      <c r="H852" s="27"/>
      <c r="I852" s="23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3"/>
      <c r="V852" s="23"/>
      <c r="W852" s="23"/>
      <c r="X852" s="23"/>
      <c r="Y852" s="23"/>
      <c r="Z852" s="23"/>
    </row>
    <row r="853" ht="15.75" customHeight="1" spans="1:26">
      <c r="A853" s="23"/>
      <c r="B853" s="23"/>
      <c r="C853" s="23"/>
      <c r="D853" s="27"/>
      <c r="E853" s="27"/>
      <c r="F853" s="27"/>
      <c r="G853" s="27"/>
      <c r="H853" s="27"/>
      <c r="I853" s="23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3"/>
      <c r="V853" s="23"/>
      <c r="W853" s="23"/>
      <c r="X853" s="23"/>
      <c r="Y853" s="23"/>
      <c r="Z853" s="23"/>
    </row>
    <row r="854" ht="15.75" customHeight="1" spans="1:26">
      <c r="A854" s="23"/>
      <c r="B854" s="23"/>
      <c r="C854" s="23"/>
      <c r="D854" s="27"/>
      <c r="E854" s="27"/>
      <c r="F854" s="27"/>
      <c r="G854" s="27"/>
      <c r="H854" s="27"/>
      <c r="I854" s="23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3"/>
      <c r="V854" s="23"/>
      <c r="W854" s="23"/>
      <c r="X854" s="23"/>
      <c r="Y854" s="23"/>
      <c r="Z854" s="23"/>
    </row>
    <row r="855" ht="15.75" customHeight="1" spans="1:26">
      <c r="A855" s="23"/>
      <c r="B855" s="23"/>
      <c r="C855" s="23"/>
      <c r="D855" s="27"/>
      <c r="E855" s="27"/>
      <c r="F855" s="27"/>
      <c r="G855" s="27"/>
      <c r="H855" s="27"/>
      <c r="I855" s="23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3"/>
      <c r="V855" s="23"/>
      <c r="W855" s="23"/>
      <c r="X855" s="23"/>
      <c r="Y855" s="23"/>
      <c r="Z855" s="23"/>
    </row>
    <row r="856" ht="15.75" customHeight="1" spans="1:26">
      <c r="A856" s="23"/>
      <c r="B856" s="23"/>
      <c r="C856" s="23"/>
      <c r="D856" s="27"/>
      <c r="E856" s="27"/>
      <c r="F856" s="27"/>
      <c r="G856" s="27"/>
      <c r="H856" s="27"/>
      <c r="I856" s="23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3"/>
      <c r="V856" s="23"/>
      <c r="W856" s="23"/>
      <c r="X856" s="23"/>
      <c r="Y856" s="23"/>
      <c r="Z856" s="23"/>
    </row>
    <row r="857" ht="15.75" customHeight="1" spans="1:26">
      <c r="A857" s="23"/>
      <c r="B857" s="23"/>
      <c r="C857" s="23"/>
      <c r="D857" s="27"/>
      <c r="E857" s="27"/>
      <c r="F857" s="27"/>
      <c r="G857" s="27"/>
      <c r="H857" s="27"/>
      <c r="I857" s="23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3"/>
      <c r="V857" s="23"/>
      <c r="W857" s="23"/>
      <c r="X857" s="23"/>
      <c r="Y857" s="23"/>
      <c r="Z857" s="23"/>
    </row>
    <row r="858" ht="15.75" customHeight="1" spans="1:26">
      <c r="A858" s="23"/>
      <c r="B858" s="23"/>
      <c r="C858" s="23"/>
      <c r="D858" s="27"/>
      <c r="E858" s="27"/>
      <c r="F858" s="27"/>
      <c r="G858" s="27"/>
      <c r="H858" s="27"/>
      <c r="I858" s="23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3"/>
      <c r="V858" s="23"/>
      <c r="W858" s="23"/>
      <c r="X858" s="23"/>
      <c r="Y858" s="23"/>
      <c r="Z858" s="23"/>
    </row>
    <row r="859" ht="15.75" customHeight="1" spans="1:26">
      <c r="A859" s="23"/>
      <c r="B859" s="23"/>
      <c r="C859" s="23"/>
      <c r="D859" s="27"/>
      <c r="E859" s="27"/>
      <c r="F859" s="27"/>
      <c r="G859" s="27"/>
      <c r="H859" s="27"/>
      <c r="I859" s="23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3"/>
      <c r="V859" s="23"/>
      <c r="W859" s="23"/>
      <c r="X859" s="23"/>
      <c r="Y859" s="23"/>
      <c r="Z859" s="23"/>
    </row>
    <row r="860" ht="15.75" customHeight="1" spans="1:26">
      <c r="A860" s="23"/>
      <c r="B860" s="23"/>
      <c r="C860" s="23"/>
      <c r="D860" s="27"/>
      <c r="E860" s="27"/>
      <c r="F860" s="27"/>
      <c r="G860" s="27"/>
      <c r="H860" s="27"/>
      <c r="I860" s="23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3"/>
      <c r="V860" s="23"/>
      <c r="W860" s="23"/>
      <c r="X860" s="23"/>
      <c r="Y860" s="23"/>
      <c r="Z860" s="23"/>
    </row>
    <row r="861" ht="15.75" customHeight="1" spans="1:26">
      <c r="A861" s="23"/>
      <c r="B861" s="23"/>
      <c r="C861" s="23"/>
      <c r="D861" s="27"/>
      <c r="E861" s="27"/>
      <c r="F861" s="27"/>
      <c r="G861" s="27"/>
      <c r="H861" s="27"/>
      <c r="I861" s="23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3"/>
      <c r="V861" s="23"/>
      <c r="W861" s="23"/>
      <c r="X861" s="23"/>
      <c r="Y861" s="23"/>
      <c r="Z861" s="23"/>
    </row>
    <row r="862" ht="15.75" customHeight="1" spans="1:26">
      <c r="A862" s="23"/>
      <c r="B862" s="23"/>
      <c r="C862" s="23"/>
      <c r="D862" s="27"/>
      <c r="E862" s="27"/>
      <c r="F862" s="27"/>
      <c r="G862" s="27"/>
      <c r="H862" s="27"/>
      <c r="I862" s="23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3"/>
      <c r="V862" s="23"/>
      <c r="W862" s="23"/>
      <c r="X862" s="23"/>
      <c r="Y862" s="23"/>
      <c r="Z862" s="23"/>
    </row>
    <row r="863" ht="15.75" customHeight="1" spans="1:26">
      <c r="A863" s="23"/>
      <c r="B863" s="23"/>
      <c r="C863" s="23"/>
      <c r="D863" s="27"/>
      <c r="E863" s="27"/>
      <c r="F863" s="27"/>
      <c r="G863" s="27"/>
      <c r="H863" s="27"/>
      <c r="I863" s="23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3"/>
      <c r="V863" s="23"/>
      <c r="W863" s="23"/>
      <c r="X863" s="23"/>
      <c r="Y863" s="23"/>
      <c r="Z863" s="23"/>
    </row>
    <row r="864" ht="15.75" customHeight="1" spans="1:26">
      <c r="A864" s="23"/>
      <c r="B864" s="23"/>
      <c r="C864" s="23"/>
      <c r="D864" s="27"/>
      <c r="E864" s="27"/>
      <c r="F864" s="27"/>
      <c r="G864" s="27"/>
      <c r="H864" s="27"/>
      <c r="I864" s="23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3"/>
      <c r="V864" s="23"/>
      <c r="W864" s="23"/>
      <c r="X864" s="23"/>
      <c r="Y864" s="23"/>
      <c r="Z864" s="23"/>
    </row>
    <row r="865" ht="15.75" customHeight="1" spans="1:26">
      <c r="A865" s="23"/>
      <c r="B865" s="23"/>
      <c r="C865" s="23"/>
      <c r="D865" s="27"/>
      <c r="E865" s="27"/>
      <c r="F865" s="27"/>
      <c r="G865" s="27"/>
      <c r="H865" s="27"/>
      <c r="I865" s="23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3"/>
      <c r="V865" s="23"/>
      <c r="W865" s="23"/>
      <c r="X865" s="23"/>
      <c r="Y865" s="23"/>
      <c r="Z865" s="23"/>
    </row>
    <row r="866" ht="15.75" customHeight="1" spans="1:26">
      <c r="A866" s="23"/>
      <c r="B866" s="23"/>
      <c r="C866" s="23"/>
      <c r="D866" s="27"/>
      <c r="E866" s="27"/>
      <c r="F866" s="27"/>
      <c r="G866" s="27"/>
      <c r="H866" s="27"/>
      <c r="I866" s="23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3"/>
      <c r="V866" s="23"/>
      <c r="W866" s="23"/>
      <c r="X866" s="23"/>
      <c r="Y866" s="23"/>
      <c r="Z866" s="23"/>
    </row>
    <row r="867" ht="15.75" customHeight="1" spans="1:26">
      <c r="A867" s="23"/>
      <c r="B867" s="23"/>
      <c r="C867" s="23"/>
      <c r="D867" s="27"/>
      <c r="E867" s="27"/>
      <c r="F867" s="27"/>
      <c r="G867" s="27"/>
      <c r="H867" s="27"/>
      <c r="I867" s="23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3"/>
      <c r="V867" s="23"/>
      <c r="W867" s="23"/>
      <c r="X867" s="23"/>
      <c r="Y867" s="23"/>
      <c r="Z867" s="23"/>
    </row>
    <row r="868" ht="15.75" customHeight="1" spans="1:26">
      <c r="A868" s="23"/>
      <c r="B868" s="23"/>
      <c r="C868" s="23"/>
      <c r="D868" s="27"/>
      <c r="E868" s="27"/>
      <c r="F868" s="27"/>
      <c r="G868" s="27"/>
      <c r="H868" s="27"/>
      <c r="I868" s="23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3"/>
      <c r="V868" s="23"/>
      <c r="W868" s="23"/>
      <c r="X868" s="23"/>
      <c r="Y868" s="23"/>
      <c r="Z868" s="23"/>
    </row>
    <row r="869" ht="15.75" customHeight="1" spans="1:26">
      <c r="A869" s="23"/>
      <c r="B869" s="23"/>
      <c r="C869" s="23"/>
      <c r="D869" s="27"/>
      <c r="E869" s="27"/>
      <c r="F869" s="27"/>
      <c r="G869" s="27"/>
      <c r="H869" s="27"/>
      <c r="I869" s="23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3"/>
      <c r="V869" s="23"/>
      <c r="W869" s="23"/>
      <c r="X869" s="23"/>
      <c r="Y869" s="23"/>
      <c r="Z869" s="23"/>
    </row>
    <row r="870" ht="15.75" customHeight="1" spans="1:26">
      <c r="A870" s="23"/>
      <c r="B870" s="23"/>
      <c r="C870" s="23"/>
      <c r="D870" s="27"/>
      <c r="E870" s="27"/>
      <c r="F870" s="27"/>
      <c r="G870" s="27"/>
      <c r="H870" s="27"/>
      <c r="I870" s="23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3"/>
      <c r="V870" s="23"/>
      <c r="W870" s="23"/>
      <c r="X870" s="23"/>
      <c r="Y870" s="23"/>
      <c r="Z870" s="23"/>
    </row>
    <row r="871" ht="15.75" customHeight="1" spans="1:26">
      <c r="A871" s="23"/>
      <c r="B871" s="23"/>
      <c r="C871" s="23"/>
      <c r="D871" s="27"/>
      <c r="E871" s="27"/>
      <c r="F871" s="27"/>
      <c r="G871" s="27"/>
      <c r="H871" s="27"/>
      <c r="I871" s="23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3"/>
      <c r="V871" s="23"/>
      <c r="W871" s="23"/>
      <c r="X871" s="23"/>
      <c r="Y871" s="23"/>
      <c r="Z871" s="23"/>
    </row>
    <row r="872" ht="15.75" customHeight="1" spans="1:26">
      <c r="A872" s="23"/>
      <c r="B872" s="23"/>
      <c r="C872" s="23"/>
      <c r="D872" s="27"/>
      <c r="E872" s="27"/>
      <c r="F872" s="27"/>
      <c r="G872" s="27"/>
      <c r="H872" s="27"/>
      <c r="I872" s="23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3"/>
      <c r="V872" s="23"/>
      <c r="W872" s="23"/>
      <c r="X872" s="23"/>
      <c r="Y872" s="23"/>
      <c r="Z872" s="23"/>
    </row>
    <row r="873" ht="15.75" customHeight="1" spans="1:26">
      <c r="A873" s="23"/>
      <c r="B873" s="23"/>
      <c r="C873" s="23"/>
      <c r="D873" s="27"/>
      <c r="E873" s="27"/>
      <c r="F873" s="27"/>
      <c r="G873" s="27"/>
      <c r="H873" s="27"/>
      <c r="I873" s="23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3"/>
      <c r="V873" s="23"/>
      <c r="W873" s="23"/>
      <c r="X873" s="23"/>
      <c r="Y873" s="23"/>
      <c r="Z873" s="23"/>
    </row>
    <row r="874" ht="15.75" customHeight="1" spans="1:26">
      <c r="A874" s="23"/>
      <c r="B874" s="23"/>
      <c r="C874" s="23"/>
      <c r="D874" s="27"/>
      <c r="E874" s="27"/>
      <c r="F874" s="27"/>
      <c r="G874" s="27"/>
      <c r="H874" s="27"/>
      <c r="I874" s="23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3"/>
      <c r="V874" s="23"/>
      <c r="W874" s="23"/>
      <c r="X874" s="23"/>
      <c r="Y874" s="23"/>
      <c r="Z874" s="23"/>
    </row>
    <row r="875" ht="15.75" customHeight="1" spans="1:26">
      <c r="A875" s="23"/>
      <c r="B875" s="23"/>
      <c r="C875" s="23"/>
      <c r="D875" s="27"/>
      <c r="E875" s="27"/>
      <c r="F875" s="27"/>
      <c r="G875" s="27"/>
      <c r="H875" s="27"/>
      <c r="I875" s="23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3"/>
      <c r="V875" s="23"/>
      <c r="W875" s="23"/>
      <c r="X875" s="23"/>
      <c r="Y875" s="23"/>
      <c r="Z875" s="23"/>
    </row>
    <row r="876" ht="15.75" customHeight="1" spans="1:26">
      <c r="A876" s="23"/>
      <c r="B876" s="23"/>
      <c r="C876" s="23"/>
      <c r="D876" s="27"/>
      <c r="E876" s="27"/>
      <c r="F876" s="27"/>
      <c r="G876" s="27"/>
      <c r="H876" s="27"/>
      <c r="I876" s="23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3"/>
      <c r="V876" s="23"/>
      <c r="W876" s="23"/>
      <c r="X876" s="23"/>
      <c r="Y876" s="23"/>
      <c r="Z876" s="23"/>
    </row>
    <row r="877" ht="15.75" customHeight="1" spans="1:26">
      <c r="A877" s="23"/>
      <c r="B877" s="23"/>
      <c r="C877" s="23"/>
      <c r="D877" s="27"/>
      <c r="E877" s="27"/>
      <c r="F877" s="27"/>
      <c r="G877" s="27"/>
      <c r="H877" s="27"/>
      <c r="I877" s="23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3"/>
      <c r="V877" s="23"/>
      <c r="W877" s="23"/>
      <c r="X877" s="23"/>
      <c r="Y877" s="23"/>
      <c r="Z877" s="23"/>
    </row>
    <row r="878" ht="15.75" customHeight="1" spans="1:26">
      <c r="A878" s="23"/>
      <c r="B878" s="23"/>
      <c r="C878" s="23"/>
      <c r="D878" s="27"/>
      <c r="E878" s="27"/>
      <c r="F878" s="27"/>
      <c r="G878" s="27"/>
      <c r="H878" s="27"/>
      <c r="I878" s="23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3"/>
      <c r="V878" s="23"/>
      <c r="W878" s="23"/>
      <c r="X878" s="23"/>
      <c r="Y878" s="23"/>
      <c r="Z878" s="23"/>
    </row>
    <row r="879" ht="15.75" customHeight="1" spans="1:26">
      <c r="A879" s="23"/>
      <c r="B879" s="23"/>
      <c r="C879" s="23"/>
      <c r="D879" s="27"/>
      <c r="E879" s="27"/>
      <c r="F879" s="27"/>
      <c r="G879" s="27"/>
      <c r="H879" s="27"/>
      <c r="I879" s="23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3"/>
      <c r="V879" s="23"/>
      <c r="W879" s="23"/>
      <c r="X879" s="23"/>
      <c r="Y879" s="23"/>
      <c r="Z879" s="23"/>
    </row>
    <row r="880" ht="15.75" customHeight="1" spans="1:26">
      <c r="A880" s="23"/>
      <c r="B880" s="23"/>
      <c r="C880" s="23"/>
      <c r="D880" s="27"/>
      <c r="E880" s="27"/>
      <c r="F880" s="27"/>
      <c r="G880" s="27"/>
      <c r="H880" s="27"/>
      <c r="I880" s="23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3"/>
      <c r="V880" s="23"/>
      <c r="W880" s="23"/>
      <c r="X880" s="23"/>
      <c r="Y880" s="23"/>
      <c r="Z880" s="23"/>
    </row>
    <row r="881" ht="15.75" customHeight="1" spans="1:26">
      <c r="A881" s="23"/>
      <c r="B881" s="23"/>
      <c r="C881" s="23"/>
      <c r="D881" s="27"/>
      <c r="E881" s="27"/>
      <c r="F881" s="27"/>
      <c r="G881" s="27"/>
      <c r="H881" s="27"/>
      <c r="I881" s="23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3"/>
      <c r="V881" s="23"/>
      <c r="W881" s="23"/>
      <c r="X881" s="23"/>
      <c r="Y881" s="23"/>
      <c r="Z881" s="23"/>
    </row>
    <row r="882" ht="15.75" customHeight="1" spans="1:26">
      <c r="A882" s="23"/>
      <c r="B882" s="23"/>
      <c r="C882" s="23"/>
      <c r="D882" s="27"/>
      <c r="E882" s="27"/>
      <c r="F882" s="27"/>
      <c r="G882" s="27"/>
      <c r="H882" s="27"/>
      <c r="I882" s="23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3"/>
      <c r="V882" s="23"/>
      <c r="W882" s="23"/>
      <c r="X882" s="23"/>
      <c r="Y882" s="23"/>
      <c r="Z882" s="23"/>
    </row>
    <row r="883" ht="15.75" customHeight="1" spans="1:26">
      <c r="A883" s="23"/>
      <c r="B883" s="23"/>
      <c r="C883" s="23"/>
      <c r="D883" s="27"/>
      <c r="E883" s="27"/>
      <c r="F883" s="27"/>
      <c r="G883" s="27"/>
      <c r="H883" s="27"/>
      <c r="I883" s="23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3"/>
      <c r="V883" s="23"/>
      <c r="W883" s="23"/>
      <c r="X883" s="23"/>
      <c r="Y883" s="23"/>
      <c r="Z883" s="23"/>
    </row>
    <row r="884" ht="15.75" customHeight="1" spans="1:26">
      <c r="A884" s="23"/>
      <c r="B884" s="23"/>
      <c r="C884" s="23"/>
      <c r="D884" s="27"/>
      <c r="E884" s="27"/>
      <c r="F884" s="27"/>
      <c r="G884" s="27"/>
      <c r="H884" s="27"/>
      <c r="I884" s="23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3"/>
      <c r="V884" s="23"/>
      <c r="W884" s="23"/>
      <c r="X884" s="23"/>
      <c r="Y884" s="23"/>
      <c r="Z884" s="23"/>
    </row>
    <row r="885" ht="15.75" customHeight="1" spans="1:26">
      <c r="A885" s="23"/>
      <c r="B885" s="23"/>
      <c r="C885" s="23"/>
      <c r="D885" s="27"/>
      <c r="E885" s="27"/>
      <c r="F885" s="27"/>
      <c r="G885" s="27"/>
      <c r="H885" s="27"/>
      <c r="I885" s="23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3"/>
      <c r="V885" s="23"/>
      <c r="W885" s="23"/>
      <c r="X885" s="23"/>
      <c r="Y885" s="23"/>
      <c r="Z885" s="23"/>
    </row>
    <row r="886" ht="15.75" customHeight="1" spans="1:26">
      <c r="A886" s="23"/>
      <c r="B886" s="23"/>
      <c r="C886" s="23"/>
      <c r="D886" s="27"/>
      <c r="E886" s="27"/>
      <c r="F886" s="27"/>
      <c r="G886" s="27"/>
      <c r="H886" s="27"/>
      <c r="I886" s="23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3"/>
      <c r="V886" s="23"/>
      <c r="W886" s="23"/>
      <c r="X886" s="23"/>
      <c r="Y886" s="23"/>
      <c r="Z886" s="23"/>
    </row>
    <row r="887" ht="15.75" customHeight="1" spans="1:26">
      <c r="A887" s="23"/>
      <c r="B887" s="23"/>
      <c r="C887" s="23"/>
      <c r="D887" s="27"/>
      <c r="E887" s="27"/>
      <c r="F887" s="27"/>
      <c r="G887" s="27"/>
      <c r="H887" s="27"/>
      <c r="I887" s="23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3"/>
      <c r="V887" s="23"/>
      <c r="W887" s="23"/>
      <c r="X887" s="23"/>
      <c r="Y887" s="23"/>
      <c r="Z887" s="23"/>
    </row>
    <row r="888" ht="15.75" customHeight="1" spans="1:26">
      <c r="A888" s="23"/>
      <c r="B888" s="23"/>
      <c r="C888" s="23"/>
      <c r="D888" s="27"/>
      <c r="E888" s="27"/>
      <c r="F888" s="27"/>
      <c r="G888" s="27"/>
      <c r="H888" s="27"/>
      <c r="I888" s="23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3"/>
      <c r="V888" s="23"/>
      <c r="W888" s="23"/>
      <c r="X888" s="23"/>
      <c r="Y888" s="23"/>
      <c r="Z888" s="23"/>
    </row>
    <row r="889" ht="15.75" customHeight="1" spans="1:26">
      <c r="A889" s="23"/>
      <c r="B889" s="23"/>
      <c r="C889" s="23"/>
      <c r="D889" s="27"/>
      <c r="E889" s="27"/>
      <c r="F889" s="27"/>
      <c r="G889" s="27"/>
      <c r="H889" s="27"/>
      <c r="I889" s="23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3"/>
      <c r="V889" s="23"/>
      <c r="W889" s="23"/>
      <c r="X889" s="23"/>
      <c r="Y889" s="23"/>
      <c r="Z889" s="23"/>
    </row>
    <row r="890" ht="15.75" customHeight="1" spans="1:26">
      <c r="A890" s="23"/>
      <c r="B890" s="23"/>
      <c r="C890" s="23"/>
      <c r="D890" s="27"/>
      <c r="E890" s="27"/>
      <c r="F890" s="27"/>
      <c r="G890" s="27"/>
      <c r="H890" s="27"/>
      <c r="I890" s="23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3"/>
      <c r="V890" s="23"/>
      <c r="W890" s="23"/>
      <c r="X890" s="23"/>
      <c r="Y890" s="23"/>
      <c r="Z890" s="23"/>
    </row>
    <row r="891" ht="15.75" customHeight="1" spans="1:26">
      <c r="A891" s="23"/>
      <c r="B891" s="23"/>
      <c r="C891" s="23"/>
      <c r="D891" s="27"/>
      <c r="E891" s="27"/>
      <c r="F891" s="27"/>
      <c r="G891" s="27"/>
      <c r="H891" s="27"/>
      <c r="I891" s="23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3"/>
      <c r="V891" s="23"/>
      <c r="W891" s="23"/>
      <c r="X891" s="23"/>
      <c r="Y891" s="23"/>
      <c r="Z891" s="23"/>
    </row>
    <row r="892" ht="15.75" customHeight="1" spans="1:26">
      <c r="A892" s="23"/>
      <c r="B892" s="23"/>
      <c r="C892" s="23"/>
      <c r="D892" s="27"/>
      <c r="E892" s="27"/>
      <c r="F892" s="27"/>
      <c r="G892" s="27"/>
      <c r="H892" s="27"/>
      <c r="I892" s="23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3"/>
      <c r="V892" s="23"/>
      <c r="W892" s="23"/>
      <c r="X892" s="23"/>
      <c r="Y892" s="23"/>
      <c r="Z892" s="23"/>
    </row>
    <row r="893" ht="15.75" customHeight="1" spans="1:26">
      <c r="A893" s="23"/>
      <c r="B893" s="23"/>
      <c r="C893" s="23"/>
      <c r="D893" s="27"/>
      <c r="E893" s="27"/>
      <c r="F893" s="27"/>
      <c r="G893" s="27"/>
      <c r="H893" s="27"/>
      <c r="I893" s="23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3"/>
      <c r="V893" s="23"/>
      <c r="W893" s="23"/>
      <c r="X893" s="23"/>
      <c r="Y893" s="23"/>
      <c r="Z893" s="23"/>
    </row>
    <row r="894" ht="15.75" customHeight="1" spans="1:26">
      <c r="A894" s="23"/>
      <c r="B894" s="23"/>
      <c r="C894" s="23"/>
      <c r="D894" s="27"/>
      <c r="E894" s="27"/>
      <c r="F894" s="27"/>
      <c r="G894" s="27"/>
      <c r="H894" s="27"/>
      <c r="I894" s="23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3"/>
      <c r="V894" s="23"/>
      <c r="W894" s="23"/>
      <c r="X894" s="23"/>
      <c r="Y894" s="23"/>
      <c r="Z894" s="23"/>
    </row>
    <row r="895" ht="15.75" customHeight="1" spans="1:26">
      <c r="A895" s="23"/>
      <c r="B895" s="23"/>
      <c r="C895" s="23"/>
      <c r="D895" s="27"/>
      <c r="E895" s="27"/>
      <c r="F895" s="27"/>
      <c r="G895" s="27"/>
      <c r="H895" s="27"/>
      <c r="I895" s="23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3"/>
      <c r="V895" s="23"/>
      <c r="W895" s="23"/>
      <c r="X895" s="23"/>
      <c r="Y895" s="23"/>
      <c r="Z895" s="23"/>
    </row>
    <row r="896" ht="15.75" customHeight="1" spans="1:26">
      <c r="A896" s="23"/>
      <c r="B896" s="23"/>
      <c r="C896" s="23"/>
      <c r="D896" s="27"/>
      <c r="E896" s="27"/>
      <c r="F896" s="27"/>
      <c r="G896" s="27"/>
      <c r="H896" s="27"/>
      <c r="I896" s="23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3"/>
      <c r="V896" s="23"/>
      <c r="W896" s="23"/>
      <c r="X896" s="23"/>
      <c r="Y896" s="23"/>
      <c r="Z896" s="23"/>
    </row>
    <row r="897" ht="15.75" customHeight="1" spans="1:26">
      <c r="A897" s="23"/>
      <c r="B897" s="23"/>
      <c r="C897" s="23"/>
      <c r="D897" s="27"/>
      <c r="E897" s="27"/>
      <c r="F897" s="27"/>
      <c r="G897" s="27"/>
      <c r="H897" s="27"/>
      <c r="I897" s="23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3"/>
      <c r="V897" s="23"/>
      <c r="W897" s="23"/>
      <c r="X897" s="23"/>
      <c r="Y897" s="23"/>
      <c r="Z897" s="23"/>
    </row>
    <row r="898" ht="15.75" customHeight="1" spans="1:26">
      <c r="A898" s="23"/>
      <c r="B898" s="23"/>
      <c r="C898" s="23"/>
      <c r="D898" s="27"/>
      <c r="E898" s="27"/>
      <c r="F898" s="27"/>
      <c r="G898" s="27"/>
      <c r="H898" s="27"/>
      <c r="I898" s="23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3"/>
      <c r="V898" s="23"/>
      <c r="W898" s="23"/>
      <c r="X898" s="23"/>
      <c r="Y898" s="23"/>
      <c r="Z898" s="23"/>
    </row>
    <row r="899" ht="15.75" customHeight="1" spans="1:26">
      <c r="A899" s="23"/>
      <c r="B899" s="23"/>
      <c r="C899" s="23"/>
      <c r="D899" s="27"/>
      <c r="E899" s="27"/>
      <c r="F899" s="27"/>
      <c r="G899" s="27"/>
      <c r="H899" s="27"/>
      <c r="I899" s="23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3"/>
      <c r="V899" s="23"/>
      <c r="W899" s="23"/>
      <c r="X899" s="23"/>
      <c r="Y899" s="23"/>
      <c r="Z899" s="23"/>
    </row>
    <row r="900" ht="15.75" customHeight="1" spans="1:26">
      <c r="A900" s="23"/>
      <c r="B900" s="23"/>
      <c r="C900" s="23"/>
      <c r="D900" s="27"/>
      <c r="E900" s="27"/>
      <c r="F900" s="27"/>
      <c r="G900" s="27"/>
      <c r="H900" s="27"/>
      <c r="I900" s="23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3"/>
      <c r="V900" s="23"/>
      <c r="W900" s="23"/>
      <c r="X900" s="23"/>
      <c r="Y900" s="23"/>
      <c r="Z900" s="23"/>
    </row>
    <row r="901" ht="15.75" customHeight="1" spans="1:26">
      <c r="A901" s="23"/>
      <c r="B901" s="23"/>
      <c r="C901" s="23"/>
      <c r="D901" s="27"/>
      <c r="E901" s="27"/>
      <c r="F901" s="27"/>
      <c r="G901" s="27"/>
      <c r="H901" s="27"/>
      <c r="I901" s="23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3"/>
      <c r="V901" s="23"/>
      <c r="W901" s="23"/>
      <c r="X901" s="23"/>
      <c r="Y901" s="23"/>
      <c r="Z901" s="23"/>
    </row>
    <row r="902" ht="15.75" customHeight="1" spans="1:26">
      <c r="A902" s="23"/>
      <c r="B902" s="23"/>
      <c r="C902" s="23"/>
      <c r="D902" s="27"/>
      <c r="E902" s="27"/>
      <c r="F902" s="27"/>
      <c r="G902" s="27"/>
      <c r="H902" s="27"/>
      <c r="I902" s="23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3"/>
      <c r="V902" s="23"/>
      <c r="W902" s="23"/>
      <c r="X902" s="23"/>
      <c r="Y902" s="23"/>
      <c r="Z902" s="23"/>
    </row>
    <row r="903" ht="15.75" customHeight="1" spans="1:26">
      <c r="A903" s="23"/>
      <c r="B903" s="23"/>
      <c r="C903" s="23"/>
      <c r="D903" s="27"/>
      <c r="E903" s="27"/>
      <c r="F903" s="27"/>
      <c r="G903" s="27"/>
      <c r="H903" s="27"/>
      <c r="I903" s="23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3"/>
      <c r="V903" s="23"/>
      <c r="W903" s="23"/>
      <c r="X903" s="23"/>
      <c r="Y903" s="23"/>
      <c r="Z903" s="23"/>
    </row>
    <row r="904" ht="15.75" customHeight="1" spans="1:26">
      <c r="A904" s="23"/>
      <c r="B904" s="23"/>
      <c r="C904" s="23"/>
      <c r="D904" s="27"/>
      <c r="E904" s="27"/>
      <c r="F904" s="27"/>
      <c r="G904" s="27"/>
      <c r="H904" s="27"/>
      <c r="I904" s="23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3"/>
      <c r="V904" s="23"/>
      <c r="W904" s="23"/>
      <c r="X904" s="23"/>
      <c r="Y904" s="23"/>
      <c r="Z904" s="23"/>
    </row>
    <row r="905" ht="15.75" customHeight="1" spans="1:26">
      <c r="A905" s="23"/>
      <c r="B905" s="23"/>
      <c r="C905" s="23"/>
      <c r="D905" s="27"/>
      <c r="E905" s="27"/>
      <c r="F905" s="27"/>
      <c r="G905" s="27"/>
      <c r="H905" s="27"/>
      <c r="I905" s="23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3"/>
      <c r="V905" s="23"/>
      <c r="W905" s="23"/>
      <c r="X905" s="23"/>
      <c r="Y905" s="23"/>
      <c r="Z905" s="23"/>
    </row>
    <row r="906" ht="15.75" customHeight="1" spans="1:26">
      <c r="A906" s="23"/>
      <c r="B906" s="23"/>
      <c r="C906" s="23"/>
      <c r="D906" s="27"/>
      <c r="E906" s="27"/>
      <c r="F906" s="27"/>
      <c r="G906" s="27"/>
      <c r="H906" s="27"/>
      <c r="I906" s="23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3"/>
      <c r="V906" s="23"/>
      <c r="W906" s="23"/>
      <c r="X906" s="23"/>
      <c r="Y906" s="23"/>
      <c r="Z906" s="23"/>
    </row>
    <row r="907" ht="15.75" customHeight="1" spans="1:26">
      <c r="A907" s="23"/>
      <c r="B907" s="23"/>
      <c r="C907" s="23"/>
      <c r="D907" s="27"/>
      <c r="E907" s="27"/>
      <c r="F907" s="27"/>
      <c r="G907" s="27"/>
      <c r="H907" s="27"/>
      <c r="I907" s="23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3"/>
      <c r="V907" s="23"/>
      <c r="W907" s="23"/>
      <c r="X907" s="23"/>
      <c r="Y907" s="23"/>
      <c r="Z907" s="23"/>
    </row>
    <row r="908" ht="15.75" customHeight="1" spans="1:26">
      <c r="A908" s="23"/>
      <c r="B908" s="23"/>
      <c r="C908" s="23"/>
      <c r="D908" s="27"/>
      <c r="E908" s="27"/>
      <c r="F908" s="27"/>
      <c r="G908" s="27"/>
      <c r="H908" s="27"/>
      <c r="I908" s="23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3"/>
      <c r="V908" s="23"/>
      <c r="W908" s="23"/>
      <c r="X908" s="23"/>
      <c r="Y908" s="23"/>
      <c r="Z908" s="23"/>
    </row>
    <row r="909" ht="15.75" customHeight="1" spans="1:26">
      <c r="A909" s="23"/>
      <c r="B909" s="23"/>
      <c r="C909" s="23"/>
      <c r="D909" s="27"/>
      <c r="E909" s="27"/>
      <c r="F909" s="27"/>
      <c r="G909" s="27"/>
      <c r="H909" s="27"/>
      <c r="I909" s="23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3"/>
      <c r="V909" s="23"/>
      <c r="W909" s="23"/>
      <c r="X909" s="23"/>
      <c r="Y909" s="23"/>
      <c r="Z909" s="23"/>
    </row>
    <row r="910" ht="15.75" customHeight="1" spans="1:26">
      <c r="A910" s="23"/>
      <c r="B910" s="23"/>
      <c r="C910" s="23"/>
      <c r="D910" s="27"/>
      <c r="E910" s="27"/>
      <c r="F910" s="27"/>
      <c r="G910" s="27"/>
      <c r="H910" s="27"/>
      <c r="I910" s="23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3"/>
      <c r="V910" s="23"/>
      <c r="W910" s="23"/>
      <c r="X910" s="23"/>
      <c r="Y910" s="23"/>
      <c r="Z910" s="23"/>
    </row>
    <row r="911" ht="15.75" customHeight="1" spans="1:26">
      <c r="A911" s="23"/>
      <c r="B911" s="23"/>
      <c r="C911" s="23"/>
      <c r="D911" s="27"/>
      <c r="E911" s="27"/>
      <c r="F911" s="27"/>
      <c r="G911" s="27"/>
      <c r="H911" s="27"/>
      <c r="I911" s="23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3"/>
      <c r="V911" s="23"/>
      <c r="W911" s="23"/>
      <c r="X911" s="23"/>
      <c r="Y911" s="23"/>
      <c r="Z911" s="23"/>
    </row>
    <row r="912" ht="15.75" customHeight="1" spans="1:26">
      <c r="A912" s="23"/>
      <c r="B912" s="23"/>
      <c r="C912" s="23"/>
      <c r="D912" s="27"/>
      <c r="E912" s="27"/>
      <c r="F912" s="27"/>
      <c r="G912" s="27"/>
      <c r="H912" s="27"/>
      <c r="I912" s="23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3"/>
      <c r="V912" s="23"/>
      <c r="W912" s="23"/>
      <c r="X912" s="23"/>
      <c r="Y912" s="23"/>
      <c r="Z912" s="23"/>
    </row>
    <row r="913" ht="15.75" customHeight="1" spans="1:26">
      <c r="A913" s="23"/>
      <c r="B913" s="23"/>
      <c r="C913" s="23"/>
      <c r="D913" s="27"/>
      <c r="E913" s="27"/>
      <c r="F913" s="27"/>
      <c r="G913" s="27"/>
      <c r="H913" s="27"/>
      <c r="I913" s="23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3"/>
      <c r="V913" s="23"/>
      <c r="W913" s="23"/>
      <c r="X913" s="23"/>
      <c r="Y913" s="23"/>
      <c r="Z913" s="23"/>
    </row>
    <row r="914" ht="15.75" customHeight="1" spans="1:26">
      <c r="A914" s="23"/>
      <c r="B914" s="23"/>
      <c r="C914" s="23"/>
      <c r="D914" s="27"/>
      <c r="E914" s="27"/>
      <c r="F914" s="27"/>
      <c r="G914" s="27"/>
      <c r="H914" s="27"/>
      <c r="I914" s="23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3"/>
      <c r="V914" s="23"/>
      <c r="W914" s="23"/>
      <c r="X914" s="23"/>
      <c r="Y914" s="23"/>
      <c r="Z914" s="23"/>
    </row>
    <row r="915" ht="15.75" customHeight="1" spans="1:26">
      <c r="A915" s="23"/>
      <c r="B915" s="23"/>
      <c r="C915" s="23"/>
      <c r="D915" s="27"/>
      <c r="E915" s="27"/>
      <c r="F915" s="27"/>
      <c r="G915" s="27"/>
      <c r="H915" s="27"/>
      <c r="I915" s="23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3"/>
      <c r="V915" s="23"/>
      <c r="W915" s="23"/>
      <c r="X915" s="23"/>
      <c r="Y915" s="23"/>
      <c r="Z915" s="23"/>
    </row>
    <row r="916" ht="15.75" customHeight="1" spans="1:26">
      <c r="A916" s="23"/>
      <c r="B916" s="23"/>
      <c r="C916" s="23"/>
      <c r="D916" s="27"/>
      <c r="E916" s="27"/>
      <c r="F916" s="27"/>
      <c r="G916" s="27"/>
      <c r="H916" s="27"/>
      <c r="I916" s="23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3"/>
      <c r="V916" s="23"/>
      <c r="W916" s="23"/>
      <c r="X916" s="23"/>
      <c r="Y916" s="23"/>
      <c r="Z916" s="23"/>
    </row>
    <row r="917" ht="15.75" customHeight="1" spans="1:26">
      <c r="A917" s="23"/>
      <c r="B917" s="23"/>
      <c r="C917" s="23"/>
      <c r="D917" s="27"/>
      <c r="E917" s="27"/>
      <c r="F917" s="27"/>
      <c r="G917" s="27"/>
      <c r="H917" s="27"/>
      <c r="I917" s="23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3"/>
      <c r="V917" s="23"/>
      <c r="W917" s="23"/>
      <c r="X917" s="23"/>
      <c r="Y917" s="23"/>
      <c r="Z917" s="23"/>
    </row>
    <row r="918" ht="15.75" customHeight="1" spans="1:26">
      <c r="A918" s="23"/>
      <c r="B918" s="23"/>
      <c r="C918" s="23"/>
      <c r="D918" s="27"/>
      <c r="E918" s="27"/>
      <c r="F918" s="27"/>
      <c r="G918" s="27"/>
      <c r="H918" s="27"/>
      <c r="I918" s="23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3"/>
      <c r="V918" s="23"/>
      <c r="W918" s="23"/>
      <c r="X918" s="23"/>
      <c r="Y918" s="23"/>
      <c r="Z918" s="23"/>
    </row>
    <row r="919" ht="15.75" customHeight="1" spans="1:26">
      <c r="A919" s="23"/>
      <c r="B919" s="23"/>
      <c r="C919" s="23"/>
      <c r="D919" s="27"/>
      <c r="E919" s="27"/>
      <c r="F919" s="27"/>
      <c r="G919" s="27"/>
      <c r="H919" s="27"/>
      <c r="I919" s="23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3"/>
      <c r="V919" s="23"/>
      <c r="W919" s="23"/>
      <c r="X919" s="23"/>
      <c r="Y919" s="23"/>
      <c r="Z919" s="23"/>
    </row>
    <row r="920" ht="15.75" customHeight="1" spans="1:26">
      <c r="A920" s="23"/>
      <c r="B920" s="23"/>
      <c r="C920" s="23"/>
      <c r="D920" s="27"/>
      <c r="E920" s="27"/>
      <c r="F920" s="27"/>
      <c r="G920" s="27"/>
      <c r="H920" s="27"/>
      <c r="I920" s="23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3"/>
      <c r="V920" s="23"/>
      <c r="W920" s="23"/>
      <c r="X920" s="23"/>
      <c r="Y920" s="23"/>
      <c r="Z920" s="23"/>
    </row>
    <row r="921" ht="15.75" customHeight="1" spans="1:26">
      <c r="A921" s="23"/>
      <c r="B921" s="23"/>
      <c r="C921" s="23"/>
      <c r="D921" s="27"/>
      <c r="E921" s="27"/>
      <c r="F921" s="27"/>
      <c r="G921" s="27"/>
      <c r="H921" s="27"/>
      <c r="I921" s="23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3"/>
      <c r="V921" s="23"/>
      <c r="W921" s="23"/>
      <c r="X921" s="23"/>
      <c r="Y921" s="23"/>
      <c r="Z921" s="23"/>
    </row>
    <row r="922" ht="15.75" customHeight="1" spans="1:26">
      <c r="A922" s="23"/>
      <c r="B922" s="23"/>
      <c r="C922" s="23"/>
      <c r="D922" s="27"/>
      <c r="E922" s="27"/>
      <c r="F922" s="27"/>
      <c r="G922" s="27"/>
      <c r="H922" s="27"/>
      <c r="I922" s="23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3"/>
      <c r="V922" s="23"/>
      <c r="W922" s="23"/>
      <c r="X922" s="23"/>
      <c r="Y922" s="23"/>
      <c r="Z922" s="23"/>
    </row>
    <row r="923" ht="15.75" customHeight="1" spans="1:26">
      <c r="A923" s="23"/>
      <c r="B923" s="23"/>
      <c r="C923" s="23"/>
      <c r="D923" s="27"/>
      <c r="E923" s="27"/>
      <c r="F923" s="27"/>
      <c r="G923" s="27"/>
      <c r="H923" s="27"/>
      <c r="I923" s="23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3"/>
      <c r="V923" s="23"/>
      <c r="W923" s="23"/>
      <c r="X923" s="23"/>
      <c r="Y923" s="23"/>
      <c r="Z923" s="23"/>
    </row>
    <row r="924" ht="15.75" customHeight="1" spans="1:26">
      <c r="A924" s="23"/>
      <c r="B924" s="23"/>
      <c r="C924" s="23"/>
      <c r="D924" s="27"/>
      <c r="E924" s="27"/>
      <c r="F924" s="27"/>
      <c r="G924" s="27"/>
      <c r="H924" s="27"/>
      <c r="I924" s="23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3"/>
      <c r="V924" s="23"/>
      <c r="W924" s="23"/>
      <c r="X924" s="23"/>
      <c r="Y924" s="23"/>
      <c r="Z924" s="23"/>
    </row>
    <row r="925" ht="15.75" customHeight="1" spans="1:26">
      <c r="A925" s="23"/>
      <c r="B925" s="23"/>
      <c r="C925" s="23"/>
      <c r="D925" s="27"/>
      <c r="E925" s="27"/>
      <c r="F925" s="27"/>
      <c r="G925" s="27"/>
      <c r="H925" s="27"/>
      <c r="I925" s="23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3"/>
      <c r="V925" s="23"/>
      <c r="W925" s="23"/>
      <c r="X925" s="23"/>
      <c r="Y925" s="23"/>
      <c r="Z925" s="23"/>
    </row>
    <row r="926" ht="15.75" customHeight="1" spans="1:26">
      <c r="A926" s="23"/>
      <c r="B926" s="23"/>
      <c r="C926" s="23"/>
      <c r="D926" s="27"/>
      <c r="E926" s="27"/>
      <c r="F926" s="27"/>
      <c r="G926" s="27"/>
      <c r="H926" s="27"/>
      <c r="I926" s="23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3"/>
      <c r="V926" s="23"/>
      <c r="W926" s="23"/>
      <c r="X926" s="23"/>
      <c r="Y926" s="23"/>
      <c r="Z926" s="23"/>
    </row>
    <row r="927" ht="15.75" customHeight="1" spans="1:26">
      <c r="A927" s="23"/>
      <c r="B927" s="23"/>
      <c r="C927" s="23"/>
      <c r="D927" s="27"/>
      <c r="E927" s="27"/>
      <c r="F927" s="27"/>
      <c r="G927" s="27"/>
      <c r="H927" s="27"/>
      <c r="I927" s="23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3"/>
      <c r="V927" s="23"/>
      <c r="W927" s="23"/>
      <c r="X927" s="23"/>
      <c r="Y927" s="23"/>
      <c r="Z927" s="23"/>
    </row>
    <row r="928" ht="15.75" customHeight="1" spans="1:26">
      <c r="A928" s="23"/>
      <c r="B928" s="23"/>
      <c r="C928" s="23"/>
      <c r="D928" s="27"/>
      <c r="E928" s="27"/>
      <c r="F928" s="27"/>
      <c r="G928" s="27"/>
      <c r="H928" s="27"/>
      <c r="I928" s="23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3"/>
      <c r="V928" s="23"/>
      <c r="W928" s="23"/>
      <c r="X928" s="23"/>
      <c r="Y928" s="23"/>
      <c r="Z928" s="23"/>
    </row>
    <row r="929" ht="15.75" customHeight="1" spans="1:26">
      <c r="A929" s="23"/>
      <c r="B929" s="23"/>
      <c r="C929" s="23"/>
      <c r="D929" s="27"/>
      <c r="E929" s="27"/>
      <c r="F929" s="27"/>
      <c r="G929" s="27"/>
      <c r="H929" s="27"/>
      <c r="I929" s="23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3"/>
      <c r="V929" s="23"/>
      <c r="W929" s="23"/>
      <c r="X929" s="23"/>
      <c r="Y929" s="23"/>
      <c r="Z929" s="23"/>
    </row>
    <row r="930" ht="15.75" customHeight="1" spans="1:26">
      <c r="A930" s="23"/>
      <c r="B930" s="23"/>
      <c r="C930" s="23"/>
      <c r="D930" s="27"/>
      <c r="E930" s="27"/>
      <c r="F930" s="27"/>
      <c r="G930" s="27"/>
      <c r="H930" s="27"/>
      <c r="I930" s="23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3"/>
      <c r="V930" s="23"/>
      <c r="W930" s="23"/>
      <c r="X930" s="23"/>
      <c r="Y930" s="23"/>
      <c r="Z930" s="23"/>
    </row>
    <row r="931" ht="15.75" customHeight="1" spans="1:26">
      <c r="A931" s="23"/>
      <c r="B931" s="23"/>
      <c r="C931" s="23"/>
      <c r="D931" s="27"/>
      <c r="E931" s="27"/>
      <c r="F931" s="27"/>
      <c r="G931" s="27"/>
      <c r="H931" s="27"/>
      <c r="I931" s="23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3"/>
      <c r="V931" s="23"/>
      <c r="W931" s="23"/>
      <c r="X931" s="23"/>
      <c r="Y931" s="23"/>
      <c r="Z931" s="23"/>
    </row>
    <row r="932" ht="15.75" customHeight="1" spans="1:26">
      <c r="A932" s="23"/>
      <c r="B932" s="23"/>
      <c r="C932" s="23"/>
      <c r="D932" s="27"/>
      <c r="E932" s="27"/>
      <c r="F932" s="27"/>
      <c r="G932" s="27"/>
      <c r="H932" s="27"/>
      <c r="I932" s="23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3"/>
      <c r="V932" s="23"/>
      <c r="W932" s="23"/>
      <c r="X932" s="23"/>
      <c r="Y932" s="23"/>
      <c r="Z932" s="23"/>
    </row>
    <row r="933" ht="15.75" customHeight="1" spans="1:26">
      <c r="A933" s="23"/>
      <c r="B933" s="23"/>
      <c r="C933" s="23"/>
      <c r="D933" s="27"/>
      <c r="E933" s="27"/>
      <c r="F933" s="27"/>
      <c r="G933" s="27"/>
      <c r="H933" s="27"/>
      <c r="I933" s="23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3"/>
      <c r="V933" s="23"/>
      <c r="W933" s="23"/>
      <c r="X933" s="23"/>
      <c r="Y933" s="23"/>
      <c r="Z933" s="23"/>
    </row>
    <row r="934" ht="15.75" customHeight="1" spans="1:26">
      <c r="A934" s="23"/>
      <c r="B934" s="23"/>
      <c r="C934" s="23"/>
      <c r="D934" s="27"/>
      <c r="E934" s="27"/>
      <c r="F934" s="27"/>
      <c r="G934" s="27"/>
      <c r="H934" s="27"/>
      <c r="I934" s="23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3"/>
      <c r="V934" s="23"/>
      <c r="W934" s="23"/>
      <c r="X934" s="23"/>
      <c r="Y934" s="23"/>
      <c r="Z934" s="23"/>
    </row>
    <row r="935" ht="15.75" customHeight="1" spans="1:26">
      <c r="A935" s="23"/>
      <c r="B935" s="23"/>
      <c r="C935" s="23"/>
      <c r="D935" s="27"/>
      <c r="E935" s="27"/>
      <c r="F935" s="27"/>
      <c r="G935" s="27"/>
      <c r="H935" s="27"/>
      <c r="I935" s="23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3"/>
      <c r="V935" s="23"/>
      <c r="W935" s="23"/>
      <c r="X935" s="23"/>
      <c r="Y935" s="23"/>
      <c r="Z935" s="23"/>
    </row>
    <row r="936" ht="15.75" customHeight="1" spans="1:26">
      <c r="A936" s="23"/>
      <c r="B936" s="23"/>
      <c r="C936" s="23"/>
      <c r="D936" s="27"/>
      <c r="E936" s="27"/>
      <c r="F936" s="27"/>
      <c r="G936" s="27"/>
      <c r="H936" s="27"/>
      <c r="I936" s="23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3"/>
      <c r="V936" s="23"/>
      <c r="W936" s="23"/>
      <c r="X936" s="23"/>
      <c r="Y936" s="23"/>
      <c r="Z936" s="23"/>
    </row>
    <row r="937" ht="15.75" customHeight="1" spans="1:26">
      <c r="A937" s="23"/>
      <c r="B937" s="23"/>
      <c r="C937" s="23"/>
      <c r="D937" s="27"/>
      <c r="E937" s="27"/>
      <c r="F937" s="27"/>
      <c r="G937" s="27"/>
      <c r="H937" s="27"/>
      <c r="I937" s="23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3"/>
      <c r="V937" s="23"/>
      <c r="W937" s="23"/>
      <c r="X937" s="23"/>
      <c r="Y937" s="23"/>
      <c r="Z937" s="23"/>
    </row>
    <row r="938" ht="15.75" customHeight="1" spans="1:26">
      <c r="A938" s="23"/>
      <c r="B938" s="23"/>
      <c r="C938" s="23"/>
      <c r="D938" s="27"/>
      <c r="E938" s="27"/>
      <c r="F938" s="27"/>
      <c r="G938" s="27"/>
      <c r="H938" s="27"/>
      <c r="I938" s="23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3"/>
      <c r="V938" s="23"/>
      <c r="W938" s="23"/>
      <c r="X938" s="23"/>
      <c r="Y938" s="23"/>
      <c r="Z938" s="23"/>
    </row>
    <row r="939" ht="15.75" customHeight="1" spans="1:26">
      <c r="A939" s="23"/>
      <c r="B939" s="23"/>
      <c r="C939" s="23"/>
      <c r="D939" s="27"/>
      <c r="E939" s="27"/>
      <c r="F939" s="27"/>
      <c r="G939" s="27"/>
      <c r="H939" s="27"/>
      <c r="I939" s="23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3"/>
      <c r="V939" s="23"/>
      <c r="W939" s="23"/>
      <c r="X939" s="23"/>
      <c r="Y939" s="23"/>
      <c r="Z939" s="23"/>
    </row>
    <row r="940" ht="15.75" customHeight="1" spans="1:26">
      <c r="A940" s="23"/>
      <c r="B940" s="23"/>
      <c r="C940" s="23"/>
      <c r="D940" s="27"/>
      <c r="E940" s="27"/>
      <c r="F940" s="27"/>
      <c r="G940" s="27"/>
      <c r="H940" s="27"/>
      <c r="I940" s="23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3"/>
      <c r="V940" s="23"/>
      <c r="W940" s="23"/>
      <c r="X940" s="23"/>
      <c r="Y940" s="23"/>
      <c r="Z940" s="23"/>
    </row>
    <row r="941" ht="15.75" customHeight="1" spans="1:26">
      <c r="A941" s="23"/>
      <c r="B941" s="23"/>
      <c r="C941" s="23"/>
      <c r="D941" s="27"/>
      <c r="E941" s="27"/>
      <c r="F941" s="27"/>
      <c r="G941" s="27"/>
      <c r="H941" s="27"/>
      <c r="I941" s="23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3"/>
      <c r="V941" s="23"/>
      <c r="W941" s="23"/>
      <c r="X941" s="23"/>
      <c r="Y941" s="23"/>
      <c r="Z941" s="23"/>
    </row>
    <row r="942" ht="15.75" customHeight="1" spans="1:26">
      <c r="A942" s="23"/>
      <c r="B942" s="23"/>
      <c r="C942" s="23"/>
      <c r="D942" s="27"/>
      <c r="E942" s="27"/>
      <c r="F942" s="27"/>
      <c r="G942" s="27"/>
      <c r="H942" s="27"/>
      <c r="I942" s="23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3"/>
      <c r="V942" s="23"/>
      <c r="W942" s="23"/>
      <c r="X942" s="23"/>
      <c r="Y942" s="23"/>
      <c r="Z942" s="23"/>
    </row>
    <row r="943" ht="15.75" customHeight="1" spans="1:26">
      <c r="A943" s="23"/>
      <c r="B943" s="23"/>
      <c r="C943" s="23"/>
      <c r="D943" s="27"/>
      <c r="E943" s="27"/>
      <c r="F943" s="27"/>
      <c r="G943" s="27"/>
      <c r="H943" s="27"/>
      <c r="I943" s="23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3"/>
      <c r="V943" s="23"/>
      <c r="W943" s="23"/>
      <c r="X943" s="23"/>
      <c r="Y943" s="23"/>
      <c r="Z943" s="23"/>
    </row>
    <row r="944" ht="15.75" customHeight="1" spans="1:26">
      <c r="A944" s="23"/>
      <c r="B944" s="23"/>
      <c r="C944" s="23"/>
      <c r="D944" s="27"/>
      <c r="E944" s="27"/>
      <c r="F944" s="27"/>
      <c r="G944" s="27"/>
      <c r="H944" s="27"/>
      <c r="I944" s="23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3"/>
      <c r="V944" s="23"/>
      <c r="W944" s="23"/>
      <c r="X944" s="23"/>
      <c r="Y944" s="23"/>
      <c r="Z944" s="23"/>
    </row>
    <row r="945" ht="15.75" customHeight="1" spans="1:26">
      <c r="A945" s="23"/>
      <c r="B945" s="23"/>
      <c r="C945" s="23"/>
      <c r="D945" s="27"/>
      <c r="E945" s="27"/>
      <c r="F945" s="27"/>
      <c r="G945" s="27"/>
      <c r="H945" s="27"/>
      <c r="I945" s="23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3"/>
      <c r="V945" s="23"/>
      <c r="W945" s="23"/>
      <c r="X945" s="23"/>
      <c r="Y945" s="23"/>
      <c r="Z945" s="23"/>
    </row>
    <row r="946" ht="15.75" customHeight="1" spans="1:26">
      <c r="A946" s="23"/>
      <c r="B946" s="23"/>
      <c r="C946" s="23"/>
      <c r="D946" s="27"/>
      <c r="E946" s="27"/>
      <c r="F946" s="27"/>
      <c r="G946" s="27"/>
      <c r="H946" s="27"/>
      <c r="I946" s="23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3"/>
      <c r="V946" s="23"/>
      <c r="W946" s="23"/>
      <c r="X946" s="23"/>
      <c r="Y946" s="23"/>
      <c r="Z946" s="23"/>
    </row>
    <row r="947" ht="15.75" customHeight="1" spans="1:26">
      <c r="A947" s="23"/>
      <c r="B947" s="23"/>
      <c r="C947" s="23"/>
      <c r="D947" s="27"/>
      <c r="E947" s="27"/>
      <c r="F947" s="27"/>
      <c r="G947" s="27"/>
      <c r="H947" s="27"/>
      <c r="I947" s="23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3"/>
      <c r="V947" s="23"/>
      <c r="W947" s="23"/>
      <c r="X947" s="23"/>
      <c r="Y947" s="23"/>
      <c r="Z947" s="23"/>
    </row>
    <row r="948" ht="15.75" customHeight="1" spans="1:26">
      <c r="A948" s="23"/>
      <c r="B948" s="23"/>
      <c r="C948" s="23"/>
      <c r="D948" s="27"/>
      <c r="E948" s="27"/>
      <c r="F948" s="27"/>
      <c r="G948" s="27"/>
      <c r="H948" s="27"/>
      <c r="I948" s="23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3"/>
      <c r="V948" s="23"/>
      <c r="W948" s="23"/>
      <c r="X948" s="23"/>
      <c r="Y948" s="23"/>
      <c r="Z948" s="23"/>
    </row>
    <row r="949" ht="15.75" customHeight="1" spans="1:26">
      <c r="A949" s="23"/>
      <c r="B949" s="23"/>
      <c r="C949" s="23"/>
      <c r="D949" s="27"/>
      <c r="E949" s="27"/>
      <c r="F949" s="27"/>
      <c r="G949" s="27"/>
      <c r="H949" s="27"/>
      <c r="I949" s="23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3"/>
      <c r="V949" s="23"/>
      <c r="W949" s="23"/>
      <c r="X949" s="23"/>
      <c r="Y949" s="23"/>
      <c r="Z949" s="23"/>
    </row>
    <row r="950" ht="15.75" customHeight="1" spans="1:26">
      <c r="A950" s="23"/>
      <c r="B950" s="23"/>
      <c r="C950" s="23"/>
      <c r="D950" s="27"/>
      <c r="E950" s="27"/>
      <c r="F950" s="27"/>
      <c r="G950" s="27"/>
      <c r="H950" s="27"/>
      <c r="I950" s="23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3"/>
      <c r="V950" s="23"/>
      <c r="W950" s="23"/>
      <c r="X950" s="23"/>
      <c r="Y950" s="23"/>
      <c r="Z950" s="23"/>
    </row>
    <row r="951" ht="15.75" customHeight="1" spans="1:26">
      <c r="A951" s="23"/>
      <c r="B951" s="23"/>
      <c r="C951" s="23"/>
      <c r="D951" s="27"/>
      <c r="E951" s="27"/>
      <c r="F951" s="27"/>
      <c r="G951" s="27"/>
      <c r="H951" s="27"/>
      <c r="I951" s="23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3"/>
      <c r="V951" s="23"/>
      <c r="W951" s="23"/>
      <c r="X951" s="23"/>
      <c r="Y951" s="23"/>
      <c r="Z951" s="23"/>
    </row>
    <row r="952" ht="15.75" customHeight="1" spans="1:26">
      <c r="A952" s="23"/>
      <c r="B952" s="23"/>
      <c r="C952" s="23"/>
      <c r="D952" s="27"/>
      <c r="E952" s="27"/>
      <c r="F952" s="27"/>
      <c r="G952" s="27"/>
      <c r="H952" s="27"/>
      <c r="I952" s="23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3"/>
      <c r="V952" s="23"/>
      <c r="W952" s="23"/>
      <c r="X952" s="23"/>
      <c r="Y952" s="23"/>
      <c r="Z952" s="23"/>
    </row>
    <row r="953" ht="15.75" customHeight="1" spans="1:26">
      <c r="A953" s="23"/>
      <c r="B953" s="23"/>
      <c r="C953" s="23"/>
      <c r="D953" s="27"/>
      <c r="E953" s="27"/>
      <c r="F953" s="27"/>
      <c r="G953" s="27"/>
      <c r="H953" s="27"/>
      <c r="I953" s="23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3"/>
      <c r="V953" s="23"/>
      <c r="W953" s="23"/>
      <c r="X953" s="23"/>
      <c r="Y953" s="23"/>
      <c r="Z953" s="23"/>
    </row>
    <row r="954" ht="15.75" customHeight="1" spans="1:26">
      <c r="A954" s="23"/>
      <c r="B954" s="23"/>
      <c r="C954" s="23"/>
      <c r="D954" s="27"/>
      <c r="E954" s="27"/>
      <c r="F954" s="27"/>
      <c r="G954" s="27"/>
      <c r="H954" s="27"/>
      <c r="I954" s="23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3"/>
      <c r="V954" s="23"/>
      <c r="W954" s="23"/>
      <c r="X954" s="23"/>
      <c r="Y954" s="23"/>
      <c r="Z954" s="23"/>
    </row>
    <row r="955" ht="15.75" customHeight="1" spans="1:26">
      <c r="A955" s="23"/>
      <c r="B955" s="23"/>
      <c r="C955" s="23"/>
      <c r="D955" s="27"/>
      <c r="E955" s="27"/>
      <c r="F955" s="27"/>
      <c r="G955" s="27"/>
      <c r="H955" s="27"/>
      <c r="I955" s="23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3"/>
      <c r="V955" s="23"/>
      <c r="W955" s="23"/>
      <c r="X955" s="23"/>
      <c r="Y955" s="23"/>
      <c r="Z955" s="23"/>
    </row>
    <row r="956" ht="15.75" customHeight="1" spans="1:26">
      <c r="A956" s="23"/>
      <c r="B956" s="23"/>
      <c r="C956" s="23"/>
      <c r="D956" s="27"/>
      <c r="E956" s="27"/>
      <c r="F956" s="27"/>
      <c r="G956" s="27"/>
      <c r="H956" s="27"/>
      <c r="I956" s="23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3"/>
      <c r="V956" s="23"/>
      <c r="W956" s="23"/>
      <c r="X956" s="23"/>
      <c r="Y956" s="23"/>
      <c r="Z956" s="23"/>
    </row>
    <row r="957" ht="15.75" customHeight="1" spans="1:26">
      <c r="A957" s="23"/>
      <c r="B957" s="23"/>
      <c r="C957" s="23"/>
      <c r="D957" s="27"/>
      <c r="E957" s="27"/>
      <c r="F957" s="27"/>
      <c r="G957" s="27"/>
      <c r="H957" s="27"/>
      <c r="I957" s="23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3"/>
      <c r="V957" s="23"/>
      <c r="W957" s="23"/>
      <c r="X957" s="23"/>
      <c r="Y957" s="23"/>
      <c r="Z957" s="23"/>
    </row>
    <row r="958" ht="15.75" customHeight="1" spans="1:26">
      <c r="A958" s="23"/>
      <c r="B958" s="23"/>
      <c r="C958" s="23"/>
      <c r="D958" s="27"/>
      <c r="E958" s="27"/>
      <c r="F958" s="27"/>
      <c r="G958" s="27"/>
      <c r="H958" s="27"/>
      <c r="I958" s="23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3"/>
      <c r="V958" s="23"/>
      <c r="W958" s="23"/>
      <c r="X958" s="23"/>
      <c r="Y958" s="23"/>
      <c r="Z958" s="23"/>
    </row>
    <row r="959" ht="15.75" customHeight="1" spans="1:26">
      <c r="A959" s="23"/>
      <c r="B959" s="23"/>
      <c r="C959" s="23"/>
      <c r="D959" s="27"/>
      <c r="E959" s="27"/>
      <c r="F959" s="27"/>
      <c r="G959" s="27"/>
      <c r="H959" s="27"/>
      <c r="I959" s="23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3"/>
      <c r="V959" s="23"/>
      <c r="W959" s="23"/>
      <c r="X959" s="23"/>
      <c r="Y959" s="23"/>
      <c r="Z959" s="23"/>
    </row>
    <row r="960" ht="15.75" customHeight="1" spans="1:26">
      <c r="A960" s="23"/>
      <c r="B960" s="23"/>
      <c r="C960" s="23"/>
      <c r="D960" s="27"/>
      <c r="E960" s="27"/>
      <c r="F960" s="27"/>
      <c r="G960" s="27"/>
      <c r="H960" s="27"/>
      <c r="I960" s="23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3"/>
      <c r="V960" s="23"/>
      <c r="W960" s="23"/>
      <c r="X960" s="23"/>
      <c r="Y960" s="23"/>
      <c r="Z960" s="23"/>
    </row>
    <row r="961" ht="15.75" customHeight="1" spans="1:26">
      <c r="A961" s="23"/>
      <c r="B961" s="23"/>
      <c r="C961" s="23"/>
      <c r="D961" s="27"/>
      <c r="E961" s="27"/>
      <c r="F961" s="27"/>
      <c r="G961" s="27"/>
      <c r="H961" s="27"/>
      <c r="I961" s="23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3"/>
      <c r="V961" s="23"/>
      <c r="W961" s="23"/>
      <c r="X961" s="23"/>
      <c r="Y961" s="23"/>
      <c r="Z961" s="23"/>
    </row>
    <row r="962" ht="15.75" customHeight="1" spans="1:26">
      <c r="A962" s="23"/>
      <c r="B962" s="23"/>
      <c r="C962" s="23"/>
      <c r="D962" s="27"/>
      <c r="E962" s="27"/>
      <c r="F962" s="27"/>
      <c r="G962" s="27"/>
      <c r="H962" s="27"/>
      <c r="I962" s="23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3"/>
      <c r="V962" s="23"/>
      <c r="W962" s="23"/>
      <c r="X962" s="23"/>
      <c r="Y962" s="23"/>
      <c r="Z962" s="23"/>
    </row>
    <row r="963" ht="15.75" customHeight="1" spans="1:26">
      <c r="A963" s="23"/>
      <c r="B963" s="23"/>
      <c r="C963" s="23"/>
      <c r="D963" s="27"/>
      <c r="E963" s="27"/>
      <c r="F963" s="27"/>
      <c r="G963" s="27"/>
      <c r="H963" s="27"/>
      <c r="I963" s="23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3"/>
      <c r="V963" s="23"/>
      <c r="W963" s="23"/>
      <c r="X963" s="23"/>
      <c r="Y963" s="23"/>
      <c r="Z963" s="23"/>
    </row>
    <row r="964" ht="15.75" customHeight="1" spans="1:26">
      <c r="A964" s="23"/>
      <c r="B964" s="23"/>
      <c r="C964" s="23"/>
      <c r="D964" s="27"/>
      <c r="E964" s="27"/>
      <c r="F964" s="27"/>
      <c r="G964" s="27"/>
      <c r="H964" s="27"/>
      <c r="I964" s="23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3"/>
      <c r="V964" s="23"/>
      <c r="W964" s="23"/>
      <c r="X964" s="23"/>
      <c r="Y964" s="23"/>
      <c r="Z964" s="23"/>
    </row>
    <row r="965" ht="15.75" customHeight="1" spans="1:26">
      <c r="A965" s="23"/>
      <c r="B965" s="23"/>
      <c r="C965" s="23"/>
      <c r="D965" s="27"/>
      <c r="E965" s="27"/>
      <c r="F965" s="27"/>
      <c r="G965" s="27"/>
      <c r="H965" s="27"/>
      <c r="I965" s="23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3"/>
      <c r="V965" s="23"/>
      <c r="W965" s="23"/>
      <c r="X965" s="23"/>
      <c r="Y965" s="23"/>
      <c r="Z965" s="23"/>
    </row>
    <row r="966" ht="15.75" customHeight="1" spans="1:26">
      <c r="A966" s="23"/>
      <c r="B966" s="23"/>
      <c r="C966" s="23"/>
      <c r="D966" s="27"/>
      <c r="E966" s="27"/>
      <c r="F966" s="27"/>
      <c r="G966" s="27"/>
      <c r="H966" s="27"/>
      <c r="I966" s="23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3"/>
      <c r="V966" s="23"/>
      <c r="W966" s="23"/>
      <c r="X966" s="23"/>
      <c r="Y966" s="23"/>
      <c r="Z966" s="23"/>
    </row>
    <row r="967" ht="15.75" customHeight="1" spans="1:26">
      <c r="A967" s="23"/>
      <c r="B967" s="23"/>
      <c r="C967" s="23"/>
      <c r="D967" s="27"/>
      <c r="E967" s="27"/>
      <c r="F967" s="27"/>
      <c r="G967" s="27"/>
      <c r="H967" s="27"/>
      <c r="I967" s="23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3"/>
      <c r="V967" s="23"/>
      <c r="W967" s="23"/>
      <c r="X967" s="23"/>
      <c r="Y967" s="23"/>
      <c r="Z967" s="23"/>
    </row>
    <row r="968" ht="15.75" customHeight="1" spans="1:26">
      <c r="A968" s="23"/>
      <c r="B968" s="23"/>
      <c r="C968" s="23"/>
      <c r="D968" s="27"/>
      <c r="E968" s="27"/>
      <c r="F968" s="27"/>
      <c r="G968" s="27"/>
      <c r="H968" s="27"/>
      <c r="I968" s="23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3"/>
      <c r="V968" s="23"/>
      <c r="W968" s="23"/>
      <c r="X968" s="23"/>
      <c r="Y968" s="23"/>
      <c r="Z968" s="23"/>
    </row>
    <row r="969" ht="15.75" customHeight="1" spans="1:26">
      <c r="A969" s="23"/>
      <c r="B969" s="23"/>
      <c r="C969" s="23"/>
      <c r="D969" s="27"/>
      <c r="E969" s="27"/>
      <c r="F969" s="27"/>
      <c r="G969" s="27"/>
      <c r="H969" s="27"/>
      <c r="I969" s="23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3"/>
      <c r="V969" s="23"/>
      <c r="W969" s="23"/>
      <c r="X969" s="23"/>
      <c r="Y969" s="23"/>
      <c r="Z969" s="23"/>
    </row>
    <row r="970" ht="15.75" customHeight="1" spans="1:26">
      <c r="A970" s="23"/>
      <c r="B970" s="23"/>
      <c r="C970" s="23"/>
      <c r="D970" s="27"/>
      <c r="E970" s="27"/>
      <c r="F970" s="27"/>
      <c r="G970" s="27"/>
      <c r="H970" s="27"/>
      <c r="I970" s="23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3"/>
      <c r="V970" s="23"/>
      <c r="W970" s="23"/>
      <c r="X970" s="23"/>
      <c r="Y970" s="23"/>
      <c r="Z970" s="23"/>
    </row>
    <row r="971" ht="15.75" customHeight="1" spans="1:26">
      <c r="A971" s="23"/>
      <c r="B971" s="23"/>
      <c r="C971" s="23"/>
      <c r="D971" s="27"/>
      <c r="E971" s="27"/>
      <c r="F971" s="27"/>
      <c r="G971" s="27"/>
      <c r="H971" s="27"/>
      <c r="I971" s="23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3"/>
      <c r="V971" s="23"/>
      <c r="W971" s="23"/>
      <c r="X971" s="23"/>
      <c r="Y971" s="23"/>
      <c r="Z971" s="23"/>
    </row>
    <row r="972" ht="15.75" customHeight="1" spans="1:26">
      <c r="A972" s="23"/>
      <c r="B972" s="23"/>
      <c r="C972" s="23"/>
      <c r="D972" s="27"/>
      <c r="E972" s="27"/>
      <c r="F972" s="27"/>
      <c r="G972" s="27"/>
      <c r="H972" s="27"/>
      <c r="I972" s="23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3"/>
      <c r="V972" s="23"/>
      <c r="W972" s="23"/>
      <c r="X972" s="23"/>
      <c r="Y972" s="23"/>
      <c r="Z972" s="23"/>
    </row>
    <row r="973" ht="15.75" customHeight="1" spans="1:26">
      <c r="A973" s="23"/>
      <c r="B973" s="23"/>
      <c r="C973" s="23"/>
      <c r="D973" s="27"/>
      <c r="E973" s="27"/>
      <c r="F973" s="27"/>
      <c r="G973" s="27"/>
      <c r="H973" s="27"/>
      <c r="I973" s="23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3"/>
      <c r="V973" s="23"/>
      <c r="W973" s="23"/>
      <c r="X973" s="23"/>
      <c r="Y973" s="23"/>
      <c r="Z973" s="23"/>
    </row>
    <row r="974" ht="15.75" customHeight="1" spans="1:26">
      <c r="A974" s="23"/>
      <c r="B974" s="23"/>
      <c r="C974" s="23"/>
      <c r="D974" s="27"/>
      <c r="E974" s="27"/>
      <c r="F974" s="27"/>
      <c r="G974" s="27"/>
      <c r="H974" s="27"/>
      <c r="I974" s="23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3"/>
      <c r="V974" s="23"/>
      <c r="W974" s="23"/>
      <c r="X974" s="23"/>
      <c r="Y974" s="23"/>
      <c r="Z974" s="23"/>
    </row>
    <row r="975" ht="15.75" customHeight="1" spans="1:26">
      <c r="A975" s="23"/>
      <c r="B975" s="23"/>
      <c r="C975" s="23"/>
      <c r="D975" s="27"/>
      <c r="E975" s="27"/>
      <c r="F975" s="27"/>
      <c r="G975" s="27"/>
      <c r="H975" s="27"/>
      <c r="I975" s="23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3"/>
      <c r="V975" s="23"/>
      <c r="W975" s="23"/>
      <c r="X975" s="23"/>
      <c r="Y975" s="23"/>
      <c r="Z975" s="23"/>
    </row>
    <row r="976" ht="15.75" customHeight="1" spans="1:26">
      <c r="A976" s="23"/>
      <c r="B976" s="23"/>
      <c r="C976" s="23"/>
      <c r="D976" s="27"/>
      <c r="E976" s="27"/>
      <c r="F976" s="27"/>
      <c r="G976" s="27"/>
      <c r="H976" s="27"/>
      <c r="I976" s="23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3"/>
      <c r="V976" s="23"/>
      <c r="W976" s="23"/>
      <c r="X976" s="23"/>
      <c r="Y976" s="23"/>
      <c r="Z976" s="23"/>
    </row>
    <row r="977" ht="15.75" customHeight="1" spans="1:26">
      <c r="A977" s="23"/>
      <c r="B977" s="23"/>
      <c r="C977" s="23"/>
      <c r="D977" s="27"/>
      <c r="E977" s="27"/>
      <c r="F977" s="27"/>
      <c r="G977" s="27"/>
      <c r="H977" s="27"/>
      <c r="I977" s="23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3"/>
      <c r="V977" s="23"/>
      <c r="W977" s="23"/>
      <c r="X977" s="23"/>
      <c r="Y977" s="23"/>
      <c r="Z977" s="23"/>
    </row>
    <row r="978" ht="15.75" customHeight="1" spans="1:26">
      <c r="A978" s="23"/>
      <c r="B978" s="23"/>
      <c r="C978" s="23"/>
      <c r="D978" s="27"/>
      <c r="E978" s="27"/>
      <c r="F978" s="27"/>
      <c r="G978" s="27"/>
      <c r="H978" s="27"/>
      <c r="I978" s="23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3"/>
      <c r="V978" s="23"/>
      <c r="W978" s="23"/>
      <c r="X978" s="23"/>
      <c r="Y978" s="23"/>
      <c r="Z978" s="23"/>
    </row>
    <row r="979" ht="15.75" customHeight="1" spans="1:26">
      <c r="A979" s="23"/>
      <c r="B979" s="23"/>
      <c r="C979" s="23"/>
      <c r="D979" s="27"/>
      <c r="E979" s="27"/>
      <c r="F979" s="27"/>
      <c r="G979" s="27"/>
      <c r="H979" s="27"/>
      <c r="I979" s="23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3"/>
      <c r="V979" s="23"/>
      <c r="W979" s="23"/>
      <c r="X979" s="23"/>
      <c r="Y979" s="23"/>
      <c r="Z979" s="23"/>
    </row>
    <row r="980" ht="15.75" customHeight="1" spans="1:26">
      <c r="A980" s="23"/>
      <c r="B980" s="23"/>
      <c r="C980" s="23"/>
      <c r="D980" s="27"/>
      <c r="E980" s="27"/>
      <c r="F980" s="27"/>
      <c r="G980" s="27"/>
      <c r="H980" s="27"/>
      <c r="I980" s="23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3"/>
      <c r="V980" s="23"/>
      <c r="W980" s="23"/>
      <c r="X980" s="23"/>
      <c r="Y980" s="23"/>
      <c r="Z980" s="23"/>
    </row>
    <row r="981" ht="15.75" customHeight="1" spans="1:26">
      <c r="A981" s="23"/>
      <c r="B981" s="23"/>
      <c r="C981" s="23"/>
      <c r="D981" s="27"/>
      <c r="E981" s="27"/>
      <c r="F981" s="27"/>
      <c r="G981" s="27"/>
      <c r="H981" s="27"/>
      <c r="I981" s="23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3"/>
      <c r="V981" s="23"/>
      <c r="W981" s="23"/>
      <c r="X981" s="23"/>
      <c r="Y981" s="23"/>
      <c r="Z981" s="23"/>
    </row>
    <row r="982" ht="15.75" customHeight="1" spans="1:26">
      <c r="A982" s="23"/>
      <c r="B982" s="23"/>
      <c r="C982" s="23"/>
      <c r="D982" s="27"/>
      <c r="E982" s="27"/>
      <c r="F982" s="27"/>
      <c r="G982" s="27"/>
      <c r="H982" s="27"/>
      <c r="I982" s="23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3"/>
      <c r="V982" s="23"/>
      <c r="W982" s="23"/>
      <c r="X982" s="23"/>
      <c r="Y982" s="23"/>
      <c r="Z982" s="23"/>
    </row>
    <row r="983" ht="15.75" customHeight="1" spans="1:26">
      <c r="A983" s="23"/>
      <c r="B983" s="23"/>
      <c r="C983" s="23"/>
      <c r="D983" s="27"/>
      <c r="E983" s="27"/>
      <c r="F983" s="27"/>
      <c r="G983" s="27"/>
      <c r="H983" s="27"/>
      <c r="I983" s="23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3"/>
      <c r="V983" s="23"/>
      <c r="W983" s="23"/>
      <c r="X983" s="23"/>
      <c r="Y983" s="23"/>
      <c r="Z983" s="23"/>
    </row>
    <row r="984" ht="15.75" customHeight="1" spans="1:26">
      <c r="A984" s="23"/>
      <c r="B984" s="23"/>
      <c r="C984" s="23"/>
      <c r="D984" s="27"/>
      <c r="E984" s="27"/>
      <c r="F984" s="27"/>
      <c r="G984" s="27"/>
      <c r="H984" s="27"/>
      <c r="I984" s="23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3"/>
      <c r="V984" s="23"/>
      <c r="W984" s="23"/>
      <c r="X984" s="23"/>
      <c r="Y984" s="23"/>
      <c r="Z984" s="23"/>
    </row>
    <row r="985" ht="15.75" customHeight="1" spans="1:26">
      <c r="A985" s="23"/>
      <c r="B985" s="23"/>
      <c r="C985" s="23"/>
      <c r="D985" s="27"/>
      <c r="E985" s="27"/>
      <c r="F985" s="27"/>
      <c r="G985" s="27"/>
      <c r="H985" s="27"/>
      <c r="I985" s="23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3"/>
      <c r="V985" s="23"/>
      <c r="W985" s="23"/>
      <c r="X985" s="23"/>
      <c r="Y985" s="23"/>
      <c r="Z985" s="23"/>
    </row>
    <row r="986" ht="15.75" customHeight="1" spans="1:26">
      <c r="A986" s="23"/>
      <c r="B986" s="23"/>
      <c r="C986" s="23"/>
      <c r="D986" s="27"/>
      <c r="E986" s="27"/>
      <c r="F986" s="27"/>
      <c r="G986" s="27"/>
      <c r="H986" s="27"/>
      <c r="I986" s="23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3"/>
      <c r="V986" s="23"/>
      <c r="W986" s="23"/>
      <c r="X986" s="23"/>
      <c r="Y986" s="23"/>
      <c r="Z986" s="23"/>
    </row>
    <row r="987" ht="15.75" customHeight="1" spans="1:26">
      <c r="A987" s="23"/>
      <c r="B987" s="23"/>
      <c r="C987" s="23"/>
      <c r="D987" s="27"/>
      <c r="E987" s="27"/>
      <c r="F987" s="27"/>
      <c r="G987" s="27"/>
      <c r="H987" s="27"/>
      <c r="I987" s="23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3"/>
      <c r="V987" s="23"/>
      <c r="W987" s="23"/>
      <c r="X987" s="23"/>
      <c r="Y987" s="23"/>
      <c r="Z987" s="23"/>
    </row>
    <row r="988" ht="15.75" customHeight="1" spans="1:26">
      <c r="A988" s="23"/>
      <c r="B988" s="23"/>
      <c r="C988" s="23"/>
      <c r="D988" s="27"/>
      <c r="E988" s="27"/>
      <c r="F988" s="27"/>
      <c r="G988" s="27"/>
      <c r="H988" s="27"/>
      <c r="I988" s="23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3"/>
      <c r="V988" s="23"/>
      <c r="W988" s="23"/>
      <c r="X988" s="23"/>
      <c r="Y988" s="23"/>
      <c r="Z988" s="23"/>
    </row>
    <row r="989" ht="15.75" customHeight="1" spans="1:26">
      <c r="A989" s="23"/>
      <c r="B989" s="23"/>
      <c r="C989" s="23"/>
      <c r="D989" s="27"/>
      <c r="E989" s="27"/>
      <c r="F989" s="27"/>
      <c r="G989" s="27"/>
      <c r="H989" s="27"/>
      <c r="I989" s="23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3"/>
      <c r="V989" s="23"/>
      <c r="W989" s="23"/>
      <c r="X989" s="23"/>
      <c r="Y989" s="23"/>
      <c r="Z989" s="23"/>
    </row>
    <row r="990" ht="15.75" customHeight="1" spans="1:26">
      <c r="A990" s="23"/>
      <c r="B990" s="23"/>
      <c r="C990" s="23"/>
      <c r="D990" s="27"/>
      <c r="E990" s="27"/>
      <c r="F990" s="27"/>
      <c r="G990" s="27"/>
      <c r="H990" s="27"/>
      <c r="I990" s="23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3"/>
      <c r="V990" s="23"/>
      <c r="W990" s="23"/>
      <c r="X990" s="23"/>
      <c r="Y990" s="23"/>
      <c r="Z990" s="23"/>
    </row>
    <row r="991" ht="15.75" customHeight="1" spans="1:26">
      <c r="A991" s="23"/>
      <c r="B991" s="23"/>
      <c r="C991" s="23"/>
      <c r="D991" s="27"/>
      <c r="E991" s="27"/>
      <c r="F991" s="27"/>
      <c r="G991" s="27"/>
      <c r="H991" s="27"/>
      <c r="I991" s="23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3"/>
      <c r="V991" s="23"/>
      <c r="W991" s="23"/>
      <c r="X991" s="23"/>
      <c r="Y991" s="23"/>
      <c r="Z991" s="23"/>
    </row>
    <row r="992" ht="15.75" customHeight="1" spans="1:26">
      <c r="A992" s="23"/>
      <c r="B992" s="23"/>
      <c r="C992" s="23"/>
      <c r="D992" s="27"/>
      <c r="E992" s="27"/>
      <c r="F992" s="27"/>
      <c r="G992" s="27"/>
      <c r="H992" s="27"/>
      <c r="I992" s="23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3"/>
      <c r="V992" s="23"/>
      <c r="W992" s="23"/>
      <c r="X992" s="23"/>
      <c r="Y992" s="23"/>
      <c r="Z992" s="23"/>
    </row>
    <row r="993" ht="15.75" customHeight="1" spans="1:26">
      <c r="A993" s="23"/>
      <c r="B993" s="23"/>
      <c r="C993" s="23"/>
      <c r="D993" s="27"/>
      <c r="E993" s="27"/>
      <c r="F993" s="27"/>
      <c r="G993" s="27"/>
      <c r="H993" s="27"/>
      <c r="I993" s="23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3"/>
      <c r="V993" s="23"/>
      <c r="W993" s="23"/>
      <c r="X993" s="23"/>
      <c r="Y993" s="23"/>
      <c r="Z993" s="23"/>
    </row>
    <row r="994" ht="15.75" customHeight="1" spans="1:26">
      <c r="A994" s="23"/>
      <c r="B994" s="23"/>
      <c r="C994" s="23"/>
      <c r="D994" s="27"/>
      <c r="E994" s="27"/>
      <c r="F994" s="27"/>
      <c r="G994" s="27"/>
      <c r="H994" s="27"/>
      <c r="I994" s="23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3"/>
      <c r="V994" s="23"/>
      <c r="W994" s="23"/>
      <c r="X994" s="23"/>
      <c r="Y994" s="23"/>
      <c r="Z994" s="23"/>
    </row>
    <row r="995" ht="15.75" customHeight="1" spans="1:26">
      <c r="A995" s="23"/>
      <c r="B995" s="23"/>
      <c r="C995" s="23"/>
      <c r="D995" s="27"/>
      <c r="E995" s="27"/>
      <c r="F995" s="27"/>
      <c r="G995" s="27"/>
      <c r="H995" s="27"/>
      <c r="I995" s="23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3"/>
      <c r="V995" s="23"/>
      <c r="W995" s="23"/>
      <c r="X995" s="23"/>
      <c r="Y995" s="23"/>
      <c r="Z995" s="23"/>
    </row>
    <row r="996" ht="15.75" customHeight="1" spans="1:26">
      <c r="A996" s="23"/>
      <c r="B996" s="23"/>
      <c r="C996" s="23"/>
      <c r="D996" s="27"/>
      <c r="E996" s="27"/>
      <c r="F996" s="27"/>
      <c r="G996" s="27"/>
      <c r="H996" s="27"/>
      <c r="I996" s="23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3"/>
      <c r="V996" s="23"/>
      <c r="W996" s="23"/>
      <c r="X996" s="23"/>
      <c r="Y996" s="23"/>
      <c r="Z996" s="23"/>
    </row>
    <row r="997" ht="15.75" customHeight="1" spans="1:26">
      <c r="A997" s="23"/>
      <c r="B997" s="23"/>
      <c r="C997" s="23"/>
      <c r="D997" s="27"/>
      <c r="E997" s="27"/>
      <c r="F997" s="27"/>
      <c r="G997" s="27"/>
      <c r="H997" s="27"/>
      <c r="I997" s="23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3"/>
      <c r="V997" s="23"/>
      <c r="W997" s="23"/>
      <c r="X997" s="23"/>
      <c r="Y997" s="23"/>
      <c r="Z997" s="23"/>
    </row>
    <row r="998" ht="15.75" customHeight="1" spans="1:26">
      <c r="A998" s="23"/>
      <c r="B998" s="23"/>
      <c r="C998" s="23"/>
      <c r="D998" s="27"/>
      <c r="E998" s="27"/>
      <c r="F998" s="27"/>
      <c r="G998" s="27"/>
      <c r="H998" s="27"/>
      <c r="I998" s="23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3"/>
      <c r="V998" s="23"/>
      <c r="W998" s="23"/>
      <c r="X998" s="23"/>
      <c r="Y998" s="23"/>
      <c r="Z998" s="23"/>
    </row>
    <row r="999" ht="15.75" customHeight="1" spans="1:26">
      <c r="A999" s="23"/>
      <c r="B999" s="23"/>
      <c r="C999" s="23"/>
      <c r="D999" s="27"/>
      <c r="E999" s="27"/>
      <c r="F999" s="27"/>
      <c r="G999" s="27"/>
      <c r="H999" s="27"/>
      <c r="I999" s="23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3"/>
      <c r="V999" s="23"/>
      <c r="W999" s="23"/>
      <c r="X999" s="23"/>
      <c r="Y999" s="23"/>
      <c r="Z999" s="23"/>
    </row>
    <row r="1000" ht="15.75" customHeight="1" spans="1:26">
      <c r="A1000" s="23"/>
      <c r="B1000" s="23"/>
      <c r="C1000" s="23"/>
      <c r="D1000" s="27"/>
      <c r="E1000" s="27"/>
      <c r="F1000" s="27"/>
      <c r="G1000" s="27"/>
      <c r="H1000" s="27"/>
      <c r="I1000" s="23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3"/>
      <c r="V1000" s="23"/>
      <c r="W1000" s="23"/>
      <c r="X1000" s="23"/>
      <c r="Y1000" s="23"/>
      <c r="Z1000" s="23"/>
    </row>
  </sheetData>
  <pageMargins left="0.747916666666667" right="0.747916666666667" top="0.984027777777778" bottom="0.984027777777778" header="0" footer="0"/>
  <pageSetup paperSize="9" orientation="landscape"/>
  <headerFooter/>
  <rowBreaks count="3" manualBreakCount="3">
    <brk id="62" max="0" man="1"/>
    <brk id="91" max="0" man="1"/>
    <brk id="142" max="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1.2166666666667" defaultRowHeight="15" customHeight="1"/>
  <cols>
    <col min="1" max="9" width="3.10833333333333" customWidth="1"/>
    <col min="10" max="10" width="8.66666666666667" customWidth="1"/>
    <col min="11" max="20" width="9.66666666666667" customWidth="1"/>
    <col min="21" max="21" width="3.10833333333333" customWidth="1"/>
    <col min="22" max="26" width="7" customWidth="1"/>
  </cols>
  <sheetData>
    <row r="1" customHeight="1" spans="1:26">
      <c r="A1" s="195"/>
      <c r="B1" s="196"/>
      <c r="C1" s="197"/>
      <c r="D1" s="197"/>
      <c r="E1" s="197"/>
      <c r="F1" s="197"/>
      <c r="G1" s="197"/>
      <c r="H1" s="197"/>
      <c r="I1" s="197"/>
      <c r="J1" s="197"/>
      <c r="K1" s="198"/>
      <c r="L1" s="198"/>
      <c r="M1" s="198"/>
      <c r="N1" s="198"/>
      <c r="O1" s="198"/>
      <c r="P1" s="198"/>
      <c r="Q1" s="198"/>
      <c r="R1" s="198"/>
      <c r="S1" s="198"/>
      <c r="T1" s="195"/>
      <c r="U1" s="195"/>
      <c r="V1" s="195"/>
      <c r="W1" s="195"/>
      <c r="X1" s="195"/>
      <c r="Y1" s="195"/>
      <c r="Z1" s="195"/>
    </row>
    <row r="2" customHeight="1" spans="1:26">
      <c r="A2" s="195"/>
      <c r="B2" s="196"/>
      <c r="C2" s="197"/>
      <c r="D2" s="197"/>
      <c r="E2" s="197"/>
      <c r="F2" s="197"/>
      <c r="G2" s="197"/>
      <c r="H2" s="197"/>
      <c r="I2" s="197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5"/>
      <c r="U2" s="195"/>
      <c r="V2" s="195"/>
      <c r="W2" s="195"/>
      <c r="X2" s="195"/>
      <c r="Y2" s="195"/>
      <c r="Z2" s="195"/>
    </row>
    <row r="3" customHeight="1" spans="1:26">
      <c r="A3" s="195"/>
      <c r="B3" s="199" t="s">
        <v>165</v>
      </c>
      <c r="C3" s="199"/>
      <c r="D3" s="199"/>
      <c r="E3" s="199"/>
      <c r="F3" s="199"/>
      <c r="G3" s="199"/>
      <c r="H3" s="199"/>
      <c r="I3" s="199"/>
      <c r="J3" s="197"/>
      <c r="K3" s="198"/>
      <c r="L3" s="198"/>
      <c r="M3" s="198"/>
      <c r="N3" s="198"/>
      <c r="O3" s="198"/>
      <c r="P3" s="198"/>
      <c r="Q3" s="198"/>
      <c r="R3" s="198"/>
      <c r="S3" s="198"/>
      <c r="T3" s="195"/>
      <c r="U3" s="195"/>
      <c r="V3" s="195"/>
      <c r="W3" s="195"/>
      <c r="X3" s="195"/>
      <c r="Y3" s="195"/>
      <c r="Z3" s="195"/>
    </row>
    <row r="4" customHeight="1" spans="1:26">
      <c r="A4" s="200"/>
      <c r="B4" s="201" t="s">
        <v>166</v>
      </c>
      <c r="C4" s="202"/>
      <c r="D4" s="202"/>
      <c r="E4" s="202"/>
      <c r="F4" s="202"/>
      <c r="G4" s="202"/>
      <c r="H4" s="202"/>
      <c r="I4" s="202"/>
      <c r="J4" s="203"/>
      <c r="K4" s="203" t="str">
        <f>'S&amp;C'!K4</f>
        <v>2023A</v>
      </c>
      <c r="L4" s="203" t="str">
        <f>'S&amp;C'!L4</f>
        <v>2024A</v>
      </c>
      <c r="M4" s="203" t="str">
        <f>'S&amp;C'!M4</f>
        <v>2025A</v>
      </c>
      <c r="N4" s="203" t="str">
        <f>'S&amp;C'!N4</f>
        <v>2026E</v>
      </c>
      <c r="O4" s="203" t="str">
        <f>'S&amp;C'!O4</f>
        <v>2027E</v>
      </c>
      <c r="P4" s="203" t="str">
        <f>'S&amp;C'!P4</f>
        <v>2028E</v>
      </c>
      <c r="Q4" s="203" t="str">
        <f>'S&amp;C'!Q4</f>
        <v>2029E</v>
      </c>
      <c r="R4" s="203" t="str">
        <f>'S&amp;C'!R4</f>
        <v>2030E</v>
      </c>
      <c r="S4" s="203" t="str">
        <f>'S&amp;C'!S4</f>
        <v>2031E</v>
      </c>
      <c r="T4" s="203" t="str">
        <f>'S&amp;C'!T4</f>
        <v>2032E</v>
      </c>
      <c r="U4" s="200"/>
      <c r="V4" s="200"/>
      <c r="W4" s="200"/>
      <c r="X4" s="200"/>
      <c r="Y4" s="200"/>
      <c r="Z4" s="200"/>
    </row>
    <row r="5" customHeight="1" spans="1:26">
      <c r="A5" s="195"/>
      <c r="B5" s="204"/>
      <c r="C5" s="204" t="s">
        <v>167</v>
      </c>
      <c r="D5" s="204"/>
      <c r="E5" s="204"/>
      <c r="F5" s="204"/>
      <c r="G5" s="204"/>
      <c r="H5" s="204"/>
      <c r="I5" s="204"/>
      <c r="J5" s="205"/>
      <c r="K5" s="205">
        <f>'S&amp;C'!K5</f>
        <v>23196</v>
      </c>
      <c r="L5" s="205">
        <f>'S&amp;C'!L5</f>
        <v>24878</v>
      </c>
      <c r="M5" s="205">
        <f>'S&amp;C'!M5</f>
        <v>27450</v>
      </c>
      <c r="N5" s="205">
        <f>'S&amp;C'!N5</f>
        <v>29504.545</v>
      </c>
      <c r="O5" s="205">
        <f>'S&amp;C'!O5</f>
        <v>31735.358475</v>
      </c>
      <c r="P5" s="205">
        <f>'S&amp;C'!P5</f>
        <v>34158.608594875</v>
      </c>
      <c r="Q5" s="205">
        <f>'S&amp;C'!Q5</f>
        <v>36778.7056661494</v>
      </c>
      <c r="R5" s="205">
        <f>'S&amp;C'!R5</f>
        <v>39627.8599533008</v>
      </c>
      <c r="S5" s="205">
        <f>'S&amp;C'!S5</f>
        <v>42713.5941316076</v>
      </c>
      <c r="T5" s="205">
        <f>'S&amp;C'!T5</f>
        <v>46072.4979588193</v>
      </c>
      <c r="U5" s="206"/>
      <c r="V5" s="195"/>
      <c r="W5" s="195"/>
      <c r="X5" s="195"/>
      <c r="Y5" s="195"/>
      <c r="Z5" s="195"/>
    </row>
    <row r="6" customHeight="1" spans="1:26">
      <c r="A6" s="195"/>
      <c r="B6" s="204"/>
      <c r="C6" s="204"/>
      <c r="D6" s="204" t="s">
        <v>51</v>
      </c>
      <c r="E6" s="204"/>
      <c r="F6" s="204"/>
      <c r="G6" s="204"/>
      <c r="H6" s="207"/>
      <c r="I6" s="207"/>
      <c r="J6" s="208"/>
      <c r="K6" s="208">
        <f>'S&amp;C'!K6</f>
        <v>0.117771781033153</v>
      </c>
      <c r="L6" s="208">
        <f>'S&amp;C'!L6</f>
        <v>0.0725125021555442</v>
      </c>
      <c r="M6" s="208">
        <f>'S&amp;C'!M6</f>
        <v>0.103384516440228</v>
      </c>
      <c r="N6" s="208">
        <f>'S&amp;C'!N6</f>
        <v>0.0748468123861565</v>
      </c>
      <c r="O6" s="208">
        <f>'S&amp;C'!O6</f>
        <v>0.0756091468280566</v>
      </c>
      <c r="P6" s="208">
        <f>'S&amp;C'!P6</f>
        <v>0.0763580509665254</v>
      </c>
      <c r="Q6" s="208">
        <f>'S&amp;C'!Q6</f>
        <v>0.0767038582381685</v>
      </c>
      <c r="R6" s="208">
        <f>'S&amp;C'!R6</f>
        <v>0.0774674974430569</v>
      </c>
      <c r="S6" s="208">
        <f>'S&amp;C'!S6</f>
        <v>0.0778677976035851</v>
      </c>
      <c r="T6" s="208">
        <f>'S&amp;C'!T6</f>
        <v>0.0786378176667213</v>
      </c>
      <c r="U6" s="195"/>
      <c r="V6" s="195"/>
      <c r="W6" s="195"/>
      <c r="X6" s="195"/>
      <c r="Y6" s="195"/>
      <c r="Z6" s="195"/>
    </row>
    <row r="7" customHeight="1" spans="1:26">
      <c r="A7" s="195"/>
      <c r="B7" s="204"/>
      <c r="C7" s="204" t="s">
        <v>18</v>
      </c>
      <c r="D7" s="204"/>
      <c r="E7" s="204"/>
      <c r="F7" s="204"/>
      <c r="G7" s="204"/>
      <c r="H7" s="204"/>
      <c r="I7" s="204"/>
      <c r="J7" s="205"/>
      <c r="K7" s="205">
        <f>'PL-CF-BS'!K20</f>
        <v>3734</v>
      </c>
      <c r="L7" s="205">
        <f>'PL-CF-BS'!L20</f>
        <v>4502</v>
      </c>
      <c r="M7" s="205">
        <f>'PL-CF-BS'!M20</f>
        <v>4970</v>
      </c>
      <c r="N7" s="205">
        <f>'PL-CF-BS'!N20</f>
        <v>5838.51414254098</v>
      </c>
      <c r="O7" s="205">
        <f>'PL-CF-BS'!O20</f>
        <v>6311.69457407705</v>
      </c>
      <c r="P7" s="205">
        <f>'PL-CF-BS'!P20</f>
        <v>6827.80187864444</v>
      </c>
      <c r="Q7" s="205">
        <f>'PL-CF-BS'!Q20</f>
        <v>7388.29933168843</v>
      </c>
      <c r="R7" s="205">
        <f>'PL-CF-BS'!R20</f>
        <v>7567.54979508935</v>
      </c>
      <c r="S7" s="205">
        <f>'PL-CF-BS'!S20</f>
        <v>8156.81823088842</v>
      </c>
      <c r="T7" s="205">
        <f>'PL-CF-BS'!T20</f>
        <v>8798.2526156696</v>
      </c>
      <c r="U7" s="206"/>
      <c r="V7" s="195"/>
      <c r="W7" s="195"/>
      <c r="X7" s="195"/>
      <c r="Y7" s="195"/>
      <c r="Z7" s="195"/>
    </row>
    <row r="8" customHeight="1" spans="1:26">
      <c r="A8" s="195"/>
      <c r="B8" s="204"/>
      <c r="C8" s="204"/>
      <c r="D8" s="204" t="s">
        <v>51</v>
      </c>
      <c r="E8" s="204"/>
      <c r="F8" s="204"/>
      <c r="G8" s="204"/>
      <c r="H8" s="207"/>
      <c r="I8" s="207"/>
      <c r="J8" s="208"/>
      <c r="K8" s="208">
        <f>'PL-CF-BS'!K21</f>
        <v>0.298782608695652</v>
      </c>
      <c r="L8" s="208">
        <f>'PL-CF-BS'!L21</f>
        <v>0.205677557579004</v>
      </c>
      <c r="M8" s="208">
        <f>'PL-CF-BS'!M21</f>
        <v>0.103953798311861</v>
      </c>
      <c r="N8" s="208">
        <f>'PL-CF-BS'!N21</f>
        <v>0.17475133652736</v>
      </c>
      <c r="O8" s="208">
        <f>'PL-CF-BS'!O21</f>
        <v>0.0810446664997087</v>
      </c>
      <c r="P8" s="208">
        <f>'PL-CF-BS'!P21</f>
        <v>0.0817700062178413</v>
      </c>
      <c r="Q8" s="208">
        <f>'PL-CF-BS'!Q21</f>
        <v>0.0820904682072101</v>
      </c>
      <c r="R8" s="208">
        <f>'PL-CF-BS'!R21</f>
        <v>0.0242613970216536</v>
      </c>
      <c r="S8" s="208">
        <f>'PL-CF-BS'!S21</f>
        <v>0.0778677976035853</v>
      </c>
      <c r="T8" s="208">
        <f>'PL-CF-BS'!T21</f>
        <v>0.0786378176667208</v>
      </c>
      <c r="U8" s="195"/>
      <c r="V8" s="195"/>
      <c r="W8" s="195"/>
      <c r="X8" s="195"/>
      <c r="Y8" s="195"/>
      <c r="Z8" s="195"/>
    </row>
    <row r="9" customHeight="1" spans="1:26">
      <c r="A9" s="195"/>
      <c r="B9" s="204"/>
      <c r="C9" s="204"/>
      <c r="D9" s="204" t="s">
        <v>168</v>
      </c>
      <c r="E9" s="204"/>
      <c r="F9" s="204"/>
      <c r="G9" s="204"/>
      <c r="H9" s="207"/>
      <c r="I9" s="207"/>
      <c r="J9" s="208"/>
      <c r="K9" s="208">
        <f>'PL-CF-BS'!K22</f>
        <v>0.16097603035006</v>
      </c>
      <c r="L9" s="208">
        <f>'PL-CF-BS'!L22</f>
        <v>0.180963099927647</v>
      </c>
      <c r="M9" s="208">
        <f>'PL-CF-BS'!M22</f>
        <v>0.181056466302368</v>
      </c>
      <c r="N9" s="208">
        <f>'PL-CF-BS'!N22</f>
        <v>0.197885245901639</v>
      </c>
      <c r="O9" s="208">
        <f>'PL-CF-BS'!O22</f>
        <v>0.198885245901639</v>
      </c>
      <c r="P9" s="208">
        <f>'PL-CF-BS'!P22</f>
        <v>0.199885245901639</v>
      </c>
      <c r="Q9" s="208">
        <f>'PL-CF-BS'!Q22</f>
        <v>0.200885245901639</v>
      </c>
      <c r="R9" s="208">
        <f>'PL-CF-BS'!R22</f>
        <v>0.190965391621129</v>
      </c>
      <c r="S9" s="208">
        <f>'PL-CF-BS'!S22</f>
        <v>0.190965391621129</v>
      </c>
      <c r="T9" s="208">
        <f>'PL-CF-BS'!T22</f>
        <v>0.190965391621129</v>
      </c>
      <c r="U9" s="195"/>
      <c r="V9" s="195"/>
      <c r="W9" s="195"/>
      <c r="X9" s="195"/>
      <c r="Y9" s="195"/>
      <c r="Z9" s="195"/>
    </row>
    <row r="10" customHeight="1" spans="1:26">
      <c r="A10" s="195"/>
      <c r="B10" s="204"/>
      <c r="C10" s="204" t="s">
        <v>169</v>
      </c>
      <c r="D10" s="204"/>
      <c r="E10" s="204"/>
      <c r="F10" s="204"/>
      <c r="G10" s="204"/>
      <c r="H10" s="207"/>
      <c r="I10" s="207"/>
      <c r="J10" s="205"/>
      <c r="K10" s="205">
        <f>K7*(1-'PL-CF-BS'!K38)</f>
        <v>3144.6778155213</v>
      </c>
      <c r="L10" s="205">
        <f>L7*(1-'PL-CF-BS'!L38)</f>
        <v>3744.76478318003</v>
      </c>
      <c r="M10" s="205">
        <f>M7*(1-'PL-CF-BS'!M38)</f>
        <v>4122.69207378877</v>
      </c>
      <c r="N10" s="205">
        <f>N7*(1-'PL-CF-BS'!N38)</f>
        <v>4843.13802377411</v>
      </c>
      <c r="O10" s="205">
        <f>O7*(1-'PL-CF-BS'!O38)</f>
        <v>5235.64852972294</v>
      </c>
      <c r="P10" s="205">
        <f>P7*(1-'PL-CF-BS'!P38)</f>
        <v>5663.76754255282</v>
      </c>
      <c r="Q10" s="205">
        <f>Q7*(1-'PL-CF-BS'!Q38)</f>
        <v>6128.70887193778</v>
      </c>
      <c r="R10" s="205">
        <f>R7*(1-'PL-CF-BS'!R38)</f>
        <v>6277.39991110999</v>
      </c>
      <c r="S10" s="205">
        <f>S7*(1-'PL-CF-BS'!S38)</f>
        <v>6766.20721686507</v>
      </c>
      <c r="T10" s="205">
        <f>T7*(1-'PL-CF-BS'!T38)</f>
        <v>7298.28698628016</v>
      </c>
      <c r="U10" s="195"/>
      <c r="V10" s="195"/>
      <c r="W10" s="195"/>
      <c r="X10" s="195"/>
      <c r="Y10" s="195"/>
      <c r="Z10" s="195"/>
    </row>
    <row r="11" customHeight="1" spans="1:26">
      <c r="A11" s="195"/>
      <c r="B11" s="204"/>
      <c r="C11" s="209" t="s">
        <v>170</v>
      </c>
      <c r="D11" s="210" t="s">
        <v>171</v>
      </c>
      <c r="E11" s="209"/>
      <c r="F11" s="209"/>
      <c r="G11" s="209"/>
      <c r="H11" s="204"/>
      <c r="I11" s="204"/>
      <c r="J11" s="205"/>
      <c r="K11" s="205">
        <f>'PL-CF-BS'!K140+'PL-CF-BS'!K141</f>
        <v>820</v>
      </c>
      <c r="L11" s="205">
        <f>'PL-CF-BS'!L140+'PL-CF-BS'!L141</f>
        <v>921</v>
      </c>
      <c r="M11" s="205">
        <f>'PL-CF-BS'!M140+'PL-CF-BS'!M141</f>
        <v>1006</v>
      </c>
      <c r="N11" s="205">
        <f>'PL-CF-BS'!N140+'PL-CF-BS'!N141</f>
        <v>769.556304619226</v>
      </c>
      <c r="O11" s="205">
        <f>'PL-CF-BS'!O140+'PL-CF-BS'!O141</f>
        <v>806.072609238452</v>
      </c>
      <c r="P11" s="205">
        <f>'PL-CF-BS'!P140+'PL-CF-BS'!P141</f>
        <v>842.988913857678</v>
      </c>
      <c r="Q11" s="205">
        <f>'PL-CF-BS'!Q140+'PL-CF-BS'!Q141</f>
        <v>880.305218476904</v>
      </c>
      <c r="R11" s="205">
        <f>'PL-CF-BS'!R140+'PL-CF-BS'!R141</f>
        <v>918.02152309613</v>
      </c>
      <c r="S11" s="205">
        <f>'PL-CF-BS'!S140+'PL-CF-BS'!S141</f>
        <v>956.137827715356</v>
      </c>
      <c r="T11" s="205">
        <f>'PL-CF-BS'!T140+'PL-CF-BS'!T141</f>
        <v>994.654132334582</v>
      </c>
      <c r="U11" s="195"/>
      <c r="V11" s="195"/>
      <c r="W11" s="195"/>
      <c r="X11" s="195"/>
      <c r="Y11" s="195"/>
      <c r="Z11" s="195"/>
    </row>
    <row r="12" customHeight="1" spans="1:26">
      <c r="A12" s="195"/>
      <c r="B12" s="204"/>
      <c r="C12" s="209" t="s">
        <v>172</v>
      </c>
      <c r="D12" s="210" t="s">
        <v>91</v>
      </c>
      <c r="E12" s="209"/>
      <c r="F12" s="209"/>
      <c r="G12" s="209"/>
      <c r="H12" s="204"/>
      <c r="I12" s="204"/>
      <c r="J12" s="211"/>
      <c r="K12" s="211">
        <f>'PL-CF-BS'!K68</f>
        <v>-372</v>
      </c>
      <c r="L12" s="211">
        <f>'PL-CF-BS'!L68</f>
        <v>-349</v>
      </c>
      <c r="M12" s="211">
        <f>'PL-CF-BS'!M68</f>
        <v>-572.68214334418</v>
      </c>
      <c r="N12" s="211">
        <f>'PL-CF-BS'!N68</f>
        <v>115.433251954066</v>
      </c>
      <c r="O12" s="211">
        <f>'PL-CF-BS'!O68</f>
        <v>-1003.28714194132</v>
      </c>
      <c r="P12" s="211">
        <f>'PL-CF-BS'!P68</f>
        <v>38.9213419534717</v>
      </c>
      <c r="Q12" s="211">
        <f>'PL-CF-BS'!Q68</f>
        <v>-1083.81319671672</v>
      </c>
      <c r="R12" s="211">
        <f>'PL-CF-BS'!R68</f>
        <v>66.9093688881885</v>
      </c>
      <c r="S12" s="211">
        <f>'PL-CF-BS'!S68</f>
        <v>-1381.78989340471</v>
      </c>
      <c r="T12" s="211">
        <f>'PL-CF-BS'!T68</f>
        <v>50.2652046582789</v>
      </c>
      <c r="U12" s="195"/>
      <c r="V12" s="195"/>
      <c r="W12" s="195"/>
      <c r="X12" s="195"/>
      <c r="Y12" s="195"/>
      <c r="Z12" s="195"/>
    </row>
    <row r="13" customHeight="1" spans="1:26">
      <c r="A13" s="195"/>
      <c r="B13" s="204"/>
      <c r="C13" s="209" t="s">
        <v>172</v>
      </c>
      <c r="D13" s="210" t="s">
        <v>95</v>
      </c>
      <c r="E13" s="209"/>
      <c r="F13" s="209"/>
      <c r="G13" s="209"/>
      <c r="H13" s="204"/>
      <c r="I13" s="204"/>
      <c r="J13" s="211"/>
      <c r="K13" s="211">
        <f>'PL-CF-BS'!K73</f>
        <v>-757</v>
      </c>
      <c r="L13" s="211">
        <f>'PL-CF-BS'!L73</f>
        <v>-808</v>
      </c>
      <c r="M13" s="211">
        <f>'PL-CF-BS'!M73</f>
        <v>-919</v>
      </c>
      <c r="N13" s="211">
        <f>'PL-CF-BS'!N73</f>
        <v>-1029</v>
      </c>
      <c r="O13" s="211">
        <f>'PL-CF-BS'!O73</f>
        <v>-1039</v>
      </c>
      <c r="P13" s="211">
        <f>'PL-CF-BS'!P73</f>
        <v>-1049</v>
      </c>
      <c r="Q13" s="211">
        <f>'PL-CF-BS'!Q73</f>
        <v>-1059</v>
      </c>
      <c r="R13" s="211">
        <f>'PL-CF-BS'!R73</f>
        <v>-1069</v>
      </c>
      <c r="S13" s="211">
        <f>'PL-CF-BS'!S73</f>
        <v>-1079</v>
      </c>
      <c r="T13" s="211">
        <f>'PL-CF-BS'!T73</f>
        <v>-1089</v>
      </c>
      <c r="U13" s="206"/>
      <c r="V13" s="195"/>
      <c r="W13" s="195"/>
      <c r="X13" s="195"/>
      <c r="Y13" s="195"/>
      <c r="Z13" s="195"/>
    </row>
    <row r="14" customHeight="1" spans="1:26">
      <c r="A14" s="195"/>
      <c r="B14" s="148"/>
      <c r="C14" s="212" t="s">
        <v>173</v>
      </c>
      <c r="D14" s="212"/>
      <c r="E14" s="212"/>
      <c r="F14" s="212"/>
      <c r="G14" s="212"/>
      <c r="H14" s="212"/>
      <c r="I14" s="212"/>
      <c r="J14" s="213"/>
      <c r="K14" s="213">
        <f t="shared" ref="K14:T14" si="0">SUM(K10:K13)</f>
        <v>2835.6778155213</v>
      </c>
      <c r="L14" s="213">
        <f t="shared" si="0"/>
        <v>3508.76478318003</v>
      </c>
      <c r="M14" s="213">
        <f t="shared" si="0"/>
        <v>3637.00993044459</v>
      </c>
      <c r="N14" s="213">
        <f t="shared" si="0"/>
        <v>4699.1275803474</v>
      </c>
      <c r="O14" s="213">
        <f t="shared" si="0"/>
        <v>3999.43399702008</v>
      </c>
      <c r="P14" s="213">
        <f t="shared" si="0"/>
        <v>5496.67779836397</v>
      </c>
      <c r="Q14" s="213">
        <f t="shared" si="0"/>
        <v>4866.20089369796</v>
      </c>
      <c r="R14" s="213">
        <f t="shared" si="0"/>
        <v>6193.33080309431</v>
      </c>
      <c r="S14" s="213">
        <f t="shared" si="0"/>
        <v>5261.55515117572</v>
      </c>
      <c r="T14" s="213">
        <f t="shared" si="0"/>
        <v>7254.20632327302</v>
      </c>
      <c r="U14" s="206"/>
      <c r="V14" s="195"/>
      <c r="W14" s="195"/>
      <c r="X14" s="195"/>
      <c r="Y14" s="195"/>
      <c r="Z14" s="195"/>
    </row>
    <row r="15" customHeight="1" spans="1:26">
      <c r="A15" s="195"/>
      <c r="B15" s="204"/>
      <c r="C15" s="214"/>
      <c r="D15" s="214" t="s">
        <v>51</v>
      </c>
      <c r="E15" s="214"/>
      <c r="F15" s="214"/>
      <c r="G15" s="214"/>
      <c r="H15" s="215"/>
      <c r="I15" s="215"/>
      <c r="J15" s="215"/>
      <c r="K15" s="208" t="s">
        <v>172</v>
      </c>
      <c r="L15" s="208">
        <f t="shared" ref="L15:T15" si="1">L14/K14-1</f>
        <v>0.237363696247344</v>
      </c>
      <c r="M15" s="208">
        <f t="shared" si="1"/>
        <v>0.0365499414150907</v>
      </c>
      <c r="N15" s="208">
        <f t="shared" si="1"/>
        <v>0.292030450896509</v>
      </c>
      <c r="O15" s="208">
        <f t="shared" si="1"/>
        <v>-0.148898613915819</v>
      </c>
      <c r="P15" s="208">
        <f t="shared" si="1"/>
        <v>0.374363923109987</v>
      </c>
      <c r="Q15" s="208">
        <f t="shared" si="1"/>
        <v>-0.114701448364622</v>
      </c>
      <c r="R15" s="208">
        <f t="shared" si="1"/>
        <v>0.272724028125322</v>
      </c>
      <c r="S15" s="208">
        <f t="shared" si="1"/>
        <v>-0.150448229158542</v>
      </c>
      <c r="T15" s="208">
        <f t="shared" si="1"/>
        <v>0.378719050707286</v>
      </c>
      <c r="U15" s="195"/>
      <c r="V15" s="195"/>
      <c r="W15" s="195"/>
      <c r="X15" s="195"/>
      <c r="Y15" s="195"/>
      <c r="Z15" s="195"/>
    </row>
    <row r="16" customHeight="1" spans="1:26">
      <c r="A16" s="200"/>
      <c r="B16" s="201" t="s">
        <v>174</v>
      </c>
      <c r="C16" s="202"/>
      <c r="D16" s="202"/>
      <c r="E16" s="202"/>
      <c r="F16" s="202"/>
      <c r="G16" s="202"/>
      <c r="H16" s="202"/>
      <c r="I16" s="202"/>
      <c r="J16" s="202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0"/>
      <c r="V16" s="200"/>
      <c r="W16" s="200"/>
      <c r="X16" s="200"/>
      <c r="Y16" s="200"/>
      <c r="Z16" s="200"/>
    </row>
    <row r="17" customHeight="1" spans="1:26">
      <c r="A17" s="195"/>
      <c r="B17" s="204"/>
      <c r="C17" s="204" t="s">
        <v>175</v>
      </c>
      <c r="D17" s="204"/>
      <c r="E17" s="204"/>
      <c r="F17" s="204"/>
      <c r="G17" s="204"/>
      <c r="H17" s="204"/>
      <c r="I17" s="204"/>
      <c r="J17" s="204"/>
      <c r="K17" s="205">
        <f t="array" ref="K17">NPV(T25,N14:T14)</f>
        <v>28733.2929551696</v>
      </c>
      <c r="L17" s="216"/>
      <c r="M17" s="217"/>
      <c r="N17" s="217"/>
      <c r="O17" s="217"/>
      <c r="P17" s="217"/>
      <c r="Q17" s="217"/>
      <c r="R17" s="210" t="s">
        <v>176</v>
      </c>
      <c r="S17" s="217"/>
      <c r="T17" s="218">
        <v>0.17</v>
      </c>
      <c r="U17" s="195"/>
      <c r="V17" s="195"/>
      <c r="W17" s="195"/>
      <c r="X17" s="195"/>
      <c r="Y17" s="195"/>
      <c r="Z17" s="195"/>
    </row>
    <row r="18" customHeight="1" spans="1:26">
      <c r="A18" s="195"/>
      <c r="B18" s="204"/>
      <c r="C18" s="204" t="s">
        <v>177</v>
      </c>
      <c r="D18" s="204"/>
      <c r="E18" s="204"/>
      <c r="F18" s="204"/>
      <c r="G18" s="204"/>
      <c r="H18" s="204"/>
      <c r="I18" s="204"/>
      <c r="J18" s="204"/>
      <c r="K18" s="205">
        <f>T14*(1+T26)/(T25-T26)</f>
        <v>196368.791405288</v>
      </c>
      <c r="L18" s="217"/>
      <c r="M18" s="217"/>
      <c r="N18" s="217"/>
      <c r="O18" s="217"/>
      <c r="P18" s="217"/>
      <c r="Q18" s="217"/>
      <c r="R18" s="210" t="s">
        <v>178</v>
      </c>
      <c r="S18" s="217"/>
      <c r="T18" s="218">
        <v>0.55</v>
      </c>
      <c r="U18" s="206"/>
      <c r="V18" s="195"/>
      <c r="W18" s="195"/>
      <c r="X18" s="195"/>
      <c r="Y18" s="195"/>
      <c r="Z18" s="195"/>
    </row>
    <row r="19" customHeight="1" spans="1:26">
      <c r="A19" s="195"/>
      <c r="B19" s="204"/>
      <c r="C19" s="204" t="s">
        <v>179</v>
      </c>
      <c r="D19" s="204"/>
      <c r="E19" s="204"/>
      <c r="F19" s="204"/>
      <c r="G19" s="204"/>
      <c r="H19" s="204"/>
      <c r="I19" s="204"/>
      <c r="J19" s="204"/>
      <c r="K19" s="205">
        <f>K18/(1+T25)^7</f>
        <v>123860.085847574</v>
      </c>
      <c r="L19" s="217"/>
      <c r="M19" s="217"/>
      <c r="N19" s="217"/>
      <c r="O19" s="217"/>
      <c r="P19" s="217"/>
      <c r="Q19" s="217"/>
      <c r="R19" s="210" t="s">
        <v>180</v>
      </c>
      <c r="S19" s="217"/>
      <c r="T19" s="219">
        <v>1.1</v>
      </c>
      <c r="U19" s="220"/>
      <c r="V19" s="195"/>
      <c r="W19" s="195"/>
      <c r="X19" s="195"/>
      <c r="Y19" s="195"/>
      <c r="Z19" s="195"/>
    </row>
    <row r="20" customHeight="1" spans="1:26">
      <c r="A20" s="195"/>
      <c r="B20" s="204"/>
      <c r="C20" s="204" t="s">
        <v>181</v>
      </c>
      <c r="D20" s="204"/>
      <c r="E20" s="204"/>
      <c r="F20" s="204"/>
      <c r="G20" s="204"/>
      <c r="H20" s="204"/>
      <c r="I20" s="204"/>
      <c r="J20" s="204"/>
      <c r="K20" s="205">
        <f>K17+K19</f>
        <v>152593.378802743</v>
      </c>
      <c r="L20" s="217"/>
      <c r="M20" s="217"/>
      <c r="N20" s="217"/>
      <c r="O20" s="217"/>
      <c r="P20" s="217"/>
      <c r="Q20" s="217"/>
      <c r="R20" s="210" t="s">
        <v>182</v>
      </c>
      <c r="S20" s="217"/>
      <c r="T20" s="218">
        <v>0.04</v>
      </c>
      <c r="U20" s="195"/>
      <c r="V20" s="195"/>
      <c r="W20" s="195"/>
      <c r="X20" s="195"/>
      <c r="Y20" s="195"/>
      <c r="Z20" s="195"/>
    </row>
    <row r="21" customHeight="1" spans="1:26">
      <c r="A21" s="195"/>
      <c r="B21" s="204"/>
      <c r="C21" s="204" t="s">
        <v>183</v>
      </c>
      <c r="D21" s="204"/>
      <c r="E21" s="204"/>
      <c r="F21" s="204"/>
      <c r="G21" s="204"/>
      <c r="H21" s="204"/>
      <c r="I21" s="204"/>
      <c r="J21" s="204"/>
      <c r="K21" s="205">
        <f>'PL-CF-BS'!M94+'PL-CF-BS'!M95-'PL-CF-BS'!M113-'PL-CF-BS'!M114-'PL-CF-BS'!M137</f>
        <v>-378</v>
      </c>
      <c r="L21" s="217"/>
      <c r="M21" s="217"/>
      <c r="N21" s="217"/>
      <c r="O21" s="217"/>
      <c r="P21" s="217"/>
      <c r="Q21" s="217"/>
      <c r="R21" s="210" t="s">
        <v>184</v>
      </c>
      <c r="S21" s="217"/>
      <c r="T21" s="218">
        <v>0.055</v>
      </c>
      <c r="U21" s="195"/>
      <c r="V21" s="195"/>
      <c r="W21" s="195"/>
      <c r="X21" s="195"/>
      <c r="Y21" s="195"/>
      <c r="Z21" s="195"/>
    </row>
    <row r="22" customHeight="1" spans="1:26">
      <c r="A22" s="195"/>
      <c r="B22" s="204"/>
      <c r="C22" s="204" t="s">
        <v>185</v>
      </c>
      <c r="D22" s="204"/>
      <c r="E22" s="204"/>
      <c r="F22" s="204"/>
      <c r="G22" s="204"/>
      <c r="H22" s="204"/>
      <c r="I22" s="204"/>
      <c r="J22" s="204"/>
      <c r="K22" s="205">
        <f>K20+K21</f>
        <v>152215.378802743</v>
      </c>
      <c r="L22" s="217"/>
      <c r="M22" s="217"/>
      <c r="N22" s="217"/>
      <c r="O22" s="217"/>
      <c r="P22" s="217"/>
      <c r="Q22" s="217"/>
      <c r="R22" s="210" t="s">
        <v>186</v>
      </c>
      <c r="S22" s="217"/>
      <c r="T22" s="221">
        <f>T20+T21*T19</f>
        <v>0.1005</v>
      </c>
      <c r="U22" s="206"/>
      <c r="V22" s="195"/>
      <c r="W22" s="195"/>
      <c r="X22" s="195"/>
      <c r="Y22" s="195"/>
      <c r="Z22" s="195"/>
    </row>
    <row r="23" customHeight="1" spans="1:26">
      <c r="A23" s="195"/>
      <c r="B23" s="204"/>
      <c r="C23" s="23" t="s">
        <v>187</v>
      </c>
      <c r="D23" s="23"/>
      <c r="E23" s="23"/>
      <c r="F23" s="23"/>
      <c r="G23" s="23"/>
      <c r="H23" s="23"/>
      <c r="I23" s="23"/>
      <c r="J23" s="23"/>
      <c r="K23" s="222">
        <f>(K22/'PL-CF-BS'!K49/'Other ASPT'!K5)*(1+T26)</f>
        <v>391.172255905254</v>
      </c>
      <c r="L23" s="217"/>
      <c r="M23" s="217"/>
      <c r="N23" s="217"/>
      <c r="O23" s="217"/>
      <c r="P23" s="217"/>
      <c r="Q23" s="217"/>
      <c r="R23" s="210" t="s">
        <v>188</v>
      </c>
      <c r="S23" s="217"/>
      <c r="T23" s="223">
        <v>0.05</v>
      </c>
      <c r="U23" s="206"/>
      <c r="V23" s="195"/>
      <c r="W23" s="195"/>
      <c r="X23" s="195"/>
      <c r="Y23" s="195"/>
      <c r="Z23" s="195"/>
    </row>
    <row r="24" customHeight="1" spans="1:26">
      <c r="A24" s="195"/>
      <c r="B24" s="204"/>
      <c r="C24" s="204"/>
      <c r="D24" s="204"/>
      <c r="E24" s="204"/>
      <c r="F24" s="204"/>
      <c r="G24" s="204"/>
      <c r="H24" s="204"/>
      <c r="I24" s="204"/>
      <c r="J24" s="204"/>
      <c r="K24" s="198"/>
      <c r="L24" s="217"/>
      <c r="M24" s="217"/>
      <c r="N24" s="217"/>
      <c r="O24" s="217"/>
      <c r="P24" s="217"/>
      <c r="Q24" s="217"/>
      <c r="R24" s="210" t="s">
        <v>189</v>
      </c>
      <c r="S24" s="217"/>
      <c r="T24" s="221">
        <f>T23*(1-T17)</f>
        <v>0.0415</v>
      </c>
      <c r="U24" s="206"/>
      <c r="V24" s="195"/>
      <c r="W24" s="195"/>
      <c r="X24" s="195"/>
      <c r="Y24" s="195"/>
      <c r="Z24" s="195"/>
    </row>
    <row r="25" customHeight="1" spans="1:26">
      <c r="A25" s="195"/>
      <c r="B25" s="204"/>
      <c r="C25" s="204"/>
      <c r="D25" s="204"/>
      <c r="E25" s="204"/>
      <c r="F25" s="204"/>
      <c r="G25" s="204"/>
      <c r="H25" s="204"/>
      <c r="I25" s="204"/>
      <c r="J25" s="204"/>
      <c r="K25" s="217"/>
      <c r="L25" s="217"/>
      <c r="M25" s="217"/>
      <c r="N25" s="217"/>
      <c r="O25" s="217"/>
      <c r="P25" s="217"/>
      <c r="Q25" s="217"/>
      <c r="R25" s="210" t="s">
        <v>190</v>
      </c>
      <c r="S25" s="217"/>
      <c r="T25" s="221">
        <f>T24*T18+T22*(1-T18)</f>
        <v>0.06805</v>
      </c>
      <c r="U25" s="224"/>
      <c r="V25" s="217">
        <v>354</v>
      </c>
      <c r="W25" s="195"/>
      <c r="X25" s="195"/>
      <c r="Y25" s="195"/>
      <c r="Z25" s="195"/>
    </row>
    <row r="26" customHeight="1" spans="1:26">
      <c r="A26" s="195"/>
      <c r="B26" s="204"/>
      <c r="C26" s="204"/>
      <c r="D26" s="204"/>
      <c r="E26" s="204"/>
      <c r="F26" s="204"/>
      <c r="G26" s="204"/>
      <c r="H26" s="204"/>
      <c r="I26" s="204"/>
      <c r="J26" s="204"/>
      <c r="K26" s="217"/>
      <c r="L26" s="217"/>
      <c r="M26" s="217"/>
      <c r="N26" s="217"/>
      <c r="O26" s="217"/>
      <c r="P26" s="217"/>
      <c r="Q26" s="217"/>
      <c r="R26" s="210" t="s">
        <v>191</v>
      </c>
      <c r="S26" s="217"/>
      <c r="T26" s="223">
        <v>0.03</v>
      </c>
      <c r="U26" s="195"/>
      <c r="V26" s="225">
        <f>K23/V25-1</f>
        <v>0.105006372613711</v>
      </c>
      <c r="W26" s="195"/>
      <c r="X26" s="195"/>
      <c r="Y26" s="195"/>
      <c r="Z26" s="195"/>
    </row>
    <row r="27" customHeight="1" spans="1:26">
      <c r="A27" s="195"/>
      <c r="B27" s="204"/>
      <c r="C27" s="204"/>
      <c r="D27" s="204"/>
      <c r="E27" s="204"/>
      <c r="F27" s="204"/>
      <c r="G27" s="204"/>
      <c r="H27" s="204"/>
      <c r="I27" s="204"/>
      <c r="J27" s="204"/>
      <c r="K27" s="217"/>
      <c r="L27" s="217"/>
      <c r="M27" s="217"/>
      <c r="N27" s="217"/>
      <c r="O27" s="217"/>
      <c r="P27" s="210"/>
      <c r="Q27" s="217"/>
      <c r="R27" s="27"/>
      <c r="S27" s="217"/>
      <c r="T27" s="204"/>
      <c r="U27" s="195"/>
      <c r="V27" s="195"/>
      <c r="W27" s="195"/>
      <c r="X27" s="195"/>
      <c r="Y27" s="195"/>
      <c r="Z27" s="195"/>
    </row>
    <row r="28" customHeight="1" spans="1:26">
      <c r="A28" s="195"/>
      <c r="B28" s="204"/>
      <c r="C28" s="204"/>
      <c r="D28" s="204"/>
      <c r="E28" s="204"/>
      <c r="F28" s="204"/>
      <c r="G28" s="204"/>
      <c r="H28" s="204"/>
      <c r="I28" s="204"/>
      <c r="J28" s="204"/>
      <c r="K28" s="217"/>
      <c r="L28" s="217"/>
      <c r="M28" s="217"/>
      <c r="N28" s="217"/>
      <c r="O28" s="217"/>
      <c r="P28" s="217"/>
      <c r="Q28" s="217"/>
      <c r="R28" s="217"/>
      <c r="S28" s="217"/>
      <c r="T28" s="204"/>
      <c r="U28" s="195"/>
      <c r="V28" s="195"/>
      <c r="W28" s="195"/>
      <c r="X28" s="195"/>
      <c r="Y28" s="195"/>
      <c r="Z28" s="195"/>
    </row>
    <row r="29" customHeight="1" spans="1:26">
      <c r="A29" s="200"/>
      <c r="B29" s="200"/>
      <c r="C29" s="200"/>
      <c r="D29" s="200"/>
      <c r="E29" s="200"/>
      <c r="F29" s="200"/>
      <c r="G29" s="200"/>
      <c r="H29" s="201" t="s">
        <v>192</v>
      </c>
      <c r="I29" s="202"/>
      <c r="J29" s="202"/>
      <c r="K29" s="203"/>
      <c r="L29" s="203"/>
      <c r="M29" s="203"/>
      <c r="N29" s="203"/>
      <c r="O29" s="203"/>
      <c r="P29" s="203"/>
      <c r="Q29" s="203"/>
      <c r="R29" s="203"/>
      <c r="S29" s="226"/>
      <c r="T29" s="227"/>
      <c r="U29" s="200"/>
      <c r="V29" s="200"/>
      <c r="W29" s="200"/>
      <c r="X29" s="200"/>
      <c r="Y29" s="200"/>
      <c r="Z29" s="200"/>
    </row>
    <row r="30" customHeight="1" spans="1:26">
      <c r="A30" s="23"/>
      <c r="B30" s="23"/>
      <c r="C30" s="23"/>
      <c r="D30" s="23"/>
      <c r="E30" s="23"/>
      <c r="F30" s="23"/>
      <c r="G30" s="23"/>
      <c r="H30" s="217" t="s">
        <v>191</v>
      </c>
      <c r="I30" s="228"/>
      <c r="J30" s="228"/>
      <c r="K30" s="221">
        <f t="shared" ref="K30:N30" si="2">L30-0.5%</f>
        <v>0.00999999999999999</v>
      </c>
      <c r="L30" s="221">
        <f t="shared" si="2"/>
        <v>0.015</v>
      </c>
      <c r="M30" s="221">
        <f t="shared" si="2"/>
        <v>0.02</v>
      </c>
      <c r="N30" s="221">
        <f t="shared" si="2"/>
        <v>0.025</v>
      </c>
      <c r="O30" s="229">
        <f>T26</f>
        <v>0.03</v>
      </c>
      <c r="P30" s="221">
        <f t="shared" ref="P30:R30" si="3">O30+0.5%</f>
        <v>0.035</v>
      </c>
      <c r="Q30" s="221">
        <f t="shared" si="3"/>
        <v>0.04</v>
      </c>
      <c r="R30" s="221">
        <f t="shared" si="3"/>
        <v>0.045</v>
      </c>
      <c r="S30" s="217"/>
      <c r="T30" s="204"/>
      <c r="U30" s="23"/>
      <c r="V30" s="23"/>
      <c r="W30" s="23"/>
      <c r="X30" s="23"/>
      <c r="Y30" s="23"/>
      <c r="Z30" s="23"/>
    </row>
    <row r="31" customHeight="1" spans="1:26">
      <c r="A31" s="23"/>
      <c r="B31" s="23"/>
      <c r="C31" s="23"/>
      <c r="D31" s="23"/>
      <c r="E31" s="23"/>
      <c r="F31" s="23"/>
      <c r="G31" s="23"/>
      <c r="H31" s="230" t="s">
        <v>190</v>
      </c>
      <c r="I31" s="228"/>
      <c r="J31" s="221">
        <f t="shared" ref="J31:J33" si="4">J32-0.5%</f>
        <v>0.05305</v>
      </c>
      <c r="K31" s="231">
        <f t="array" ref="K31">(NPV($J31,$N$14:$T$14)+($T$14*(1+K$30)/($J31-K$30))/(1+$J31)^7+$K$21)/'Other ASPT'!$K$5/'PL-CF-BS'!$K$49</f>
        <v>370.682207218097</v>
      </c>
      <c r="L31" s="231">
        <f t="array" ref="L31">(NPV($J31,$N$14:$T$14)+($T$14*(1+L$30)/($J31-L$30))/(1+$J31)^7+$K$21)/'Other ASPT'!$K$5/'PL-CF-BS'!$K$49</f>
        <v>411.196701604086</v>
      </c>
      <c r="M31" s="231">
        <f t="array" ref="M31">(NPV($J31,$N$14:$T$14)+($T$14*(1+M$30)/($J31-M$30))/(1+$J31)^7+$K$21)/'Other ASPT'!$K$5/'PL-CF-BS'!$K$49</f>
        <v>463.969741946501</v>
      </c>
      <c r="N31" s="231">
        <f t="array" ref="N31">(NPV($J31,$N$14:$T$14)+($T$14*(1+N$30)/($J31-N$30))/(1+$J31)^7+$K$21)/'Other ASPT'!$K$5/'PL-CF-BS'!$K$49</f>
        <v>535.556700414554</v>
      </c>
      <c r="O31" s="231">
        <f t="array" ref="O31">(NPV($J31,$N$14:$T$14)+($T$14*(1+O$30)/($J31-O$30))/(1+$J31)^7+$K$21)/'Other ASPT'!$K$5/'PL-CF-BS'!$K$49</f>
        <v>638.200907675689</v>
      </c>
      <c r="P31" s="231">
        <f t="array" ref="P31">(NPV($J31,$N$14:$T$14)+($T$14*(1+P$30)/($J31-P$30))/(1+$J31)^7+$K$21)/'Other ASPT'!$K$5/'PL-CF-BS'!$K$49</f>
        <v>797.711711757397</v>
      </c>
      <c r="Q31" s="231">
        <f t="array" ref="Q31">(NPV($J31,$N$14:$T$14)+($T$14*(1+Q$30)/($J31-Q$30))/(1+$J31)^7+$K$21)/'Other ASPT'!$K$5/'PL-CF-BS'!$K$49</f>
        <v>1079.45301705114</v>
      </c>
      <c r="R31" s="231">
        <f t="array" ref="R31">(NPV($J31,$N$14:$T$14)+($T$14*(1+R$30)/($J31-R$30))/(1+$J31)^7+$K$21)/'Other ASPT'!$K$5/'PL-CF-BS'!$K$49</f>
        <v>1711.18352146755</v>
      </c>
      <c r="S31" s="217"/>
      <c r="T31" s="204"/>
      <c r="U31" s="23"/>
      <c r="V31" s="23"/>
      <c r="W31" s="23"/>
      <c r="X31" s="23"/>
      <c r="Y31" s="23"/>
      <c r="Z31" s="23"/>
    </row>
    <row r="32" customHeight="1" spans="1:26">
      <c r="A32" s="195"/>
      <c r="B32" s="195"/>
      <c r="C32" s="195"/>
      <c r="D32" s="195"/>
      <c r="E32" s="195"/>
      <c r="F32" s="195"/>
      <c r="G32" s="195"/>
      <c r="H32" s="228"/>
      <c r="I32" s="228"/>
      <c r="J32" s="221">
        <f t="shared" si="4"/>
        <v>0.05805</v>
      </c>
      <c r="K32" s="231">
        <f t="array" ref="K32">(NPV($J32,$N$14:$T$14)+($T$14*(1+K$30)/($J32-K$30))/(1+$J32)^7+$K$21)/'Other ASPT'!$K$5/'PL-CF-BS'!$K$49</f>
        <v>329.821533183397</v>
      </c>
      <c r="L32" s="231">
        <f t="array" ref="L32">(NPV($J32,$N$14:$T$14)+($T$14*(1+L$30)/($J32-L$30))/(1+$J32)^7+$K$21)/'Other ASPT'!$K$5/'PL-CF-BS'!$K$49</f>
        <v>361.005294530876</v>
      </c>
      <c r="M32" s="231">
        <f t="array" ref="M32">(NPV($J32,$N$14:$T$14)+($T$14*(1+M$30)/($J32-M$30))/(1+$J32)^7+$K$21)/'Other ASPT'!$K$5/'PL-CF-BS'!$K$49</f>
        <v>400.384525352068</v>
      </c>
      <c r="N32" s="231">
        <f t="array" ref="N32">(NPV($J32,$N$14:$T$14)+($T$14*(1+N$30)/($J32-N$30))/(1+$J32)^7+$K$21)/'Other ASPT'!$K$5/'PL-CF-BS'!$K$49</f>
        <v>451.678803320368</v>
      </c>
      <c r="O32" s="231">
        <f t="array" ref="O32">(NPV($J32,$N$14:$T$14)+($T$14*(1+O$30)/($J32-O$30))/(1+$J32)^7+$K$21)/'Other ASPT'!$K$5/'PL-CF-BS'!$K$49</f>
        <v>521.259811402144</v>
      </c>
      <c r="P32" s="231">
        <f t="array" ref="P32">(NPV($J32,$N$14:$T$14)+($T$14*(1+P$30)/($J32-P$30))/(1+$J32)^7+$K$21)/'Other ASPT'!$K$5/'PL-CF-BS'!$K$49</f>
        <v>621.027807805731</v>
      </c>
      <c r="Q32" s="231">
        <f t="array" ref="Q32">(NPV($J32,$N$14:$T$14)+($T$14*(1+Q$30)/($J32-Q$30))/(1+$J32)^7+$K$21)/'Other ASPT'!$K$5/'PL-CF-BS'!$K$49</f>
        <v>776.068932410752</v>
      </c>
      <c r="R32" s="231">
        <f t="array" ref="R32">(NPV($J32,$N$14:$T$14)+($T$14*(1+R$30)/($J32-R$30))/(1+$J32)^7+$K$21)/'Other ASPT'!$K$5/'PL-CF-BS'!$K$49</f>
        <v>1049.91551648322</v>
      </c>
      <c r="S32" s="217"/>
      <c r="T32" s="204"/>
      <c r="U32" s="195"/>
      <c r="V32" s="195"/>
      <c r="W32" s="195"/>
      <c r="X32" s="195"/>
      <c r="Y32" s="195"/>
      <c r="Z32" s="195"/>
    </row>
    <row r="33" customHeight="1" spans="1:26">
      <c r="A33" s="195"/>
      <c r="B33" s="195"/>
      <c r="C33" s="195"/>
      <c r="D33" s="195"/>
      <c r="E33" s="195"/>
      <c r="F33" s="195"/>
      <c r="G33" s="195"/>
      <c r="H33" s="228"/>
      <c r="I33" s="228"/>
      <c r="J33" s="221">
        <f t="shared" si="4"/>
        <v>0.06305</v>
      </c>
      <c r="K33" s="231">
        <f t="array" ref="K33">(NPV($J33,$N$14:$T$14)+($T$14*(1+K$30)/($J33-K$30))/(1+$J33)^7+$K$21)/'Other ASPT'!$K$5/'PL-CF-BS'!$K$49</f>
        <v>296.721404944493</v>
      </c>
      <c r="L33" s="231">
        <f t="array" ref="L33">(NPV($J33,$N$14:$T$14)+($T$14*(1+L$30)/($J33-L$30))/(1+$J33)^7+$K$21)/'Other ASPT'!$K$5/'PL-CF-BS'!$K$49</f>
        <v>321.32118725282</v>
      </c>
      <c r="M33" s="231">
        <f t="array" ref="M33">(NPV($J33,$N$14:$T$14)+($T$14*(1+M$30)/($J33-M$30))/(1+$J33)^7+$K$21)/'Other ASPT'!$K$5/'PL-CF-BS'!$K$49</f>
        <v>351.635204708263</v>
      </c>
      <c r="N33" s="232">
        <f t="array" ref="N33">(NPV($J33,$N$14:$T$14)+($T$14*(1+N$30)/($J33-N$30))/(1+$J33)^7+$K$21)/'Other ASPT'!$K$5/'PL-CF-BS'!$K$49</f>
        <v>389.916112427947</v>
      </c>
      <c r="O33" s="232">
        <f t="array" ref="O33">(NPV($J33,$N$14:$T$14)+($T$14*(1+O$30)/($J33-O$30))/(1+$J33)^7+$K$21)/'Other ASPT'!$K$5/'PL-CF-BS'!$K$49</f>
        <v>439.779745630138</v>
      </c>
      <c r="P33" s="232">
        <f t="array" ref="P33">(NPV($J33,$N$14:$T$14)+($T$14*(1+P$30)/($J33-P$30))/(1+$J33)^7+$K$21)/'Other ASPT'!$K$5/'PL-CF-BS'!$K$49</f>
        <v>507.420075161096</v>
      </c>
      <c r="Q33" s="231">
        <f t="array" ref="Q33">(NPV($J33,$N$14:$T$14)+($T$14*(1+Q$30)/($J33-Q$30))/(1+$J33)^7+$K$21)/'Other ASPT'!$K$5/'PL-CF-BS'!$K$49</f>
        <v>604.405450041711</v>
      </c>
      <c r="R33" s="231">
        <f t="array" ref="R33">(NPV($J33,$N$14:$T$14)+($T$14*(1+R$30)/($J33-R$30))/(1+$J33)^7+$K$21)/'Other ASPT'!$K$5/'PL-CF-BS'!$K$49</f>
        <v>755.122334551475</v>
      </c>
      <c r="S33" s="217"/>
      <c r="T33" s="204"/>
      <c r="U33" s="195"/>
      <c r="V33" s="195"/>
      <c r="W33" s="195"/>
      <c r="X33" s="195"/>
      <c r="Y33" s="195"/>
      <c r="Z33" s="195"/>
    </row>
    <row r="34" customHeight="1" spans="1:26">
      <c r="A34" s="195"/>
      <c r="B34" s="195"/>
      <c r="C34" s="195"/>
      <c r="D34" s="195"/>
      <c r="E34" s="195"/>
      <c r="F34" s="195"/>
      <c r="G34" s="195"/>
      <c r="H34" s="228"/>
      <c r="I34" s="228"/>
      <c r="J34" s="229">
        <f>T25</f>
        <v>0.06805</v>
      </c>
      <c r="K34" s="231">
        <f t="array" ref="K34">(NPV($J34,$N$14:$T$14)+($T$14*(1+K$30)/($J34-K$30))/(1+$J34)^7+$K$21)/'Other ASPT'!$K$5/'PL-CF-BS'!$K$49</f>
        <v>269.374638407647</v>
      </c>
      <c r="L34" s="231">
        <f t="array" ref="L34">(NPV($J34,$N$14:$T$14)+($T$14*(1+L$30)/($J34-L$30))/(1+$J34)^7+$K$21)/'Other ASPT'!$K$5/'PL-CF-BS'!$K$49</f>
        <v>289.171442101001</v>
      </c>
      <c r="M34" s="231">
        <f t="array" ref="M34">(NPV($J34,$N$14:$T$14)+($T$14*(1+M$30)/($J34-M$30))/(1+$J34)^7+$K$21)/'Other ASPT'!$K$5/'PL-CF-BS'!$K$49</f>
        <v>313.088288186312</v>
      </c>
      <c r="N34" s="232">
        <f t="array" ref="N34">(NPV($J34,$N$14:$T$14)+($T$14*(1+N$30)/($J34-N$30))/(1+$J34)^7+$K$21)/'Other ASPT'!$K$5/'PL-CF-BS'!$K$49</f>
        <v>342.560731503983</v>
      </c>
      <c r="O34" s="233">
        <f t="array" ref="O34">(NPV($J34,$N$14:$T$14)+($T$14*(1+O$30)/($J34-O$30))/(1+$J34)^7+$K$21)/'Other ASPT'!$K$5/'PL-CF-BS'!$K$49</f>
        <v>379.778889228402</v>
      </c>
      <c r="P34" s="232">
        <f t="array" ref="P34">(NPV($J34,$N$14:$T$14)+($T$14*(1+P$30)/($J34-P$30))/(1+$J34)^7+$K$21)/'Other ASPT'!$K$5/'PL-CF-BS'!$K$49</f>
        <v>428.258214191675</v>
      </c>
      <c r="Q34" s="231">
        <f t="array" ref="Q34">(NPV($J34,$N$14:$T$14)+($T$14*(1+Q$30)/($J34-Q$30))/(1+$J34)^7+$K$21)/'Other ASPT'!$K$5/'PL-CF-BS'!$K$49</f>
        <v>494.020720960038</v>
      </c>
      <c r="R34" s="231">
        <f t="array" ref="R34">(NPV($J34,$N$14:$T$14)+($T$14*(1+R$30)/($J34-R$30))/(1+$J34)^7+$K$21)/'Other ASPT'!$K$5/'PL-CF-BS'!$K$49</f>
        <v>588.313599428341</v>
      </c>
      <c r="S34" s="217"/>
      <c r="T34" s="204"/>
      <c r="U34" s="195"/>
      <c r="V34" s="195"/>
      <c r="W34" s="195"/>
      <c r="X34" s="195"/>
      <c r="Y34" s="195"/>
      <c r="Z34" s="195"/>
    </row>
    <row r="35" customHeight="1" spans="1:26">
      <c r="A35" s="195"/>
      <c r="B35" s="195"/>
      <c r="C35" s="195"/>
      <c r="D35" s="195"/>
      <c r="E35" s="195"/>
      <c r="F35" s="195"/>
      <c r="G35" s="195"/>
      <c r="H35" s="228"/>
      <c r="I35" s="228"/>
      <c r="J35" s="221">
        <f t="shared" ref="J35:J37" si="5">J34+0.5%</f>
        <v>0.07305</v>
      </c>
      <c r="K35" s="231">
        <f t="array" ref="K35">(NPV($J35,$N$14:$T$14)+($T$14*(1+K$30)/($J35-K$30))/(1+$J35)^7+$K$21)/'Other ASPT'!$K$5/'PL-CF-BS'!$K$49</f>
        <v>246.41081538201</v>
      </c>
      <c r="L35" s="231">
        <f t="array" ref="L35">(NPV($J35,$N$14:$T$14)+($T$14*(1+L$30)/($J35-L$30))/(1+$J35)^7+$K$21)/'Other ASPT'!$K$5/'PL-CF-BS'!$K$49</f>
        <v>262.607462744809</v>
      </c>
      <c r="M35" s="231">
        <f t="array" ref="M35">(NPV($J35,$N$14:$T$14)+($T$14*(1+M$30)/($J35-M$30))/(1+$J35)^7+$K$21)/'Other ASPT'!$K$5/'PL-CF-BS'!$K$49</f>
        <v>281.857201033677</v>
      </c>
      <c r="N35" s="232">
        <f t="array" ref="N35">(NPV($J35,$N$14:$T$14)+($T$14*(1+N$30)/($J35-N$30))/(1+$J35)^7+$K$21)/'Other ASPT'!$K$5/'PL-CF-BS'!$K$49</f>
        <v>305.113128352486</v>
      </c>
      <c r="O35" s="232">
        <f t="array" ref="O35">(NPV($J35,$N$14:$T$14)+($T$14*(1+O$30)/($J35-O$30))/(1+$J35)^7+$K$21)/'Other ASPT'!$K$5/'PL-CF-BS'!$K$49</f>
        <v>333.771129380659</v>
      </c>
      <c r="P35" s="232">
        <f t="array" ref="P35">(NPV($J35,$N$14:$T$14)+($T$14*(1+P$30)/($J35-P$30))/(1+$J35)^7+$K$21)/'Other ASPT'!$K$5/'PL-CF-BS'!$K$49</f>
        <v>369.960799535815</v>
      </c>
      <c r="Q35" s="231">
        <f t="array" ref="Q35">(NPV($J35,$N$14:$T$14)+($T$14*(1+Q$30)/($J35-Q$30))/(1+$J35)^7+$K$21)/'Other ASPT'!$K$5/'PL-CF-BS'!$K$49</f>
        <v>417.100445532169</v>
      </c>
      <c r="R35" s="231">
        <f t="array" ref="R35">(NPV($J35,$N$14:$T$14)+($T$14*(1+R$30)/($J35-R$30))/(1+$J35)^7+$K$21)/'Other ASPT'!$K$5/'PL-CF-BS'!$K$49</f>
        <v>481.045669423835</v>
      </c>
      <c r="S35" s="217"/>
      <c r="T35" s="204"/>
      <c r="U35" s="195"/>
      <c r="V35" s="195"/>
      <c r="W35" s="195"/>
      <c r="X35" s="195"/>
      <c r="Y35" s="195"/>
      <c r="Z35" s="195"/>
    </row>
    <row r="36" customHeight="1" spans="1:26">
      <c r="A36" s="195"/>
      <c r="B36" s="195"/>
      <c r="C36" s="195"/>
      <c r="D36" s="195"/>
      <c r="E36" s="195"/>
      <c r="F36" s="195"/>
      <c r="G36" s="195"/>
      <c r="H36" s="228"/>
      <c r="I36" s="228"/>
      <c r="J36" s="221">
        <f t="shared" si="5"/>
        <v>0.07805</v>
      </c>
      <c r="K36" s="231">
        <f t="array" ref="K36">(NPV($J36,$N$14:$T$14)+($T$14*(1+K$30)/($J36-K$30))/(1+$J36)^7+$K$21)/'Other ASPT'!$K$5/'PL-CF-BS'!$K$49</f>
        <v>226.862347538337</v>
      </c>
      <c r="L36" s="231">
        <f t="array" ref="L36">(NPV($J36,$N$14:$T$14)+($T$14*(1+L$30)/($J36-L$30))/(1+$J36)^7+$K$21)/'Other ASPT'!$K$5/'PL-CF-BS'!$K$49</f>
        <v>240.29882880987</v>
      </c>
      <c r="M36" s="231">
        <f t="array" ref="M36">(NPV($J36,$N$14:$T$14)+($T$14*(1+M$30)/($J36-M$30))/(1+$J36)^7+$K$21)/'Other ASPT'!$K$5/'PL-CF-BS'!$K$49</f>
        <v>256.049949404665</v>
      </c>
      <c r="N36" s="231">
        <f t="array" ref="N36">(NPV($J36,$N$14:$T$14)+($T$14*(1+N$30)/($J36-N$30))/(1+$J36)^7+$K$21)/'Other ASPT'!$K$5/'PL-CF-BS'!$K$49</f>
        <v>274.770178499892</v>
      </c>
      <c r="O36" s="231">
        <f t="array" ref="O36">(NPV($J36,$N$14:$T$14)+($T$14*(1+O$30)/($J36-O$30))/(1+$J36)^7+$K$21)/'Other ASPT'!$K$5/'PL-CF-BS'!$K$49</f>
        <v>297.386397000994</v>
      </c>
      <c r="P36" s="231">
        <f t="array" ref="P36">(NPV($J36,$N$14:$T$14)+($T$14*(1+P$30)/($J36-P$30))/(1+$J36)^7+$K$21)/'Other ASPT'!$K$5/'PL-CF-BS'!$K$49</f>
        <v>325.256092505836</v>
      </c>
      <c r="Q36" s="231">
        <f t="array" ref="Q36">(NPV($J36,$N$14:$T$14)+($T$14*(1+Q$30)/($J36-Q$30))/(1+$J36)^7+$K$21)/'Other ASPT'!$K$5/'PL-CF-BS'!$K$49</f>
        <v>360.450280916024</v>
      </c>
      <c r="R36" s="231">
        <f t="array" ref="R36">(NPV($J36,$N$14:$T$14)+($T$14*(1+R$30)/($J36-R$30))/(1+$J36)^7+$K$21)/'Other ASPT'!$K$5/'PL-CF-BS'!$K$49</f>
        <v>406.293240403425</v>
      </c>
      <c r="S36" s="217"/>
      <c r="T36" s="204"/>
      <c r="U36" s="195"/>
      <c r="V36" s="195"/>
      <c r="W36" s="195"/>
      <c r="X36" s="195"/>
      <c r="Y36" s="195"/>
      <c r="Z36" s="195"/>
    </row>
    <row r="37" customHeight="1" spans="1:26">
      <c r="A37" s="23"/>
      <c r="B37" s="23"/>
      <c r="C37" s="23"/>
      <c r="D37" s="23"/>
      <c r="E37" s="23"/>
      <c r="F37" s="23"/>
      <c r="G37" s="23"/>
      <c r="H37" s="228"/>
      <c r="I37" s="228"/>
      <c r="J37" s="221">
        <f t="shared" si="5"/>
        <v>0.08305</v>
      </c>
      <c r="K37" s="231">
        <f t="array" ref="K37">(NPV($J37,$N$14:$T$14)+($T$14*(1+K$30)/($J37-K$30))/(1+$J37)^7+$K$21)/'Other ASPT'!$K$5/'PL-CF-BS'!$K$49</f>
        <v>210.026612800879</v>
      </c>
      <c r="L37" s="231">
        <f t="array" ref="L37">(NPV($J37,$N$14:$T$14)+($T$14*(1+L$30)/($J37-L$30))/(1+$J37)^7+$K$21)/'Other ASPT'!$K$5/'PL-CF-BS'!$K$49</f>
        <v>221.306189587513</v>
      </c>
      <c r="M37" s="231">
        <f t="array" ref="M37">(NPV($J37,$N$14:$T$14)+($T$14*(1+M$30)/($J37-M$30))/(1+$J37)^7+$K$21)/'Other ASPT'!$K$5/'PL-CF-BS'!$K$49</f>
        <v>234.374755555215</v>
      </c>
      <c r="N37" s="231">
        <f t="array" ref="N37">(NPV($J37,$N$14:$T$14)+($T$14*(1+N$30)/($J37-N$30))/(1+$J37)^7+$K$21)/'Other ASPT'!$K$5/'PL-CF-BS'!$K$49</f>
        <v>249.694581810204</v>
      </c>
      <c r="O37" s="231">
        <f t="array" ref="O37">(NPV($J37,$N$14:$T$14)+($T$14*(1+O$30)/($J37-O$30))/(1+$J37)^7+$K$21)/'Other ASPT'!$K$5/'PL-CF-BS'!$K$49</f>
        <v>267.902216972825</v>
      </c>
      <c r="P37" s="231">
        <f t="array" ref="P37">(NPV($J37,$N$14:$T$14)+($T$14*(1+P$30)/($J37-P$30))/(1+$J37)^7+$K$21)/'Other ASPT'!$K$5/'PL-CF-BS'!$K$49</f>
        <v>289.899162262943</v>
      </c>
      <c r="Q37" s="231">
        <f t="array" ref="Q37">(NPV($J37,$N$14:$T$14)+($T$14*(1+Q$30)/($J37-Q$30))/(1+$J37)^7+$K$21)/'Other ASPT'!$K$5/'PL-CF-BS'!$K$49</f>
        <v>317.005734798153</v>
      </c>
      <c r="R37" s="231">
        <f t="array" ref="R37">(NPV($J37,$N$14:$T$14)+($T$14*(1+R$30)/($J37-R$30))/(1+$J37)^7+$K$21)/'Other ASPT'!$K$5/'PL-CF-BS'!$K$49</f>
        <v>351.236242296623</v>
      </c>
      <c r="S37" s="217"/>
      <c r="T37" s="204"/>
      <c r="U37" s="23"/>
      <c r="V37" s="23"/>
      <c r="W37" s="23"/>
      <c r="X37" s="23"/>
      <c r="Y37" s="23"/>
      <c r="Z37" s="23"/>
    </row>
    <row r="38" ht="15.75" customHeight="1" spans="1:26">
      <c r="A38" s="195"/>
      <c r="B38" s="195"/>
      <c r="C38" s="195"/>
      <c r="D38" s="195"/>
      <c r="E38" s="195"/>
      <c r="F38" s="195"/>
      <c r="G38" s="195"/>
      <c r="H38" s="195"/>
      <c r="I38" s="195"/>
      <c r="J38" s="195"/>
      <c r="K38" s="198"/>
      <c r="L38" s="198"/>
      <c r="M38" s="198"/>
      <c r="N38" s="198"/>
      <c r="O38" s="198"/>
      <c r="P38" s="198"/>
      <c r="Q38" s="198"/>
      <c r="R38" s="198"/>
      <c r="S38" s="198"/>
      <c r="T38" s="195"/>
      <c r="U38" s="195"/>
      <c r="V38" s="195"/>
      <c r="W38" s="195"/>
      <c r="X38" s="195"/>
      <c r="Y38" s="195"/>
      <c r="Z38" s="195"/>
    </row>
    <row r="39" ht="15.75" customHeight="1" spans="1:26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8"/>
      <c r="L39" s="198"/>
      <c r="M39" s="198"/>
      <c r="N39" s="198"/>
      <c r="O39" s="198"/>
      <c r="P39" s="198"/>
      <c r="Q39" s="198"/>
      <c r="R39" s="198"/>
      <c r="S39" s="198"/>
      <c r="T39" s="195"/>
      <c r="U39" s="195"/>
      <c r="V39" s="195"/>
      <c r="W39" s="195"/>
      <c r="X39" s="195"/>
      <c r="Y39" s="195"/>
      <c r="Z39" s="195"/>
    </row>
    <row r="40" customHeight="1" spans="1:26">
      <c r="A40" s="195"/>
      <c r="B40" s="195"/>
      <c r="C40" s="195"/>
      <c r="D40" s="195"/>
      <c r="E40" s="195"/>
      <c r="F40" s="195"/>
      <c r="G40" s="195"/>
      <c r="H40" s="201" t="s">
        <v>193</v>
      </c>
      <c r="I40" s="202"/>
      <c r="J40" s="202"/>
      <c r="K40" s="203"/>
      <c r="L40" s="203"/>
      <c r="M40" s="203"/>
      <c r="N40" s="203"/>
      <c r="O40" s="203"/>
      <c r="P40" s="203"/>
      <c r="Q40" s="203"/>
      <c r="R40" s="203"/>
      <c r="S40" s="198"/>
      <c r="T40" s="195"/>
      <c r="U40" s="195"/>
      <c r="V40" s="195"/>
      <c r="W40" s="195"/>
      <c r="X40" s="195"/>
      <c r="Y40" s="195"/>
      <c r="Z40" s="195"/>
    </row>
    <row r="41" customHeight="1" spans="1:26">
      <c r="A41" s="195"/>
      <c r="B41" s="195"/>
      <c r="C41" s="195"/>
      <c r="D41" s="195"/>
      <c r="E41" s="195"/>
      <c r="F41" s="195"/>
      <c r="G41" s="195"/>
      <c r="H41" s="217" t="s">
        <v>191</v>
      </c>
      <c r="I41" s="228"/>
      <c r="J41" s="228"/>
      <c r="K41" s="221">
        <f t="shared" ref="K41:R41" si="6">K30</f>
        <v>0.00999999999999999</v>
      </c>
      <c r="L41" s="221">
        <f t="shared" si="6"/>
        <v>0.015</v>
      </c>
      <c r="M41" s="221">
        <f t="shared" si="6"/>
        <v>0.02</v>
      </c>
      <c r="N41" s="221">
        <f t="shared" si="6"/>
        <v>0.025</v>
      </c>
      <c r="O41" s="221">
        <f t="shared" si="6"/>
        <v>0.03</v>
      </c>
      <c r="P41" s="221">
        <f t="shared" si="6"/>
        <v>0.035</v>
      </c>
      <c r="Q41" s="221">
        <f t="shared" si="6"/>
        <v>0.04</v>
      </c>
      <c r="R41" s="221">
        <f t="shared" si="6"/>
        <v>0.045</v>
      </c>
      <c r="S41" s="198"/>
      <c r="T41" s="195"/>
      <c r="U41" s="195"/>
      <c r="V41" s="195"/>
      <c r="W41" s="195"/>
      <c r="X41" s="195"/>
      <c r="Y41" s="195"/>
      <c r="Z41" s="195"/>
    </row>
    <row r="42" customHeight="1" spans="1:26">
      <c r="A42" s="195"/>
      <c r="B42" s="195"/>
      <c r="C42" s="195"/>
      <c r="D42" s="195"/>
      <c r="E42" s="195"/>
      <c r="F42" s="195"/>
      <c r="G42" s="195"/>
      <c r="H42" s="230" t="s">
        <v>190</v>
      </c>
      <c r="I42" s="228"/>
      <c r="J42" s="221">
        <f t="shared" ref="J42:J48" si="7">J31</f>
        <v>0.05305</v>
      </c>
      <c r="K42" s="221">
        <f t="shared" ref="K42:R42" si="8">K31/$O$34-1</f>
        <v>-0.0239525741643678</v>
      </c>
      <c r="L42" s="221">
        <f t="shared" si="8"/>
        <v>0.0827265897783733</v>
      </c>
      <c r="M42" s="221">
        <f t="shared" si="8"/>
        <v>0.221683866865666</v>
      </c>
      <c r="N42" s="221">
        <f t="shared" si="8"/>
        <v>0.410180280169461</v>
      </c>
      <c r="O42" s="221">
        <f t="shared" si="8"/>
        <v>0.680453879288353</v>
      </c>
      <c r="P42" s="221">
        <f t="shared" si="8"/>
        <v>1.10046354440109</v>
      </c>
      <c r="Q42" s="221">
        <f t="shared" si="8"/>
        <v>1.84231969619025</v>
      </c>
      <c r="R42" s="221">
        <f t="shared" si="8"/>
        <v>3.50573628498459</v>
      </c>
      <c r="S42" s="198"/>
      <c r="T42" s="195"/>
      <c r="U42" s="195"/>
      <c r="V42" s="195"/>
      <c r="W42" s="195"/>
      <c r="X42" s="195"/>
      <c r="Y42" s="195"/>
      <c r="Z42" s="195"/>
    </row>
    <row r="43" customHeight="1" spans="1:26">
      <c r="A43" s="195"/>
      <c r="B43" s="195"/>
      <c r="C43" s="195"/>
      <c r="D43" s="195"/>
      <c r="E43" s="195"/>
      <c r="F43" s="195"/>
      <c r="G43" s="195"/>
      <c r="H43" s="228"/>
      <c r="I43" s="228"/>
      <c r="J43" s="221">
        <f t="shared" si="7"/>
        <v>0.05805</v>
      </c>
      <c r="K43" s="221">
        <f t="shared" ref="K43:R43" si="9">K32/$O$34-1</f>
        <v>-0.131543267574726</v>
      </c>
      <c r="L43" s="221">
        <f t="shared" si="9"/>
        <v>-0.049432960151281</v>
      </c>
      <c r="M43" s="234">
        <f t="shared" si="9"/>
        <v>0.0542569287237931</v>
      </c>
      <c r="N43" s="234">
        <f t="shared" si="9"/>
        <v>0.1893204602237</v>
      </c>
      <c r="O43" s="234">
        <f t="shared" si="9"/>
        <v>0.372534983345677</v>
      </c>
      <c r="P43" s="234">
        <f t="shared" si="9"/>
        <v>0.635235199796061</v>
      </c>
      <c r="Q43" s="234">
        <f t="shared" si="9"/>
        <v>1.04347570236854</v>
      </c>
      <c r="R43" s="221">
        <f t="shared" si="9"/>
        <v>1.76454417626093</v>
      </c>
      <c r="S43" s="198"/>
      <c r="T43" s="195"/>
      <c r="U43" s="195"/>
      <c r="V43" s="195"/>
      <c r="W43" s="195"/>
      <c r="X43" s="195"/>
      <c r="Y43" s="195"/>
      <c r="Z43" s="195"/>
    </row>
    <row r="44" customHeight="1" spans="1:26">
      <c r="A44" s="195"/>
      <c r="B44" s="195"/>
      <c r="C44" s="195"/>
      <c r="D44" s="195"/>
      <c r="E44" s="195"/>
      <c r="F44" s="195"/>
      <c r="G44" s="195"/>
      <c r="H44" s="228"/>
      <c r="I44" s="228"/>
      <c r="J44" s="221">
        <f t="shared" si="7"/>
        <v>0.06305</v>
      </c>
      <c r="K44" s="221">
        <f t="shared" ref="K44:R44" si="10">K33/$O$34-1</f>
        <v>-0.21869958188739</v>
      </c>
      <c r="L44" s="221">
        <f t="shared" si="10"/>
        <v>-0.153925622602009</v>
      </c>
      <c r="M44" s="234">
        <f t="shared" si="10"/>
        <v>-0.0741054474547508</v>
      </c>
      <c r="N44" s="234">
        <f t="shared" si="10"/>
        <v>0.0266924346957289</v>
      </c>
      <c r="O44" s="234">
        <f t="shared" si="10"/>
        <v>0.157988919614886</v>
      </c>
      <c r="P44" s="234">
        <f t="shared" si="10"/>
        <v>0.336093420548004</v>
      </c>
      <c r="Q44" s="234">
        <f t="shared" si="10"/>
        <v>0.591466685443428</v>
      </c>
      <c r="R44" s="221">
        <f t="shared" si="10"/>
        <v>0.988320983521912</v>
      </c>
      <c r="S44" s="198"/>
      <c r="T44" s="195"/>
      <c r="U44" s="195"/>
      <c r="V44" s="195"/>
      <c r="W44" s="195"/>
      <c r="X44" s="195"/>
      <c r="Y44" s="195"/>
      <c r="Z44" s="195"/>
    </row>
    <row r="45" customHeight="1" spans="1:26">
      <c r="A45" s="195"/>
      <c r="B45" s="195"/>
      <c r="C45" s="195"/>
      <c r="D45" s="195"/>
      <c r="E45" s="195"/>
      <c r="F45" s="195"/>
      <c r="G45" s="195"/>
      <c r="H45" s="228"/>
      <c r="I45" s="228"/>
      <c r="J45" s="221">
        <f t="shared" si="7"/>
        <v>0.06805</v>
      </c>
      <c r="K45" s="221">
        <f t="shared" ref="K45:R45" si="11">K34/$O$34-1</f>
        <v>-0.290706655772951</v>
      </c>
      <c r="L45" s="221">
        <f t="shared" si="11"/>
        <v>-0.23857947268077</v>
      </c>
      <c r="M45" s="234">
        <f t="shared" si="11"/>
        <v>-0.17560376032903</v>
      </c>
      <c r="N45" s="234">
        <f t="shared" si="11"/>
        <v>-0.0979995433659687</v>
      </c>
      <c r="O45" s="234">
        <f t="shared" si="11"/>
        <v>0</v>
      </c>
      <c r="P45" s="234">
        <f t="shared" si="11"/>
        <v>0.127651447561421</v>
      </c>
      <c r="Q45" s="234">
        <f t="shared" si="11"/>
        <v>0.300811432577894</v>
      </c>
      <c r="R45" s="221">
        <f t="shared" si="11"/>
        <v>0.549095055345547</v>
      </c>
      <c r="S45" s="198"/>
      <c r="T45" s="195"/>
      <c r="U45" s="195"/>
      <c r="V45" s="195"/>
      <c r="W45" s="195"/>
      <c r="X45" s="195"/>
      <c r="Y45" s="195"/>
      <c r="Z45" s="195"/>
    </row>
    <row r="46" customHeight="1" spans="1:26">
      <c r="A46" s="195"/>
      <c r="B46" s="195"/>
      <c r="C46" s="195"/>
      <c r="D46" s="195"/>
      <c r="E46" s="195"/>
      <c r="F46" s="195"/>
      <c r="G46" s="195"/>
      <c r="H46" s="228"/>
      <c r="I46" s="228"/>
      <c r="J46" s="221">
        <f t="shared" si="7"/>
        <v>0.07305</v>
      </c>
      <c r="K46" s="221">
        <f t="shared" ref="K46:R46" si="12">K35/$O$34-1</f>
        <v>-0.351172952549721</v>
      </c>
      <c r="L46" s="221">
        <f t="shared" si="12"/>
        <v>-0.308525380970097</v>
      </c>
      <c r="M46" s="234">
        <f t="shared" si="12"/>
        <v>-0.257838681854256</v>
      </c>
      <c r="N46" s="234">
        <f t="shared" si="12"/>
        <v>-0.196603242027523</v>
      </c>
      <c r="O46" s="234">
        <f t="shared" si="12"/>
        <v>-0.121143542078436</v>
      </c>
      <c r="P46" s="234">
        <f t="shared" si="12"/>
        <v>-0.0258521207235444</v>
      </c>
      <c r="Q46" s="234">
        <f t="shared" si="12"/>
        <v>0.0982718033105883</v>
      </c>
      <c r="R46" s="221">
        <f t="shared" si="12"/>
        <v>0.266646680654572</v>
      </c>
      <c r="S46" s="198"/>
      <c r="T46" s="195"/>
      <c r="U46" s="195"/>
      <c r="V46" s="195"/>
      <c r="W46" s="195"/>
      <c r="X46" s="195"/>
      <c r="Y46" s="195"/>
      <c r="Z46" s="195"/>
    </row>
    <row r="47" customHeight="1" spans="1:26">
      <c r="A47" s="195"/>
      <c r="B47" s="195"/>
      <c r="C47" s="195"/>
      <c r="D47" s="195"/>
      <c r="E47" s="195"/>
      <c r="F47" s="195"/>
      <c r="G47" s="195"/>
      <c r="H47" s="228"/>
      <c r="I47" s="228"/>
      <c r="J47" s="221">
        <f t="shared" si="7"/>
        <v>0.07805</v>
      </c>
      <c r="K47" s="221">
        <f t="shared" ref="K47:R47" si="13">K36/$O$34-1</f>
        <v>-0.402646239765317</v>
      </c>
      <c r="L47" s="221">
        <f t="shared" si="13"/>
        <v>-0.367266492094687</v>
      </c>
      <c r="M47" s="234">
        <f t="shared" si="13"/>
        <v>-0.325792041982948</v>
      </c>
      <c r="N47" s="234">
        <f t="shared" si="13"/>
        <v>-0.276499599390204</v>
      </c>
      <c r="O47" s="234">
        <f t="shared" si="13"/>
        <v>-0.216948583937366</v>
      </c>
      <c r="P47" s="234">
        <f t="shared" si="13"/>
        <v>-0.143564579993743</v>
      </c>
      <c r="Q47" s="234">
        <f t="shared" si="13"/>
        <v>-0.0508943726483779</v>
      </c>
      <c r="R47" s="221">
        <f t="shared" si="13"/>
        <v>0.0698152317757657</v>
      </c>
      <c r="S47" s="198"/>
      <c r="T47" s="195"/>
      <c r="U47" s="195"/>
      <c r="V47" s="195"/>
      <c r="W47" s="195"/>
      <c r="X47" s="195"/>
      <c r="Y47" s="195"/>
      <c r="Z47" s="195"/>
    </row>
    <row r="48" customHeight="1" spans="1:26">
      <c r="A48" s="195"/>
      <c r="B48" s="195"/>
      <c r="C48" s="195"/>
      <c r="D48" s="195"/>
      <c r="E48" s="195"/>
      <c r="F48" s="195"/>
      <c r="G48" s="195"/>
      <c r="H48" s="228"/>
      <c r="I48" s="228"/>
      <c r="J48" s="221">
        <f t="shared" si="7"/>
        <v>0.08305</v>
      </c>
      <c r="K48" s="221">
        <f t="shared" ref="K48:R48" si="14">K37/$O$34-1</f>
        <v>-0.446976599390263</v>
      </c>
      <c r="L48" s="221">
        <f t="shared" si="14"/>
        <v>-0.417276220810636</v>
      </c>
      <c r="M48" s="221">
        <f t="shared" si="14"/>
        <v>-0.382865235001884</v>
      </c>
      <c r="N48" s="221">
        <f t="shared" si="14"/>
        <v>-0.342526430793693</v>
      </c>
      <c r="O48" s="221">
        <f t="shared" si="14"/>
        <v>-0.294583704962844</v>
      </c>
      <c r="P48" s="221">
        <f t="shared" si="14"/>
        <v>-0.236663304661476</v>
      </c>
      <c r="Q48" s="221">
        <f t="shared" si="14"/>
        <v>-0.165288688262229</v>
      </c>
      <c r="R48" s="221">
        <f t="shared" si="14"/>
        <v>-0.0751559598001056</v>
      </c>
      <c r="S48" s="198"/>
      <c r="T48" s="195"/>
      <c r="U48" s="195"/>
      <c r="V48" s="195"/>
      <c r="W48" s="195"/>
      <c r="X48" s="195"/>
      <c r="Y48" s="195"/>
      <c r="Z48" s="195"/>
    </row>
    <row r="49" ht="15.75" customHeight="1" spans="1:26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8"/>
      <c r="L49" s="198"/>
      <c r="M49" s="198"/>
      <c r="N49" s="198"/>
      <c r="O49" s="198"/>
      <c r="P49" s="198"/>
      <c r="Q49" s="198"/>
      <c r="R49" s="198"/>
      <c r="S49" s="198"/>
      <c r="T49" s="195"/>
      <c r="U49" s="195"/>
      <c r="V49" s="195"/>
      <c r="W49" s="195"/>
      <c r="X49" s="195"/>
      <c r="Y49" s="195"/>
      <c r="Z49" s="195"/>
    </row>
    <row r="50" ht="15.75" customHeight="1" spans="1:26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8"/>
      <c r="L50" s="198"/>
      <c r="M50" s="198"/>
      <c r="N50" s="198"/>
      <c r="O50" s="198"/>
      <c r="P50" s="198"/>
      <c r="Q50" s="198"/>
      <c r="R50" s="198"/>
      <c r="S50" s="198"/>
      <c r="T50" s="195"/>
      <c r="U50" s="195"/>
      <c r="V50" s="195"/>
      <c r="W50" s="195"/>
      <c r="X50" s="195"/>
      <c r="Y50" s="195"/>
      <c r="Z50" s="195"/>
    </row>
    <row r="51" ht="15.75" customHeight="1" spans="1:26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8"/>
      <c r="L51" s="198"/>
      <c r="M51" s="198"/>
      <c r="N51" s="198"/>
      <c r="O51" s="198"/>
      <c r="P51" s="198"/>
      <c r="Q51" s="198"/>
      <c r="R51" s="198"/>
      <c r="S51" s="198"/>
      <c r="T51" s="195"/>
      <c r="U51" s="195"/>
      <c r="V51" s="195"/>
      <c r="W51" s="195"/>
      <c r="X51" s="195"/>
      <c r="Y51" s="195"/>
      <c r="Z51" s="195"/>
    </row>
    <row r="52" ht="15.75" customHeight="1" spans="1:26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8"/>
      <c r="L52" s="198"/>
      <c r="M52" s="198"/>
      <c r="N52" s="198"/>
      <c r="O52" s="198"/>
      <c r="P52" s="198"/>
      <c r="Q52" s="198"/>
      <c r="R52" s="198"/>
      <c r="S52" s="198"/>
      <c r="T52" s="195"/>
      <c r="U52" s="195"/>
      <c r="V52" s="195"/>
      <c r="W52" s="195"/>
      <c r="X52" s="195"/>
      <c r="Y52" s="195"/>
      <c r="Z52" s="195"/>
    </row>
    <row r="53" ht="15.75" customHeight="1" spans="1:26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8"/>
      <c r="L53" s="198"/>
      <c r="M53" s="198"/>
      <c r="N53" s="198"/>
      <c r="O53" s="198"/>
      <c r="P53" s="198"/>
      <c r="Q53" s="198"/>
      <c r="R53" s="198"/>
      <c r="S53" s="198"/>
      <c r="T53" s="195"/>
      <c r="U53" s="195"/>
      <c r="V53" s="195"/>
      <c r="W53" s="195"/>
      <c r="X53" s="195"/>
      <c r="Y53" s="195"/>
      <c r="Z53" s="195"/>
    </row>
    <row r="54" ht="15.75" customHeight="1" spans="1:26">
      <c r="A54" s="195"/>
      <c r="B54" s="195"/>
      <c r="C54" s="195"/>
      <c r="D54" s="195"/>
      <c r="E54" s="195"/>
      <c r="F54" s="195"/>
      <c r="G54" s="195"/>
      <c r="H54" s="195"/>
      <c r="I54" s="195"/>
      <c r="J54" s="195"/>
      <c r="K54" s="198"/>
      <c r="L54" s="198"/>
      <c r="M54" s="198"/>
      <c r="N54" s="198"/>
      <c r="O54" s="198"/>
      <c r="P54" s="198"/>
      <c r="Q54" s="198"/>
      <c r="R54" s="198"/>
      <c r="S54" s="198"/>
      <c r="T54" s="195"/>
      <c r="U54" s="195"/>
      <c r="V54" s="195"/>
      <c r="W54" s="195"/>
      <c r="X54" s="195"/>
      <c r="Y54" s="195"/>
      <c r="Z54" s="195"/>
    </row>
    <row r="55" ht="15.75" customHeight="1" spans="1:26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8"/>
      <c r="L55" s="198"/>
      <c r="M55" s="198"/>
      <c r="N55" s="198"/>
      <c r="O55" s="198"/>
      <c r="P55" s="198"/>
      <c r="Q55" s="198"/>
      <c r="R55" s="198"/>
      <c r="S55" s="198"/>
      <c r="T55" s="195"/>
      <c r="U55" s="195"/>
      <c r="V55" s="195"/>
      <c r="W55" s="195"/>
      <c r="X55" s="195"/>
      <c r="Y55" s="195"/>
      <c r="Z55" s="195"/>
    </row>
    <row r="56" ht="15.75" customHeight="1" spans="1:26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8"/>
      <c r="L56" s="198"/>
      <c r="M56" s="198"/>
      <c r="N56" s="198"/>
      <c r="O56" s="198"/>
      <c r="P56" s="198"/>
      <c r="Q56" s="198"/>
      <c r="R56" s="198"/>
      <c r="S56" s="198"/>
      <c r="T56" s="195"/>
      <c r="U56" s="195"/>
      <c r="V56" s="195"/>
      <c r="W56" s="195"/>
      <c r="X56" s="195"/>
      <c r="Y56" s="195"/>
      <c r="Z56" s="195"/>
    </row>
    <row r="57" ht="15.75" customHeight="1" spans="1:26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8"/>
      <c r="L57" s="198"/>
      <c r="M57" s="198"/>
      <c r="N57" s="198"/>
      <c r="O57" s="198"/>
      <c r="P57" s="198"/>
      <c r="Q57" s="198"/>
      <c r="R57" s="198"/>
      <c r="S57" s="198"/>
      <c r="T57" s="195"/>
      <c r="U57" s="195"/>
      <c r="V57" s="195"/>
      <c r="W57" s="195"/>
      <c r="X57" s="195"/>
      <c r="Y57" s="195"/>
      <c r="Z57" s="195"/>
    </row>
    <row r="58" ht="15.75" customHeight="1" spans="1:26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8"/>
      <c r="L58" s="198"/>
      <c r="M58" s="198"/>
      <c r="N58" s="198"/>
      <c r="O58" s="198"/>
      <c r="P58" s="198"/>
      <c r="Q58" s="198"/>
      <c r="R58" s="198"/>
      <c r="S58" s="198"/>
      <c r="T58" s="195"/>
      <c r="U58" s="195"/>
      <c r="V58" s="195"/>
      <c r="W58" s="195"/>
      <c r="X58" s="195"/>
      <c r="Y58" s="195"/>
      <c r="Z58" s="195"/>
    </row>
    <row r="59" ht="15.75" customHeight="1" spans="1:26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8"/>
      <c r="L59" s="198"/>
      <c r="M59" s="198"/>
      <c r="N59" s="198"/>
      <c r="O59" s="198"/>
      <c r="P59" s="198"/>
      <c r="Q59" s="198"/>
      <c r="R59" s="198"/>
      <c r="S59" s="198"/>
      <c r="T59" s="195"/>
      <c r="U59" s="195"/>
      <c r="V59" s="195"/>
      <c r="W59" s="195"/>
      <c r="X59" s="195"/>
      <c r="Y59" s="195"/>
      <c r="Z59" s="195"/>
    </row>
    <row r="60" ht="15.75" customHeight="1" spans="1:26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8"/>
      <c r="L60" s="198"/>
      <c r="M60" s="198"/>
      <c r="N60" s="198"/>
      <c r="O60" s="198"/>
      <c r="P60" s="198"/>
      <c r="Q60" s="198"/>
      <c r="R60" s="198"/>
      <c r="S60" s="198"/>
      <c r="T60" s="195"/>
      <c r="U60" s="195"/>
      <c r="V60" s="195"/>
      <c r="W60" s="195"/>
      <c r="X60" s="195"/>
      <c r="Y60" s="195"/>
      <c r="Z60" s="195"/>
    </row>
    <row r="61" ht="15.75" customHeight="1" spans="1:26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8"/>
      <c r="L61" s="198"/>
      <c r="M61" s="198"/>
      <c r="N61" s="198"/>
      <c r="O61" s="198"/>
      <c r="P61" s="198"/>
      <c r="Q61" s="198"/>
      <c r="R61" s="198"/>
      <c r="S61" s="198"/>
      <c r="T61" s="195"/>
      <c r="U61" s="195"/>
      <c r="V61" s="195"/>
      <c r="W61" s="195"/>
      <c r="X61" s="195"/>
      <c r="Y61" s="195"/>
      <c r="Z61" s="195"/>
    </row>
    <row r="62" ht="15.75" customHeight="1" spans="1:26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8"/>
      <c r="L62" s="198"/>
      <c r="M62" s="198"/>
      <c r="N62" s="198"/>
      <c r="O62" s="198"/>
      <c r="P62" s="198"/>
      <c r="Q62" s="198"/>
      <c r="R62" s="198"/>
      <c r="S62" s="198"/>
      <c r="T62" s="195"/>
      <c r="U62" s="195"/>
      <c r="V62" s="195"/>
      <c r="W62" s="195"/>
      <c r="X62" s="195"/>
      <c r="Y62" s="195"/>
      <c r="Z62" s="195"/>
    </row>
    <row r="63" ht="15.75" customHeight="1" spans="1:26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8"/>
      <c r="L63" s="198"/>
      <c r="M63" s="198"/>
      <c r="N63" s="198"/>
      <c r="O63" s="198"/>
      <c r="P63" s="198"/>
      <c r="Q63" s="198"/>
      <c r="R63" s="198"/>
      <c r="S63" s="198"/>
      <c r="T63" s="195"/>
      <c r="U63" s="195"/>
      <c r="V63" s="195"/>
      <c r="W63" s="195"/>
      <c r="X63" s="195"/>
      <c r="Y63" s="195"/>
      <c r="Z63" s="195"/>
    </row>
    <row r="64" ht="15.75" customHeight="1" spans="1:26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8"/>
      <c r="L64" s="198"/>
      <c r="M64" s="198"/>
      <c r="N64" s="198"/>
      <c r="O64" s="198"/>
      <c r="P64" s="198"/>
      <c r="Q64" s="198"/>
      <c r="R64" s="198"/>
      <c r="S64" s="198"/>
      <c r="T64" s="195"/>
      <c r="U64" s="195"/>
      <c r="V64" s="195"/>
      <c r="W64" s="195"/>
      <c r="X64" s="195"/>
      <c r="Y64" s="195"/>
      <c r="Z64" s="195"/>
    </row>
    <row r="65" ht="15.75" customHeight="1" spans="1:26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8"/>
      <c r="L65" s="198"/>
      <c r="M65" s="198"/>
      <c r="N65" s="198"/>
      <c r="O65" s="198"/>
      <c r="P65" s="198"/>
      <c r="Q65" s="198"/>
      <c r="R65" s="198"/>
      <c r="S65" s="198"/>
      <c r="T65" s="195"/>
      <c r="U65" s="195"/>
      <c r="V65" s="195"/>
      <c r="W65" s="195"/>
      <c r="X65" s="195"/>
      <c r="Y65" s="195"/>
      <c r="Z65" s="195"/>
    </row>
    <row r="66" ht="15.75" customHeight="1" spans="1:26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8"/>
      <c r="L66" s="198"/>
      <c r="M66" s="198"/>
      <c r="N66" s="198"/>
      <c r="O66" s="198"/>
      <c r="P66" s="198"/>
      <c r="Q66" s="198"/>
      <c r="R66" s="198"/>
      <c r="S66" s="198"/>
      <c r="T66" s="195"/>
      <c r="U66" s="195"/>
      <c r="V66" s="195"/>
      <c r="W66" s="195"/>
      <c r="X66" s="195"/>
      <c r="Y66" s="195"/>
      <c r="Z66" s="195"/>
    </row>
    <row r="67" ht="15.75" customHeight="1" spans="1:26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8"/>
      <c r="L67" s="198"/>
      <c r="M67" s="198"/>
      <c r="N67" s="198"/>
      <c r="O67" s="198"/>
      <c r="P67" s="198"/>
      <c r="Q67" s="198"/>
      <c r="R67" s="198"/>
      <c r="S67" s="198"/>
      <c r="T67" s="195"/>
      <c r="U67" s="195"/>
      <c r="V67" s="195"/>
      <c r="W67" s="195"/>
      <c r="X67" s="195"/>
      <c r="Y67" s="195"/>
      <c r="Z67" s="195"/>
    </row>
    <row r="68" ht="15.75" customHeight="1" spans="1:26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8"/>
      <c r="L68" s="198"/>
      <c r="M68" s="198"/>
      <c r="N68" s="198"/>
      <c r="O68" s="198"/>
      <c r="P68" s="198"/>
      <c r="Q68" s="198"/>
      <c r="R68" s="198"/>
      <c r="S68" s="198"/>
      <c r="T68" s="195"/>
      <c r="U68" s="195"/>
      <c r="V68" s="195"/>
      <c r="W68" s="195"/>
      <c r="X68" s="195"/>
      <c r="Y68" s="195"/>
      <c r="Z68" s="195"/>
    </row>
    <row r="69" ht="15.75" customHeight="1" spans="1:26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8"/>
      <c r="L69" s="198"/>
      <c r="M69" s="198"/>
      <c r="N69" s="198"/>
      <c r="O69" s="198"/>
      <c r="P69" s="198"/>
      <c r="Q69" s="198"/>
      <c r="R69" s="198"/>
      <c r="S69" s="198"/>
      <c r="T69" s="195"/>
      <c r="U69" s="195"/>
      <c r="V69" s="195"/>
      <c r="W69" s="195"/>
      <c r="X69" s="195"/>
      <c r="Y69" s="195"/>
      <c r="Z69" s="195"/>
    </row>
    <row r="70" ht="15.75" customHeight="1" spans="1:26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8"/>
      <c r="L70" s="198"/>
      <c r="M70" s="198"/>
      <c r="N70" s="198"/>
      <c r="O70" s="198"/>
      <c r="P70" s="198"/>
      <c r="Q70" s="198"/>
      <c r="R70" s="198"/>
      <c r="S70" s="198"/>
      <c r="T70" s="195"/>
      <c r="U70" s="195"/>
      <c r="V70" s="195"/>
      <c r="W70" s="195"/>
      <c r="X70" s="195"/>
      <c r="Y70" s="195"/>
      <c r="Z70" s="195"/>
    </row>
    <row r="71" ht="15.75" customHeight="1" spans="1:26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8"/>
      <c r="L71" s="198"/>
      <c r="M71" s="198"/>
      <c r="N71" s="198"/>
      <c r="O71" s="198"/>
      <c r="P71" s="198"/>
      <c r="Q71" s="198"/>
      <c r="R71" s="198"/>
      <c r="S71" s="198"/>
      <c r="T71" s="195"/>
      <c r="U71" s="195"/>
      <c r="V71" s="195"/>
      <c r="W71" s="195"/>
      <c r="X71" s="195"/>
      <c r="Y71" s="195"/>
      <c r="Z71" s="195"/>
    </row>
    <row r="72" ht="15.75" customHeight="1" spans="1:26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8"/>
      <c r="L72" s="198"/>
      <c r="M72" s="198"/>
      <c r="N72" s="198"/>
      <c r="O72" s="198"/>
      <c r="P72" s="198"/>
      <c r="Q72" s="198"/>
      <c r="R72" s="198"/>
      <c r="S72" s="198"/>
      <c r="T72" s="195"/>
      <c r="U72" s="195"/>
      <c r="V72" s="195"/>
      <c r="W72" s="195"/>
      <c r="X72" s="195"/>
      <c r="Y72" s="195"/>
      <c r="Z72" s="195"/>
    </row>
    <row r="73" ht="15.75" customHeight="1" spans="1:26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8"/>
      <c r="L73" s="198"/>
      <c r="M73" s="198"/>
      <c r="N73" s="198"/>
      <c r="O73" s="198"/>
      <c r="P73" s="198"/>
      <c r="Q73" s="198"/>
      <c r="R73" s="198"/>
      <c r="S73" s="198"/>
      <c r="T73" s="195"/>
      <c r="U73" s="195"/>
      <c r="V73" s="195"/>
      <c r="W73" s="195"/>
      <c r="X73" s="195"/>
      <c r="Y73" s="195"/>
      <c r="Z73" s="195"/>
    </row>
    <row r="74" ht="15.75" customHeight="1" spans="1:26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8"/>
      <c r="L74" s="198"/>
      <c r="M74" s="198"/>
      <c r="N74" s="198"/>
      <c r="O74" s="198"/>
      <c r="P74" s="198"/>
      <c r="Q74" s="198"/>
      <c r="R74" s="198"/>
      <c r="S74" s="198"/>
      <c r="T74" s="195"/>
      <c r="U74" s="195"/>
      <c r="V74" s="195"/>
      <c r="W74" s="195"/>
      <c r="X74" s="195"/>
      <c r="Y74" s="195"/>
      <c r="Z74" s="195"/>
    </row>
    <row r="75" ht="15.75" customHeight="1" spans="1:26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8"/>
      <c r="L75" s="198"/>
      <c r="M75" s="198"/>
      <c r="N75" s="198"/>
      <c r="O75" s="198"/>
      <c r="P75" s="198"/>
      <c r="Q75" s="198"/>
      <c r="R75" s="198"/>
      <c r="S75" s="198"/>
      <c r="T75" s="195"/>
      <c r="U75" s="195"/>
      <c r="V75" s="195"/>
      <c r="W75" s="195"/>
      <c r="X75" s="195"/>
      <c r="Y75" s="195"/>
      <c r="Z75" s="195"/>
    </row>
    <row r="76" ht="15.75" customHeight="1" spans="1:26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8"/>
      <c r="L76" s="198"/>
      <c r="M76" s="198"/>
      <c r="N76" s="198"/>
      <c r="O76" s="198"/>
      <c r="P76" s="198"/>
      <c r="Q76" s="198"/>
      <c r="R76" s="198"/>
      <c r="S76" s="198"/>
      <c r="T76" s="195"/>
      <c r="U76" s="195"/>
      <c r="V76" s="195"/>
      <c r="W76" s="195"/>
      <c r="X76" s="195"/>
      <c r="Y76" s="195"/>
      <c r="Z76" s="195"/>
    </row>
    <row r="77" ht="15.75" customHeight="1" spans="1:26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8"/>
      <c r="L77" s="198"/>
      <c r="M77" s="198"/>
      <c r="N77" s="198"/>
      <c r="O77" s="198"/>
      <c r="P77" s="198"/>
      <c r="Q77" s="198"/>
      <c r="R77" s="198"/>
      <c r="S77" s="198"/>
      <c r="T77" s="195"/>
      <c r="U77" s="195"/>
      <c r="V77" s="195"/>
      <c r="W77" s="195"/>
      <c r="X77" s="195"/>
      <c r="Y77" s="195"/>
      <c r="Z77" s="195"/>
    </row>
    <row r="78" ht="15.75" customHeight="1" spans="1:26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8"/>
      <c r="L78" s="198"/>
      <c r="M78" s="198"/>
      <c r="N78" s="198"/>
      <c r="O78" s="198"/>
      <c r="P78" s="198"/>
      <c r="Q78" s="198"/>
      <c r="R78" s="198"/>
      <c r="S78" s="198"/>
      <c r="T78" s="195"/>
      <c r="U78" s="195"/>
      <c r="V78" s="195"/>
      <c r="W78" s="195"/>
      <c r="X78" s="195"/>
      <c r="Y78" s="195"/>
      <c r="Z78" s="195"/>
    </row>
    <row r="79" ht="15.75" customHeight="1" spans="1:26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8"/>
      <c r="L79" s="198"/>
      <c r="M79" s="198"/>
      <c r="N79" s="198"/>
      <c r="O79" s="198"/>
      <c r="P79" s="198"/>
      <c r="Q79" s="198"/>
      <c r="R79" s="198"/>
      <c r="S79" s="198"/>
      <c r="T79" s="195"/>
      <c r="U79" s="195"/>
      <c r="V79" s="195"/>
      <c r="W79" s="195"/>
      <c r="X79" s="195"/>
      <c r="Y79" s="195"/>
      <c r="Z79" s="195"/>
    </row>
    <row r="80" ht="15.75" customHeight="1" spans="1:26">
      <c r="A80" s="195"/>
      <c r="B80" s="195"/>
      <c r="C80" s="195"/>
      <c r="D80" s="195"/>
      <c r="E80" s="195"/>
      <c r="F80" s="195"/>
      <c r="G80" s="195"/>
      <c r="H80" s="195"/>
      <c r="I80" s="195"/>
      <c r="J80" s="195"/>
      <c r="K80" s="198"/>
      <c r="L80" s="198"/>
      <c r="M80" s="198"/>
      <c r="N80" s="198"/>
      <c r="O80" s="198"/>
      <c r="P80" s="198"/>
      <c r="Q80" s="198"/>
      <c r="R80" s="198"/>
      <c r="S80" s="198"/>
      <c r="T80" s="195"/>
      <c r="U80" s="195"/>
      <c r="V80" s="195"/>
      <c r="W80" s="195"/>
      <c r="X80" s="195"/>
      <c r="Y80" s="195"/>
      <c r="Z80" s="195"/>
    </row>
    <row r="81" ht="15.75" customHeight="1" spans="1:26">
      <c r="A81" s="195"/>
      <c r="B81" s="195"/>
      <c r="C81" s="195"/>
      <c r="D81" s="195"/>
      <c r="E81" s="195"/>
      <c r="F81" s="195"/>
      <c r="G81" s="195"/>
      <c r="H81" s="195"/>
      <c r="I81" s="195"/>
      <c r="J81" s="195"/>
      <c r="K81" s="198"/>
      <c r="L81" s="198"/>
      <c r="M81" s="198"/>
      <c r="N81" s="198"/>
      <c r="O81" s="198"/>
      <c r="P81" s="198"/>
      <c r="Q81" s="198"/>
      <c r="R81" s="198"/>
      <c r="S81" s="198"/>
      <c r="T81" s="195"/>
      <c r="U81" s="195"/>
      <c r="V81" s="195"/>
      <c r="W81" s="195"/>
      <c r="X81" s="195"/>
      <c r="Y81" s="195"/>
      <c r="Z81" s="195"/>
    </row>
    <row r="82" ht="15.75" customHeight="1" spans="1:26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8"/>
      <c r="L82" s="198"/>
      <c r="M82" s="198"/>
      <c r="N82" s="198"/>
      <c r="O82" s="198"/>
      <c r="P82" s="198"/>
      <c r="Q82" s="198"/>
      <c r="R82" s="198"/>
      <c r="S82" s="198"/>
      <c r="T82" s="195"/>
      <c r="U82" s="195"/>
      <c r="V82" s="195"/>
      <c r="W82" s="195"/>
      <c r="X82" s="195"/>
      <c r="Y82" s="195"/>
      <c r="Z82" s="195"/>
    </row>
    <row r="83" ht="15.75" customHeight="1" spans="1:26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8"/>
      <c r="L83" s="198"/>
      <c r="M83" s="198"/>
      <c r="N83" s="198"/>
      <c r="O83" s="198"/>
      <c r="P83" s="198"/>
      <c r="Q83" s="198"/>
      <c r="R83" s="198"/>
      <c r="S83" s="198"/>
      <c r="T83" s="195"/>
      <c r="U83" s="195"/>
      <c r="V83" s="195"/>
      <c r="W83" s="195"/>
      <c r="X83" s="195"/>
      <c r="Y83" s="195"/>
      <c r="Z83" s="195"/>
    </row>
    <row r="84" ht="15.75" customHeight="1" spans="1:26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8"/>
      <c r="L84" s="198"/>
      <c r="M84" s="198"/>
      <c r="N84" s="198"/>
      <c r="O84" s="198"/>
      <c r="P84" s="198"/>
      <c r="Q84" s="198"/>
      <c r="R84" s="198"/>
      <c r="S84" s="198"/>
      <c r="T84" s="195"/>
      <c r="U84" s="195"/>
      <c r="V84" s="195"/>
      <c r="W84" s="195"/>
      <c r="X84" s="195"/>
      <c r="Y84" s="195"/>
      <c r="Z84" s="195"/>
    </row>
    <row r="85" ht="15.75" customHeight="1" spans="1:26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8"/>
      <c r="L85" s="198"/>
      <c r="M85" s="198"/>
      <c r="N85" s="198"/>
      <c r="O85" s="198"/>
      <c r="P85" s="198"/>
      <c r="Q85" s="198"/>
      <c r="R85" s="198"/>
      <c r="S85" s="198"/>
      <c r="T85" s="195"/>
      <c r="U85" s="195"/>
      <c r="V85" s="195"/>
      <c r="W85" s="195"/>
      <c r="X85" s="195"/>
      <c r="Y85" s="195"/>
      <c r="Z85" s="195"/>
    </row>
    <row r="86" ht="15.75" customHeight="1" spans="1:26">
      <c r="A86" s="195"/>
      <c r="B86" s="195"/>
      <c r="C86" s="195"/>
      <c r="D86" s="195"/>
      <c r="E86" s="195"/>
      <c r="F86" s="195"/>
      <c r="G86" s="195"/>
      <c r="H86" s="195"/>
      <c r="I86" s="195"/>
      <c r="J86" s="195"/>
      <c r="K86" s="198"/>
      <c r="L86" s="198"/>
      <c r="M86" s="198"/>
      <c r="N86" s="198"/>
      <c r="O86" s="198"/>
      <c r="P86" s="198"/>
      <c r="Q86" s="198"/>
      <c r="R86" s="198"/>
      <c r="S86" s="198"/>
      <c r="T86" s="195"/>
      <c r="U86" s="195"/>
      <c r="V86" s="195"/>
      <c r="W86" s="195"/>
      <c r="X86" s="195"/>
      <c r="Y86" s="195"/>
      <c r="Z86" s="195"/>
    </row>
    <row r="87" ht="15.75" customHeight="1" spans="1:26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8"/>
      <c r="L87" s="198"/>
      <c r="M87" s="198"/>
      <c r="N87" s="198"/>
      <c r="O87" s="198"/>
      <c r="P87" s="198"/>
      <c r="Q87" s="198"/>
      <c r="R87" s="198"/>
      <c r="S87" s="198"/>
      <c r="T87" s="195"/>
      <c r="U87" s="195"/>
      <c r="V87" s="195"/>
      <c r="W87" s="195"/>
      <c r="X87" s="195"/>
      <c r="Y87" s="195"/>
      <c r="Z87" s="195"/>
    </row>
    <row r="88" ht="15.75" customHeight="1" spans="1:26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8"/>
      <c r="L88" s="198"/>
      <c r="M88" s="198"/>
      <c r="N88" s="198"/>
      <c r="O88" s="198"/>
      <c r="P88" s="198"/>
      <c r="Q88" s="198"/>
      <c r="R88" s="198"/>
      <c r="S88" s="198"/>
      <c r="T88" s="195"/>
      <c r="U88" s="195"/>
      <c r="V88" s="195"/>
      <c r="W88" s="195"/>
      <c r="X88" s="195"/>
      <c r="Y88" s="195"/>
      <c r="Z88" s="195"/>
    </row>
    <row r="89" ht="15.75" customHeight="1" spans="1:26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8"/>
      <c r="L89" s="198"/>
      <c r="M89" s="198"/>
      <c r="N89" s="198"/>
      <c r="O89" s="198"/>
      <c r="P89" s="198"/>
      <c r="Q89" s="198"/>
      <c r="R89" s="198"/>
      <c r="S89" s="198"/>
      <c r="T89" s="195"/>
      <c r="U89" s="195"/>
      <c r="V89" s="195"/>
      <c r="W89" s="195"/>
      <c r="X89" s="195"/>
      <c r="Y89" s="195"/>
      <c r="Z89" s="195"/>
    </row>
    <row r="90" ht="15.75" customHeight="1" spans="1:26">
      <c r="A90" s="195"/>
      <c r="B90" s="195"/>
      <c r="C90" s="195"/>
      <c r="D90" s="195"/>
      <c r="E90" s="195"/>
      <c r="F90" s="195"/>
      <c r="G90" s="195"/>
      <c r="H90" s="195"/>
      <c r="I90" s="195"/>
      <c r="J90" s="195"/>
      <c r="K90" s="198"/>
      <c r="L90" s="198"/>
      <c r="M90" s="198"/>
      <c r="N90" s="198"/>
      <c r="O90" s="198"/>
      <c r="P90" s="198"/>
      <c r="Q90" s="198"/>
      <c r="R90" s="198"/>
      <c r="S90" s="198"/>
      <c r="T90" s="195"/>
      <c r="U90" s="195"/>
      <c r="V90" s="195"/>
      <c r="W90" s="195"/>
      <c r="X90" s="195"/>
      <c r="Y90" s="195"/>
      <c r="Z90" s="195"/>
    </row>
    <row r="91" ht="15.75" customHeight="1" spans="1:26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8"/>
      <c r="L91" s="198"/>
      <c r="M91" s="198"/>
      <c r="N91" s="198"/>
      <c r="O91" s="198"/>
      <c r="P91" s="198"/>
      <c r="Q91" s="198"/>
      <c r="R91" s="198"/>
      <c r="S91" s="198"/>
      <c r="T91" s="195"/>
      <c r="U91" s="195"/>
      <c r="V91" s="195"/>
      <c r="W91" s="195"/>
      <c r="X91" s="195"/>
      <c r="Y91" s="195"/>
      <c r="Z91" s="195"/>
    </row>
    <row r="92" ht="15.75" customHeight="1" spans="1:26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8"/>
      <c r="L92" s="198"/>
      <c r="M92" s="198"/>
      <c r="N92" s="198"/>
      <c r="O92" s="198"/>
      <c r="P92" s="198"/>
      <c r="Q92" s="198"/>
      <c r="R92" s="198"/>
      <c r="S92" s="198"/>
      <c r="T92" s="195"/>
      <c r="U92" s="195"/>
      <c r="V92" s="195"/>
      <c r="W92" s="195"/>
      <c r="X92" s="195"/>
      <c r="Y92" s="195"/>
      <c r="Z92" s="195"/>
    </row>
    <row r="93" ht="15.75" customHeight="1" spans="1:26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8"/>
      <c r="L93" s="198"/>
      <c r="M93" s="198"/>
      <c r="N93" s="198"/>
      <c r="O93" s="198"/>
      <c r="P93" s="198"/>
      <c r="Q93" s="198"/>
      <c r="R93" s="198"/>
      <c r="S93" s="198"/>
      <c r="T93" s="195"/>
      <c r="U93" s="195"/>
      <c r="V93" s="195"/>
      <c r="W93" s="195"/>
      <c r="X93" s="195"/>
      <c r="Y93" s="195"/>
      <c r="Z93" s="195"/>
    </row>
    <row r="94" ht="15.75" customHeight="1" spans="1:26">
      <c r="A94" s="195"/>
      <c r="B94" s="195"/>
      <c r="C94" s="195"/>
      <c r="D94" s="195"/>
      <c r="E94" s="195"/>
      <c r="F94" s="195"/>
      <c r="G94" s="195"/>
      <c r="H94" s="195"/>
      <c r="I94" s="195"/>
      <c r="J94" s="195"/>
      <c r="K94" s="198"/>
      <c r="L94" s="198"/>
      <c r="M94" s="198"/>
      <c r="N94" s="198"/>
      <c r="O94" s="198"/>
      <c r="P94" s="198"/>
      <c r="Q94" s="198"/>
      <c r="R94" s="198"/>
      <c r="S94" s="198"/>
      <c r="T94" s="195"/>
      <c r="U94" s="195"/>
      <c r="V94" s="195"/>
      <c r="W94" s="195"/>
      <c r="X94" s="195"/>
      <c r="Y94" s="195"/>
      <c r="Z94" s="195"/>
    </row>
    <row r="95" ht="15.75" customHeight="1" spans="1:26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8"/>
      <c r="L95" s="198"/>
      <c r="M95" s="198"/>
      <c r="N95" s="198"/>
      <c r="O95" s="198"/>
      <c r="P95" s="198"/>
      <c r="Q95" s="198"/>
      <c r="R95" s="198"/>
      <c r="S95" s="198"/>
      <c r="T95" s="195"/>
      <c r="U95" s="195"/>
      <c r="V95" s="195"/>
      <c r="W95" s="195"/>
      <c r="X95" s="195"/>
      <c r="Y95" s="195"/>
      <c r="Z95" s="195"/>
    </row>
    <row r="96" ht="15.75" customHeight="1" spans="1:26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8"/>
      <c r="L96" s="198"/>
      <c r="M96" s="198"/>
      <c r="N96" s="198"/>
      <c r="O96" s="198"/>
      <c r="P96" s="198"/>
      <c r="Q96" s="198"/>
      <c r="R96" s="198"/>
      <c r="S96" s="198"/>
      <c r="T96" s="195"/>
      <c r="U96" s="195"/>
      <c r="V96" s="195"/>
      <c r="W96" s="195"/>
      <c r="X96" s="195"/>
      <c r="Y96" s="195"/>
      <c r="Z96" s="195"/>
    </row>
    <row r="97" ht="15.75" customHeight="1" spans="1:26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8"/>
      <c r="L97" s="198"/>
      <c r="M97" s="198"/>
      <c r="N97" s="198"/>
      <c r="O97" s="198"/>
      <c r="P97" s="198"/>
      <c r="Q97" s="198"/>
      <c r="R97" s="198"/>
      <c r="S97" s="198"/>
      <c r="T97" s="195"/>
      <c r="U97" s="195"/>
      <c r="V97" s="195"/>
      <c r="W97" s="195"/>
      <c r="X97" s="195"/>
      <c r="Y97" s="195"/>
      <c r="Z97" s="195"/>
    </row>
    <row r="98" ht="15.75" customHeight="1" spans="1:26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8"/>
      <c r="L98" s="198"/>
      <c r="M98" s="198"/>
      <c r="N98" s="198"/>
      <c r="O98" s="198"/>
      <c r="P98" s="198"/>
      <c r="Q98" s="198"/>
      <c r="R98" s="198"/>
      <c r="S98" s="198"/>
      <c r="T98" s="195"/>
      <c r="U98" s="195"/>
      <c r="V98" s="195"/>
      <c r="W98" s="195"/>
      <c r="X98" s="195"/>
      <c r="Y98" s="195"/>
      <c r="Z98" s="195"/>
    </row>
    <row r="99" ht="15.75" customHeight="1" spans="1:26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8"/>
      <c r="L99" s="198"/>
      <c r="M99" s="198"/>
      <c r="N99" s="198"/>
      <c r="O99" s="198"/>
      <c r="P99" s="198"/>
      <c r="Q99" s="198"/>
      <c r="R99" s="198"/>
      <c r="S99" s="198"/>
      <c r="T99" s="195"/>
      <c r="U99" s="195"/>
      <c r="V99" s="195"/>
      <c r="W99" s="195"/>
      <c r="X99" s="195"/>
      <c r="Y99" s="195"/>
      <c r="Z99" s="195"/>
    </row>
    <row r="100" ht="15.75" customHeight="1" spans="1:26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8"/>
      <c r="L100" s="198"/>
      <c r="M100" s="198"/>
      <c r="N100" s="198"/>
      <c r="O100" s="198"/>
      <c r="P100" s="198"/>
      <c r="Q100" s="198"/>
      <c r="R100" s="198"/>
      <c r="S100" s="198"/>
      <c r="T100" s="195"/>
      <c r="U100" s="195"/>
      <c r="V100" s="195"/>
      <c r="W100" s="195"/>
      <c r="X100" s="195"/>
      <c r="Y100" s="195"/>
      <c r="Z100" s="195"/>
    </row>
    <row r="101" ht="15.75" customHeight="1" spans="1:26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8"/>
      <c r="L101" s="198"/>
      <c r="M101" s="198"/>
      <c r="N101" s="198"/>
      <c r="O101" s="198"/>
      <c r="P101" s="198"/>
      <c r="Q101" s="198"/>
      <c r="R101" s="198"/>
      <c r="S101" s="198"/>
      <c r="T101" s="195"/>
      <c r="U101" s="195"/>
      <c r="V101" s="195"/>
      <c r="W101" s="195"/>
      <c r="X101" s="195"/>
      <c r="Y101" s="195"/>
      <c r="Z101" s="195"/>
    </row>
    <row r="102" ht="15.75" customHeight="1" spans="1:26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8"/>
      <c r="L102" s="198"/>
      <c r="M102" s="198"/>
      <c r="N102" s="198"/>
      <c r="O102" s="198"/>
      <c r="P102" s="198"/>
      <c r="Q102" s="198"/>
      <c r="R102" s="198"/>
      <c r="S102" s="198"/>
      <c r="T102" s="195"/>
      <c r="U102" s="195"/>
      <c r="V102" s="195"/>
      <c r="W102" s="195"/>
      <c r="X102" s="195"/>
      <c r="Y102" s="195"/>
      <c r="Z102" s="195"/>
    </row>
    <row r="103" ht="15.75" customHeight="1" spans="1:26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8"/>
      <c r="L103" s="198"/>
      <c r="M103" s="198"/>
      <c r="N103" s="198"/>
      <c r="O103" s="198"/>
      <c r="P103" s="198"/>
      <c r="Q103" s="198"/>
      <c r="R103" s="198"/>
      <c r="S103" s="198"/>
      <c r="T103" s="195"/>
      <c r="U103" s="195"/>
      <c r="V103" s="195"/>
      <c r="W103" s="195"/>
      <c r="X103" s="195"/>
      <c r="Y103" s="195"/>
      <c r="Z103" s="195"/>
    </row>
    <row r="104" ht="15.75" customHeight="1" spans="1:26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8"/>
      <c r="L104" s="198"/>
      <c r="M104" s="198"/>
      <c r="N104" s="198"/>
      <c r="O104" s="198"/>
      <c r="P104" s="198"/>
      <c r="Q104" s="198"/>
      <c r="R104" s="198"/>
      <c r="S104" s="198"/>
      <c r="T104" s="195"/>
      <c r="U104" s="195"/>
      <c r="V104" s="195"/>
      <c r="W104" s="195"/>
      <c r="X104" s="195"/>
      <c r="Y104" s="195"/>
      <c r="Z104" s="195"/>
    </row>
    <row r="105" ht="15.75" customHeight="1" spans="1:26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8"/>
      <c r="L105" s="198"/>
      <c r="M105" s="198"/>
      <c r="N105" s="198"/>
      <c r="O105" s="198"/>
      <c r="P105" s="198"/>
      <c r="Q105" s="198"/>
      <c r="R105" s="198"/>
      <c r="S105" s="198"/>
      <c r="T105" s="195"/>
      <c r="U105" s="195"/>
      <c r="V105" s="195"/>
      <c r="W105" s="195"/>
      <c r="X105" s="195"/>
      <c r="Y105" s="195"/>
      <c r="Z105" s="195"/>
    </row>
    <row r="106" ht="15.75" customHeight="1" spans="1:2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8"/>
      <c r="L106" s="198"/>
      <c r="M106" s="198"/>
      <c r="N106" s="198"/>
      <c r="O106" s="198"/>
      <c r="P106" s="198"/>
      <c r="Q106" s="198"/>
      <c r="R106" s="198"/>
      <c r="S106" s="198"/>
      <c r="T106" s="195"/>
      <c r="U106" s="195"/>
      <c r="V106" s="195"/>
      <c r="W106" s="195"/>
      <c r="X106" s="195"/>
      <c r="Y106" s="195"/>
      <c r="Z106" s="195"/>
    </row>
    <row r="107" ht="15.75" customHeight="1" spans="1:26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8"/>
      <c r="L107" s="198"/>
      <c r="M107" s="198"/>
      <c r="N107" s="198"/>
      <c r="O107" s="198"/>
      <c r="P107" s="198"/>
      <c r="Q107" s="198"/>
      <c r="R107" s="198"/>
      <c r="S107" s="198"/>
      <c r="T107" s="195"/>
      <c r="U107" s="195"/>
      <c r="V107" s="195"/>
      <c r="W107" s="195"/>
      <c r="X107" s="195"/>
      <c r="Y107" s="195"/>
      <c r="Z107" s="195"/>
    </row>
    <row r="108" ht="15.75" customHeight="1" spans="1:26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8"/>
      <c r="L108" s="198"/>
      <c r="M108" s="198"/>
      <c r="N108" s="198"/>
      <c r="O108" s="198"/>
      <c r="P108" s="198"/>
      <c r="Q108" s="198"/>
      <c r="R108" s="198"/>
      <c r="S108" s="198"/>
      <c r="T108" s="195"/>
      <c r="U108" s="195"/>
      <c r="V108" s="195"/>
      <c r="W108" s="195"/>
      <c r="X108" s="195"/>
      <c r="Y108" s="195"/>
      <c r="Z108" s="195"/>
    </row>
    <row r="109" ht="15.75" customHeight="1" spans="1:26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8"/>
      <c r="L109" s="198"/>
      <c r="M109" s="198"/>
      <c r="N109" s="198"/>
      <c r="O109" s="198"/>
      <c r="P109" s="198"/>
      <c r="Q109" s="198"/>
      <c r="R109" s="198"/>
      <c r="S109" s="198"/>
      <c r="T109" s="195"/>
      <c r="U109" s="195"/>
      <c r="V109" s="195"/>
      <c r="W109" s="195"/>
      <c r="X109" s="195"/>
      <c r="Y109" s="195"/>
      <c r="Z109" s="195"/>
    </row>
    <row r="110" ht="15.75" customHeight="1" spans="1:26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8"/>
      <c r="L110" s="198"/>
      <c r="M110" s="198"/>
      <c r="N110" s="198"/>
      <c r="O110" s="198"/>
      <c r="P110" s="198"/>
      <c r="Q110" s="198"/>
      <c r="R110" s="198"/>
      <c r="S110" s="198"/>
      <c r="T110" s="195"/>
      <c r="U110" s="195"/>
      <c r="V110" s="195"/>
      <c r="W110" s="195"/>
      <c r="X110" s="195"/>
      <c r="Y110" s="195"/>
      <c r="Z110" s="195"/>
    </row>
    <row r="111" ht="15.75" customHeight="1" spans="1:26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8"/>
      <c r="L111" s="198"/>
      <c r="M111" s="198"/>
      <c r="N111" s="198"/>
      <c r="O111" s="198"/>
      <c r="P111" s="198"/>
      <c r="Q111" s="198"/>
      <c r="R111" s="198"/>
      <c r="S111" s="198"/>
      <c r="T111" s="195"/>
      <c r="U111" s="195"/>
      <c r="V111" s="195"/>
      <c r="W111" s="195"/>
      <c r="X111" s="195"/>
      <c r="Y111" s="195"/>
      <c r="Z111" s="195"/>
    </row>
    <row r="112" ht="15.75" customHeight="1" spans="1:26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8"/>
      <c r="L112" s="198"/>
      <c r="M112" s="198"/>
      <c r="N112" s="198"/>
      <c r="O112" s="198"/>
      <c r="P112" s="198"/>
      <c r="Q112" s="198"/>
      <c r="R112" s="198"/>
      <c r="S112" s="198"/>
      <c r="T112" s="195"/>
      <c r="U112" s="195"/>
      <c r="V112" s="195"/>
      <c r="W112" s="195"/>
      <c r="X112" s="195"/>
      <c r="Y112" s="195"/>
      <c r="Z112" s="195"/>
    </row>
    <row r="113" ht="15.75" customHeight="1" spans="1:26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8"/>
      <c r="L113" s="198"/>
      <c r="M113" s="198"/>
      <c r="N113" s="198"/>
      <c r="O113" s="198"/>
      <c r="P113" s="198"/>
      <c r="Q113" s="198"/>
      <c r="R113" s="198"/>
      <c r="S113" s="198"/>
      <c r="T113" s="195"/>
      <c r="U113" s="195"/>
      <c r="V113" s="195"/>
      <c r="W113" s="195"/>
      <c r="X113" s="195"/>
      <c r="Y113" s="195"/>
      <c r="Z113" s="195"/>
    </row>
    <row r="114" ht="15.75" customHeight="1" spans="1:26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8"/>
      <c r="L114" s="198"/>
      <c r="M114" s="198"/>
      <c r="N114" s="198"/>
      <c r="O114" s="198"/>
      <c r="P114" s="198"/>
      <c r="Q114" s="198"/>
      <c r="R114" s="198"/>
      <c r="S114" s="198"/>
      <c r="T114" s="195"/>
      <c r="U114" s="195"/>
      <c r="V114" s="195"/>
      <c r="W114" s="195"/>
      <c r="X114" s="195"/>
      <c r="Y114" s="195"/>
      <c r="Z114" s="195"/>
    </row>
    <row r="115" ht="15.75" customHeight="1" spans="1:26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8"/>
      <c r="L115" s="198"/>
      <c r="M115" s="198"/>
      <c r="N115" s="198"/>
      <c r="O115" s="198"/>
      <c r="P115" s="198"/>
      <c r="Q115" s="198"/>
      <c r="R115" s="198"/>
      <c r="S115" s="198"/>
      <c r="T115" s="195"/>
      <c r="U115" s="195"/>
      <c r="V115" s="195"/>
      <c r="W115" s="195"/>
      <c r="X115" s="195"/>
      <c r="Y115" s="195"/>
      <c r="Z115" s="195"/>
    </row>
    <row r="116" ht="15.75" customHeight="1" spans="1:2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8"/>
      <c r="L116" s="198"/>
      <c r="M116" s="198"/>
      <c r="N116" s="198"/>
      <c r="O116" s="198"/>
      <c r="P116" s="198"/>
      <c r="Q116" s="198"/>
      <c r="R116" s="198"/>
      <c r="S116" s="198"/>
      <c r="T116" s="195"/>
      <c r="U116" s="195"/>
      <c r="V116" s="195"/>
      <c r="W116" s="195"/>
      <c r="X116" s="195"/>
      <c r="Y116" s="195"/>
      <c r="Z116" s="195"/>
    </row>
    <row r="117" ht="15.75" customHeight="1" spans="1:26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8"/>
      <c r="L117" s="198"/>
      <c r="M117" s="198"/>
      <c r="N117" s="198"/>
      <c r="O117" s="198"/>
      <c r="P117" s="198"/>
      <c r="Q117" s="198"/>
      <c r="R117" s="198"/>
      <c r="S117" s="198"/>
      <c r="T117" s="195"/>
      <c r="U117" s="195"/>
      <c r="V117" s="195"/>
      <c r="W117" s="195"/>
      <c r="X117" s="195"/>
      <c r="Y117" s="195"/>
      <c r="Z117" s="195"/>
    </row>
    <row r="118" ht="15.75" customHeight="1" spans="1:26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8"/>
      <c r="L118" s="198"/>
      <c r="M118" s="198"/>
      <c r="N118" s="198"/>
      <c r="O118" s="198"/>
      <c r="P118" s="198"/>
      <c r="Q118" s="198"/>
      <c r="R118" s="198"/>
      <c r="S118" s="198"/>
      <c r="T118" s="195"/>
      <c r="U118" s="195"/>
      <c r="V118" s="195"/>
      <c r="W118" s="195"/>
      <c r="X118" s="195"/>
      <c r="Y118" s="195"/>
      <c r="Z118" s="195"/>
    </row>
    <row r="119" ht="15.75" customHeight="1" spans="1:26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8"/>
      <c r="L119" s="198"/>
      <c r="M119" s="198"/>
      <c r="N119" s="198"/>
      <c r="O119" s="198"/>
      <c r="P119" s="198"/>
      <c r="Q119" s="198"/>
      <c r="R119" s="198"/>
      <c r="S119" s="198"/>
      <c r="T119" s="195"/>
      <c r="U119" s="195"/>
      <c r="V119" s="195"/>
      <c r="W119" s="195"/>
      <c r="X119" s="195"/>
      <c r="Y119" s="195"/>
      <c r="Z119" s="195"/>
    </row>
    <row r="120" ht="15.75" customHeight="1" spans="1:26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8"/>
      <c r="L120" s="198"/>
      <c r="M120" s="198"/>
      <c r="N120" s="198"/>
      <c r="O120" s="198"/>
      <c r="P120" s="198"/>
      <c r="Q120" s="198"/>
      <c r="R120" s="198"/>
      <c r="S120" s="198"/>
      <c r="T120" s="195"/>
      <c r="U120" s="195"/>
      <c r="V120" s="195"/>
      <c r="W120" s="195"/>
      <c r="X120" s="195"/>
      <c r="Y120" s="195"/>
      <c r="Z120" s="195"/>
    </row>
    <row r="121" ht="15.75" customHeight="1" spans="1:26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8"/>
      <c r="L121" s="198"/>
      <c r="M121" s="198"/>
      <c r="N121" s="198"/>
      <c r="O121" s="198"/>
      <c r="P121" s="198"/>
      <c r="Q121" s="198"/>
      <c r="R121" s="198"/>
      <c r="S121" s="198"/>
      <c r="T121" s="195"/>
      <c r="U121" s="195"/>
      <c r="V121" s="195"/>
      <c r="W121" s="195"/>
      <c r="X121" s="195"/>
      <c r="Y121" s="195"/>
      <c r="Z121" s="195"/>
    </row>
    <row r="122" ht="15.75" customHeight="1" spans="1:26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8"/>
      <c r="L122" s="198"/>
      <c r="M122" s="198"/>
      <c r="N122" s="198"/>
      <c r="O122" s="198"/>
      <c r="P122" s="198"/>
      <c r="Q122" s="198"/>
      <c r="R122" s="198"/>
      <c r="S122" s="198"/>
      <c r="T122" s="195"/>
      <c r="U122" s="195"/>
      <c r="V122" s="195"/>
      <c r="W122" s="195"/>
      <c r="X122" s="195"/>
      <c r="Y122" s="195"/>
      <c r="Z122" s="195"/>
    </row>
    <row r="123" ht="15.75" customHeight="1" spans="1:26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8"/>
      <c r="L123" s="198"/>
      <c r="M123" s="198"/>
      <c r="N123" s="198"/>
      <c r="O123" s="198"/>
      <c r="P123" s="198"/>
      <c r="Q123" s="198"/>
      <c r="R123" s="198"/>
      <c r="S123" s="198"/>
      <c r="T123" s="195"/>
      <c r="U123" s="195"/>
      <c r="V123" s="195"/>
      <c r="W123" s="195"/>
      <c r="X123" s="195"/>
      <c r="Y123" s="195"/>
      <c r="Z123" s="195"/>
    </row>
    <row r="124" ht="15.75" customHeight="1" spans="1:26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8"/>
      <c r="L124" s="198"/>
      <c r="M124" s="198"/>
      <c r="N124" s="198"/>
      <c r="O124" s="198"/>
      <c r="P124" s="198"/>
      <c r="Q124" s="198"/>
      <c r="R124" s="198"/>
      <c r="S124" s="198"/>
      <c r="T124" s="195"/>
      <c r="U124" s="195"/>
      <c r="V124" s="195"/>
      <c r="W124" s="195"/>
      <c r="X124" s="195"/>
      <c r="Y124" s="195"/>
      <c r="Z124" s="195"/>
    </row>
    <row r="125" ht="15.75" customHeight="1" spans="1:26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8"/>
      <c r="L125" s="198"/>
      <c r="M125" s="198"/>
      <c r="N125" s="198"/>
      <c r="O125" s="198"/>
      <c r="P125" s="198"/>
      <c r="Q125" s="198"/>
      <c r="R125" s="198"/>
      <c r="S125" s="198"/>
      <c r="T125" s="195"/>
      <c r="U125" s="195"/>
      <c r="V125" s="195"/>
      <c r="W125" s="195"/>
      <c r="X125" s="195"/>
      <c r="Y125" s="195"/>
      <c r="Z125" s="195"/>
    </row>
    <row r="126" ht="15.75" customHeight="1" spans="1: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8"/>
      <c r="L126" s="198"/>
      <c r="M126" s="198"/>
      <c r="N126" s="198"/>
      <c r="O126" s="198"/>
      <c r="P126" s="198"/>
      <c r="Q126" s="198"/>
      <c r="R126" s="198"/>
      <c r="S126" s="198"/>
      <c r="T126" s="195"/>
      <c r="U126" s="195"/>
      <c r="V126" s="195"/>
      <c r="W126" s="195"/>
      <c r="X126" s="195"/>
      <c r="Y126" s="195"/>
      <c r="Z126" s="195"/>
    </row>
    <row r="127" ht="15.75" customHeight="1" spans="1:26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8"/>
      <c r="L127" s="198"/>
      <c r="M127" s="198"/>
      <c r="N127" s="198"/>
      <c r="O127" s="198"/>
      <c r="P127" s="198"/>
      <c r="Q127" s="198"/>
      <c r="R127" s="198"/>
      <c r="S127" s="198"/>
      <c r="T127" s="195"/>
      <c r="U127" s="195"/>
      <c r="V127" s="195"/>
      <c r="W127" s="195"/>
      <c r="X127" s="195"/>
      <c r="Y127" s="195"/>
      <c r="Z127" s="195"/>
    </row>
    <row r="128" ht="15.75" customHeight="1" spans="1:26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8"/>
      <c r="L128" s="198"/>
      <c r="M128" s="198"/>
      <c r="N128" s="198"/>
      <c r="O128" s="198"/>
      <c r="P128" s="198"/>
      <c r="Q128" s="198"/>
      <c r="R128" s="198"/>
      <c r="S128" s="198"/>
      <c r="T128" s="195"/>
      <c r="U128" s="195"/>
      <c r="V128" s="195"/>
      <c r="W128" s="195"/>
      <c r="X128" s="195"/>
      <c r="Y128" s="195"/>
      <c r="Z128" s="195"/>
    </row>
    <row r="129" ht="15.75" customHeight="1" spans="1:26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8"/>
      <c r="L129" s="198"/>
      <c r="M129" s="198"/>
      <c r="N129" s="198"/>
      <c r="O129" s="198"/>
      <c r="P129" s="198"/>
      <c r="Q129" s="198"/>
      <c r="R129" s="198"/>
      <c r="S129" s="198"/>
      <c r="T129" s="195"/>
      <c r="U129" s="195"/>
      <c r="V129" s="195"/>
      <c r="W129" s="195"/>
      <c r="X129" s="195"/>
      <c r="Y129" s="195"/>
      <c r="Z129" s="195"/>
    </row>
    <row r="130" ht="15.75" customHeight="1" spans="1:26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8"/>
      <c r="L130" s="198"/>
      <c r="M130" s="198"/>
      <c r="N130" s="198"/>
      <c r="O130" s="198"/>
      <c r="P130" s="198"/>
      <c r="Q130" s="198"/>
      <c r="R130" s="198"/>
      <c r="S130" s="198"/>
      <c r="T130" s="195"/>
      <c r="U130" s="195"/>
      <c r="V130" s="195"/>
      <c r="W130" s="195"/>
      <c r="X130" s="195"/>
      <c r="Y130" s="195"/>
      <c r="Z130" s="195"/>
    </row>
    <row r="131" ht="15.75" customHeight="1" spans="1:26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8"/>
      <c r="L131" s="198"/>
      <c r="M131" s="198"/>
      <c r="N131" s="198"/>
      <c r="O131" s="198"/>
      <c r="P131" s="198"/>
      <c r="Q131" s="198"/>
      <c r="R131" s="198"/>
      <c r="S131" s="198"/>
      <c r="T131" s="195"/>
      <c r="U131" s="195"/>
      <c r="V131" s="195"/>
      <c r="W131" s="195"/>
      <c r="X131" s="195"/>
      <c r="Y131" s="195"/>
      <c r="Z131" s="195"/>
    </row>
    <row r="132" ht="15.75" customHeight="1" spans="1:26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8"/>
      <c r="L132" s="198"/>
      <c r="M132" s="198"/>
      <c r="N132" s="198"/>
      <c r="O132" s="198"/>
      <c r="P132" s="198"/>
      <c r="Q132" s="198"/>
      <c r="R132" s="198"/>
      <c r="S132" s="198"/>
      <c r="T132" s="195"/>
      <c r="U132" s="195"/>
      <c r="V132" s="195"/>
      <c r="W132" s="195"/>
      <c r="X132" s="195"/>
      <c r="Y132" s="195"/>
      <c r="Z132" s="195"/>
    </row>
    <row r="133" ht="15.75" customHeight="1" spans="1:26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8"/>
      <c r="L133" s="198"/>
      <c r="M133" s="198"/>
      <c r="N133" s="198"/>
      <c r="O133" s="198"/>
      <c r="P133" s="198"/>
      <c r="Q133" s="198"/>
      <c r="R133" s="198"/>
      <c r="S133" s="198"/>
      <c r="T133" s="195"/>
      <c r="U133" s="195"/>
      <c r="V133" s="195"/>
      <c r="W133" s="195"/>
      <c r="X133" s="195"/>
      <c r="Y133" s="195"/>
      <c r="Z133" s="195"/>
    </row>
    <row r="134" ht="15.75" customHeight="1" spans="1:26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8"/>
      <c r="L134" s="198"/>
      <c r="M134" s="198"/>
      <c r="N134" s="198"/>
      <c r="O134" s="198"/>
      <c r="P134" s="198"/>
      <c r="Q134" s="198"/>
      <c r="R134" s="198"/>
      <c r="S134" s="198"/>
      <c r="T134" s="195"/>
      <c r="U134" s="195"/>
      <c r="V134" s="195"/>
      <c r="W134" s="195"/>
      <c r="X134" s="195"/>
      <c r="Y134" s="195"/>
      <c r="Z134" s="195"/>
    </row>
    <row r="135" ht="15.75" customHeight="1" spans="1:26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8"/>
      <c r="L135" s="198"/>
      <c r="M135" s="198"/>
      <c r="N135" s="198"/>
      <c r="O135" s="198"/>
      <c r="P135" s="198"/>
      <c r="Q135" s="198"/>
      <c r="R135" s="198"/>
      <c r="S135" s="198"/>
      <c r="T135" s="195"/>
      <c r="U135" s="195"/>
      <c r="V135" s="195"/>
      <c r="W135" s="195"/>
      <c r="X135" s="195"/>
      <c r="Y135" s="195"/>
      <c r="Z135" s="195"/>
    </row>
    <row r="136" ht="15.75" customHeight="1" spans="1:2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8"/>
      <c r="L136" s="198"/>
      <c r="M136" s="198"/>
      <c r="N136" s="198"/>
      <c r="O136" s="198"/>
      <c r="P136" s="198"/>
      <c r="Q136" s="198"/>
      <c r="R136" s="198"/>
      <c r="S136" s="198"/>
      <c r="T136" s="195"/>
      <c r="U136" s="195"/>
      <c r="V136" s="195"/>
      <c r="W136" s="195"/>
      <c r="X136" s="195"/>
      <c r="Y136" s="195"/>
      <c r="Z136" s="195"/>
    </row>
    <row r="137" ht="15.75" customHeight="1" spans="1:26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8"/>
      <c r="L137" s="198"/>
      <c r="M137" s="198"/>
      <c r="N137" s="198"/>
      <c r="O137" s="198"/>
      <c r="P137" s="198"/>
      <c r="Q137" s="198"/>
      <c r="R137" s="198"/>
      <c r="S137" s="198"/>
      <c r="T137" s="195"/>
      <c r="U137" s="195"/>
      <c r="V137" s="195"/>
      <c r="W137" s="195"/>
      <c r="X137" s="195"/>
      <c r="Y137" s="195"/>
      <c r="Z137" s="195"/>
    </row>
    <row r="138" ht="15.75" customHeight="1" spans="1:26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8"/>
      <c r="L138" s="198"/>
      <c r="M138" s="198"/>
      <c r="N138" s="198"/>
      <c r="O138" s="198"/>
      <c r="P138" s="198"/>
      <c r="Q138" s="198"/>
      <c r="R138" s="198"/>
      <c r="S138" s="198"/>
      <c r="T138" s="195"/>
      <c r="U138" s="195"/>
      <c r="V138" s="195"/>
      <c r="W138" s="195"/>
      <c r="X138" s="195"/>
      <c r="Y138" s="195"/>
      <c r="Z138" s="195"/>
    </row>
    <row r="139" ht="15.75" customHeight="1" spans="1:26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8"/>
      <c r="L139" s="198"/>
      <c r="M139" s="198"/>
      <c r="N139" s="198"/>
      <c r="O139" s="198"/>
      <c r="P139" s="198"/>
      <c r="Q139" s="198"/>
      <c r="R139" s="198"/>
      <c r="S139" s="198"/>
      <c r="T139" s="195"/>
      <c r="U139" s="195"/>
      <c r="V139" s="195"/>
      <c r="W139" s="195"/>
      <c r="X139" s="195"/>
      <c r="Y139" s="195"/>
      <c r="Z139" s="195"/>
    </row>
    <row r="140" ht="15.75" customHeight="1" spans="1:26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8"/>
      <c r="L140" s="198"/>
      <c r="M140" s="198"/>
      <c r="N140" s="198"/>
      <c r="O140" s="198"/>
      <c r="P140" s="198"/>
      <c r="Q140" s="198"/>
      <c r="R140" s="198"/>
      <c r="S140" s="198"/>
      <c r="T140" s="195"/>
      <c r="U140" s="195"/>
      <c r="V140" s="195"/>
      <c r="W140" s="195"/>
      <c r="X140" s="195"/>
      <c r="Y140" s="195"/>
      <c r="Z140" s="195"/>
    </row>
    <row r="141" ht="15.75" customHeight="1" spans="1:26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8"/>
      <c r="L141" s="198"/>
      <c r="M141" s="198"/>
      <c r="N141" s="198"/>
      <c r="O141" s="198"/>
      <c r="P141" s="198"/>
      <c r="Q141" s="198"/>
      <c r="R141" s="198"/>
      <c r="S141" s="198"/>
      <c r="T141" s="195"/>
      <c r="U141" s="195"/>
      <c r="V141" s="195"/>
      <c r="W141" s="195"/>
      <c r="X141" s="195"/>
      <c r="Y141" s="195"/>
      <c r="Z141" s="195"/>
    </row>
    <row r="142" ht="15.75" customHeight="1" spans="1:26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8"/>
      <c r="L142" s="198"/>
      <c r="M142" s="198"/>
      <c r="N142" s="198"/>
      <c r="O142" s="198"/>
      <c r="P142" s="198"/>
      <c r="Q142" s="198"/>
      <c r="R142" s="198"/>
      <c r="S142" s="198"/>
      <c r="T142" s="195"/>
      <c r="U142" s="195"/>
      <c r="V142" s="195"/>
      <c r="W142" s="195"/>
      <c r="X142" s="195"/>
      <c r="Y142" s="195"/>
      <c r="Z142" s="195"/>
    </row>
    <row r="143" ht="15.75" customHeight="1" spans="1:26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8"/>
      <c r="L143" s="198"/>
      <c r="M143" s="198"/>
      <c r="N143" s="198"/>
      <c r="O143" s="198"/>
      <c r="P143" s="198"/>
      <c r="Q143" s="198"/>
      <c r="R143" s="198"/>
      <c r="S143" s="198"/>
      <c r="T143" s="195"/>
      <c r="U143" s="195"/>
      <c r="V143" s="195"/>
      <c r="W143" s="195"/>
      <c r="X143" s="195"/>
      <c r="Y143" s="195"/>
      <c r="Z143" s="195"/>
    </row>
    <row r="144" ht="15.75" customHeight="1" spans="1:26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8"/>
      <c r="L144" s="198"/>
      <c r="M144" s="198"/>
      <c r="N144" s="198"/>
      <c r="O144" s="198"/>
      <c r="P144" s="198"/>
      <c r="Q144" s="198"/>
      <c r="R144" s="198"/>
      <c r="S144" s="198"/>
      <c r="T144" s="195"/>
      <c r="U144" s="195"/>
      <c r="V144" s="195"/>
      <c r="W144" s="195"/>
      <c r="X144" s="195"/>
      <c r="Y144" s="195"/>
      <c r="Z144" s="195"/>
    </row>
    <row r="145" ht="15.75" customHeight="1" spans="1:26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8"/>
      <c r="L145" s="198"/>
      <c r="M145" s="198"/>
      <c r="N145" s="198"/>
      <c r="O145" s="198"/>
      <c r="P145" s="198"/>
      <c r="Q145" s="198"/>
      <c r="R145" s="198"/>
      <c r="S145" s="198"/>
      <c r="T145" s="195"/>
      <c r="U145" s="195"/>
      <c r="V145" s="195"/>
      <c r="W145" s="195"/>
      <c r="X145" s="195"/>
      <c r="Y145" s="195"/>
      <c r="Z145" s="195"/>
    </row>
    <row r="146" ht="15.75" customHeight="1" spans="1:2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8"/>
      <c r="L146" s="198"/>
      <c r="M146" s="198"/>
      <c r="N146" s="198"/>
      <c r="O146" s="198"/>
      <c r="P146" s="198"/>
      <c r="Q146" s="198"/>
      <c r="R146" s="198"/>
      <c r="S146" s="198"/>
      <c r="T146" s="195"/>
      <c r="U146" s="195"/>
      <c r="V146" s="195"/>
      <c r="W146" s="195"/>
      <c r="X146" s="195"/>
      <c r="Y146" s="195"/>
      <c r="Z146" s="195"/>
    </row>
    <row r="147" ht="15.75" customHeight="1" spans="1:26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8"/>
      <c r="L147" s="198"/>
      <c r="M147" s="198"/>
      <c r="N147" s="198"/>
      <c r="O147" s="198"/>
      <c r="P147" s="198"/>
      <c r="Q147" s="198"/>
      <c r="R147" s="198"/>
      <c r="S147" s="198"/>
      <c r="T147" s="195"/>
      <c r="U147" s="195"/>
      <c r="V147" s="195"/>
      <c r="W147" s="195"/>
      <c r="X147" s="195"/>
      <c r="Y147" s="195"/>
      <c r="Z147" s="195"/>
    </row>
    <row r="148" ht="15.75" customHeight="1" spans="1:26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8"/>
      <c r="L148" s="198"/>
      <c r="M148" s="198"/>
      <c r="N148" s="198"/>
      <c r="O148" s="198"/>
      <c r="P148" s="198"/>
      <c r="Q148" s="198"/>
      <c r="R148" s="198"/>
      <c r="S148" s="198"/>
      <c r="T148" s="195"/>
      <c r="U148" s="195"/>
      <c r="V148" s="195"/>
      <c r="W148" s="195"/>
      <c r="X148" s="195"/>
      <c r="Y148" s="195"/>
      <c r="Z148" s="195"/>
    </row>
    <row r="149" ht="15.75" customHeight="1" spans="1:26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8"/>
      <c r="L149" s="198"/>
      <c r="M149" s="198"/>
      <c r="N149" s="198"/>
      <c r="O149" s="198"/>
      <c r="P149" s="198"/>
      <c r="Q149" s="198"/>
      <c r="R149" s="198"/>
      <c r="S149" s="198"/>
      <c r="T149" s="195"/>
      <c r="U149" s="195"/>
      <c r="V149" s="195"/>
      <c r="W149" s="195"/>
      <c r="X149" s="195"/>
      <c r="Y149" s="195"/>
      <c r="Z149" s="195"/>
    </row>
    <row r="150" ht="15.75" customHeight="1" spans="1:26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8"/>
      <c r="L150" s="198"/>
      <c r="M150" s="198"/>
      <c r="N150" s="198"/>
      <c r="O150" s="198"/>
      <c r="P150" s="198"/>
      <c r="Q150" s="198"/>
      <c r="R150" s="198"/>
      <c r="S150" s="198"/>
      <c r="T150" s="195"/>
      <c r="U150" s="195"/>
      <c r="V150" s="195"/>
      <c r="W150" s="195"/>
      <c r="X150" s="195"/>
      <c r="Y150" s="195"/>
      <c r="Z150" s="195"/>
    </row>
    <row r="151" ht="15.75" customHeight="1" spans="1:26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8"/>
      <c r="L151" s="198"/>
      <c r="M151" s="198"/>
      <c r="N151" s="198"/>
      <c r="O151" s="198"/>
      <c r="P151" s="198"/>
      <c r="Q151" s="198"/>
      <c r="R151" s="198"/>
      <c r="S151" s="198"/>
      <c r="T151" s="195"/>
      <c r="U151" s="195"/>
      <c r="V151" s="195"/>
      <c r="W151" s="195"/>
      <c r="X151" s="195"/>
      <c r="Y151" s="195"/>
      <c r="Z151" s="195"/>
    </row>
    <row r="152" ht="15.75" customHeight="1" spans="1:26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8"/>
      <c r="L152" s="198"/>
      <c r="M152" s="198"/>
      <c r="N152" s="198"/>
      <c r="O152" s="198"/>
      <c r="P152" s="198"/>
      <c r="Q152" s="198"/>
      <c r="R152" s="198"/>
      <c r="S152" s="198"/>
      <c r="T152" s="195"/>
      <c r="U152" s="195"/>
      <c r="V152" s="195"/>
      <c r="W152" s="195"/>
      <c r="X152" s="195"/>
      <c r="Y152" s="195"/>
      <c r="Z152" s="195"/>
    </row>
    <row r="153" ht="15.75" customHeight="1" spans="1:26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8"/>
      <c r="L153" s="198"/>
      <c r="M153" s="198"/>
      <c r="N153" s="198"/>
      <c r="O153" s="198"/>
      <c r="P153" s="198"/>
      <c r="Q153" s="198"/>
      <c r="R153" s="198"/>
      <c r="S153" s="198"/>
      <c r="T153" s="195"/>
      <c r="U153" s="195"/>
      <c r="V153" s="195"/>
      <c r="W153" s="195"/>
      <c r="X153" s="195"/>
      <c r="Y153" s="195"/>
      <c r="Z153" s="195"/>
    </row>
    <row r="154" ht="15.75" customHeight="1" spans="1:26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8"/>
      <c r="L154" s="198"/>
      <c r="M154" s="198"/>
      <c r="N154" s="198"/>
      <c r="O154" s="198"/>
      <c r="P154" s="198"/>
      <c r="Q154" s="198"/>
      <c r="R154" s="198"/>
      <c r="S154" s="198"/>
      <c r="T154" s="195"/>
      <c r="U154" s="195"/>
      <c r="V154" s="195"/>
      <c r="W154" s="195"/>
      <c r="X154" s="195"/>
      <c r="Y154" s="195"/>
      <c r="Z154" s="195"/>
    </row>
    <row r="155" ht="15.75" customHeight="1" spans="1:26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8"/>
      <c r="L155" s="198"/>
      <c r="M155" s="198"/>
      <c r="N155" s="198"/>
      <c r="O155" s="198"/>
      <c r="P155" s="198"/>
      <c r="Q155" s="198"/>
      <c r="R155" s="198"/>
      <c r="S155" s="198"/>
      <c r="T155" s="195"/>
      <c r="U155" s="195"/>
      <c r="V155" s="195"/>
      <c r="W155" s="195"/>
      <c r="X155" s="195"/>
      <c r="Y155" s="195"/>
      <c r="Z155" s="195"/>
    </row>
    <row r="156" ht="15.75" customHeight="1" spans="1:2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8"/>
      <c r="L156" s="198"/>
      <c r="M156" s="198"/>
      <c r="N156" s="198"/>
      <c r="O156" s="198"/>
      <c r="P156" s="198"/>
      <c r="Q156" s="198"/>
      <c r="R156" s="198"/>
      <c r="S156" s="198"/>
      <c r="T156" s="195"/>
      <c r="U156" s="195"/>
      <c r="V156" s="195"/>
      <c r="W156" s="195"/>
      <c r="X156" s="195"/>
      <c r="Y156" s="195"/>
      <c r="Z156" s="195"/>
    </row>
    <row r="157" ht="15.75" customHeight="1" spans="1:26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8"/>
      <c r="L157" s="198"/>
      <c r="M157" s="198"/>
      <c r="N157" s="198"/>
      <c r="O157" s="198"/>
      <c r="P157" s="198"/>
      <c r="Q157" s="198"/>
      <c r="R157" s="198"/>
      <c r="S157" s="198"/>
      <c r="T157" s="195"/>
      <c r="U157" s="195"/>
      <c r="V157" s="195"/>
      <c r="W157" s="195"/>
      <c r="X157" s="195"/>
      <c r="Y157" s="195"/>
      <c r="Z157" s="195"/>
    </row>
    <row r="158" ht="15.75" customHeight="1" spans="1:26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8"/>
      <c r="L158" s="198"/>
      <c r="M158" s="198"/>
      <c r="N158" s="198"/>
      <c r="O158" s="198"/>
      <c r="P158" s="198"/>
      <c r="Q158" s="198"/>
      <c r="R158" s="198"/>
      <c r="S158" s="198"/>
      <c r="T158" s="195"/>
      <c r="U158" s="195"/>
      <c r="V158" s="195"/>
      <c r="W158" s="195"/>
      <c r="X158" s="195"/>
      <c r="Y158" s="195"/>
      <c r="Z158" s="195"/>
    </row>
    <row r="159" ht="15.75" customHeight="1" spans="1:26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8"/>
      <c r="L159" s="198"/>
      <c r="M159" s="198"/>
      <c r="N159" s="198"/>
      <c r="O159" s="198"/>
      <c r="P159" s="198"/>
      <c r="Q159" s="198"/>
      <c r="R159" s="198"/>
      <c r="S159" s="198"/>
      <c r="T159" s="195"/>
      <c r="U159" s="195"/>
      <c r="V159" s="195"/>
      <c r="W159" s="195"/>
      <c r="X159" s="195"/>
      <c r="Y159" s="195"/>
      <c r="Z159" s="195"/>
    </row>
    <row r="160" ht="15.75" customHeight="1" spans="1:26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8"/>
      <c r="L160" s="198"/>
      <c r="M160" s="198"/>
      <c r="N160" s="198"/>
      <c r="O160" s="198"/>
      <c r="P160" s="198"/>
      <c r="Q160" s="198"/>
      <c r="R160" s="198"/>
      <c r="S160" s="198"/>
      <c r="T160" s="195"/>
      <c r="U160" s="195"/>
      <c r="V160" s="195"/>
      <c r="W160" s="195"/>
      <c r="X160" s="195"/>
      <c r="Y160" s="195"/>
      <c r="Z160" s="195"/>
    </row>
    <row r="161" ht="15.75" customHeight="1" spans="1:26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8"/>
      <c r="L161" s="198"/>
      <c r="M161" s="198"/>
      <c r="N161" s="198"/>
      <c r="O161" s="198"/>
      <c r="P161" s="198"/>
      <c r="Q161" s="198"/>
      <c r="R161" s="198"/>
      <c r="S161" s="198"/>
      <c r="T161" s="195"/>
      <c r="U161" s="195"/>
      <c r="V161" s="195"/>
      <c r="W161" s="195"/>
      <c r="X161" s="195"/>
      <c r="Y161" s="195"/>
      <c r="Z161" s="195"/>
    </row>
    <row r="162" ht="15.75" customHeight="1" spans="1:26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8"/>
      <c r="L162" s="198"/>
      <c r="M162" s="198"/>
      <c r="N162" s="198"/>
      <c r="O162" s="198"/>
      <c r="P162" s="198"/>
      <c r="Q162" s="198"/>
      <c r="R162" s="198"/>
      <c r="S162" s="198"/>
      <c r="T162" s="195"/>
      <c r="U162" s="195"/>
      <c r="V162" s="195"/>
      <c r="W162" s="195"/>
      <c r="X162" s="195"/>
      <c r="Y162" s="195"/>
      <c r="Z162" s="195"/>
    </row>
    <row r="163" ht="15.75" customHeight="1" spans="1:26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8"/>
      <c r="L163" s="198"/>
      <c r="M163" s="198"/>
      <c r="N163" s="198"/>
      <c r="O163" s="198"/>
      <c r="P163" s="198"/>
      <c r="Q163" s="198"/>
      <c r="R163" s="198"/>
      <c r="S163" s="198"/>
      <c r="T163" s="195"/>
      <c r="U163" s="195"/>
      <c r="V163" s="195"/>
      <c r="W163" s="195"/>
      <c r="X163" s="195"/>
      <c r="Y163" s="195"/>
      <c r="Z163" s="195"/>
    </row>
    <row r="164" ht="15.75" customHeight="1" spans="1:26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8"/>
      <c r="L164" s="198"/>
      <c r="M164" s="198"/>
      <c r="N164" s="198"/>
      <c r="O164" s="198"/>
      <c r="P164" s="198"/>
      <c r="Q164" s="198"/>
      <c r="R164" s="198"/>
      <c r="S164" s="198"/>
      <c r="T164" s="195"/>
      <c r="U164" s="195"/>
      <c r="V164" s="195"/>
      <c r="W164" s="195"/>
      <c r="X164" s="195"/>
      <c r="Y164" s="195"/>
      <c r="Z164" s="195"/>
    </row>
    <row r="165" ht="15.75" customHeight="1" spans="1:26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8"/>
      <c r="L165" s="198"/>
      <c r="M165" s="198"/>
      <c r="N165" s="198"/>
      <c r="O165" s="198"/>
      <c r="P165" s="198"/>
      <c r="Q165" s="198"/>
      <c r="R165" s="198"/>
      <c r="S165" s="198"/>
      <c r="T165" s="195"/>
      <c r="U165" s="195"/>
      <c r="V165" s="195"/>
      <c r="W165" s="195"/>
      <c r="X165" s="195"/>
      <c r="Y165" s="195"/>
      <c r="Z165" s="195"/>
    </row>
    <row r="166" ht="15.75" customHeight="1" spans="1:2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8"/>
      <c r="L166" s="198"/>
      <c r="M166" s="198"/>
      <c r="N166" s="198"/>
      <c r="O166" s="198"/>
      <c r="P166" s="198"/>
      <c r="Q166" s="198"/>
      <c r="R166" s="198"/>
      <c r="S166" s="198"/>
      <c r="T166" s="195"/>
      <c r="U166" s="195"/>
      <c r="V166" s="195"/>
      <c r="W166" s="195"/>
      <c r="X166" s="195"/>
      <c r="Y166" s="195"/>
      <c r="Z166" s="195"/>
    </row>
    <row r="167" ht="15.75" customHeight="1" spans="1:26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8"/>
      <c r="L167" s="198"/>
      <c r="M167" s="198"/>
      <c r="N167" s="198"/>
      <c r="O167" s="198"/>
      <c r="P167" s="198"/>
      <c r="Q167" s="198"/>
      <c r="R167" s="198"/>
      <c r="S167" s="198"/>
      <c r="T167" s="195"/>
      <c r="U167" s="195"/>
      <c r="V167" s="195"/>
      <c r="W167" s="195"/>
      <c r="X167" s="195"/>
      <c r="Y167" s="195"/>
      <c r="Z167" s="195"/>
    </row>
    <row r="168" ht="15.75" customHeight="1" spans="1:26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8"/>
      <c r="L168" s="198"/>
      <c r="M168" s="198"/>
      <c r="N168" s="198"/>
      <c r="O168" s="198"/>
      <c r="P168" s="198"/>
      <c r="Q168" s="198"/>
      <c r="R168" s="198"/>
      <c r="S168" s="198"/>
      <c r="T168" s="195"/>
      <c r="U168" s="195"/>
      <c r="V168" s="195"/>
      <c r="W168" s="195"/>
      <c r="X168" s="195"/>
      <c r="Y168" s="195"/>
      <c r="Z168" s="195"/>
    </row>
    <row r="169" ht="15.75" customHeight="1" spans="1:26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8"/>
      <c r="L169" s="198"/>
      <c r="M169" s="198"/>
      <c r="N169" s="198"/>
      <c r="O169" s="198"/>
      <c r="P169" s="198"/>
      <c r="Q169" s="198"/>
      <c r="R169" s="198"/>
      <c r="S169" s="198"/>
      <c r="T169" s="195"/>
      <c r="U169" s="195"/>
      <c r="V169" s="195"/>
      <c r="W169" s="195"/>
      <c r="X169" s="195"/>
      <c r="Y169" s="195"/>
      <c r="Z169" s="195"/>
    </row>
    <row r="170" ht="15.75" customHeight="1" spans="1:26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8"/>
      <c r="L170" s="198"/>
      <c r="M170" s="198"/>
      <c r="N170" s="198"/>
      <c r="O170" s="198"/>
      <c r="P170" s="198"/>
      <c r="Q170" s="198"/>
      <c r="R170" s="198"/>
      <c r="S170" s="198"/>
      <c r="T170" s="195"/>
      <c r="U170" s="195"/>
      <c r="V170" s="195"/>
      <c r="W170" s="195"/>
      <c r="X170" s="195"/>
      <c r="Y170" s="195"/>
      <c r="Z170" s="195"/>
    </row>
    <row r="171" ht="15.75" customHeight="1" spans="1:26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8"/>
      <c r="L171" s="198"/>
      <c r="M171" s="198"/>
      <c r="N171" s="198"/>
      <c r="O171" s="198"/>
      <c r="P171" s="198"/>
      <c r="Q171" s="198"/>
      <c r="R171" s="198"/>
      <c r="S171" s="198"/>
      <c r="T171" s="195"/>
      <c r="U171" s="195"/>
      <c r="V171" s="195"/>
      <c r="W171" s="195"/>
      <c r="X171" s="195"/>
      <c r="Y171" s="195"/>
      <c r="Z171" s="195"/>
    </row>
    <row r="172" ht="15.75" customHeight="1" spans="1:26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8"/>
      <c r="L172" s="198"/>
      <c r="M172" s="198"/>
      <c r="N172" s="198"/>
      <c r="O172" s="198"/>
      <c r="P172" s="198"/>
      <c r="Q172" s="198"/>
      <c r="R172" s="198"/>
      <c r="S172" s="198"/>
      <c r="T172" s="195"/>
      <c r="U172" s="195"/>
      <c r="V172" s="195"/>
      <c r="W172" s="195"/>
      <c r="X172" s="195"/>
      <c r="Y172" s="195"/>
      <c r="Z172" s="195"/>
    </row>
    <row r="173" ht="15.75" customHeight="1" spans="1:26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8"/>
      <c r="L173" s="198"/>
      <c r="M173" s="198"/>
      <c r="N173" s="198"/>
      <c r="O173" s="198"/>
      <c r="P173" s="198"/>
      <c r="Q173" s="198"/>
      <c r="R173" s="198"/>
      <c r="S173" s="198"/>
      <c r="T173" s="195"/>
      <c r="U173" s="195"/>
      <c r="V173" s="195"/>
      <c r="W173" s="195"/>
      <c r="X173" s="195"/>
      <c r="Y173" s="195"/>
      <c r="Z173" s="195"/>
    </row>
    <row r="174" ht="15.75" customHeight="1" spans="1:26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8"/>
      <c r="L174" s="198"/>
      <c r="M174" s="198"/>
      <c r="N174" s="198"/>
      <c r="O174" s="198"/>
      <c r="P174" s="198"/>
      <c r="Q174" s="198"/>
      <c r="R174" s="198"/>
      <c r="S174" s="198"/>
      <c r="T174" s="195"/>
      <c r="U174" s="195"/>
      <c r="V174" s="195"/>
      <c r="W174" s="195"/>
      <c r="X174" s="195"/>
      <c r="Y174" s="195"/>
      <c r="Z174" s="195"/>
    </row>
    <row r="175" ht="15.75" customHeight="1" spans="1:26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8"/>
      <c r="L175" s="198"/>
      <c r="M175" s="198"/>
      <c r="N175" s="198"/>
      <c r="O175" s="198"/>
      <c r="P175" s="198"/>
      <c r="Q175" s="198"/>
      <c r="R175" s="198"/>
      <c r="S175" s="198"/>
      <c r="T175" s="195"/>
      <c r="U175" s="195"/>
      <c r="V175" s="195"/>
      <c r="W175" s="195"/>
      <c r="X175" s="195"/>
      <c r="Y175" s="195"/>
      <c r="Z175" s="195"/>
    </row>
    <row r="176" ht="15.75" customHeight="1" spans="1:2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8"/>
      <c r="L176" s="198"/>
      <c r="M176" s="198"/>
      <c r="N176" s="198"/>
      <c r="O176" s="198"/>
      <c r="P176" s="198"/>
      <c r="Q176" s="198"/>
      <c r="R176" s="198"/>
      <c r="S176" s="198"/>
      <c r="T176" s="195"/>
      <c r="U176" s="195"/>
      <c r="V176" s="195"/>
      <c r="W176" s="195"/>
      <c r="X176" s="195"/>
      <c r="Y176" s="195"/>
      <c r="Z176" s="195"/>
    </row>
    <row r="177" ht="15.75" customHeight="1" spans="1:26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8"/>
      <c r="L177" s="198"/>
      <c r="M177" s="198"/>
      <c r="N177" s="198"/>
      <c r="O177" s="198"/>
      <c r="P177" s="198"/>
      <c r="Q177" s="198"/>
      <c r="R177" s="198"/>
      <c r="S177" s="198"/>
      <c r="T177" s="195"/>
      <c r="U177" s="195"/>
      <c r="V177" s="195"/>
      <c r="W177" s="195"/>
      <c r="X177" s="195"/>
      <c r="Y177" s="195"/>
      <c r="Z177" s="195"/>
    </row>
    <row r="178" ht="15.75" customHeight="1" spans="1:26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8"/>
      <c r="L178" s="198"/>
      <c r="M178" s="198"/>
      <c r="N178" s="198"/>
      <c r="O178" s="198"/>
      <c r="P178" s="198"/>
      <c r="Q178" s="198"/>
      <c r="R178" s="198"/>
      <c r="S178" s="198"/>
      <c r="T178" s="195"/>
      <c r="U178" s="195"/>
      <c r="V178" s="195"/>
      <c r="W178" s="195"/>
      <c r="X178" s="195"/>
      <c r="Y178" s="195"/>
      <c r="Z178" s="195"/>
    </row>
    <row r="179" ht="15.75" customHeight="1" spans="1:26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8"/>
      <c r="L179" s="198"/>
      <c r="M179" s="198"/>
      <c r="N179" s="198"/>
      <c r="O179" s="198"/>
      <c r="P179" s="198"/>
      <c r="Q179" s="198"/>
      <c r="R179" s="198"/>
      <c r="S179" s="198"/>
      <c r="T179" s="195"/>
      <c r="U179" s="195"/>
      <c r="V179" s="195"/>
      <c r="W179" s="195"/>
      <c r="X179" s="195"/>
      <c r="Y179" s="195"/>
      <c r="Z179" s="195"/>
    </row>
    <row r="180" ht="15.75" customHeight="1" spans="1:26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8"/>
      <c r="L180" s="198"/>
      <c r="M180" s="198"/>
      <c r="N180" s="198"/>
      <c r="O180" s="198"/>
      <c r="P180" s="198"/>
      <c r="Q180" s="198"/>
      <c r="R180" s="198"/>
      <c r="S180" s="198"/>
      <c r="T180" s="195"/>
      <c r="U180" s="195"/>
      <c r="V180" s="195"/>
      <c r="W180" s="195"/>
      <c r="X180" s="195"/>
      <c r="Y180" s="195"/>
      <c r="Z180" s="195"/>
    </row>
    <row r="181" ht="15.75" customHeight="1" spans="1:26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8"/>
      <c r="L181" s="198"/>
      <c r="M181" s="198"/>
      <c r="N181" s="198"/>
      <c r="O181" s="198"/>
      <c r="P181" s="198"/>
      <c r="Q181" s="198"/>
      <c r="R181" s="198"/>
      <c r="S181" s="198"/>
      <c r="T181" s="195"/>
      <c r="U181" s="195"/>
      <c r="V181" s="195"/>
      <c r="W181" s="195"/>
      <c r="X181" s="195"/>
      <c r="Y181" s="195"/>
      <c r="Z181" s="195"/>
    </row>
    <row r="182" ht="15.75" customHeight="1" spans="1:26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8"/>
      <c r="L182" s="198"/>
      <c r="M182" s="198"/>
      <c r="N182" s="198"/>
      <c r="O182" s="198"/>
      <c r="P182" s="198"/>
      <c r="Q182" s="198"/>
      <c r="R182" s="198"/>
      <c r="S182" s="198"/>
      <c r="T182" s="195"/>
      <c r="U182" s="195"/>
      <c r="V182" s="195"/>
      <c r="W182" s="195"/>
      <c r="X182" s="195"/>
      <c r="Y182" s="195"/>
      <c r="Z182" s="195"/>
    </row>
    <row r="183" ht="15.75" customHeight="1" spans="1:26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8"/>
      <c r="L183" s="198"/>
      <c r="M183" s="198"/>
      <c r="N183" s="198"/>
      <c r="O183" s="198"/>
      <c r="P183" s="198"/>
      <c r="Q183" s="198"/>
      <c r="R183" s="198"/>
      <c r="S183" s="198"/>
      <c r="T183" s="195"/>
      <c r="U183" s="195"/>
      <c r="V183" s="195"/>
      <c r="W183" s="195"/>
      <c r="X183" s="195"/>
      <c r="Y183" s="195"/>
      <c r="Z183" s="195"/>
    </row>
    <row r="184" ht="15.75" customHeight="1" spans="1:26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8"/>
      <c r="L184" s="198"/>
      <c r="M184" s="198"/>
      <c r="N184" s="198"/>
      <c r="O184" s="198"/>
      <c r="P184" s="198"/>
      <c r="Q184" s="198"/>
      <c r="R184" s="198"/>
      <c r="S184" s="198"/>
      <c r="T184" s="195"/>
      <c r="U184" s="195"/>
      <c r="V184" s="195"/>
      <c r="W184" s="195"/>
      <c r="X184" s="195"/>
      <c r="Y184" s="195"/>
      <c r="Z184" s="195"/>
    </row>
    <row r="185" ht="15.75" customHeight="1" spans="1:26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8"/>
      <c r="L185" s="198"/>
      <c r="M185" s="198"/>
      <c r="N185" s="198"/>
      <c r="O185" s="198"/>
      <c r="P185" s="198"/>
      <c r="Q185" s="198"/>
      <c r="R185" s="198"/>
      <c r="S185" s="198"/>
      <c r="T185" s="195"/>
      <c r="U185" s="195"/>
      <c r="V185" s="195"/>
      <c r="W185" s="195"/>
      <c r="X185" s="195"/>
      <c r="Y185" s="195"/>
      <c r="Z185" s="195"/>
    </row>
    <row r="186" ht="15.75" customHeight="1" spans="1:2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8"/>
      <c r="L186" s="198"/>
      <c r="M186" s="198"/>
      <c r="N186" s="198"/>
      <c r="O186" s="198"/>
      <c r="P186" s="198"/>
      <c r="Q186" s="198"/>
      <c r="R186" s="198"/>
      <c r="S186" s="198"/>
      <c r="T186" s="195"/>
      <c r="U186" s="195"/>
      <c r="V186" s="195"/>
      <c r="W186" s="195"/>
      <c r="X186" s="195"/>
      <c r="Y186" s="195"/>
      <c r="Z186" s="195"/>
    </row>
    <row r="187" ht="15.75" customHeight="1" spans="1:26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8"/>
      <c r="L187" s="198"/>
      <c r="M187" s="198"/>
      <c r="N187" s="198"/>
      <c r="O187" s="198"/>
      <c r="P187" s="198"/>
      <c r="Q187" s="198"/>
      <c r="R187" s="198"/>
      <c r="S187" s="198"/>
      <c r="T187" s="195"/>
      <c r="U187" s="195"/>
      <c r="V187" s="195"/>
      <c r="W187" s="195"/>
      <c r="X187" s="195"/>
      <c r="Y187" s="195"/>
      <c r="Z187" s="195"/>
    </row>
    <row r="188" ht="15.75" customHeight="1" spans="1:26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8"/>
      <c r="L188" s="198"/>
      <c r="M188" s="198"/>
      <c r="N188" s="198"/>
      <c r="O188" s="198"/>
      <c r="P188" s="198"/>
      <c r="Q188" s="198"/>
      <c r="R188" s="198"/>
      <c r="S188" s="198"/>
      <c r="T188" s="195"/>
      <c r="U188" s="195"/>
      <c r="V188" s="195"/>
      <c r="W188" s="195"/>
      <c r="X188" s="195"/>
      <c r="Y188" s="195"/>
      <c r="Z188" s="195"/>
    </row>
    <row r="189" ht="15.75" customHeight="1" spans="1:26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8"/>
      <c r="L189" s="198"/>
      <c r="M189" s="198"/>
      <c r="N189" s="198"/>
      <c r="O189" s="198"/>
      <c r="P189" s="198"/>
      <c r="Q189" s="198"/>
      <c r="R189" s="198"/>
      <c r="S189" s="198"/>
      <c r="T189" s="195"/>
      <c r="U189" s="195"/>
      <c r="V189" s="195"/>
      <c r="W189" s="195"/>
      <c r="X189" s="195"/>
      <c r="Y189" s="195"/>
      <c r="Z189" s="195"/>
    </row>
    <row r="190" ht="15.75" customHeight="1" spans="1:26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8"/>
      <c r="L190" s="198"/>
      <c r="M190" s="198"/>
      <c r="N190" s="198"/>
      <c r="O190" s="198"/>
      <c r="P190" s="198"/>
      <c r="Q190" s="198"/>
      <c r="R190" s="198"/>
      <c r="S190" s="198"/>
      <c r="T190" s="195"/>
      <c r="U190" s="195"/>
      <c r="V190" s="195"/>
      <c r="W190" s="195"/>
      <c r="X190" s="195"/>
      <c r="Y190" s="195"/>
      <c r="Z190" s="195"/>
    </row>
    <row r="191" ht="15.75" customHeight="1" spans="1:26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8"/>
      <c r="L191" s="198"/>
      <c r="M191" s="198"/>
      <c r="N191" s="198"/>
      <c r="O191" s="198"/>
      <c r="P191" s="198"/>
      <c r="Q191" s="198"/>
      <c r="R191" s="198"/>
      <c r="S191" s="198"/>
      <c r="T191" s="195"/>
      <c r="U191" s="195"/>
      <c r="V191" s="195"/>
      <c r="W191" s="195"/>
      <c r="X191" s="195"/>
      <c r="Y191" s="195"/>
      <c r="Z191" s="195"/>
    </row>
    <row r="192" ht="15.75" customHeight="1" spans="1:26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8"/>
      <c r="L192" s="198"/>
      <c r="M192" s="198"/>
      <c r="N192" s="198"/>
      <c r="O192" s="198"/>
      <c r="P192" s="198"/>
      <c r="Q192" s="198"/>
      <c r="R192" s="198"/>
      <c r="S192" s="198"/>
      <c r="T192" s="195"/>
      <c r="U192" s="195"/>
      <c r="V192" s="195"/>
      <c r="W192" s="195"/>
      <c r="X192" s="195"/>
      <c r="Y192" s="195"/>
      <c r="Z192" s="195"/>
    </row>
    <row r="193" ht="15.75" customHeight="1" spans="1:26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8"/>
      <c r="L193" s="198"/>
      <c r="M193" s="198"/>
      <c r="N193" s="198"/>
      <c r="O193" s="198"/>
      <c r="P193" s="198"/>
      <c r="Q193" s="198"/>
      <c r="R193" s="198"/>
      <c r="S193" s="198"/>
      <c r="T193" s="195"/>
      <c r="U193" s="195"/>
      <c r="V193" s="195"/>
      <c r="W193" s="195"/>
      <c r="X193" s="195"/>
      <c r="Y193" s="195"/>
      <c r="Z193" s="195"/>
    </row>
    <row r="194" ht="15.75" customHeight="1" spans="1:26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8"/>
      <c r="L194" s="198"/>
      <c r="M194" s="198"/>
      <c r="N194" s="198"/>
      <c r="O194" s="198"/>
      <c r="P194" s="198"/>
      <c r="Q194" s="198"/>
      <c r="R194" s="198"/>
      <c r="S194" s="198"/>
      <c r="T194" s="195"/>
      <c r="U194" s="195"/>
      <c r="V194" s="195"/>
      <c r="W194" s="195"/>
      <c r="X194" s="195"/>
      <c r="Y194" s="195"/>
      <c r="Z194" s="195"/>
    </row>
    <row r="195" ht="15.75" customHeight="1" spans="1:26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8"/>
      <c r="L195" s="198"/>
      <c r="M195" s="198"/>
      <c r="N195" s="198"/>
      <c r="O195" s="198"/>
      <c r="P195" s="198"/>
      <c r="Q195" s="198"/>
      <c r="R195" s="198"/>
      <c r="S195" s="198"/>
      <c r="T195" s="195"/>
      <c r="U195" s="195"/>
      <c r="V195" s="195"/>
      <c r="W195" s="195"/>
      <c r="X195" s="195"/>
      <c r="Y195" s="195"/>
      <c r="Z195" s="195"/>
    </row>
    <row r="196" ht="15.75" customHeight="1" spans="1:2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8"/>
      <c r="L196" s="198"/>
      <c r="M196" s="198"/>
      <c r="N196" s="198"/>
      <c r="O196" s="198"/>
      <c r="P196" s="198"/>
      <c r="Q196" s="198"/>
      <c r="R196" s="198"/>
      <c r="S196" s="198"/>
      <c r="T196" s="195"/>
      <c r="U196" s="195"/>
      <c r="V196" s="195"/>
      <c r="W196" s="195"/>
      <c r="X196" s="195"/>
      <c r="Y196" s="195"/>
      <c r="Z196" s="195"/>
    </row>
    <row r="197" ht="15.75" customHeight="1" spans="1:26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8"/>
      <c r="L197" s="198"/>
      <c r="M197" s="198"/>
      <c r="N197" s="198"/>
      <c r="O197" s="198"/>
      <c r="P197" s="198"/>
      <c r="Q197" s="198"/>
      <c r="R197" s="198"/>
      <c r="S197" s="198"/>
      <c r="T197" s="195"/>
      <c r="U197" s="195"/>
      <c r="V197" s="195"/>
      <c r="W197" s="195"/>
      <c r="X197" s="195"/>
      <c r="Y197" s="195"/>
      <c r="Z197" s="195"/>
    </row>
    <row r="198" ht="15.75" customHeight="1" spans="1:26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8"/>
      <c r="L198" s="198"/>
      <c r="M198" s="198"/>
      <c r="N198" s="198"/>
      <c r="O198" s="198"/>
      <c r="P198" s="198"/>
      <c r="Q198" s="198"/>
      <c r="R198" s="198"/>
      <c r="S198" s="198"/>
      <c r="T198" s="195"/>
      <c r="U198" s="195"/>
      <c r="V198" s="195"/>
      <c r="W198" s="195"/>
      <c r="X198" s="195"/>
      <c r="Y198" s="195"/>
      <c r="Z198" s="195"/>
    </row>
    <row r="199" ht="15.75" customHeight="1" spans="1:26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8"/>
      <c r="L199" s="198"/>
      <c r="M199" s="198"/>
      <c r="N199" s="198"/>
      <c r="O199" s="198"/>
      <c r="P199" s="198"/>
      <c r="Q199" s="198"/>
      <c r="R199" s="198"/>
      <c r="S199" s="198"/>
      <c r="T199" s="195"/>
      <c r="U199" s="195"/>
      <c r="V199" s="195"/>
      <c r="W199" s="195"/>
      <c r="X199" s="195"/>
      <c r="Y199" s="195"/>
      <c r="Z199" s="195"/>
    </row>
    <row r="200" ht="15.75" customHeight="1" spans="1:26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8"/>
      <c r="L200" s="198"/>
      <c r="M200" s="198"/>
      <c r="N200" s="198"/>
      <c r="O200" s="198"/>
      <c r="P200" s="198"/>
      <c r="Q200" s="198"/>
      <c r="R200" s="198"/>
      <c r="S200" s="198"/>
      <c r="T200" s="195"/>
      <c r="U200" s="195"/>
      <c r="V200" s="195"/>
      <c r="W200" s="195"/>
      <c r="X200" s="195"/>
      <c r="Y200" s="195"/>
      <c r="Z200" s="195"/>
    </row>
    <row r="201" ht="15.75" customHeight="1" spans="1:26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8"/>
      <c r="L201" s="198"/>
      <c r="M201" s="198"/>
      <c r="N201" s="198"/>
      <c r="O201" s="198"/>
      <c r="P201" s="198"/>
      <c r="Q201" s="198"/>
      <c r="R201" s="198"/>
      <c r="S201" s="198"/>
      <c r="T201" s="195"/>
      <c r="U201" s="195"/>
      <c r="V201" s="195"/>
      <c r="W201" s="195"/>
      <c r="X201" s="195"/>
      <c r="Y201" s="195"/>
      <c r="Z201" s="195"/>
    </row>
    <row r="202" ht="15.75" customHeight="1" spans="1:26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8"/>
      <c r="L202" s="198"/>
      <c r="M202" s="198"/>
      <c r="N202" s="198"/>
      <c r="O202" s="198"/>
      <c r="P202" s="198"/>
      <c r="Q202" s="198"/>
      <c r="R202" s="198"/>
      <c r="S202" s="198"/>
      <c r="T202" s="195"/>
      <c r="U202" s="195"/>
      <c r="V202" s="195"/>
      <c r="W202" s="195"/>
      <c r="X202" s="195"/>
      <c r="Y202" s="195"/>
      <c r="Z202" s="195"/>
    </row>
    <row r="203" ht="15.75" customHeight="1" spans="1:26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8"/>
      <c r="L203" s="198"/>
      <c r="M203" s="198"/>
      <c r="N203" s="198"/>
      <c r="O203" s="198"/>
      <c r="P203" s="198"/>
      <c r="Q203" s="198"/>
      <c r="R203" s="198"/>
      <c r="S203" s="198"/>
      <c r="T203" s="195"/>
      <c r="U203" s="195"/>
      <c r="V203" s="195"/>
      <c r="W203" s="195"/>
      <c r="X203" s="195"/>
      <c r="Y203" s="195"/>
      <c r="Z203" s="195"/>
    </row>
    <row r="204" ht="15.75" customHeight="1" spans="1:26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8"/>
      <c r="L204" s="198"/>
      <c r="M204" s="198"/>
      <c r="N204" s="198"/>
      <c r="O204" s="198"/>
      <c r="P204" s="198"/>
      <c r="Q204" s="198"/>
      <c r="R204" s="198"/>
      <c r="S204" s="198"/>
      <c r="T204" s="195"/>
      <c r="U204" s="195"/>
      <c r="V204" s="195"/>
      <c r="W204" s="195"/>
      <c r="X204" s="195"/>
      <c r="Y204" s="195"/>
      <c r="Z204" s="195"/>
    </row>
    <row r="205" ht="15.75" customHeight="1" spans="1:26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8"/>
      <c r="L205" s="198"/>
      <c r="M205" s="198"/>
      <c r="N205" s="198"/>
      <c r="O205" s="198"/>
      <c r="P205" s="198"/>
      <c r="Q205" s="198"/>
      <c r="R205" s="198"/>
      <c r="S205" s="198"/>
      <c r="T205" s="195"/>
      <c r="U205" s="195"/>
      <c r="V205" s="195"/>
      <c r="W205" s="195"/>
      <c r="X205" s="195"/>
      <c r="Y205" s="195"/>
      <c r="Z205" s="195"/>
    </row>
    <row r="206" ht="15.75" customHeight="1" spans="1:2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8"/>
      <c r="L206" s="198"/>
      <c r="M206" s="198"/>
      <c r="N206" s="198"/>
      <c r="O206" s="198"/>
      <c r="P206" s="198"/>
      <c r="Q206" s="198"/>
      <c r="R206" s="198"/>
      <c r="S206" s="198"/>
      <c r="T206" s="195"/>
      <c r="U206" s="195"/>
      <c r="V206" s="195"/>
      <c r="W206" s="195"/>
      <c r="X206" s="195"/>
      <c r="Y206" s="195"/>
      <c r="Z206" s="195"/>
    </row>
    <row r="207" ht="15.75" customHeight="1" spans="1:26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8"/>
      <c r="L207" s="198"/>
      <c r="M207" s="198"/>
      <c r="N207" s="198"/>
      <c r="O207" s="198"/>
      <c r="P207" s="198"/>
      <c r="Q207" s="198"/>
      <c r="R207" s="198"/>
      <c r="S207" s="198"/>
      <c r="T207" s="195"/>
      <c r="U207" s="195"/>
      <c r="V207" s="195"/>
      <c r="W207" s="195"/>
      <c r="X207" s="195"/>
      <c r="Y207" s="195"/>
      <c r="Z207" s="195"/>
    </row>
    <row r="208" ht="15.75" customHeight="1" spans="1:26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8"/>
      <c r="L208" s="198"/>
      <c r="M208" s="198"/>
      <c r="N208" s="198"/>
      <c r="O208" s="198"/>
      <c r="P208" s="198"/>
      <c r="Q208" s="198"/>
      <c r="R208" s="198"/>
      <c r="S208" s="198"/>
      <c r="T208" s="195"/>
      <c r="U208" s="195"/>
      <c r="V208" s="195"/>
      <c r="W208" s="195"/>
      <c r="X208" s="195"/>
      <c r="Y208" s="195"/>
      <c r="Z208" s="195"/>
    </row>
    <row r="209" ht="15.75" customHeight="1" spans="1:26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8"/>
      <c r="L209" s="198"/>
      <c r="M209" s="198"/>
      <c r="N209" s="198"/>
      <c r="O209" s="198"/>
      <c r="P209" s="198"/>
      <c r="Q209" s="198"/>
      <c r="R209" s="198"/>
      <c r="S209" s="198"/>
      <c r="T209" s="195"/>
      <c r="U209" s="195"/>
      <c r="V209" s="195"/>
      <c r="W209" s="195"/>
      <c r="X209" s="195"/>
      <c r="Y209" s="195"/>
      <c r="Z209" s="195"/>
    </row>
    <row r="210" ht="15.75" customHeight="1" spans="1:26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8"/>
      <c r="L210" s="198"/>
      <c r="M210" s="198"/>
      <c r="N210" s="198"/>
      <c r="O210" s="198"/>
      <c r="P210" s="198"/>
      <c r="Q210" s="198"/>
      <c r="R210" s="198"/>
      <c r="S210" s="198"/>
      <c r="T210" s="195"/>
      <c r="U210" s="195"/>
      <c r="V210" s="195"/>
      <c r="W210" s="195"/>
      <c r="X210" s="195"/>
      <c r="Y210" s="195"/>
      <c r="Z210" s="195"/>
    </row>
    <row r="211" ht="15.75" customHeight="1" spans="1:26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8"/>
      <c r="L211" s="198"/>
      <c r="M211" s="198"/>
      <c r="N211" s="198"/>
      <c r="O211" s="198"/>
      <c r="P211" s="198"/>
      <c r="Q211" s="198"/>
      <c r="R211" s="198"/>
      <c r="S211" s="198"/>
      <c r="T211" s="195"/>
      <c r="U211" s="195"/>
      <c r="V211" s="195"/>
      <c r="W211" s="195"/>
      <c r="X211" s="195"/>
      <c r="Y211" s="195"/>
      <c r="Z211" s="195"/>
    </row>
    <row r="212" ht="15.75" customHeight="1" spans="1:26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8"/>
      <c r="L212" s="198"/>
      <c r="M212" s="198"/>
      <c r="N212" s="198"/>
      <c r="O212" s="198"/>
      <c r="P212" s="198"/>
      <c r="Q212" s="198"/>
      <c r="R212" s="198"/>
      <c r="S212" s="198"/>
      <c r="T212" s="195"/>
      <c r="U212" s="195"/>
      <c r="V212" s="195"/>
      <c r="W212" s="195"/>
      <c r="X212" s="195"/>
      <c r="Y212" s="195"/>
      <c r="Z212" s="195"/>
    </row>
    <row r="213" ht="15.75" customHeight="1" spans="1:26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8"/>
      <c r="L213" s="198"/>
      <c r="M213" s="198"/>
      <c r="N213" s="198"/>
      <c r="O213" s="198"/>
      <c r="P213" s="198"/>
      <c r="Q213" s="198"/>
      <c r="R213" s="198"/>
      <c r="S213" s="198"/>
      <c r="T213" s="195"/>
      <c r="U213" s="195"/>
      <c r="V213" s="195"/>
      <c r="W213" s="195"/>
      <c r="X213" s="195"/>
      <c r="Y213" s="195"/>
      <c r="Z213" s="195"/>
    </row>
    <row r="214" ht="15.75" customHeight="1" spans="1:26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8"/>
      <c r="L214" s="198"/>
      <c r="M214" s="198"/>
      <c r="N214" s="198"/>
      <c r="O214" s="198"/>
      <c r="P214" s="198"/>
      <c r="Q214" s="198"/>
      <c r="R214" s="198"/>
      <c r="S214" s="198"/>
      <c r="T214" s="195"/>
      <c r="U214" s="195"/>
      <c r="V214" s="195"/>
      <c r="W214" s="195"/>
      <c r="X214" s="195"/>
      <c r="Y214" s="195"/>
      <c r="Z214" s="195"/>
    </row>
    <row r="215" ht="15.75" customHeight="1" spans="1:26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8"/>
      <c r="L215" s="198"/>
      <c r="M215" s="198"/>
      <c r="N215" s="198"/>
      <c r="O215" s="198"/>
      <c r="P215" s="198"/>
      <c r="Q215" s="198"/>
      <c r="R215" s="198"/>
      <c r="S215" s="198"/>
      <c r="T215" s="195"/>
      <c r="U215" s="195"/>
      <c r="V215" s="195"/>
      <c r="W215" s="195"/>
      <c r="X215" s="195"/>
      <c r="Y215" s="195"/>
      <c r="Z215" s="195"/>
    </row>
    <row r="216" ht="15.75" customHeight="1" spans="1:2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8"/>
      <c r="L216" s="198"/>
      <c r="M216" s="198"/>
      <c r="N216" s="198"/>
      <c r="O216" s="198"/>
      <c r="P216" s="198"/>
      <c r="Q216" s="198"/>
      <c r="R216" s="198"/>
      <c r="S216" s="198"/>
      <c r="T216" s="195"/>
      <c r="U216" s="195"/>
      <c r="V216" s="195"/>
      <c r="W216" s="195"/>
      <c r="X216" s="195"/>
      <c r="Y216" s="195"/>
      <c r="Z216" s="195"/>
    </row>
    <row r="217" ht="15.75" customHeight="1" spans="1:26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8"/>
      <c r="L217" s="198"/>
      <c r="M217" s="198"/>
      <c r="N217" s="198"/>
      <c r="O217" s="198"/>
      <c r="P217" s="198"/>
      <c r="Q217" s="198"/>
      <c r="R217" s="198"/>
      <c r="S217" s="198"/>
      <c r="T217" s="195"/>
      <c r="U217" s="195"/>
      <c r="V217" s="195"/>
      <c r="W217" s="195"/>
      <c r="X217" s="195"/>
      <c r="Y217" s="195"/>
      <c r="Z217" s="195"/>
    </row>
    <row r="218" ht="15.75" customHeight="1" spans="1:26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8"/>
      <c r="L218" s="198"/>
      <c r="M218" s="198"/>
      <c r="N218" s="198"/>
      <c r="O218" s="198"/>
      <c r="P218" s="198"/>
      <c r="Q218" s="198"/>
      <c r="R218" s="198"/>
      <c r="S218" s="198"/>
      <c r="T218" s="195"/>
      <c r="U218" s="195"/>
      <c r="V218" s="195"/>
      <c r="W218" s="195"/>
      <c r="X218" s="195"/>
      <c r="Y218" s="195"/>
      <c r="Z218" s="195"/>
    </row>
    <row r="219" ht="15.75" customHeight="1" spans="1:26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8"/>
      <c r="L219" s="198"/>
      <c r="M219" s="198"/>
      <c r="N219" s="198"/>
      <c r="O219" s="198"/>
      <c r="P219" s="198"/>
      <c r="Q219" s="198"/>
      <c r="R219" s="198"/>
      <c r="S219" s="198"/>
      <c r="T219" s="195"/>
      <c r="U219" s="195"/>
      <c r="V219" s="195"/>
      <c r="W219" s="195"/>
      <c r="X219" s="195"/>
      <c r="Y219" s="195"/>
      <c r="Z219" s="195"/>
    </row>
    <row r="220" ht="15.75" customHeight="1" spans="1:26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8"/>
      <c r="L220" s="198"/>
      <c r="M220" s="198"/>
      <c r="N220" s="198"/>
      <c r="O220" s="198"/>
      <c r="P220" s="198"/>
      <c r="Q220" s="198"/>
      <c r="R220" s="198"/>
      <c r="S220" s="198"/>
      <c r="T220" s="195"/>
      <c r="U220" s="195"/>
      <c r="V220" s="195"/>
      <c r="W220" s="195"/>
      <c r="X220" s="195"/>
      <c r="Y220" s="195"/>
      <c r="Z220" s="195"/>
    </row>
    <row r="221" ht="15.75" customHeight="1" spans="1:26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8"/>
      <c r="L221" s="198"/>
      <c r="M221" s="198"/>
      <c r="N221" s="198"/>
      <c r="O221" s="198"/>
      <c r="P221" s="198"/>
      <c r="Q221" s="198"/>
      <c r="R221" s="198"/>
      <c r="S221" s="198"/>
      <c r="T221" s="195"/>
      <c r="U221" s="195"/>
      <c r="V221" s="195"/>
      <c r="W221" s="195"/>
      <c r="X221" s="195"/>
      <c r="Y221" s="195"/>
      <c r="Z221" s="195"/>
    </row>
    <row r="222" ht="15.75" customHeight="1" spans="1:26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8"/>
      <c r="L222" s="198"/>
      <c r="M222" s="198"/>
      <c r="N222" s="198"/>
      <c r="O222" s="198"/>
      <c r="P222" s="198"/>
      <c r="Q222" s="198"/>
      <c r="R222" s="198"/>
      <c r="S222" s="198"/>
      <c r="T222" s="195"/>
      <c r="U222" s="195"/>
      <c r="V222" s="195"/>
      <c r="W222" s="195"/>
      <c r="X222" s="195"/>
      <c r="Y222" s="195"/>
      <c r="Z222" s="195"/>
    </row>
    <row r="223" ht="15.75" customHeight="1" spans="1:26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8"/>
      <c r="L223" s="198"/>
      <c r="M223" s="198"/>
      <c r="N223" s="198"/>
      <c r="O223" s="198"/>
      <c r="P223" s="198"/>
      <c r="Q223" s="198"/>
      <c r="R223" s="198"/>
      <c r="S223" s="198"/>
      <c r="T223" s="195"/>
      <c r="U223" s="195"/>
      <c r="V223" s="195"/>
      <c r="W223" s="195"/>
      <c r="X223" s="195"/>
      <c r="Y223" s="195"/>
      <c r="Z223" s="195"/>
    </row>
    <row r="224" ht="15.75" customHeight="1" spans="1:26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8"/>
      <c r="L224" s="198"/>
      <c r="M224" s="198"/>
      <c r="N224" s="198"/>
      <c r="O224" s="198"/>
      <c r="P224" s="198"/>
      <c r="Q224" s="198"/>
      <c r="R224" s="198"/>
      <c r="S224" s="198"/>
      <c r="T224" s="195"/>
      <c r="U224" s="195"/>
      <c r="V224" s="195"/>
      <c r="W224" s="195"/>
      <c r="X224" s="195"/>
      <c r="Y224" s="195"/>
      <c r="Z224" s="195"/>
    </row>
    <row r="225" ht="15.75" customHeight="1" spans="1:26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8"/>
      <c r="L225" s="198"/>
      <c r="M225" s="198"/>
      <c r="N225" s="198"/>
      <c r="O225" s="198"/>
      <c r="P225" s="198"/>
      <c r="Q225" s="198"/>
      <c r="R225" s="198"/>
      <c r="S225" s="198"/>
      <c r="T225" s="195"/>
      <c r="U225" s="195"/>
      <c r="V225" s="195"/>
      <c r="W225" s="195"/>
      <c r="X225" s="195"/>
      <c r="Y225" s="195"/>
      <c r="Z225" s="195"/>
    </row>
    <row r="226" ht="15.75" customHeight="1" spans="1: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8"/>
      <c r="L226" s="198"/>
      <c r="M226" s="198"/>
      <c r="N226" s="198"/>
      <c r="O226" s="198"/>
      <c r="P226" s="198"/>
      <c r="Q226" s="198"/>
      <c r="R226" s="198"/>
      <c r="S226" s="198"/>
      <c r="T226" s="195"/>
      <c r="U226" s="195"/>
      <c r="V226" s="195"/>
      <c r="W226" s="195"/>
      <c r="X226" s="195"/>
      <c r="Y226" s="195"/>
      <c r="Z226" s="195"/>
    </row>
    <row r="227" ht="15.75" customHeight="1" spans="1:26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8"/>
      <c r="L227" s="198"/>
      <c r="M227" s="198"/>
      <c r="N227" s="198"/>
      <c r="O227" s="198"/>
      <c r="P227" s="198"/>
      <c r="Q227" s="198"/>
      <c r="R227" s="198"/>
      <c r="S227" s="198"/>
      <c r="T227" s="195"/>
      <c r="U227" s="195"/>
      <c r="V227" s="195"/>
      <c r="W227" s="195"/>
      <c r="X227" s="195"/>
      <c r="Y227" s="195"/>
      <c r="Z227" s="195"/>
    </row>
    <row r="228" ht="15.75" customHeight="1" spans="1:26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8"/>
      <c r="L228" s="198"/>
      <c r="M228" s="198"/>
      <c r="N228" s="198"/>
      <c r="O228" s="198"/>
      <c r="P228" s="198"/>
      <c r="Q228" s="198"/>
      <c r="R228" s="198"/>
      <c r="S228" s="198"/>
      <c r="T228" s="195"/>
      <c r="U228" s="195"/>
      <c r="V228" s="195"/>
      <c r="W228" s="195"/>
      <c r="X228" s="195"/>
      <c r="Y228" s="195"/>
      <c r="Z228" s="195"/>
    </row>
    <row r="229" ht="15.75" customHeight="1" spans="1:26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8"/>
      <c r="L229" s="198"/>
      <c r="M229" s="198"/>
      <c r="N229" s="198"/>
      <c r="O229" s="198"/>
      <c r="P229" s="198"/>
      <c r="Q229" s="198"/>
      <c r="R229" s="198"/>
      <c r="S229" s="198"/>
      <c r="T229" s="195"/>
      <c r="U229" s="195"/>
      <c r="V229" s="195"/>
      <c r="W229" s="195"/>
      <c r="X229" s="195"/>
      <c r="Y229" s="195"/>
      <c r="Z229" s="195"/>
    </row>
    <row r="230" ht="15.75" customHeight="1" spans="1:26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8"/>
      <c r="L230" s="198"/>
      <c r="M230" s="198"/>
      <c r="N230" s="198"/>
      <c r="O230" s="198"/>
      <c r="P230" s="198"/>
      <c r="Q230" s="198"/>
      <c r="R230" s="198"/>
      <c r="S230" s="198"/>
      <c r="T230" s="195"/>
      <c r="U230" s="195"/>
      <c r="V230" s="195"/>
      <c r="W230" s="195"/>
      <c r="X230" s="195"/>
      <c r="Y230" s="195"/>
      <c r="Z230" s="195"/>
    </row>
    <row r="231" ht="15.75" customHeight="1" spans="1:26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8"/>
      <c r="L231" s="198"/>
      <c r="M231" s="198"/>
      <c r="N231" s="198"/>
      <c r="O231" s="198"/>
      <c r="P231" s="198"/>
      <c r="Q231" s="198"/>
      <c r="R231" s="198"/>
      <c r="S231" s="198"/>
      <c r="T231" s="195"/>
      <c r="U231" s="195"/>
      <c r="V231" s="195"/>
      <c r="W231" s="195"/>
      <c r="X231" s="195"/>
      <c r="Y231" s="195"/>
      <c r="Z231" s="195"/>
    </row>
    <row r="232" ht="15.75" customHeight="1" spans="1:26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8"/>
      <c r="L232" s="198"/>
      <c r="M232" s="198"/>
      <c r="N232" s="198"/>
      <c r="O232" s="198"/>
      <c r="P232" s="198"/>
      <c r="Q232" s="198"/>
      <c r="R232" s="198"/>
      <c r="S232" s="198"/>
      <c r="T232" s="195"/>
      <c r="U232" s="195"/>
      <c r="V232" s="195"/>
      <c r="W232" s="195"/>
      <c r="X232" s="195"/>
      <c r="Y232" s="195"/>
      <c r="Z232" s="195"/>
    </row>
    <row r="233" ht="15.75" customHeight="1" spans="1:26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8"/>
      <c r="L233" s="198"/>
      <c r="M233" s="198"/>
      <c r="N233" s="198"/>
      <c r="O233" s="198"/>
      <c r="P233" s="198"/>
      <c r="Q233" s="198"/>
      <c r="R233" s="198"/>
      <c r="S233" s="198"/>
      <c r="T233" s="195"/>
      <c r="U233" s="195"/>
      <c r="V233" s="195"/>
      <c r="W233" s="195"/>
      <c r="X233" s="195"/>
      <c r="Y233" s="195"/>
      <c r="Z233" s="195"/>
    </row>
    <row r="234" ht="15.75" customHeight="1" spans="1:26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8"/>
      <c r="L234" s="198"/>
      <c r="M234" s="198"/>
      <c r="N234" s="198"/>
      <c r="O234" s="198"/>
      <c r="P234" s="198"/>
      <c r="Q234" s="198"/>
      <c r="R234" s="198"/>
      <c r="S234" s="198"/>
      <c r="T234" s="195"/>
      <c r="U234" s="195"/>
      <c r="V234" s="195"/>
      <c r="W234" s="195"/>
      <c r="X234" s="195"/>
      <c r="Y234" s="195"/>
      <c r="Z234" s="195"/>
    </row>
    <row r="235" ht="15.75" customHeight="1" spans="1:26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8"/>
      <c r="L235" s="198"/>
      <c r="M235" s="198"/>
      <c r="N235" s="198"/>
      <c r="O235" s="198"/>
      <c r="P235" s="198"/>
      <c r="Q235" s="198"/>
      <c r="R235" s="198"/>
      <c r="S235" s="198"/>
      <c r="T235" s="195"/>
      <c r="U235" s="195"/>
      <c r="V235" s="195"/>
      <c r="W235" s="195"/>
      <c r="X235" s="195"/>
      <c r="Y235" s="195"/>
      <c r="Z235" s="195"/>
    </row>
    <row r="236" ht="15.75" customHeight="1" spans="1:2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8"/>
      <c r="L236" s="198"/>
      <c r="M236" s="198"/>
      <c r="N236" s="198"/>
      <c r="O236" s="198"/>
      <c r="P236" s="198"/>
      <c r="Q236" s="198"/>
      <c r="R236" s="198"/>
      <c r="S236" s="198"/>
      <c r="T236" s="195"/>
      <c r="U236" s="195"/>
      <c r="V236" s="195"/>
      <c r="W236" s="195"/>
      <c r="X236" s="195"/>
      <c r="Y236" s="195"/>
      <c r="Z236" s="195"/>
    </row>
    <row r="237" ht="15.75" customHeight="1" spans="1:26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8"/>
      <c r="L237" s="198"/>
      <c r="M237" s="198"/>
      <c r="N237" s="198"/>
      <c r="O237" s="198"/>
      <c r="P237" s="198"/>
      <c r="Q237" s="198"/>
      <c r="R237" s="198"/>
      <c r="S237" s="198"/>
      <c r="T237" s="195"/>
      <c r="U237" s="195"/>
      <c r="V237" s="195"/>
      <c r="W237" s="195"/>
      <c r="X237" s="195"/>
      <c r="Y237" s="195"/>
      <c r="Z237" s="195"/>
    </row>
    <row r="238" ht="15.75" customHeight="1" spans="1:26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8"/>
      <c r="L238" s="198"/>
      <c r="M238" s="198"/>
      <c r="N238" s="198"/>
      <c r="O238" s="198"/>
      <c r="P238" s="198"/>
      <c r="Q238" s="198"/>
      <c r="R238" s="198"/>
      <c r="S238" s="198"/>
      <c r="T238" s="195"/>
      <c r="U238" s="195"/>
      <c r="V238" s="195"/>
      <c r="W238" s="195"/>
      <c r="X238" s="195"/>
      <c r="Y238" s="195"/>
      <c r="Z238" s="195"/>
    </row>
    <row r="239" ht="15.75" customHeight="1" spans="1:26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8"/>
      <c r="L239" s="198"/>
      <c r="M239" s="198"/>
      <c r="N239" s="198"/>
      <c r="O239" s="198"/>
      <c r="P239" s="198"/>
      <c r="Q239" s="198"/>
      <c r="R239" s="198"/>
      <c r="S239" s="198"/>
      <c r="T239" s="195"/>
      <c r="U239" s="195"/>
      <c r="V239" s="195"/>
      <c r="W239" s="195"/>
      <c r="X239" s="195"/>
      <c r="Y239" s="195"/>
      <c r="Z239" s="195"/>
    </row>
    <row r="240" ht="15.75" customHeight="1" spans="1:26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8"/>
      <c r="L240" s="198"/>
      <c r="M240" s="198"/>
      <c r="N240" s="198"/>
      <c r="O240" s="198"/>
      <c r="P240" s="198"/>
      <c r="Q240" s="198"/>
      <c r="R240" s="198"/>
      <c r="S240" s="198"/>
      <c r="T240" s="195"/>
      <c r="U240" s="195"/>
      <c r="V240" s="195"/>
      <c r="W240" s="195"/>
      <c r="X240" s="195"/>
      <c r="Y240" s="195"/>
      <c r="Z240" s="195"/>
    </row>
    <row r="241" ht="15.75" customHeight="1" spans="1:26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8"/>
      <c r="L241" s="198"/>
      <c r="M241" s="198"/>
      <c r="N241" s="198"/>
      <c r="O241" s="198"/>
      <c r="P241" s="198"/>
      <c r="Q241" s="198"/>
      <c r="R241" s="198"/>
      <c r="S241" s="198"/>
      <c r="T241" s="195"/>
      <c r="U241" s="195"/>
      <c r="V241" s="195"/>
      <c r="W241" s="195"/>
      <c r="X241" s="195"/>
      <c r="Y241" s="195"/>
      <c r="Z241" s="195"/>
    </row>
    <row r="242" ht="15.75" customHeight="1" spans="1:26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8"/>
      <c r="L242" s="198"/>
      <c r="M242" s="198"/>
      <c r="N242" s="198"/>
      <c r="O242" s="198"/>
      <c r="P242" s="198"/>
      <c r="Q242" s="198"/>
      <c r="R242" s="198"/>
      <c r="S242" s="198"/>
      <c r="T242" s="195"/>
      <c r="U242" s="195"/>
      <c r="V242" s="195"/>
      <c r="W242" s="195"/>
      <c r="X242" s="195"/>
      <c r="Y242" s="195"/>
      <c r="Z242" s="195"/>
    </row>
    <row r="243" ht="15.75" customHeight="1" spans="1:26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8"/>
      <c r="L243" s="198"/>
      <c r="M243" s="198"/>
      <c r="N243" s="198"/>
      <c r="O243" s="198"/>
      <c r="P243" s="198"/>
      <c r="Q243" s="198"/>
      <c r="R243" s="198"/>
      <c r="S243" s="198"/>
      <c r="T243" s="195"/>
      <c r="U243" s="195"/>
      <c r="V243" s="195"/>
      <c r="W243" s="195"/>
      <c r="X243" s="195"/>
      <c r="Y243" s="195"/>
      <c r="Z243" s="195"/>
    </row>
    <row r="244" ht="15.75" customHeight="1" spans="1:26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8"/>
      <c r="L244" s="198"/>
      <c r="M244" s="198"/>
      <c r="N244" s="198"/>
      <c r="O244" s="198"/>
      <c r="P244" s="198"/>
      <c r="Q244" s="198"/>
      <c r="R244" s="198"/>
      <c r="S244" s="198"/>
      <c r="T244" s="195"/>
      <c r="U244" s="195"/>
      <c r="V244" s="195"/>
      <c r="W244" s="195"/>
      <c r="X244" s="195"/>
      <c r="Y244" s="195"/>
      <c r="Z244" s="195"/>
    </row>
    <row r="245" ht="15.75" customHeight="1" spans="1:26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8"/>
      <c r="L245" s="198"/>
      <c r="M245" s="198"/>
      <c r="N245" s="198"/>
      <c r="O245" s="198"/>
      <c r="P245" s="198"/>
      <c r="Q245" s="198"/>
      <c r="R245" s="198"/>
      <c r="S245" s="198"/>
      <c r="T245" s="195"/>
      <c r="U245" s="195"/>
      <c r="V245" s="195"/>
      <c r="W245" s="195"/>
      <c r="X245" s="195"/>
      <c r="Y245" s="195"/>
      <c r="Z245" s="195"/>
    </row>
    <row r="246" ht="15.75" customHeight="1" spans="1:2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8"/>
      <c r="L246" s="198"/>
      <c r="M246" s="198"/>
      <c r="N246" s="198"/>
      <c r="O246" s="198"/>
      <c r="P246" s="198"/>
      <c r="Q246" s="198"/>
      <c r="R246" s="198"/>
      <c r="S246" s="198"/>
      <c r="T246" s="195"/>
      <c r="U246" s="195"/>
      <c r="V246" s="195"/>
      <c r="W246" s="195"/>
      <c r="X246" s="195"/>
      <c r="Y246" s="195"/>
      <c r="Z246" s="195"/>
    </row>
    <row r="247" ht="15.75" customHeight="1" spans="1:26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8"/>
      <c r="L247" s="198"/>
      <c r="M247" s="198"/>
      <c r="N247" s="198"/>
      <c r="O247" s="198"/>
      <c r="P247" s="198"/>
      <c r="Q247" s="198"/>
      <c r="R247" s="198"/>
      <c r="S247" s="198"/>
      <c r="T247" s="195"/>
      <c r="U247" s="195"/>
      <c r="V247" s="195"/>
      <c r="W247" s="195"/>
      <c r="X247" s="195"/>
      <c r="Y247" s="195"/>
      <c r="Z247" s="195"/>
    </row>
    <row r="248" ht="15.75" customHeight="1" spans="1:26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8"/>
      <c r="L248" s="198"/>
      <c r="M248" s="198"/>
      <c r="N248" s="198"/>
      <c r="O248" s="198"/>
      <c r="P248" s="198"/>
      <c r="Q248" s="198"/>
      <c r="R248" s="198"/>
      <c r="S248" s="198"/>
      <c r="T248" s="195"/>
      <c r="U248" s="195"/>
      <c r="V248" s="195"/>
      <c r="W248" s="195"/>
      <c r="X248" s="195"/>
      <c r="Y248" s="195"/>
      <c r="Z248" s="195"/>
    </row>
    <row r="249" ht="15.75" customHeight="1" spans="1:26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8"/>
      <c r="L249" s="198"/>
      <c r="M249" s="198"/>
      <c r="N249" s="198"/>
      <c r="O249" s="198"/>
      <c r="P249" s="198"/>
      <c r="Q249" s="198"/>
      <c r="R249" s="198"/>
      <c r="S249" s="198"/>
      <c r="T249" s="195"/>
      <c r="U249" s="195"/>
      <c r="V249" s="195"/>
      <c r="W249" s="195"/>
      <c r="X249" s="195"/>
      <c r="Y249" s="195"/>
      <c r="Z249" s="195"/>
    </row>
    <row r="250" ht="15.75" customHeight="1" spans="1:26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8"/>
      <c r="L250" s="198"/>
      <c r="M250" s="198"/>
      <c r="N250" s="198"/>
      <c r="O250" s="198"/>
      <c r="P250" s="198"/>
      <c r="Q250" s="198"/>
      <c r="R250" s="198"/>
      <c r="S250" s="198"/>
      <c r="T250" s="195"/>
      <c r="U250" s="195"/>
      <c r="V250" s="195"/>
      <c r="W250" s="195"/>
      <c r="X250" s="195"/>
      <c r="Y250" s="195"/>
      <c r="Z250" s="195"/>
    </row>
    <row r="251" ht="15.75" customHeight="1" spans="1:26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8"/>
      <c r="L251" s="198"/>
      <c r="M251" s="198"/>
      <c r="N251" s="198"/>
      <c r="O251" s="198"/>
      <c r="P251" s="198"/>
      <c r="Q251" s="198"/>
      <c r="R251" s="198"/>
      <c r="S251" s="198"/>
      <c r="T251" s="195"/>
      <c r="U251" s="195"/>
      <c r="V251" s="195"/>
      <c r="W251" s="195"/>
      <c r="X251" s="195"/>
      <c r="Y251" s="195"/>
      <c r="Z251" s="195"/>
    </row>
    <row r="252" ht="15.75" customHeight="1" spans="1:26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8"/>
      <c r="L252" s="198"/>
      <c r="M252" s="198"/>
      <c r="N252" s="198"/>
      <c r="O252" s="198"/>
      <c r="P252" s="198"/>
      <c r="Q252" s="198"/>
      <c r="R252" s="198"/>
      <c r="S252" s="198"/>
      <c r="T252" s="195"/>
      <c r="U252" s="195"/>
      <c r="V252" s="195"/>
      <c r="W252" s="195"/>
      <c r="X252" s="195"/>
      <c r="Y252" s="195"/>
      <c r="Z252" s="195"/>
    </row>
    <row r="253" ht="15.75" customHeight="1" spans="1:26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8"/>
      <c r="L253" s="198"/>
      <c r="M253" s="198"/>
      <c r="N253" s="198"/>
      <c r="O253" s="198"/>
      <c r="P253" s="198"/>
      <c r="Q253" s="198"/>
      <c r="R253" s="198"/>
      <c r="S253" s="198"/>
      <c r="T253" s="195"/>
      <c r="U253" s="195"/>
      <c r="V253" s="195"/>
      <c r="W253" s="195"/>
      <c r="X253" s="195"/>
      <c r="Y253" s="195"/>
      <c r="Z253" s="195"/>
    </row>
    <row r="254" ht="15.75" customHeight="1" spans="1:26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8"/>
      <c r="L254" s="198"/>
      <c r="M254" s="198"/>
      <c r="N254" s="198"/>
      <c r="O254" s="198"/>
      <c r="P254" s="198"/>
      <c r="Q254" s="198"/>
      <c r="R254" s="198"/>
      <c r="S254" s="198"/>
      <c r="T254" s="195"/>
      <c r="U254" s="195"/>
      <c r="V254" s="195"/>
      <c r="W254" s="195"/>
      <c r="X254" s="195"/>
      <c r="Y254" s="195"/>
      <c r="Z254" s="195"/>
    </row>
    <row r="255" ht="15.75" customHeight="1" spans="1:26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8"/>
      <c r="L255" s="198"/>
      <c r="M255" s="198"/>
      <c r="N255" s="198"/>
      <c r="O255" s="198"/>
      <c r="P255" s="198"/>
      <c r="Q255" s="198"/>
      <c r="R255" s="198"/>
      <c r="S255" s="198"/>
      <c r="T255" s="195"/>
      <c r="U255" s="195"/>
      <c r="V255" s="195"/>
      <c r="W255" s="195"/>
      <c r="X255" s="195"/>
      <c r="Y255" s="195"/>
      <c r="Z255" s="195"/>
    </row>
    <row r="256" ht="15.75" customHeight="1" spans="1:2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8"/>
      <c r="L256" s="198"/>
      <c r="M256" s="198"/>
      <c r="N256" s="198"/>
      <c r="O256" s="198"/>
      <c r="P256" s="198"/>
      <c r="Q256" s="198"/>
      <c r="R256" s="198"/>
      <c r="S256" s="198"/>
      <c r="T256" s="195"/>
      <c r="U256" s="195"/>
      <c r="V256" s="195"/>
      <c r="W256" s="195"/>
      <c r="X256" s="195"/>
      <c r="Y256" s="195"/>
      <c r="Z256" s="195"/>
    </row>
    <row r="257" ht="15.75" customHeight="1" spans="1:26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8"/>
      <c r="L257" s="198"/>
      <c r="M257" s="198"/>
      <c r="N257" s="198"/>
      <c r="O257" s="198"/>
      <c r="P257" s="198"/>
      <c r="Q257" s="198"/>
      <c r="R257" s="198"/>
      <c r="S257" s="198"/>
      <c r="T257" s="195"/>
      <c r="U257" s="195"/>
      <c r="V257" s="195"/>
      <c r="W257" s="195"/>
      <c r="X257" s="195"/>
      <c r="Y257" s="195"/>
      <c r="Z257" s="195"/>
    </row>
    <row r="258" ht="15.75" customHeight="1" spans="1:26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8"/>
      <c r="L258" s="198"/>
      <c r="M258" s="198"/>
      <c r="N258" s="198"/>
      <c r="O258" s="198"/>
      <c r="P258" s="198"/>
      <c r="Q258" s="198"/>
      <c r="R258" s="198"/>
      <c r="S258" s="198"/>
      <c r="T258" s="195"/>
      <c r="U258" s="195"/>
      <c r="V258" s="195"/>
      <c r="W258" s="195"/>
      <c r="X258" s="195"/>
      <c r="Y258" s="195"/>
      <c r="Z258" s="195"/>
    </row>
    <row r="259" ht="15.75" customHeight="1" spans="1:26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8"/>
      <c r="L259" s="198"/>
      <c r="M259" s="198"/>
      <c r="N259" s="198"/>
      <c r="O259" s="198"/>
      <c r="P259" s="198"/>
      <c r="Q259" s="198"/>
      <c r="R259" s="198"/>
      <c r="S259" s="198"/>
      <c r="T259" s="195"/>
      <c r="U259" s="195"/>
      <c r="V259" s="195"/>
      <c r="W259" s="195"/>
      <c r="X259" s="195"/>
      <c r="Y259" s="195"/>
      <c r="Z259" s="195"/>
    </row>
    <row r="260" ht="15.75" customHeight="1" spans="1:26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8"/>
      <c r="L260" s="198"/>
      <c r="M260" s="198"/>
      <c r="N260" s="198"/>
      <c r="O260" s="198"/>
      <c r="P260" s="198"/>
      <c r="Q260" s="198"/>
      <c r="R260" s="198"/>
      <c r="S260" s="198"/>
      <c r="T260" s="195"/>
      <c r="U260" s="195"/>
      <c r="V260" s="195"/>
      <c r="W260" s="195"/>
      <c r="X260" s="195"/>
      <c r="Y260" s="195"/>
      <c r="Z260" s="195"/>
    </row>
    <row r="261" ht="15.75" customHeight="1" spans="1:26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8"/>
      <c r="L261" s="198"/>
      <c r="M261" s="198"/>
      <c r="N261" s="198"/>
      <c r="O261" s="198"/>
      <c r="P261" s="198"/>
      <c r="Q261" s="198"/>
      <c r="R261" s="198"/>
      <c r="S261" s="198"/>
      <c r="T261" s="195"/>
      <c r="U261" s="195"/>
      <c r="V261" s="195"/>
      <c r="W261" s="195"/>
      <c r="X261" s="195"/>
      <c r="Y261" s="195"/>
      <c r="Z261" s="195"/>
    </row>
    <row r="262" ht="15.75" customHeight="1" spans="1:26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8"/>
      <c r="L262" s="198"/>
      <c r="M262" s="198"/>
      <c r="N262" s="198"/>
      <c r="O262" s="198"/>
      <c r="P262" s="198"/>
      <c r="Q262" s="198"/>
      <c r="R262" s="198"/>
      <c r="S262" s="198"/>
      <c r="T262" s="195"/>
      <c r="U262" s="195"/>
      <c r="V262" s="195"/>
      <c r="W262" s="195"/>
      <c r="X262" s="195"/>
      <c r="Y262" s="195"/>
      <c r="Z262" s="195"/>
    </row>
    <row r="263" ht="15.75" customHeight="1" spans="1:26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8"/>
      <c r="L263" s="198"/>
      <c r="M263" s="198"/>
      <c r="N263" s="198"/>
      <c r="O263" s="198"/>
      <c r="P263" s="198"/>
      <c r="Q263" s="198"/>
      <c r="R263" s="198"/>
      <c r="S263" s="198"/>
      <c r="T263" s="195"/>
      <c r="U263" s="195"/>
      <c r="V263" s="195"/>
      <c r="W263" s="195"/>
      <c r="X263" s="195"/>
      <c r="Y263" s="195"/>
      <c r="Z263" s="195"/>
    </row>
    <row r="264" ht="15.75" customHeight="1" spans="1:26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8"/>
      <c r="L264" s="198"/>
      <c r="M264" s="198"/>
      <c r="N264" s="198"/>
      <c r="O264" s="198"/>
      <c r="P264" s="198"/>
      <c r="Q264" s="198"/>
      <c r="R264" s="198"/>
      <c r="S264" s="198"/>
      <c r="T264" s="195"/>
      <c r="U264" s="195"/>
      <c r="V264" s="195"/>
      <c r="W264" s="195"/>
      <c r="X264" s="195"/>
      <c r="Y264" s="195"/>
      <c r="Z264" s="195"/>
    </row>
    <row r="265" ht="15.75" customHeight="1" spans="1:26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8"/>
      <c r="L265" s="198"/>
      <c r="M265" s="198"/>
      <c r="N265" s="198"/>
      <c r="O265" s="198"/>
      <c r="P265" s="198"/>
      <c r="Q265" s="198"/>
      <c r="R265" s="198"/>
      <c r="S265" s="198"/>
      <c r="T265" s="195"/>
      <c r="U265" s="195"/>
      <c r="V265" s="195"/>
      <c r="W265" s="195"/>
      <c r="X265" s="195"/>
      <c r="Y265" s="195"/>
      <c r="Z265" s="195"/>
    </row>
    <row r="266" ht="15.75" customHeight="1" spans="1:2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8"/>
      <c r="L266" s="198"/>
      <c r="M266" s="198"/>
      <c r="N266" s="198"/>
      <c r="O266" s="198"/>
      <c r="P266" s="198"/>
      <c r="Q266" s="198"/>
      <c r="R266" s="198"/>
      <c r="S266" s="198"/>
      <c r="T266" s="195"/>
      <c r="U266" s="195"/>
      <c r="V266" s="195"/>
      <c r="W266" s="195"/>
      <c r="X266" s="195"/>
      <c r="Y266" s="195"/>
      <c r="Z266" s="195"/>
    </row>
    <row r="267" ht="15.75" customHeight="1" spans="1:26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8"/>
      <c r="L267" s="198"/>
      <c r="M267" s="198"/>
      <c r="N267" s="198"/>
      <c r="O267" s="198"/>
      <c r="P267" s="198"/>
      <c r="Q267" s="198"/>
      <c r="R267" s="198"/>
      <c r="S267" s="198"/>
      <c r="T267" s="195"/>
      <c r="U267" s="195"/>
      <c r="V267" s="195"/>
      <c r="W267" s="195"/>
      <c r="X267" s="195"/>
      <c r="Y267" s="195"/>
      <c r="Z267" s="195"/>
    </row>
    <row r="268" ht="15.75" customHeight="1" spans="1:26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8"/>
      <c r="L268" s="198"/>
      <c r="M268" s="198"/>
      <c r="N268" s="198"/>
      <c r="O268" s="198"/>
      <c r="P268" s="198"/>
      <c r="Q268" s="198"/>
      <c r="R268" s="198"/>
      <c r="S268" s="198"/>
      <c r="T268" s="195"/>
      <c r="U268" s="195"/>
      <c r="V268" s="195"/>
      <c r="W268" s="195"/>
      <c r="X268" s="195"/>
      <c r="Y268" s="195"/>
      <c r="Z268" s="195"/>
    </row>
    <row r="269" ht="15.75" customHeight="1" spans="1:26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8"/>
      <c r="L269" s="198"/>
      <c r="M269" s="198"/>
      <c r="N269" s="198"/>
      <c r="O269" s="198"/>
      <c r="P269" s="198"/>
      <c r="Q269" s="198"/>
      <c r="R269" s="198"/>
      <c r="S269" s="198"/>
      <c r="T269" s="195"/>
      <c r="U269" s="195"/>
      <c r="V269" s="195"/>
      <c r="W269" s="195"/>
      <c r="X269" s="195"/>
      <c r="Y269" s="195"/>
      <c r="Z269" s="195"/>
    </row>
    <row r="270" ht="15.75" customHeight="1" spans="1:26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8"/>
      <c r="L270" s="198"/>
      <c r="M270" s="198"/>
      <c r="N270" s="198"/>
      <c r="O270" s="198"/>
      <c r="P270" s="198"/>
      <c r="Q270" s="198"/>
      <c r="R270" s="198"/>
      <c r="S270" s="198"/>
      <c r="T270" s="195"/>
      <c r="U270" s="195"/>
      <c r="V270" s="195"/>
      <c r="W270" s="195"/>
      <c r="X270" s="195"/>
      <c r="Y270" s="195"/>
      <c r="Z270" s="195"/>
    </row>
    <row r="271" ht="15.75" customHeight="1" spans="1:26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8"/>
      <c r="L271" s="198"/>
      <c r="M271" s="198"/>
      <c r="N271" s="198"/>
      <c r="O271" s="198"/>
      <c r="P271" s="198"/>
      <c r="Q271" s="198"/>
      <c r="R271" s="198"/>
      <c r="S271" s="198"/>
      <c r="T271" s="195"/>
      <c r="U271" s="195"/>
      <c r="V271" s="195"/>
      <c r="W271" s="195"/>
      <c r="X271" s="195"/>
      <c r="Y271" s="195"/>
      <c r="Z271" s="195"/>
    </row>
    <row r="272" ht="15.75" customHeight="1" spans="1:26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8"/>
      <c r="L272" s="198"/>
      <c r="M272" s="198"/>
      <c r="N272" s="198"/>
      <c r="O272" s="198"/>
      <c r="P272" s="198"/>
      <c r="Q272" s="198"/>
      <c r="R272" s="198"/>
      <c r="S272" s="198"/>
      <c r="T272" s="195"/>
      <c r="U272" s="195"/>
      <c r="V272" s="195"/>
      <c r="W272" s="195"/>
      <c r="X272" s="195"/>
      <c r="Y272" s="195"/>
      <c r="Z272" s="195"/>
    </row>
    <row r="273" ht="15.75" customHeight="1" spans="1:26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8"/>
      <c r="L273" s="198"/>
      <c r="M273" s="198"/>
      <c r="N273" s="198"/>
      <c r="O273" s="198"/>
      <c r="P273" s="198"/>
      <c r="Q273" s="198"/>
      <c r="R273" s="198"/>
      <c r="S273" s="198"/>
      <c r="T273" s="195"/>
      <c r="U273" s="195"/>
      <c r="V273" s="195"/>
      <c r="W273" s="195"/>
      <c r="X273" s="195"/>
      <c r="Y273" s="195"/>
      <c r="Z273" s="195"/>
    </row>
    <row r="274" ht="15.75" customHeight="1" spans="1:26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8"/>
      <c r="L274" s="198"/>
      <c r="M274" s="198"/>
      <c r="N274" s="198"/>
      <c r="O274" s="198"/>
      <c r="P274" s="198"/>
      <c r="Q274" s="198"/>
      <c r="R274" s="198"/>
      <c r="S274" s="198"/>
      <c r="T274" s="195"/>
      <c r="U274" s="195"/>
      <c r="V274" s="195"/>
      <c r="W274" s="195"/>
      <c r="X274" s="195"/>
      <c r="Y274" s="195"/>
      <c r="Z274" s="195"/>
    </row>
    <row r="275" ht="15.75" customHeight="1" spans="1:26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8"/>
      <c r="L275" s="198"/>
      <c r="M275" s="198"/>
      <c r="N275" s="198"/>
      <c r="O275" s="198"/>
      <c r="P275" s="198"/>
      <c r="Q275" s="198"/>
      <c r="R275" s="198"/>
      <c r="S275" s="198"/>
      <c r="T275" s="195"/>
      <c r="U275" s="195"/>
      <c r="V275" s="195"/>
      <c r="W275" s="195"/>
      <c r="X275" s="195"/>
      <c r="Y275" s="195"/>
      <c r="Z275" s="195"/>
    </row>
    <row r="276" ht="15.75" customHeight="1" spans="1:2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8"/>
      <c r="L276" s="198"/>
      <c r="M276" s="198"/>
      <c r="N276" s="198"/>
      <c r="O276" s="198"/>
      <c r="P276" s="198"/>
      <c r="Q276" s="198"/>
      <c r="R276" s="198"/>
      <c r="S276" s="198"/>
      <c r="T276" s="195"/>
      <c r="U276" s="195"/>
      <c r="V276" s="195"/>
      <c r="W276" s="195"/>
      <c r="X276" s="195"/>
      <c r="Y276" s="195"/>
      <c r="Z276" s="195"/>
    </row>
    <row r="277" ht="15.75" customHeight="1" spans="1:26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8"/>
      <c r="L277" s="198"/>
      <c r="M277" s="198"/>
      <c r="N277" s="198"/>
      <c r="O277" s="198"/>
      <c r="P277" s="198"/>
      <c r="Q277" s="198"/>
      <c r="R277" s="198"/>
      <c r="S277" s="198"/>
      <c r="T277" s="195"/>
      <c r="U277" s="195"/>
      <c r="V277" s="195"/>
      <c r="W277" s="195"/>
      <c r="X277" s="195"/>
      <c r="Y277" s="195"/>
      <c r="Z277" s="195"/>
    </row>
    <row r="278" ht="15.75" customHeight="1" spans="1:26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8"/>
      <c r="L278" s="198"/>
      <c r="M278" s="198"/>
      <c r="N278" s="198"/>
      <c r="O278" s="198"/>
      <c r="P278" s="198"/>
      <c r="Q278" s="198"/>
      <c r="R278" s="198"/>
      <c r="S278" s="198"/>
      <c r="T278" s="195"/>
      <c r="U278" s="195"/>
      <c r="V278" s="195"/>
      <c r="W278" s="195"/>
      <c r="X278" s="195"/>
      <c r="Y278" s="195"/>
      <c r="Z278" s="195"/>
    </row>
    <row r="279" ht="15.75" customHeight="1" spans="1:26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8"/>
      <c r="L279" s="198"/>
      <c r="M279" s="198"/>
      <c r="N279" s="198"/>
      <c r="O279" s="198"/>
      <c r="P279" s="198"/>
      <c r="Q279" s="198"/>
      <c r="R279" s="198"/>
      <c r="S279" s="198"/>
      <c r="T279" s="195"/>
      <c r="U279" s="195"/>
      <c r="V279" s="195"/>
      <c r="W279" s="195"/>
      <c r="X279" s="195"/>
      <c r="Y279" s="195"/>
      <c r="Z279" s="195"/>
    </row>
    <row r="280" ht="15.75" customHeight="1" spans="1:26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8"/>
      <c r="L280" s="198"/>
      <c r="M280" s="198"/>
      <c r="N280" s="198"/>
      <c r="O280" s="198"/>
      <c r="P280" s="198"/>
      <c r="Q280" s="198"/>
      <c r="R280" s="198"/>
      <c r="S280" s="198"/>
      <c r="T280" s="195"/>
      <c r="U280" s="195"/>
      <c r="V280" s="195"/>
      <c r="W280" s="195"/>
      <c r="X280" s="195"/>
      <c r="Y280" s="195"/>
      <c r="Z280" s="195"/>
    </row>
    <row r="281" ht="15.75" customHeight="1" spans="1:26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8"/>
      <c r="L281" s="198"/>
      <c r="M281" s="198"/>
      <c r="N281" s="198"/>
      <c r="O281" s="198"/>
      <c r="P281" s="198"/>
      <c r="Q281" s="198"/>
      <c r="R281" s="198"/>
      <c r="S281" s="198"/>
      <c r="T281" s="195"/>
      <c r="U281" s="195"/>
      <c r="V281" s="195"/>
      <c r="W281" s="195"/>
      <c r="X281" s="195"/>
      <c r="Y281" s="195"/>
      <c r="Z281" s="195"/>
    </row>
    <row r="282" ht="15.75" customHeight="1" spans="1:26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8"/>
      <c r="L282" s="198"/>
      <c r="M282" s="198"/>
      <c r="N282" s="198"/>
      <c r="O282" s="198"/>
      <c r="P282" s="198"/>
      <c r="Q282" s="198"/>
      <c r="R282" s="198"/>
      <c r="S282" s="198"/>
      <c r="T282" s="195"/>
      <c r="U282" s="195"/>
      <c r="V282" s="195"/>
      <c r="W282" s="195"/>
      <c r="X282" s="195"/>
      <c r="Y282" s="195"/>
      <c r="Z282" s="195"/>
    </row>
    <row r="283" ht="15.75" customHeight="1" spans="1:26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8"/>
      <c r="L283" s="198"/>
      <c r="M283" s="198"/>
      <c r="N283" s="198"/>
      <c r="O283" s="198"/>
      <c r="P283" s="198"/>
      <c r="Q283" s="198"/>
      <c r="R283" s="198"/>
      <c r="S283" s="198"/>
      <c r="T283" s="195"/>
      <c r="U283" s="195"/>
      <c r="V283" s="195"/>
      <c r="W283" s="195"/>
      <c r="X283" s="195"/>
      <c r="Y283" s="195"/>
      <c r="Z283" s="195"/>
    </row>
    <row r="284" ht="15.75" customHeight="1" spans="1:26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8"/>
      <c r="L284" s="198"/>
      <c r="M284" s="198"/>
      <c r="N284" s="198"/>
      <c r="O284" s="198"/>
      <c r="P284" s="198"/>
      <c r="Q284" s="198"/>
      <c r="R284" s="198"/>
      <c r="S284" s="198"/>
      <c r="T284" s="195"/>
      <c r="U284" s="195"/>
      <c r="V284" s="195"/>
      <c r="W284" s="195"/>
      <c r="X284" s="195"/>
      <c r="Y284" s="195"/>
      <c r="Z284" s="195"/>
    </row>
    <row r="285" ht="15.75" customHeight="1" spans="1:26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8"/>
      <c r="L285" s="198"/>
      <c r="M285" s="198"/>
      <c r="N285" s="198"/>
      <c r="O285" s="198"/>
      <c r="P285" s="198"/>
      <c r="Q285" s="198"/>
      <c r="R285" s="198"/>
      <c r="S285" s="198"/>
      <c r="T285" s="195"/>
      <c r="U285" s="195"/>
      <c r="V285" s="195"/>
      <c r="W285" s="195"/>
      <c r="X285" s="195"/>
      <c r="Y285" s="195"/>
      <c r="Z285" s="195"/>
    </row>
    <row r="286" ht="15.75" customHeight="1" spans="1:2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8"/>
      <c r="L286" s="198"/>
      <c r="M286" s="198"/>
      <c r="N286" s="198"/>
      <c r="O286" s="198"/>
      <c r="P286" s="198"/>
      <c r="Q286" s="198"/>
      <c r="R286" s="198"/>
      <c r="S286" s="198"/>
      <c r="T286" s="195"/>
      <c r="U286" s="195"/>
      <c r="V286" s="195"/>
      <c r="W286" s="195"/>
      <c r="X286" s="195"/>
      <c r="Y286" s="195"/>
      <c r="Z286" s="195"/>
    </row>
    <row r="287" ht="15.75" customHeight="1" spans="1:26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8"/>
      <c r="L287" s="198"/>
      <c r="M287" s="198"/>
      <c r="N287" s="198"/>
      <c r="O287" s="198"/>
      <c r="P287" s="198"/>
      <c r="Q287" s="198"/>
      <c r="R287" s="198"/>
      <c r="S287" s="198"/>
      <c r="T287" s="195"/>
      <c r="U287" s="195"/>
      <c r="V287" s="195"/>
      <c r="W287" s="195"/>
      <c r="X287" s="195"/>
      <c r="Y287" s="195"/>
      <c r="Z287" s="195"/>
    </row>
    <row r="288" ht="15.75" customHeight="1" spans="1:26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8"/>
      <c r="L288" s="198"/>
      <c r="M288" s="198"/>
      <c r="N288" s="198"/>
      <c r="O288" s="198"/>
      <c r="P288" s="198"/>
      <c r="Q288" s="198"/>
      <c r="R288" s="198"/>
      <c r="S288" s="198"/>
      <c r="T288" s="195"/>
      <c r="U288" s="195"/>
      <c r="V288" s="195"/>
      <c r="W288" s="195"/>
      <c r="X288" s="195"/>
      <c r="Y288" s="195"/>
      <c r="Z288" s="195"/>
    </row>
    <row r="289" ht="15.75" customHeight="1" spans="1:26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8"/>
      <c r="L289" s="198"/>
      <c r="M289" s="198"/>
      <c r="N289" s="198"/>
      <c r="O289" s="198"/>
      <c r="P289" s="198"/>
      <c r="Q289" s="198"/>
      <c r="R289" s="198"/>
      <c r="S289" s="198"/>
      <c r="T289" s="195"/>
      <c r="U289" s="195"/>
      <c r="V289" s="195"/>
      <c r="W289" s="195"/>
      <c r="X289" s="195"/>
      <c r="Y289" s="195"/>
      <c r="Z289" s="195"/>
    </row>
    <row r="290" ht="15.75" customHeight="1" spans="1:26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8"/>
      <c r="L290" s="198"/>
      <c r="M290" s="198"/>
      <c r="N290" s="198"/>
      <c r="O290" s="198"/>
      <c r="P290" s="198"/>
      <c r="Q290" s="198"/>
      <c r="R290" s="198"/>
      <c r="S290" s="198"/>
      <c r="T290" s="195"/>
      <c r="U290" s="195"/>
      <c r="V290" s="195"/>
      <c r="W290" s="195"/>
      <c r="X290" s="195"/>
      <c r="Y290" s="195"/>
      <c r="Z290" s="195"/>
    </row>
    <row r="291" ht="15.75" customHeight="1" spans="1:26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8"/>
      <c r="L291" s="198"/>
      <c r="M291" s="198"/>
      <c r="N291" s="198"/>
      <c r="O291" s="198"/>
      <c r="P291" s="198"/>
      <c r="Q291" s="198"/>
      <c r="R291" s="198"/>
      <c r="S291" s="198"/>
      <c r="T291" s="195"/>
      <c r="U291" s="195"/>
      <c r="V291" s="195"/>
      <c r="W291" s="195"/>
      <c r="X291" s="195"/>
      <c r="Y291" s="195"/>
      <c r="Z291" s="195"/>
    </row>
    <row r="292" ht="15.75" customHeight="1" spans="1:26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8"/>
      <c r="L292" s="198"/>
      <c r="M292" s="198"/>
      <c r="N292" s="198"/>
      <c r="O292" s="198"/>
      <c r="P292" s="198"/>
      <c r="Q292" s="198"/>
      <c r="R292" s="198"/>
      <c r="S292" s="198"/>
      <c r="T292" s="195"/>
      <c r="U292" s="195"/>
      <c r="V292" s="195"/>
      <c r="W292" s="195"/>
      <c r="X292" s="195"/>
      <c r="Y292" s="195"/>
      <c r="Z292" s="195"/>
    </row>
    <row r="293" ht="15.75" customHeight="1" spans="1:26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8"/>
      <c r="L293" s="198"/>
      <c r="M293" s="198"/>
      <c r="N293" s="198"/>
      <c r="O293" s="198"/>
      <c r="P293" s="198"/>
      <c r="Q293" s="198"/>
      <c r="R293" s="198"/>
      <c r="S293" s="198"/>
      <c r="T293" s="195"/>
      <c r="U293" s="195"/>
      <c r="V293" s="195"/>
      <c r="W293" s="195"/>
      <c r="X293" s="195"/>
      <c r="Y293" s="195"/>
      <c r="Z293" s="195"/>
    </row>
    <row r="294" ht="15.75" customHeight="1" spans="1:26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8"/>
      <c r="L294" s="198"/>
      <c r="M294" s="198"/>
      <c r="N294" s="198"/>
      <c r="O294" s="198"/>
      <c r="P294" s="198"/>
      <c r="Q294" s="198"/>
      <c r="R294" s="198"/>
      <c r="S294" s="198"/>
      <c r="T294" s="195"/>
      <c r="U294" s="195"/>
      <c r="V294" s="195"/>
      <c r="W294" s="195"/>
      <c r="X294" s="195"/>
      <c r="Y294" s="195"/>
      <c r="Z294" s="195"/>
    </row>
    <row r="295" ht="15.75" customHeight="1" spans="1:26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8"/>
      <c r="L295" s="198"/>
      <c r="M295" s="198"/>
      <c r="N295" s="198"/>
      <c r="O295" s="198"/>
      <c r="P295" s="198"/>
      <c r="Q295" s="198"/>
      <c r="R295" s="198"/>
      <c r="S295" s="198"/>
      <c r="T295" s="195"/>
      <c r="U295" s="195"/>
      <c r="V295" s="195"/>
      <c r="W295" s="195"/>
      <c r="X295" s="195"/>
      <c r="Y295" s="195"/>
      <c r="Z295" s="195"/>
    </row>
    <row r="296" ht="15.75" customHeight="1" spans="1:2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8"/>
      <c r="L296" s="198"/>
      <c r="M296" s="198"/>
      <c r="N296" s="198"/>
      <c r="O296" s="198"/>
      <c r="P296" s="198"/>
      <c r="Q296" s="198"/>
      <c r="R296" s="198"/>
      <c r="S296" s="198"/>
      <c r="T296" s="195"/>
      <c r="U296" s="195"/>
      <c r="V296" s="195"/>
      <c r="W296" s="195"/>
      <c r="X296" s="195"/>
      <c r="Y296" s="195"/>
      <c r="Z296" s="195"/>
    </row>
    <row r="297" ht="15.75" customHeight="1" spans="1:26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8"/>
      <c r="L297" s="198"/>
      <c r="M297" s="198"/>
      <c r="N297" s="198"/>
      <c r="O297" s="198"/>
      <c r="P297" s="198"/>
      <c r="Q297" s="198"/>
      <c r="R297" s="198"/>
      <c r="S297" s="198"/>
      <c r="T297" s="195"/>
      <c r="U297" s="195"/>
      <c r="V297" s="195"/>
      <c r="W297" s="195"/>
      <c r="X297" s="195"/>
      <c r="Y297" s="195"/>
      <c r="Z297" s="195"/>
    </row>
    <row r="298" ht="15.75" customHeight="1" spans="1:26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8"/>
      <c r="L298" s="198"/>
      <c r="M298" s="198"/>
      <c r="N298" s="198"/>
      <c r="O298" s="198"/>
      <c r="P298" s="198"/>
      <c r="Q298" s="198"/>
      <c r="R298" s="198"/>
      <c r="S298" s="198"/>
      <c r="T298" s="195"/>
      <c r="U298" s="195"/>
      <c r="V298" s="195"/>
      <c r="W298" s="195"/>
      <c r="X298" s="195"/>
      <c r="Y298" s="195"/>
      <c r="Z298" s="195"/>
    </row>
    <row r="299" ht="15.75" customHeight="1" spans="1:26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8"/>
      <c r="L299" s="198"/>
      <c r="M299" s="198"/>
      <c r="N299" s="198"/>
      <c r="O299" s="198"/>
      <c r="P299" s="198"/>
      <c r="Q299" s="198"/>
      <c r="R299" s="198"/>
      <c r="S299" s="198"/>
      <c r="T299" s="195"/>
      <c r="U299" s="195"/>
      <c r="V299" s="195"/>
      <c r="W299" s="195"/>
      <c r="X299" s="195"/>
      <c r="Y299" s="195"/>
      <c r="Z299" s="195"/>
    </row>
    <row r="300" ht="15.75" customHeight="1" spans="1:26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8"/>
      <c r="L300" s="198"/>
      <c r="M300" s="198"/>
      <c r="N300" s="198"/>
      <c r="O300" s="198"/>
      <c r="P300" s="198"/>
      <c r="Q300" s="198"/>
      <c r="R300" s="198"/>
      <c r="S300" s="198"/>
      <c r="T300" s="195"/>
      <c r="U300" s="195"/>
      <c r="V300" s="195"/>
      <c r="W300" s="195"/>
      <c r="X300" s="195"/>
      <c r="Y300" s="195"/>
      <c r="Z300" s="195"/>
    </row>
    <row r="301" ht="15.75" customHeight="1" spans="1:26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8"/>
      <c r="L301" s="198"/>
      <c r="M301" s="198"/>
      <c r="N301" s="198"/>
      <c r="O301" s="198"/>
      <c r="P301" s="198"/>
      <c r="Q301" s="198"/>
      <c r="R301" s="198"/>
      <c r="S301" s="198"/>
      <c r="T301" s="195"/>
      <c r="U301" s="195"/>
      <c r="V301" s="195"/>
      <c r="W301" s="195"/>
      <c r="X301" s="195"/>
      <c r="Y301" s="195"/>
      <c r="Z301" s="195"/>
    </row>
    <row r="302" ht="15.75" customHeight="1" spans="1:26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8"/>
      <c r="L302" s="198"/>
      <c r="M302" s="198"/>
      <c r="N302" s="198"/>
      <c r="O302" s="198"/>
      <c r="P302" s="198"/>
      <c r="Q302" s="198"/>
      <c r="R302" s="198"/>
      <c r="S302" s="198"/>
      <c r="T302" s="195"/>
      <c r="U302" s="195"/>
      <c r="V302" s="195"/>
      <c r="W302" s="195"/>
      <c r="X302" s="195"/>
      <c r="Y302" s="195"/>
      <c r="Z302" s="195"/>
    </row>
    <row r="303" ht="15.75" customHeight="1" spans="1:26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8"/>
      <c r="L303" s="198"/>
      <c r="M303" s="198"/>
      <c r="N303" s="198"/>
      <c r="O303" s="198"/>
      <c r="P303" s="198"/>
      <c r="Q303" s="198"/>
      <c r="R303" s="198"/>
      <c r="S303" s="198"/>
      <c r="T303" s="195"/>
      <c r="U303" s="195"/>
      <c r="V303" s="195"/>
      <c r="W303" s="195"/>
      <c r="X303" s="195"/>
      <c r="Y303" s="195"/>
      <c r="Z303" s="195"/>
    </row>
    <row r="304" ht="15.75" customHeight="1" spans="1:26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8"/>
      <c r="L304" s="198"/>
      <c r="M304" s="198"/>
      <c r="N304" s="198"/>
      <c r="O304" s="198"/>
      <c r="P304" s="198"/>
      <c r="Q304" s="198"/>
      <c r="R304" s="198"/>
      <c r="S304" s="198"/>
      <c r="T304" s="195"/>
      <c r="U304" s="195"/>
      <c r="V304" s="195"/>
      <c r="W304" s="195"/>
      <c r="X304" s="195"/>
      <c r="Y304" s="195"/>
      <c r="Z304" s="195"/>
    </row>
    <row r="305" ht="15.75" customHeight="1" spans="1:26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8"/>
      <c r="L305" s="198"/>
      <c r="M305" s="198"/>
      <c r="N305" s="198"/>
      <c r="O305" s="198"/>
      <c r="P305" s="198"/>
      <c r="Q305" s="198"/>
      <c r="R305" s="198"/>
      <c r="S305" s="198"/>
      <c r="T305" s="195"/>
      <c r="U305" s="195"/>
      <c r="V305" s="195"/>
      <c r="W305" s="195"/>
      <c r="X305" s="195"/>
      <c r="Y305" s="195"/>
      <c r="Z305" s="195"/>
    </row>
    <row r="306" ht="15.75" customHeight="1" spans="1:2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8"/>
      <c r="L306" s="198"/>
      <c r="M306" s="198"/>
      <c r="N306" s="198"/>
      <c r="O306" s="198"/>
      <c r="P306" s="198"/>
      <c r="Q306" s="198"/>
      <c r="R306" s="198"/>
      <c r="S306" s="198"/>
      <c r="T306" s="195"/>
      <c r="U306" s="195"/>
      <c r="V306" s="195"/>
      <c r="W306" s="195"/>
      <c r="X306" s="195"/>
      <c r="Y306" s="195"/>
      <c r="Z306" s="195"/>
    </row>
    <row r="307" ht="15.75" customHeight="1" spans="1:26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8"/>
      <c r="L307" s="198"/>
      <c r="M307" s="198"/>
      <c r="N307" s="198"/>
      <c r="O307" s="198"/>
      <c r="P307" s="198"/>
      <c r="Q307" s="198"/>
      <c r="R307" s="198"/>
      <c r="S307" s="198"/>
      <c r="T307" s="195"/>
      <c r="U307" s="195"/>
      <c r="V307" s="195"/>
      <c r="W307" s="195"/>
      <c r="X307" s="195"/>
      <c r="Y307" s="195"/>
      <c r="Z307" s="195"/>
    </row>
    <row r="308" ht="15.75" customHeight="1" spans="1:26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8"/>
      <c r="L308" s="198"/>
      <c r="M308" s="198"/>
      <c r="N308" s="198"/>
      <c r="O308" s="198"/>
      <c r="P308" s="198"/>
      <c r="Q308" s="198"/>
      <c r="R308" s="198"/>
      <c r="S308" s="198"/>
      <c r="T308" s="195"/>
      <c r="U308" s="195"/>
      <c r="V308" s="195"/>
      <c r="W308" s="195"/>
      <c r="X308" s="195"/>
      <c r="Y308" s="195"/>
      <c r="Z308" s="195"/>
    </row>
    <row r="309" ht="15.75" customHeight="1" spans="1:26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8"/>
      <c r="L309" s="198"/>
      <c r="M309" s="198"/>
      <c r="N309" s="198"/>
      <c r="O309" s="198"/>
      <c r="P309" s="198"/>
      <c r="Q309" s="198"/>
      <c r="R309" s="198"/>
      <c r="S309" s="198"/>
      <c r="T309" s="195"/>
      <c r="U309" s="195"/>
      <c r="V309" s="195"/>
      <c r="W309" s="195"/>
      <c r="X309" s="195"/>
      <c r="Y309" s="195"/>
      <c r="Z309" s="195"/>
    </row>
    <row r="310" ht="15.75" customHeight="1" spans="1:26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8"/>
      <c r="L310" s="198"/>
      <c r="M310" s="198"/>
      <c r="N310" s="198"/>
      <c r="O310" s="198"/>
      <c r="P310" s="198"/>
      <c r="Q310" s="198"/>
      <c r="R310" s="198"/>
      <c r="S310" s="198"/>
      <c r="T310" s="195"/>
      <c r="U310" s="195"/>
      <c r="V310" s="195"/>
      <c r="W310" s="195"/>
      <c r="X310" s="195"/>
      <c r="Y310" s="195"/>
      <c r="Z310" s="195"/>
    </row>
    <row r="311" ht="15.75" customHeight="1" spans="1:26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8"/>
      <c r="L311" s="198"/>
      <c r="M311" s="198"/>
      <c r="N311" s="198"/>
      <c r="O311" s="198"/>
      <c r="P311" s="198"/>
      <c r="Q311" s="198"/>
      <c r="R311" s="198"/>
      <c r="S311" s="198"/>
      <c r="T311" s="195"/>
      <c r="U311" s="195"/>
      <c r="V311" s="195"/>
      <c r="W311" s="195"/>
      <c r="X311" s="195"/>
      <c r="Y311" s="195"/>
      <c r="Z311" s="195"/>
    </row>
    <row r="312" ht="15.75" customHeight="1" spans="1:26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8"/>
      <c r="L312" s="198"/>
      <c r="M312" s="198"/>
      <c r="N312" s="198"/>
      <c r="O312" s="198"/>
      <c r="P312" s="198"/>
      <c r="Q312" s="198"/>
      <c r="R312" s="198"/>
      <c r="S312" s="198"/>
      <c r="T312" s="195"/>
      <c r="U312" s="195"/>
      <c r="V312" s="195"/>
      <c r="W312" s="195"/>
      <c r="X312" s="195"/>
      <c r="Y312" s="195"/>
      <c r="Z312" s="195"/>
    </row>
    <row r="313" ht="15.75" customHeight="1" spans="1:26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8"/>
      <c r="L313" s="198"/>
      <c r="M313" s="198"/>
      <c r="N313" s="198"/>
      <c r="O313" s="198"/>
      <c r="P313" s="198"/>
      <c r="Q313" s="198"/>
      <c r="R313" s="198"/>
      <c r="S313" s="198"/>
      <c r="T313" s="195"/>
      <c r="U313" s="195"/>
      <c r="V313" s="195"/>
      <c r="W313" s="195"/>
      <c r="X313" s="195"/>
      <c r="Y313" s="195"/>
      <c r="Z313" s="195"/>
    </row>
    <row r="314" ht="15.75" customHeight="1" spans="1:26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8"/>
      <c r="L314" s="198"/>
      <c r="M314" s="198"/>
      <c r="N314" s="198"/>
      <c r="O314" s="198"/>
      <c r="P314" s="198"/>
      <c r="Q314" s="198"/>
      <c r="R314" s="198"/>
      <c r="S314" s="198"/>
      <c r="T314" s="195"/>
      <c r="U314" s="195"/>
      <c r="V314" s="195"/>
      <c r="W314" s="195"/>
      <c r="X314" s="195"/>
      <c r="Y314" s="195"/>
      <c r="Z314" s="195"/>
    </row>
    <row r="315" ht="15.75" customHeight="1" spans="1:26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8"/>
      <c r="L315" s="198"/>
      <c r="M315" s="198"/>
      <c r="N315" s="198"/>
      <c r="O315" s="198"/>
      <c r="P315" s="198"/>
      <c r="Q315" s="198"/>
      <c r="R315" s="198"/>
      <c r="S315" s="198"/>
      <c r="T315" s="195"/>
      <c r="U315" s="195"/>
      <c r="V315" s="195"/>
      <c r="W315" s="195"/>
      <c r="X315" s="195"/>
      <c r="Y315" s="195"/>
      <c r="Z315" s="195"/>
    </row>
    <row r="316" ht="15.75" customHeight="1" spans="1:2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8"/>
      <c r="L316" s="198"/>
      <c r="M316" s="198"/>
      <c r="N316" s="198"/>
      <c r="O316" s="198"/>
      <c r="P316" s="198"/>
      <c r="Q316" s="198"/>
      <c r="R316" s="198"/>
      <c r="S316" s="198"/>
      <c r="T316" s="195"/>
      <c r="U316" s="195"/>
      <c r="V316" s="195"/>
      <c r="W316" s="195"/>
      <c r="X316" s="195"/>
      <c r="Y316" s="195"/>
      <c r="Z316" s="195"/>
    </row>
    <row r="317" ht="15.75" customHeight="1" spans="1:26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8"/>
      <c r="L317" s="198"/>
      <c r="M317" s="198"/>
      <c r="N317" s="198"/>
      <c r="O317" s="198"/>
      <c r="P317" s="198"/>
      <c r="Q317" s="198"/>
      <c r="R317" s="198"/>
      <c r="S317" s="198"/>
      <c r="T317" s="195"/>
      <c r="U317" s="195"/>
      <c r="V317" s="195"/>
      <c r="W317" s="195"/>
      <c r="X317" s="195"/>
      <c r="Y317" s="195"/>
      <c r="Z317" s="195"/>
    </row>
    <row r="318" ht="15.75" customHeight="1" spans="1:26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8"/>
      <c r="L318" s="198"/>
      <c r="M318" s="198"/>
      <c r="N318" s="198"/>
      <c r="O318" s="198"/>
      <c r="P318" s="198"/>
      <c r="Q318" s="198"/>
      <c r="R318" s="198"/>
      <c r="S318" s="198"/>
      <c r="T318" s="195"/>
      <c r="U318" s="195"/>
      <c r="V318" s="195"/>
      <c r="W318" s="195"/>
      <c r="X318" s="195"/>
      <c r="Y318" s="195"/>
      <c r="Z318" s="195"/>
    </row>
    <row r="319" ht="15.75" customHeight="1" spans="1:26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8"/>
      <c r="L319" s="198"/>
      <c r="M319" s="198"/>
      <c r="N319" s="198"/>
      <c r="O319" s="198"/>
      <c r="P319" s="198"/>
      <c r="Q319" s="198"/>
      <c r="R319" s="198"/>
      <c r="S319" s="198"/>
      <c r="T319" s="195"/>
      <c r="U319" s="195"/>
      <c r="V319" s="195"/>
      <c r="W319" s="195"/>
      <c r="X319" s="195"/>
      <c r="Y319" s="195"/>
      <c r="Z319" s="195"/>
    </row>
    <row r="320" ht="15.75" customHeight="1" spans="1:26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8"/>
      <c r="L320" s="198"/>
      <c r="M320" s="198"/>
      <c r="N320" s="198"/>
      <c r="O320" s="198"/>
      <c r="P320" s="198"/>
      <c r="Q320" s="198"/>
      <c r="R320" s="198"/>
      <c r="S320" s="198"/>
      <c r="T320" s="195"/>
      <c r="U320" s="195"/>
      <c r="V320" s="195"/>
      <c r="W320" s="195"/>
      <c r="X320" s="195"/>
      <c r="Y320" s="195"/>
      <c r="Z320" s="195"/>
    </row>
    <row r="321" ht="15.75" customHeight="1" spans="1:26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8"/>
      <c r="L321" s="198"/>
      <c r="M321" s="198"/>
      <c r="N321" s="198"/>
      <c r="O321" s="198"/>
      <c r="P321" s="198"/>
      <c r="Q321" s="198"/>
      <c r="R321" s="198"/>
      <c r="S321" s="198"/>
      <c r="T321" s="195"/>
      <c r="U321" s="195"/>
      <c r="V321" s="195"/>
      <c r="W321" s="195"/>
      <c r="X321" s="195"/>
      <c r="Y321" s="195"/>
      <c r="Z321" s="195"/>
    </row>
    <row r="322" ht="15.75" customHeight="1" spans="1:26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8"/>
      <c r="L322" s="198"/>
      <c r="M322" s="198"/>
      <c r="N322" s="198"/>
      <c r="O322" s="198"/>
      <c r="P322" s="198"/>
      <c r="Q322" s="198"/>
      <c r="R322" s="198"/>
      <c r="S322" s="198"/>
      <c r="T322" s="195"/>
      <c r="U322" s="195"/>
      <c r="V322" s="195"/>
      <c r="W322" s="195"/>
      <c r="X322" s="195"/>
      <c r="Y322" s="195"/>
      <c r="Z322" s="195"/>
    </row>
    <row r="323" ht="15.75" customHeight="1" spans="1:26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8"/>
      <c r="L323" s="198"/>
      <c r="M323" s="198"/>
      <c r="N323" s="198"/>
      <c r="O323" s="198"/>
      <c r="P323" s="198"/>
      <c r="Q323" s="198"/>
      <c r="R323" s="198"/>
      <c r="S323" s="198"/>
      <c r="T323" s="195"/>
      <c r="U323" s="195"/>
      <c r="V323" s="195"/>
      <c r="W323" s="195"/>
      <c r="X323" s="195"/>
      <c r="Y323" s="195"/>
      <c r="Z323" s="195"/>
    </row>
    <row r="324" ht="15.75" customHeight="1" spans="1:26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8"/>
      <c r="L324" s="198"/>
      <c r="M324" s="198"/>
      <c r="N324" s="198"/>
      <c r="O324" s="198"/>
      <c r="P324" s="198"/>
      <c r="Q324" s="198"/>
      <c r="R324" s="198"/>
      <c r="S324" s="198"/>
      <c r="T324" s="195"/>
      <c r="U324" s="195"/>
      <c r="V324" s="195"/>
      <c r="W324" s="195"/>
      <c r="X324" s="195"/>
      <c r="Y324" s="195"/>
      <c r="Z324" s="195"/>
    </row>
    <row r="325" ht="15.75" customHeight="1" spans="1:26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8"/>
      <c r="L325" s="198"/>
      <c r="M325" s="198"/>
      <c r="N325" s="198"/>
      <c r="O325" s="198"/>
      <c r="P325" s="198"/>
      <c r="Q325" s="198"/>
      <c r="R325" s="198"/>
      <c r="S325" s="198"/>
      <c r="T325" s="195"/>
      <c r="U325" s="195"/>
      <c r="V325" s="195"/>
      <c r="W325" s="195"/>
      <c r="X325" s="195"/>
      <c r="Y325" s="195"/>
      <c r="Z325" s="195"/>
    </row>
    <row r="326" ht="15.75" customHeight="1" spans="1: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8"/>
      <c r="L326" s="198"/>
      <c r="M326" s="198"/>
      <c r="N326" s="198"/>
      <c r="O326" s="198"/>
      <c r="P326" s="198"/>
      <c r="Q326" s="198"/>
      <c r="R326" s="198"/>
      <c r="S326" s="198"/>
      <c r="T326" s="195"/>
      <c r="U326" s="195"/>
      <c r="V326" s="195"/>
      <c r="W326" s="195"/>
      <c r="X326" s="195"/>
      <c r="Y326" s="195"/>
      <c r="Z326" s="195"/>
    </row>
    <row r="327" ht="15.75" customHeight="1" spans="1:26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8"/>
      <c r="L327" s="198"/>
      <c r="M327" s="198"/>
      <c r="N327" s="198"/>
      <c r="O327" s="198"/>
      <c r="P327" s="198"/>
      <c r="Q327" s="198"/>
      <c r="R327" s="198"/>
      <c r="S327" s="198"/>
      <c r="T327" s="195"/>
      <c r="U327" s="195"/>
      <c r="V327" s="195"/>
      <c r="W327" s="195"/>
      <c r="X327" s="195"/>
      <c r="Y327" s="195"/>
      <c r="Z327" s="195"/>
    </row>
    <row r="328" ht="15.75" customHeight="1" spans="1:26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8"/>
      <c r="L328" s="198"/>
      <c r="M328" s="198"/>
      <c r="N328" s="198"/>
      <c r="O328" s="198"/>
      <c r="P328" s="198"/>
      <c r="Q328" s="198"/>
      <c r="R328" s="198"/>
      <c r="S328" s="198"/>
      <c r="T328" s="195"/>
      <c r="U328" s="195"/>
      <c r="V328" s="195"/>
      <c r="W328" s="195"/>
      <c r="X328" s="195"/>
      <c r="Y328" s="195"/>
      <c r="Z328" s="195"/>
    </row>
    <row r="329" ht="15.75" customHeight="1" spans="1:26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8"/>
      <c r="L329" s="198"/>
      <c r="M329" s="198"/>
      <c r="N329" s="198"/>
      <c r="O329" s="198"/>
      <c r="P329" s="198"/>
      <c r="Q329" s="198"/>
      <c r="R329" s="198"/>
      <c r="S329" s="198"/>
      <c r="T329" s="195"/>
      <c r="U329" s="195"/>
      <c r="V329" s="195"/>
      <c r="W329" s="195"/>
      <c r="X329" s="195"/>
      <c r="Y329" s="195"/>
      <c r="Z329" s="195"/>
    </row>
    <row r="330" ht="15.75" customHeight="1" spans="1:26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8"/>
      <c r="L330" s="198"/>
      <c r="M330" s="198"/>
      <c r="N330" s="198"/>
      <c r="O330" s="198"/>
      <c r="P330" s="198"/>
      <c r="Q330" s="198"/>
      <c r="R330" s="198"/>
      <c r="S330" s="198"/>
      <c r="T330" s="195"/>
      <c r="U330" s="195"/>
      <c r="V330" s="195"/>
      <c r="W330" s="195"/>
      <c r="X330" s="195"/>
      <c r="Y330" s="195"/>
      <c r="Z330" s="195"/>
    </row>
    <row r="331" ht="15.75" customHeight="1" spans="1:26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8"/>
      <c r="L331" s="198"/>
      <c r="M331" s="198"/>
      <c r="N331" s="198"/>
      <c r="O331" s="198"/>
      <c r="P331" s="198"/>
      <c r="Q331" s="198"/>
      <c r="R331" s="198"/>
      <c r="S331" s="198"/>
      <c r="T331" s="195"/>
      <c r="U331" s="195"/>
      <c r="V331" s="195"/>
      <c r="W331" s="195"/>
      <c r="X331" s="195"/>
      <c r="Y331" s="195"/>
      <c r="Z331" s="195"/>
    </row>
    <row r="332" ht="15.75" customHeight="1" spans="1:26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8"/>
      <c r="L332" s="198"/>
      <c r="M332" s="198"/>
      <c r="N332" s="198"/>
      <c r="O332" s="198"/>
      <c r="P332" s="198"/>
      <c r="Q332" s="198"/>
      <c r="R332" s="198"/>
      <c r="S332" s="198"/>
      <c r="T332" s="195"/>
      <c r="U332" s="195"/>
      <c r="V332" s="195"/>
      <c r="W332" s="195"/>
      <c r="X332" s="195"/>
      <c r="Y332" s="195"/>
      <c r="Z332" s="195"/>
    </row>
    <row r="333" ht="15.75" customHeight="1" spans="1:26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8"/>
      <c r="L333" s="198"/>
      <c r="M333" s="198"/>
      <c r="N333" s="198"/>
      <c r="O333" s="198"/>
      <c r="P333" s="198"/>
      <c r="Q333" s="198"/>
      <c r="R333" s="198"/>
      <c r="S333" s="198"/>
      <c r="T333" s="195"/>
      <c r="U333" s="195"/>
      <c r="V333" s="195"/>
      <c r="W333" s="195"/>
      <c r="X333" s="195"/>
      <c r="Y333" s="195"/>
      <c r="Z333" s="195"/>
    </row>
    <row r="334" ht="15.75" customHeight="1" spans="1:26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8"/>
      <c r="L334" s="198"/>
      <c r="M334" s="198"/>
      <c r="N334" s="198"/>
      <c r="O334" s="198"/>
      <c r="P334" s="198"/>
      <c r="Q334" s="198"/>
      <c r="R334" s="198"/>
      <c r="S334" s="198"/>
      <c r="T334" s="195"/>
      <c r="U334" s="195"/>
      <c r="V334" s="195"/>
      <c r="W334" s="195"/>
      <c r="X334" s="195"/>
      <c r="Y334" s="195"/>
      <c r="Z334" s="195"/>
    </row>
    <row r="335" ht="15.75" customHeight="1" spans="1:26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8"/>
      <c r="L335" s="198"/>
      <c r="M335" s="198"/>
      <c r="N335" s="198"/>
      <c r="O335" s="198"/>
      <c r="P335" s="198"/>
      <c r="Q335" s="198"/>
      <c r="R335" s="198"/>
      <c r="S335" s="198"/>
      <c r="T335" s="195"/>
      <c r="U335" s="195"/>
      <c r="V335" s="195"/>
      <c r="W335" s="195"/>
      <c r="X335" s="195"/>
      <c r="Y335" s="195"/>
      <c r="Z335" s="195"/>
    </row>
    <row r="336" ht="15.75" customHeight="1" spans="1:2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8"/>
      <c r="L336" s="198"/>
      <c r="M336" s="198"/>
      <c r="N336" s="198"/>
      <c r="O336" s="198"/>
      <c r="P336" s="198"/>
      <c r="Q336" s="198"/>
      <c r="R336" s="198"/>
      <c r="S336" s="198"/>
      <c r="T336" s="195"/>
      <c r="U336" s="195"/>
      <c r="V336" s="195"/>
      <c r="W336" s="195"/>
      <c r="X336" s="195"/>
      <c r="Y336" s="195"/>
      <c r="Z336" s="195"/>
    </row>
    <row r="337" ht="15.75" customHeight="1" spans="1:26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8"/>
      <c r="L337" s="198"/>
      <c r="M337" s="198"/>
      <c r="N337" s="198"/>
      <c r="O337" s="198"/>
      <c r="P337" s="198"/>
      <c r="Q337" s="198"/>
      <c r="R337" s="198"/>
      <c r="S337" s="198"/>
      <c r="T337" s="195"/>
      <c r="U337" s="195"/>
      <c r="V337" s="195"/>
      <c r="W337" s="195"/>
      <c r="X337" s="195"/>
      <c r="Y337" s="195"/>
      <c r="Z337" s="195"/>
    </row>
    <row r="338" ht="15.75" customHeight="1" spans="1:26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8"/>
      <c r="L338" s="198"/>
      <c r="M338" s="198"/>
      <c r="N338" s="198"/>
      <c r="O338" s="198"/>
      <c r="P338" s="198"/>
      <c r="Q338" s="198"/>
      <c r="R338" s="198"/>
      <c r="S338" s="198"/>
      <c r="T338" s="195"/>
      <c r="U338" s="195"/>
      <c r="V338" s="195"/>
      <c r="W338" s="195"/>
      <c r="X338" s="195"/>
      <c r="Y338" s="195"/>
      <c r="Z338" s="195"/>
    </row>
    <row r="339" ht="15.75" customHeight="1" spans="1:26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8"/>
      <c r="L339" s="198"/>
      <c r="M339" s="198"/>
      <c r="N339" s="198"/>
      <c r="O339" s="198"/>
      <c r="P339" s="198"/>
      <c r="Q339" s="198"/>
      <c r="R339" s="198"/>
      <c r="S339" s="198"/>
      <c r="T339" s="195"/>
      <c r="U339" s="195"/>
      <c r="V339" s="195"/>
      <c r="W339" s="195"/>
      <c r="X339" s="195"/>
      <c r="Y339" s="195"/>
      <c r="Z339" s="195"/>
    </row>
    <row r="340" ht="15.75" customHeight="1" spans="1:26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8"/>
      <c r="L340" s="198"/>
      <c r="M340" s="198"/>
      <c r="N340" s="198"/>
      <c r="O340" s="198"/>
      <c r="P340" s="198"/>
      <c r="Q340" s="198"/>
      <c r="R340" s="198"/>
      <c r="S340" s="198"/>
      <c r="T340" s="195"/>
      <c r="U340" s="195"/>
      <c r="V340" s="195"/>
      <c r="W340" s="195"/>
      <c r="X340" s="195"/>
      <c r="Y340" s="195"/>
      <c r="Z340" s="195"/>
    </row>
    <row r="341" ht="15.75" customHeight="1" spans="1:26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8"/>
      <c r="L341" s="198"/>
      <c r="M341" s="198"/>
      <c r="N341" s="198"/>
      <c r="O341" s="198"/>
      <c r="P341" s="198"/>
      <c r="Q341" s="198"/>
      <c r="R341" s="198"/>
      <c r="S341" s="198"/>
      <c r="T341" s="195"/>
      <c r="U341" s="195"/>
      <c r="V341" s="195"/>
      <c r="W341" s="195"/>
      <c r="X341" s="195"/>
      <c r="Y341" s="195"/>
      <c r="Z341" s="195"/>
    </row>
    <row r="342" ht="15.75" customHeight="1" spans="1:26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8"/>
      <c r="L342" s="198"/>
      <c r="M342" s="198"/>
      <c r="N342" s="198"/>
      <c r="O342" s="198"/>
      <c r="P342" s="198"/>
      <c r="Q342" s="198"/>
      <c r="R342" s="198"/>
      <c r="S342" s="198"/>
      <c r="T342" s="195"/>
      <c r="U342" s="195"/>
      <c r="V342" s="195"/>
      <c r="W342" s="195"/>
      <c r="X342" s="195"/>
      <c r="Y342" s="195"/>
      <c r="Z342" s="195"/>
    </row>
    <row r="343" ht="15.75" customHeight="1" spans="1:26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8"/>
      <c r="L343" s="198"/>
      <c r="M343" s="198"/>
      <c r="N343" s="198"/>
      <c r="O343" s="198"/>
      <c r="P343" s="198"/>
      <c r="Q343" s="198"/>
      <c r="R343" s="198"/>
      <c r="S343" s="198"/>
      <c r="T343" s="195"/>
      <c r="U343" s="195"/>
      <c r="V343" s="195"/>
      <c r="W343" s="195"/>
      <c r="X343" s="195"/>
      <c r="Y343" s="195"/>
      <c r="Z343" s="195"/>
    </row>
    <row r="344" ht="15.75" customHeight="1" spans="1:26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8"/>
      <c r="L344" s="198"/>
      <c r="M344" s="198"/>
      <c r="N344" s="198"/>
      <c r="O344" s="198"/>
      <c r="P344" s="198"/>
      <c r="Q344" s="198"/>
      <c r="R344" s="198"/>
      <c r="S344" s="198"/>
      <c r="T344" s="195"/>
      <c r="U344" s="195"/>
      <c r="V344" s="195"/>
      <c r="W344" s="195"/>
      <c r="X344" s="195"/>
      <c r="Y344" s="195"/>
      <c r="Z344" s="195"/>
    </row>
    <row r="345" ht="15.75" customHeight="1" spans="1:26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8"/>
      <c r="L345" s="198"/>
      <c r="M345" s="198"/>
      <c r="N345" s="198"/>
      <c r="O345" s="198"/>
      <c r="P345" s="198"/>
      <c r="Q345" s="198"/>
      <c r="R345" s="198"/>
      <c r="S345" s="198"/>
      <c r="T345" s="195"/>
      <c r="U345" s="195"/>
      <c r="V345" s="195"/>
      <c r="W345" s="195"/>
      <c r="X345" s="195"/>
      <c r="Y345" s="195"/>
      <c r="Z345" s="195"/>
    </row>
    <row r="346" ht="15.75" customHeight="1" spans="1:2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8"/>
      <c r="L346" s="198"/>
      <c r="M346" s="198"/>
      <c r="N346" s="198"/>
      <c r="O346" s="198"/>
      <c r="P346" s="198"/>
      <c r="Q346" s="198"/>
      <c r="R346" s="198"/>
      <c r="S346" s="198"/>
      <c r="T346" s="195"/>
      <c r="U346" s="195"/>
      <c r="V346" s="195"/>
      <c r="W346" s="195"/>
      <c r="X346" s="195"/>
      <c r="Y346" s="195"/>
      <c r="Z346" s="195"/>
    </row>
    <row r="347" ht="15.75" customHeight="1" spans="1:26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8"/>
      <c r="L347" s="198"/>
      <c r="M347" s="198"/>
      <c r="N347" s="198"/>
      <c r="O347" s="198"/>
      <c r="P347" s="198"/>
      <c r="Q347" s="198"/>
      <c r="R347" s="198"/>
      <c r="S347" s="198"/>
      <c r="T347" s="195"/>
      <c r="U347" s="195"/>
      <c r="V347" s="195"/>
      <c r="W347" s="195"/>
      <c r="X347" s="195"/>
      <c r="Y347" s="195"/>
      <c r="Z347" s="195"/>
    </row>
    <row r="348" ht="15.75" customHeight="1" spans="1:26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8"/>
      <c r="L348" s="198"/>
      <c r="M348" s="198"/>
      <c r="N348" s="198"/>
      <c r="O348" s="198"/>
      <c r="P348" s="198"/>
      <c r="Q348" s="198"/>
      <c r="R348" s="198"/>
      <c r="S348" s="198"/>
      <c r="T348" s="195"/>
      <c r="U348" s="195"/>
      <c r="V348" s="195"/>
      <c r="W348" s="195"/>
      <c r="X348" s="195"/>
      <c r="Y348" s="195"/>
      <c r="Z348" s="195"/>
    </row>
    <row r="349" ht="15.75" customHeight="1" spans="1:26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8"/>
      <c r="L349" s="198"/>
      <c r="M349" s="198"/>
      <c r="N349" s="198"/>
      <c r="O349" s="198"/>
      <c r="P349" s="198"/>
      <c r="Q349" s="198"/>
      <c r="R349" s="198"/>
      <c r="S349" s="198"/>
      <c r="T349" s="195"/>
      <c r="U349" s="195"/>
      <c r="V349" s="195"/>
      <c r="W349" s="195"/>
      <c r="X349" s="195"/>
      <c r="Y349" s="195"/>
      <c r="Z349" s="195"/>
    </row>
    <row r="350" ht="15.75" customHeight="1" spans="1:26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8"/>
      <c r="L350" s="198"/>
      <c r="M350" s="198"/>
      <c r="N350" s="198"/>
      <c r="O350" s="198"/>
      <c r="P350" s="198"/>
      <c r="Q350" s="198"/>
      <c r="R350" s="198"/>
      <c r="S350" s="198"/>
      <c r="T350" s="195"/>
      <c r="U350" s="195"/>
      <c r="V350" s="195"/>
      <c r="W350" s="195"/>
      <c r="X350" s="195"/>
      <c r="Y350" s="195"/>
      <c r="Z350" s="195"/>
    </row>
    <row r="351" ht="15.75" customHeight="1" spans="1:26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8"/>
      <c r="L351" s="198"/>
      <c r="M351" s="198"/>
      <c r="N351" s="198"/>
      <c r="O351" s="198"/>
      <c r="P351" s="198"/>
      <c r="Q351" s="198"/>
      <c r="R351" s="198"/>
      <c r="S351" s="198"/>
      <c r="T351" s="195"/>
      <c r="U351" s="195"/>
      <c r="V351" s="195"/>
      <c r="W351" s="195"/>
      <c r="X351" s="195"/>
      <c r="Y351" s="195"/>
      <c r="Z351" s="195"/>
    </row>
    <row r="352" ht="15.75" customHeight="1" spans="1:26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8"/>
      <c r="L352" s="198"/>
      <c r="M352" s="198"/>
      <c r="N352" s="198"/>
      <c r="O352" s="198"/>
      <c r="P352" s="198"/>
      <c r="Q352" s="198"/>
      <c r="R352" s="198"/>
      <c r="S352" s="198"/>
      <c r="T352" s="195"/>
      <c r="U352" s="195"/>
      <c r="V352" s="195"/>
      <c r="W352" s="195"/>
      <c r="X352" s="195"/>
      <c r="Y352" s="195"/>
      <c r="Z352" s="195"/>
    </row>
    <row r="353" ht="15.75" customHeight="1" spans="1:26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8"/>
      <c r="L353" s="198"/>
      <c r="M353" s="198"/>
      <c r="N353" s="198"/>
      <c r="O353" s="198"/>
      <c r="P353" s="198"/>
      <c r="Q353" s="198"/>
      <c r="R353" s="198"/>
      <c r="S353" s="198"/>
      <c r="T353" s="195"/>
      <c r="U353" s="195"/>
      <c r="V353" s="195"/>
      <c r="W353" s="195"/>
      <c r="X353" s="195"/>
      <c r="Y353" s="195"/>
      <c r="Z353" s="195"/>
    </row>
    <row r="354" ht="15.75" customHeight="1" spans="1:26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8"/>
      <c r="L354" s="198"/>
      <c r="M354" s="198"/>
      <c r="N354" s="198"/>
      <c r="O354" s="198"/>
      <c r="P354" s="198"/>
      <c r="Q354" s="198"/>
      <c r="R354" s="198"/>
      <c r="S354" s="198"/>
      <c r="T354" s="195"/>
      <c r="U354" s="195"/>
      <c r="V354" s="195"/>
      <c r="W354" s="195"/>
      <c r="X354" s="195"/>
      <c r="Y354" s="195"/>
      <c r="Z354" s="195"/>
    </row>
    <row r="355" ht="15.75" customHeight="1" spans="1:26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8"/>
      <c r="L355" s="198"/>
      <c r="M355" s="198"/>
      <c r="N355" s="198"/>
      <c r="O355" s="198"/>
      <c r="P355" s="198"/>
      <c r="Q355" s="198"/>
      <c r="R355" s="198"/>
      <c r="S355" s="198"/>
      <c r="T355" s="195"/>
      <c r="U355" s="195"/>
      <c r="V355" s="195"/>
      <c r="W355" s="195"/>
      <c r="X355" s="195"/>
      <c r="Y355" s="195"/>
      <c r="Z355" s="195"/>
    </row>
    <row r="356" ht="15.75" customHeight="1" spans="1:2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8"/>
      <c r="L356" s="198"/>
      <c r="M356" s="198"/>
      <c r="N356" s="198"/>
      <c r="O356" s="198"/>
      <c r="P356" s="198"/>
      <c r="Q356" s="198"/>
      <c r="R356" s="198"/>
      <c r="S356" s="198"/>
      <c r="T356" s="195"/>
      <c r="U356" s="195"/>
      <c r="V356" s="195"/>
      <c r="W356" s="195"/>
      <c r="X356" s="195"/>
      <c r="Y356" s="195"/>
      <c r="Z356" s="195"/>
    </row>
    <row r="357" ht="15.75" customHeight="1" spans="1:26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8"/>
      <c r="L357" s="198"/>
      <c r="M357" s="198"/>
      <c r="N357" s="198"/>
      <c r="O357" s="198"/>
      <c r="P357" s="198"/>
      <c r="Q357" s="198"/>
      <c r="R357" s="198"/>
      <c r="S357" s="198"/>
      <c r="T357" s="195"/>
      <c r="U357" s="195"/>
      <c r="V357" s="195"/>
      <c r="W357" s="195"/>
      <c r="X357" s="195"/>
      <c r="Y357" s="195"/>
      <c r="Z357" s="195"/>
    </row>
    <row r="358" ht="15.75" customHeight="1" spans="1:26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8"/>
      <c r="L358" s="198"/>
      <c r="M358" s="198"/>
      <c r="N358" s="198"/>
      <c r="O358" s="198"/>
      <c r="P358" s="198"/>
      <c r="Q358" s="198"/>
      <c r="R358" s="198"/>
      <c r="S358" s="198"/>
      <c r="T358" s="195"/>
      <c r="U358" s="195"/>
      <c r="V358" s="195"/>
      <c r="W358" s="195"/>
      <c r="X358" s="195"/>
      <c r="Y358" s="195"/>
      <c r="Z358" s="195"/>
    </row>
    <row r="359" ht="15.75" customHeight="1" spans="1:26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8"/>
      <c r="L359" s="198"/>
      <c r="M359" s="198"/>
      <c r="N359" s="198"/>
      <c r="O359" s="198"/>
      <c r="P359" s="198"/>
      <c r="Q359" s="198"/>
      <c r="R359" s="198"/>
      <c r="S359" s="198"/>
      <c r="T359" s="195"/>
      <c r="U359" s="195"/>
      <c r="V359" s="195"/>
      <c r="W359" s="195"/>
      <c r="X359" s="195"/>
      <c r="Y359" s="195"/>
      <c r="Z359" s="195"/>
    </row>
    <row r="360" ht="15.75" customHeight="1" spans="1:26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8"/>
      <c r="L360" s="198"/>
      <c r="M360" s="198"/>
      <c r="N360" s="198"/>
      <c r="O360" s="198"/>
      <c r="P360" s="198"/>
      <c r="Q360" s="198"/>
      <c r="R360" s="198"/>
      <c r="S360" s="198"/>
      <c r="T360" s="195"/>
      <c r="U360" s="195"/>
      <c r="V360" s="195"/>
      <c r="W360" s="195"/>
      <c r="X360" s="195"/>
      <c r="Y360" s="195"/>
      <c r="Z360" s="195"/>
    </row>
    <row r="361" ht="15.75" customHeight="1" spans="1:26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8"/>
      <c r="L361" s="198"/>
      <c r="M361" s="198"/>
      <c r="N361" s="198"/>
      <c r="O361" s="198"/>
      <c r="P361" s="198"/>
      <c r="Q361" s="198"/>
      <c r="R361" s="198"/>
      <c r="S361" s="198"/>
      <c r="T361" s="195"/>
      <c r="U361" s="195"/>
      <c r="V361" s="195"/>
      <c r="W361" s="195"/>
      <c r="X361" s="195"/>
      <c r="Y361" s="195"/>
      <c r="Z361" s="195"/>
    </row>
    <row r="362" ht="15.75" customHeight="1" spans="1:26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8"/>
      <c r="L362" s="198"/>
      <c r="M362" s="198"/>
      <c r="N362" s="198"/>
      <c r="O362" s="198"/>
      <c r="P362" s="198"/>
      <c r="Q362" s="198"/>
      <c r="R362" s="198"/>
      <c r="S362" s="198"/>
      <c r="T362" s="195"/>
      <c r="U362" s="195"/>
      <c r="V362" s="195"/>
      <c r="W362" s="195"/>
      <c r="X362" s="195"/>
      <c r="Y362" s="195"/>
      <c r="Z362" s="195"/>
    </row>
    <row r="363" ht="15.75" customHeight="1" spans="1:26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8"/>
      <c r="L363" s="198"/>
      <c r="M363" s="198"/>
      <c r="N363" s="198"/>
      <c r="O363" s="198"/>
      <c r="P363" s="198"/>
      <c r="Q363" s="198"/>
      <c r="R363" s="198"/>
      <c r="S363" s="198"/>
      <c r="T363" s="195"/>
      <c r="U363" s="195"/>
      <c r="V363" s="195"/>
      <c r="W363" s="195"/>
      <c r="X363" s="195"/>
      <c r="Y363" s="195"/>
      <c r="Z363" s="195"/>
    </row>
    <row r="364" ht="15.75" customHeight="1" spans="1:26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8"/>
      <c r="L364" s="198"/>
      <c r="M364" s="198"/>
      <c r="N364" s="198"/>
      <c r="O364" s="198"/>
      <c r="P364" s="198"/>
      <c r="Q364" s="198"/>
      <c r="R364" s="198"/>
      <c r="S364" s="198"/>
      <c r="T364" s="195"/>
      <c r="U364" s="195"/>
      <c r="V364" s="195"/>
      <c r="W364" s="195"/>
      <c r="X364" s="195"/>
      <c r="Y364" s="195"/>
      <c r="Z364" s="195"/>
    </row>
    <row r="365" ht="15.75" customHeight="1" spans="1:26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8"/>
      <c r="L365" s="198"/>
      <c r="M365" s="198"/>
      <c r="N365" s="198"/>
      <c r="O365" s="198"/>
      <c r="P365" s="198"/>
      <c r="Q365" s="198"/>
      <c r="R365" s="198"/>
      <c r="S365" s="198"/>
      <c r="T365" s="195"/>
      <c r="U365" s="195"/>
      <c r="V365" s="195"/>
      <c r="W365" s="195"/>
      <c r="X365" s="195"/>
      <c r="Y365" s="195"/>
      <c r="Z365" s="195"/>
    </row>
    <row r="366" ht="15.75" customHeight="1" spans="1:2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8"/>
      <c r="L366" s="198"/>
      <c r="M366" s="198"/>
      <c r="N366" s="198"/>
      <c r="O366" s="198"/>
      <c r="P366" s="198"/>
      <c r="Q366" s="198"/>
      <c r="R366" s="198"/>
      <c r="S366" s="198"/>
      <c r="T366" s="195"/>
      <c r="U366" s="195"/>
      <c r="V366" s="195"/>
      <c r="W366" s="195"/>
      <c r="X366" s="195"/>
      <c r="Y366" s="195"/>
      <c r="Z366" s="195"/>
    </row>
    <row r="367" ht="15.75" customHeight="1" spans="1:26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8"/>
      <c r="L367" s="198"/>
      <c r="M367" s="198"/>
      <c r="N367" s="198"/>
      <c r="O367" s="198"/>
      <c r="P367" s="198"/>
      <c r="Q367" s="198"/>
      <c r="R367" s="198"/>
      <c r="S367" s="198"/>
      <c r="T367" s="195"/>
      <c r="U367" s="195"/>
      <c r="V367" s="195"/>
      <c r="W367" s="195"/>
      <c r="X367" s="195"/>
      <c r="Y367" s="195"/>
      <c r="Z367" s="195"/>
    </row>
    <row r="368" ht="15.75" customHeight="1" spans="1:26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8"/>
      <c r="L368" s="198"/>
      <c r="M368" s="198"/>
      <c r="N368" s="198"/>
      <c r="O368" s="198"/>
      <c r="P368" s="198"/>
      <c r="Q368" s="198"/>
      <c r="R368" s="198"/>
      <c r="S368" s="198"/>
      <c r="T368" s="195"/>
      <c r="U368" s="195"/>
      <c r="V368" s="195"/>
      <c r="W368" s="195"/>
      <c r="X368" s="195"/>
      <c r="Y368" s="195"/>
      <c r="Z368" s="195"/>
    </row>
    <row r="369" ht="15.75" customHeight="1" spans="1:26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8"/>
      <c r="L369" s="198"/>
      <c r="M369" s="198"/>
      <c r="N369" s="198"/>
      <c r="O369" s="198"/>
      <c r="P369" s="198"/>
      <c r="Q369" s="198"/>
      <c r="R369" s="198"/>
      <c r="S369" s="198"/>
      <c r="T369" s="195"/>
      <c r="U369" s="195"/>
      <c r="V369" s="195"/>
      <c r="W369" s="195"/>
      <c r="X369" s="195"/>
      <c r="Y369" s="195"/>
      <c r="Z369" s="195"/>
    </row>
    <row r="370" ht="15.75" customHeight="1" spans="1:26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8"/>
      <c r="L370" s="198"/>
      <c r="M370" s="198"/>
      <c r="N370" s="198"/>
      <c r="O370" s="198"/>
      <c r="P370" s="198"/>
      <c r="Q370" s="198"/>
      <c r="R370" s="198"/>
      <c r="S370" s="198"/>
      <c r="T370" s="195"/>
      <c r="U370" s="195"/>
      <c r="V370" s="195"/>
      <c r="W370" s="195"/>
      <c r="X370" s="195"/>
      <c r="Y370" s="195"/>
      <c r="Z370" s="195"/>
    </row>
    <row r="371" ht="15.75" customHeight="1" spans="1:26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8"/>
      <c r="L371" s="198"/>
      <c r="M371" s="198"/>
      <c r="N371" s="198"/>
      <c r="O371" s="198"/>
      <c r="P371" s="198"/>
      <c r="Q371" s="198"/>
      <c r="R371" s="198"/>
      <c r="S371" s="198"/>
      <c r="T371" s="195"/>
      <c r="U371" s="195"/>
      <c r="V371" s="195"/>
      <c r="W371" s="195"/>
      <c r="X371" s="195"/>
      <c r="Y371" s="195"/>
      <c r="Z371" s="195"/>
    </row>
    <row r="372" ht="15.75" customHeight="1" spans="1:26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8"/>
      <c r="L372" s="198"/>
      <c r="M372" s="198"/>
      <c r="N372" s="198"/>
      <c r="O372" s="198"/>
      <c r="P372" s="198"/>
      <c r="Q372" s="198"/>
      <c r="R372" s="198"/>
      <c r="S372" s="198"/>
      <c r="T372" s="195"/>
      <c r="U372" s="195"/>
      <c r="V372" s="195"/>
      <c r="W372" s="195"/>
      <c r="X372" s="195"/>
      <c r="Y372" s="195"/>
      <c r="Z372" s="195"/>
    </row>
    <row r="373" ht="15.75" customHeight="1" spans="1:26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8"/>
      <c r="L373" s="198"/>
      <c r="M373" s="198"/>
      <c r="N373" s="198"/>
      <c r="O373" s="198"/>
      <c r="P373" s="198"/>
      <c r="Q373" s="198"/>
      <c r="R373" s="198"/>
      <c r="S373" s="198"/>
      <c r="T373" s="195"/>
      <c r="U373" s="195"/>
      <c r="V373" s="195"/>
      <c r="W373" s="195"/>
      <c r="X373" s="195"/>
      <c r="Y373" s="195"/>
      <c r="Z373" s="195"/>
    </row>
    <row r="374" ht="15.75" customHeight="1" spans="1:26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8"/>
      <c r="L374" s="198"/>
      <c r="M374" s="198"/>
      <c r="N374" s="198"/>
      <c r="O374" s="198"/>
      <c r="P374" s="198"/>
      <c r="Q374" s="198"/>
      <c r="R374" s="198"/>
      <c r="S374" s="198"/>
      <c r="T374" s="195"/>
      <c r="U374" s="195"/>
      <c r="V374" s="195"/>
      <c r="W374" s="195"/>
      <c r="X374" s="195"/>
      <c r="Y374" s="195"/>
      <c r="Z374" s="195"/>
    </row>
    <row r="375" ht="15.75" customHeight="1" spans="1:26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8"/>
      <c r="L375" s="198"/>
      <c r="M375" s="198"/>
      <c r="N375" s="198"/>
      <c r="O375" s="198"/>
      <c r="P375" s="198"/>
      <c r="Q375" s="198"/>
      <c r="R375" s="198"/>
      <c r="S375" s="198"/>
      <c r="T375" s="195"/>
      <c r="U375" s="195"/>
      <c r="V375" s="195"/>
      <c r="W375" s="195"/>
      <c r="X375" s="195"/>
      <c r="Y375" s="195"/>
      <c r="Z375" s="195"/>
    </row>
    <row r="376" ht="15.75" customHeight="1" spans="1:2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8"/>
      <c r="L376" s="198"/>
      <c r="M376" s="198"/>
      <c r="N376" s="198"/>
      <c r="O376" s="198"/>
      <c r="P376" s="198"/>
      <c r="Q376" s="198"/>
      <c r="R376" s="198"/>
      <c r="S376" s="198"/>
      <c r="T376" s="195"/>
      <c r="U376" s="195"/>
      <c r="V376" s="195"/>
      <c r="W376" s="195"/>
      <c r="X376" s="195"/>
      <c r="Y376" s="195"/>
      <c r="Z376" s="195"/>
    </row>
    <row r="377" ht="15.75" customHeight="1" spans="1:26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8"/>
      <c r="L377" s="198"/>
      <c r="M377" s="198"/>
      <c r="N377" s="198"/>
      <c r="O377" s="198"/>
      <c r="P377" s="198"/>
      <c r="Q377" s="198"/>
      <c r="R377" s="198"/>
      <c r="S377" s="198"/>
      <c r="T377" s="195"/>
      <c r="U377" s="195"/>
      <c r="V377" s="195"/>
      <c r="W377" s="195"/>
      <c r="X377" s="195"/>
      <c r="Y377" s="195"/>
      <c r="Z377" s="195"/>
    </row>
    <row r="378" ht="15.75" customHeight="1" spans="1:26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8"/>
      <c r="L378" s="198"/>
      <c r="M378" s="198"/>
      <c r="N378" s="198"/>
      <c r="O378" s="198"/>
      <c r="P378" s="198"/>
      <c r="Q378" s="198"/>
      <c r="R378" s="198"/>
      <c r="S378" s="198"/>
      <c r="T378" s="195"/>
      <c r="U378" s="195"/>
      <c r="V378" s="195"/>
      <c r="W378" s="195"/>
      <c r="X378" s="195"/>
      <c r="Y378" s="195"/>
      <c r="Z378" s="195"/>
    </row>
    <row r="379" ht="15.75" customHeight="1" spans="1:26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8"/>
      <c r="L379" s="198"/>
      <c r="M379" s="198"/>
      <c r="N379" s="198"/>
      <c r="O379" s="198"/>
      <c r="P379" s="198"/>
      <c r="Q379" s="198"/>
      <c r="R379" s="198"/>
      <c r="S379" s="198"/>
      <c r="T379" s="195"/>
      <c r="U379" s="195"/>
      <c r="V379" s="195"/>
      <c r="W379" s="195"/>
      <c r="X379" s="195"/>
      <c r="Y379" s="195"/>
      <c r="Z379" s="195"/>
    </row>
    <row r="380" ht="15.75" customHeight="1" spans="1:26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8"/>
      <c r="L380" s="198"/>
      <c r="M380" s="198"/>
      <c r="N380" s="198"/>
      <c r="O380" s="198"/>
      <c r="P380" s="198"/>
      <c r="Q380" s="198"/>
      <c r="R380" s="198"/>
      <c r="S380" s="198"/>
      <c r="T380" s="195"/>
      <c r="U380" s="195"/>
      <c r="V380" s="195"/>
      <c r="W380" s="195"/>
      <c r="X380" s="195"/>
      <c r="Y380" s="195"/>
      <c r="Z380" s="195"/>
    </row>
    <row r="381" ht="15.75" customHeight="1" spans="1:26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8"/>
      <c r="L381" s="198"/>
      <c r="M381" s="198"/>
      <c r="N381" s="198"/>
      <c r="O381" s="198"/>
      <c r="P381" s="198"/>
      <c r="Q381" s="198"/>
      <c r="R381" s="198"/>
      <c r="S381" s="198"/>
      <c r="T381" s="195"/>
      <c r="U381" s="195"/>
      <c r="V381" s="195"/>
      <c r="W381" s="195"/>
      <c r="X381" s="195"/>
      <c r="Y381" s="195"/>
      <c r="Z381" s="195"/>
    </row>
    <row r="382" ht="15.75" customHeight="1" spans="1:26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8"/>
      <c r="L382" s="198"/>
      <c r="M382" s="198"/>
      <c r="N382" s="198"/>
      <c r="O382" s="198"/>
      <c r="P382" s="198"/>
      <c r="Q382" s="198"/>
      <c r="R382" s="198"/>
      <c r="S382" s="198"/>
      <c r="T382" s="195"/>
      <c r="U382" s="195"/>
      <c r="V382" s="195"/>
      <c r="W382" s="195"/>
      <c r="X382" s="195"/>
      <c r="Y382" s="195"/>
      <c r="Z382" s="195"/>
    </row>
    <row r="383" ht="15.75" customHeight="1" spans="1:26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8"/>
      <c r="L383" s="198"/>
      <c r="M383" s="198"/>
      <c r="N383" s="198"/>
      <c r="O383" s="198"/>
      <c r="P383" s="198"/>
      <c r="Q383" s="198"/>
      <c r="R383" s="198"/>
      <c r="S383" s="198"/>
      <c r="T383" s="195"/>
      <c r="U383" s="195"/>
      <c r="V383" s="195"/>
      <c r="W383" s="195"/>
      <c r="X383" s="195"/>
      <c r="Y383" s="195"/>
      <c r="Z383" s="195"/>
    </row>
    <row r="384" ht="15.75" customHeight="1" spans="1:26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8"/>
      <c r="L384" s="198"/>
      <c r="M384" s="198"/>
      <c r="N384" s="198"/>
      <c r="O384" s="198"/>
      <c r="P384" s="198"/>
      <c r="Q384" s="198"/>
      <c r="R384" s="198"/>
      <c r="S384" s="198"/>
      <c r="T384" s="195"/>
      <c r="U384" s="195"/>
      <c r="V384" s="195"/>
      <c r="W384" s="195"/>
      <c r="X384" s="195"/>
      <c r="Y384" s="195"/>
      <c r="Z384" s="195"/>
    </row>
    <row r="385" ht="15.75" customHeight="1" spans="1:26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8"/>
      <c r="L385" s="198"/>
      <c r="M385" s="198"/>
      <c r="N385" s="198"/>
      <c r="O385" s="198"/>
      <c r="P385" s="198"/>
      <c r="Q385" s="198"/>
      <c r="R385" s="198"/>
      <c r="S385" s="198"/>
      <c r="T385" s="195"/>
      <c r="U385" s="195"/>
      <c r="V385" s="195"/>
      <c r="W385" s="195"/>
      <c r="X385" s="195"/>
      <c r="Y385" s="195"/>
      <c r="Z385" s="195"/>
    </row>
    <row r="386" ht="15.75" customHeight="1" spans="1:2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8"/>
      <c r="L386" s="198"/>
      <c r="M386" s="198"/>
      <c r="N386" s="198"/>
      <c r="O386" s="198"/>
      <c r="P386" s="198"/>
      <c r="Q386" s="198"/>
      <c r="R386" s="198"/>
      <c r="S386" s="198"/>
      <c r="T386" s="195"/>
      <c r="U386" s="195"/>
      <c r="V386" s="195"/>
      <c r="W386" s="195"/>
      <c r="X386" s="195"/>
      <c r="Y386" s="195"/>
      <c r="Z386" s="195"/>
    </row>
    <row r="387" ht="15.75" customHeight="1" spans="1:26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8"/>
      <c r="L387" s="198"/>
      <c r="M387" s="198"/>
      <c r="N387" s="198"/>
      <c r="O387" s="198"/>
      <c r="P387" s="198"/>
      <c r="Q387" s="198"/>
      <c r="R387" s="198"/>
      <c r="S387" s="198"/>
      <c r="T387" s="195"/>
      <c r="U387" s="195"/>
      <c r="V387" s="195"/>
      <c r="W387" s="195"/>
      <c r="X387" s="195"/>
      <c r="Y387" s="195"/>
      <c r="Z387" s="195"/>
    </row>
    <row r="388" ht="15.75" customHeight="1" spans="1:26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8"/>
      <c r="L388" s="198"/>
      <c r="M388" s="198"/>
      <c r="N388" s="198"/>
      <c r="O388" s="198"/>
      <c r="P388" s="198"/>
      <c r="Q388" s="198"/>
      <c r="R388" s="198"/>
      <c r="S388" s="198"/>
      <c r="T388" s="195"/>
      <c r="U388" s="195"/>
      <c r="V388" s="195"/>
      <c r="W388" s="195"/>
      <c r="X388" s="195"/>
      <c r="Y388" s="195"/>
      <c r="Z388" s="195"/>
    </row>
    <row r="389" ht="15.75" customHeight="1" spans="1:26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8"/>
      <c r="L389" s="198"/>
      <c r="M389" s="198"/>
      <c r="N389" s="198"/>
      <c r="O389" s="198"/>
      <c r="P389" s="198"/>
      <c r="Q389" s="198"/>
      <c r="R389" s="198"/>
      <c r="S389" s="198"/>
      <c r="T389" s="195"/>
      <c r="U389" s="195"/>
      <c r="V389" s="195"/>
      <c r="W389" s="195"/>
      <c r="X389" s="195"/>
      <c r="Y389" s="195"/>
      <c r="Z389" s="195"/>
    </row>
    <row r="390" ht="15.75" customHeight="1" spans="1:26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8"/>
      <c r="L390" s="198"/>
      <c r="M390" s="198"/>
      <c r="N390" s="198"/>
      <c r="O390" s="198"/>
      <c r="P390" s="198"/>
      <c r="Q390" s="198"/>
      <c r="R390" s="198"/>
      <c r="S390" s="198"/>
      <c r="T390" s="195"/>
      <c r="U390" s="195"/>
      <c r="V390" s="195"/>
      <c r="W390" s="195"/>
      <c r="X390" s="195"/>
      <c r="Y390" s="195"/>
      <c r="Z390" s="195"/>
    </row>
    <row r="391" ht="15.75" customHeight="1" spans="1:26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8"/>
      <c r="L391" s="198"/>
      <c r="M391" s="198"/>
      <c r="N391" s="198"/>
      <c r="O391" s="198"/>
      <c r="P391" s="198"/>
      <c r="Q391" s="198"/>
      <c r="R391" s="198"/>
      <c r="S391" s="198"/>
      <c r="T391" s="195"/>
      <c r="U391" s="195"/>
      <c r="V391" s="195"/>
      <c r="W391" s="195"/>
      <c r="X391" s="195"/>
      <c r="Y391" s="195"/>
      <c r="Z391" s="195"/>
    </row>
    <row r="392" ht="15.75" customHeight="1" spans="1:26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8"/>
      <c r="L392" s="198"/>
      <c r="M392" s="198"/>
      <c r="N392" s="198"/>
      <c r="O392" s="198"/>
      <c r="P392" s="198"/>
      <c r="Q392" s="198"/>
      <c r="R392" s="198"/>
      <c r="S392" s="198"/>
      <c r="T392" s="195"/>
      <c r="U392" s="195"/>
      <c r="V392" s="195"/>
      <c r="W392" s="195"/>
      <c r="X392" s="195"/>
      <c r="Y392" s="195"/>
      <c r="Z392" s="195"/>
    </row>
    <row r="393" ht="15.75" customHeight="1" spans="1:26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8"/>
      <c r="L393" s="198"/>
      <c r="M393" s="198"/>
      <c r="N393" s="198"/>
      <c r="O393" s="198"/>
      <c r="P393" s="198"/>
      <c r="Q393" s="198"/>
      <c r="R393" s="198"/>
      <c r="S393" s="198"/>
      <c r="T393" s="195"/>
      <c r="U393" s="195"/>
      <c r="V393" s="195"/>
      <c r="W393" s="195"/>
      <c r="X393" s="195"/>
      <c r="Y393" s="195"/>
      <c r="Z393" s="195"/>
    </row>
    <row r="394" ht="15.75" customHeight="1" spans="1:26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8"/>
      <c r="L394" s="198"/>
      <c r="M394" s="198"/>
      <c r="N394" s="198"/>
      <c r="O394" s="198"/>
      <c r="P394" s="198"/>
      <c r="Q394" s="198"/>
      <c r="R394" s="198"/>
      <c r="S394" s="198"/>
      <c r="T394" s="195"/>
      <c r="U394" s="195"/>
      <c r="V394" s="195"/>
      <c r="W394" s="195"/>
      <c r="X394" s="195"/>
      <c r="Y394" s="195"/>
      <c r="Z394" s="195"/>
    </row>
    <row r="395" ht="15.75" customHeight="1" spans="1:26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8"/>
      <c r="L395" s="198"/>
      <c r="M395" s="198"/>
      <c r="N395" s="198"/>
      <c r="O395" s="198"/>
      <c r="P395" s="198"/>
      <c r="Q395" s="198"/>
      <c r="R395" s="198"/>
      <c r="S395" s="198"/>
      <c r="T395" s="195"/>
      <c r="U395" s="195"/>
      <c r="V395" s="195"/>
      <c r="W395" s="195"/>
      <c r="X395" s="195"/>
      <c r="Y395" s="195"/>
      <c r="Z395" s="195"/>
    </row>
    <row r="396" ht="15.75" customHeight="1" spans="1:2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8"/>
      <c r="L396" s="198"/>
      <c r="M396" s="198"/>
      <c r="N396" s="198"/>
      <c r="O396" s="198"/>
      <c r="P396" s="198"/>
      <c r="Q396" s="198"/>
      <c r="R396" s="198"/>
      <c r="S396" s="198"/>
      <c r="T396" s="195"/>
      <c r="U396" s="195"/>
      <c r="V396" s="195"/>
      <c r="W396" s="195"/>
      <c r="X396" s="195"/>
      <c r="Y396" s="195"/>
      <c r="Z396" s="195"/>
    </row>
    <row r="397" ht="15.75" customHeight="1" spans="1:26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8"/>
      <c r="L397" s="198"/>
      <c r="M397" s="198"/>
      <c r="N397" s="198"/>
      <c r="O397" s="198"/>
      <c r="P397" s="198"/>
      <c r="Q397" s="198"/>
      <c r="R397" s="198"/>
      <c r="S397" s="198"/>
      <c r="T397" s="195"/>
      <c r="U397" s="195"/>
      <c r="V397" s="195"/>
      <c r="W397" s="195"/>
      <c r="X397" s="195"/>
      <c r="Y397" s="195"/>
      <c r="Z397" s="195"/>
    </row>
    <row r="398" ht="15.75" customHeight="1" spans="1:26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8"/>
      <c r="L398" s="198"/>
      <c r="M398" s="198"/>
      <c r="N398" s="198"/>
      <c r="O398" s="198"/>
      <c r="P398" s="198"/>
      <c r="Q398" s="198"/>
      <c r="R398" s="198"/>
      <c r="S398" s="198"/>
      <c r="T398" s="195"/>
      <c r="U398" s="195"/>
      <c r="V398" s="195"/>
      <c r="W398" s="195"/>
      <c r="X398" s="195"/>
      <c r="Y398" s="195"/>
      <c r="Z398" s="195"/>
    </row>
    <row r="399" ht="15.75" customHeight="1" spans="1:26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8"/>
      <c r="L399" s="198"/>
      <c r="M399" s="198"/>
      <c r="N399" s="198"/>
      <c r="O399" s="198"/>
      <c r="P399" s="198"/>
      <c r="Q399" s="198"/>
      <c r="R399" s="198"/>
      <c r="S399" s="198"/>
      <c r="T399" s="195"/>
      <c r="U399" s="195"/>
      <c r="V399" s="195"/>
      <c r="W399" s="195"/>
      <c r="X399" s="195"/>
      <c r="Y399" s="195"/>
      <c r="Z399" s="195"/>
    </row>
    <row r="400" ht="15.75" customHeight="1" spans="1:26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8"/>
      <c r="L400" s="198"/>
      <c r="M400" s="198"/>
      <c r="N400" s="198"/>
      <c r="O400" s="198"/>
      <c r="P400" s="198"/>
      <c r="Q400" s="198"/>
      <c r="R400" s="198"/>
      <c r="S400" s="198"/>
      <c r="T400" s="195"/>
      <c r="U400" s="195"/>
      <c r="V400" s="195"/>
      <c r="W400" s="195"/>
      <c r="X400" s="195"/>
      <c r="Y400" s="195"/>
      <c r="Z400" s="195"/>
    </row>
    <row r="401" ht="15.75" customHeight="1" spans="1:26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8"/>
      <c r="L401" s="198"/>
      <c r="M401" s="198"/>
      <c r="N401" s="198"/>
      <c r="O401" s="198"/>
      <c r="P401" s="198"/>
      <c r="Q401" s="198"/>
      <c r="R401" s="198"/>
      <c r="S401" s="198"/>
      <c r="T401" s="195"/>
      <c r="U401" s="195"/>
      <c r="V401" s="195"/>
      <c r="W401" s="195"/>
      <c r="X401" s="195"/>
      <c r="Y401" s="195"/>
      <c r="Z401" s="195"/>
    </row>
    <row r="402" ht="15.75" customHeight="1" spans="1:26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8"/>
      <c r="L402" s="198"/>
      <c r="M402" s="198"/>
      <c r="N402" s="198"/>
      <c r="O402" s="198"/>
      <c r="P402" s="198"/>
      <c r="Q402" s="198"/>
      <c r="R402" s="198"/>
      <c r="S402" s="198"/>
      <c r="T402" s="195"/>
      <c r="U402" s="195"/>
      <c r="V402" s="195"/>
      <c r="W402" s="195"/>
      <c r="X402" s="195"/>
      <c r="Y402" s="195"/>
      <c r="Z402" s="195"/>
    </row>
    <row r="403" ht="15.75" customHeight="1" spans="1:26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8"/>
      <c r="L403" s="198"/>
      <c r="M403" s="198"/>
      <c r="N403" s="198"/>
      <c r="O403" s="198"/>
      <c r="P403" s="198"/>
      <c r="Q403" s="198"/>
      <c r="R403" s="198"/>
      <c r="S403" s="198"/>
      <c r="T403" s="195"/>
      <c r="U403" s="195"/>
      <c r="V403" s="195"/>
      <c r="W403" s="195"/>
      <c r="X403" s="195"/>
      <c r="Y403" s="195"/>
      <c r="Z403" s="195"/>
    </row>
    <row r="404" ht="15.75" customHeight="1" spans="1:26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8"/>
      <c r="L404" s="198"/>
      <c r="M404" s="198"/>
      <c r="N404" s="198"/>
      <c r="O404" s="198"/>
      <c r="P404" s="198"/>
      <c r="Q404" s="198"/>
      <c r="R404" s="198"/>
      <c r="S404" s="198"/>
      <c r="T404" s="195"/>
      <c r="U404" s="195"/>
      <c r="V404" s="195"/>
      <c r="W404" s="195"/>
      <c r="X404" s="195"/>
      <c r="Y404" s="195"/>
      <c r="Z404" s="195"/>
    </row>
    <row r="405" ht="15.75" customHeight="1" spans="1:26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8"/>
      <c r="L405" s="198"/>
      <c r="M405" s="198"/>
      <c r="N405" s="198"/>
      <c r="O405" s="198"/>
      <c r="P405" s="198"/>
      <c r="Q405" s="198"/>
      <c r="R405" s="198"/>
      <c r="S405" s="198"/>
      <c r="T405" s="195"/>
      <c r="U405" s="195"/>
      <c r="V405" s="195"/>
      <c r="W405" s="195"/>
      <c r="X405" s="195"/>
      <c r="Y405" s="195"/>
      <c r="Z405" s="195"/>
    </row>
    <row r="406" ht="15.75" customHeight="1" spans="1:2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8"/>
      <c r="L406" s="198"/>
      <c r="M406" s="198"/>
      <c r="N406" s="198"/>
      <c r="O406" s="198"/>
      <c r="P406" s="198"/>
      <c r="Q406" s="198"/>
      <c r="R406" s="198"/>
      <c r="S406" s="198"/>
      <c r="T406" s="195"/>
      <c r="U406" s="195"/>
      <c r="V406" s="195"/>
      <c r="W406" s="195"/>
      <c r="X406" s="195"/>
      <c r="Y406" s="195"/>
      <c r="Z406" s="195"/>
    </row>
    <row r="407" ht="15.75" customHeight="1" spans="1:26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8"/>
      <c r="L407" s="198"/>
      <c r="M407" s="198"/>
      <c r="N407" s="198"/>
      <c r="O407" s="198"/>
      <c r="P407" s="198"/>
      <c r="Q407" s="198"/>
      <c r="R407" s="198"/>
      <c r="S407" s="198"/>
      <c r="T407" s="195"/>
      <c r="U407" s="195"/>
      <c r="V407" s="195"/>
      <c r="W407" s="195"/>
      <c r="X407" s="195"/>
      <c r="Y407" s="195"/>
      <c r="Z407" s="195"/>
    </row>
    <row r="408" ht="15.75" customHeight="1" spans="1:26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8"/>
      <c r="L408" s="198"/>
      <c r="M408" s="198"/>
      <c r="N408" s="198"/>
      <c r="O408" s="198"/>
      <c r="P408" s="198"/>
      <c r="Q408" s="198"/>
      <c r="R408" s="198"/>
      <c r="S408" s="198"/>
      <c r="T408" s="195"/>
      <c r="U408" s="195"/>
      <c r="V408" s="195"/>
      <c r="W408" s="195"/>
      <c r="X408" s="195"/>
      <c r="Y408" s="195"/>
      <c r="Z408" s="195"/>
    </row>
    <row r="409" ht="15.75" customHeight="1" spans="1:26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8"/>
      <c r="L409" s="198"/>
      <c r="M409" s="198"/>
      <c r="N409" s="198"/>
      <c r="O409" s="198"/>
      <c r="P409" s="198"/>
      <c r="Q409" s="198"/>
      <c r="R409" s="198"/>
      <c r="S409" s="198"/>
      <c r="T409" s="195"/>
      <c r="U409" s="195"/>
      <c r="V409" s="195"/>
      <c r="W409" s="195"/>
      <c r="X409" s="195"/>
      <c r="Y409" s="195"/>
      <c r="Z409" s="195"/>
    </row>
    <row r="410" ht="15.75" customHeight="1" spans="1:26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8"/>
      <c r="L410" s="198"/>
      <c r="M410" s="198"/>
      <c r="N410" s="198"/>
      <c r="O410" s="198"/>
      <c r="P410" s="198"/>
      <c r="Q410" s="198"/>
      <c r="R410" s="198"/>
      <c r="S410" s="198"/>
      <c r="T410" s="195"/>
      <c r="U410" s="195"/>
      <c r="V410" s="195"/>
      <c r="W410" s="195"/>
      <c r="X410" s="195"/>
      <c r="Y410" s="195"/>
      <c r="Z410" s="195"/>
    </row>
    <row r="411" ht="15.75" customHeight="1" spans="1:26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8"/>
      <c r="L411" s="198"/>
      <c r="M411" s="198"/>
      <c r="N411" s="198"/>
      <c r="O411" s="198"/>
      <c r="P411" s="198"/>
      <c r="Q411" s="198"/>
      <c r="R411" s="198"/>
      <c r="S411" s="198"/>
      <c r="T411" s="195"/>
      <c r="U411" s="195"/>
      <c r="V411" s="195"/>
      <c r="W411" s="195"/>
      <c r="X411" s="195"/>
      <c r="Y411" s="195"/>
      <c r="Z411" s="195"/>
    </row>
    <row r="412" ht="15.75" customHeight="1" spans="1:26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8"/>
      <c r="L412" s="198"/>
      <c r="M412" s="198"/>
      <c r="N412" s="198"/>
      <c r="O412" s="198"/>
      <c r="P412" s="198"/>
      <c r="Q412" s="198"/>
      <c r="R412" s="198"/>
      <c r="S412" s="198"/>
      <c r="T412" s="195"/>
      <c r="U412" s="195"/>
      <c r="V412" s="195"/>
      <c r="W412" s="195"/>
      <c r="X412" s="195"/>
      <c r="Y412" s="195"/>
      <c r="Z412" s="195"/>
    </row>
    <row r="413" ht="15.75" customHeight="1" spans="1:26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8"/>
      <c r="L413" s="198"/>
      <c r="M413" s="198"/>
      <c r="N413" s="198"/>
      <c r="O413" s="198"/>
      <c r="P413" s="198"/>
      <c r="Q413" s="198"/>
      <c r="R413" s="198"/>
      <c r="S413" s="198"/>
      <c r="T413" s="195"/>
      <c r="U413" s="195"/>
      <c r="V413" s="195"/>
      <c r="W413" s="195"/>
      <c r="X413" s="195"/>
      <c r="Y413" s="195"/>
      <c r="Z413" s="195"/>
    </row>
    <row r="414" ht="15.75" customHeight="1" spans="1:26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8"/>
      <c r="L414" s="198"/>
      <c r="M414" s="198"/>
      <c r="N414" s="198"/>
      <c r="O414" s="198"/>
      <c r="P414" s="198"/>
      <c r="Q414" s="198"/>
      <c r="R414" s="198"/>
      <c r="S414" s="198"/>
      <c r="T414" s="195"/>
      <c r="U414" s="195"/>
      <c r="V414" s="195"/>
      <c r="W414" s="195"/>
      <c r="X414" s="195"/>
      <c r="Y414" s="195"/>
      <c r="Z414" s="195"/>
    </row>
    <row r="415" ht="15.75" customHeight="1" spans="1:26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8"/>
      <c r="L415" s="198"/>
      <c r="M415" s="198"/>
      <c r="N415" s="198"/>
      <c r="O415" s="198"/>
      <c r="P415" s="198"/>
      <c r="Q415" s="198"/>
      <c r="R415" s="198"/>
      <c r="S415" s="198"/>
      <c r="T415" s="195"/>
      <c r="U415" s="195"/>
      <c r="V415" s="195"/>
      <c r="W415" s="195"/>
      <c r="X415" s="195"/>
      <c r="Y415" s="195"/>
      <c r="Z415" s="195"/>
    </row>
    <row r="416" ht="15.75" customHeight="1" spans="1:2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8"/>
      <c r="L416" s="198"/>
      <c r="M416" s="198"/>
      <c r="N416" s="198"/>
      <c r="O416" s="198"/>
      <c r="P416" s="198"/>
      <c r="Q416" s="198"/>
      <c r="R416" s="198"/>
      <c r="S416" s="198"/>
      <c r="T416" s="195"/>
      <c r="U416" s="195"/>
      <c r="V416" s="195"/>
      <c r="W416" s="195"/>
      <c r="X416" s="195"/>
      <c r="Y416" s="195"/>
      <c r="Z416" s="195"/>
    </row>
    <row r="417" ht="15.75" customHeight="1" spans="1:26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8"/>
      <c r="L417" s="198"/>
      <c r="M417" s="198"/>
      <c r="N417" s="198"/>
      <c r="O417" s="198"/>
      <c r="P417" s="198"/>
      <c r="Q417" s="198"/>
      <c r="R417" s="198"/>
      <c r="S417" s="198"/>
      <c r="T417" s="195"/>
      <c r="U417" s="195"/>
      <c r="V417" s="195"/>
      <c r="W417" s="195"/>
      <c r="X417" s="195"/>
      <c r="Y417" s="195"/>
      <c r="Z417" s="195"/>
    </row>
    <row r="418" ht="15.75" customHeight="1" spans="1:26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8"/>
      <c r="L418" s="198"/>
      <c r="M418" s="198"/>
      <c r="N418" s="198"/>
      <c r="O418" s="198"/>
      <c r="P418" s="198"/>
      <c r="Q418" s="198"/>
      <c r="R418" s="198"/>
      <c r="S418" s="198"/>
      <c r="T418" s="195"/>
      <c r="U418" s="195"/>
      <c r="V418" s="195"/>
      <c r="W418" s="195"/>
      <c r="X418" s="195"/>
      <c r="Y418" s="195"/>
      <c r="Z418" s="195"/>
    </row>
    <row r="419" ht="15.75" customHeight="1" spans="1:26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8"/>
      <c r="L419" s="198"/>
      <c r="M419" s="198"/>
      <c r="N419" s="198"/>
      <c r="O419" s="198"/>
      <c r="P419" s="198"/>
      <c r="Q419" s="198"/>
      <c r="R419" s="198"/>
      <c r="S419" s="198"/>
      <c r="T419" s="195"/>
      <c r="U419" s="195"/>
      <c r="V419" s="195"/>
      <c r="W419" s="195"/>
      <c r="X419" s="195"/>
      <c r="Y419" s="195"/>
      <c r="Z419" s="195"/>
    </row>
    <row r="420" ht="15.75" customHeight="1" spans="1:26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8"/>
      <c r="L420" s="198"/>
      <c r="M420" s="198"/>
      <c r="N420" s="198"/>
      <c r="O420" s="198"/>
      <c r="P420" s="198"/>
      <c r="Q420" s="198"/>
      <c r="R420" s="198"/>
      <c r="S420" s="198"/>
      <c r="T420" s="195"/>
      <c r="U420" s="195"/>
      <c r="V420" s="195"/>
      <c r="W420" s="195"/>
      <c r="X420" s="195"/>
      <c r="Y420" s="195"/>
      <c r="Z420" s="195"/>
    </row>
    <row r="421" ht="15.75" customHeight="1" spans="1:26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8"/>
      <c r="L421" s="198"/>
      <c r="M421" s="198"/>
      <c r="N421" s="198"/>
      <c r="O421" s="198"/>
      <c r="P421" s="198"/>
      <c r="Q421" s="198"/>
      <c r="R421" s="198"/>
      <c r="S421" s="198"/>
      <c r="T421" s="195"/>
      <c r="U421" s="195"/>
      <c r="V421" s="195"/>
      <c r="W421" s="195"/>
      <c r="X421" s="195"/>
      <c r="Y421" s="195"/>
      <c r="Z421" s="195"/>
    </row>
    <row r="422" ht="15.75" customHeight="1" spans="1:26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8"/>
      <c r="L422" s="198"/>
      <c r="M422" s="198"/>
      <c r="N422" s="198"/>
      <c r="O422" s="198"/>
      <c r="P422" s="198"/>
      <c r="Q422" s="198"/>
      <c r="R422" s="198"/>
      <c r="S422" s="198"/>
      <c r="T422" s="195"/>
      <c r="U422" s="195"/>
      <c r="V422" s="195"/>
      <c r="W422" s="195"/>
      <c r="X422" s="195"/>
      <c r="Y422" s="195"/>
      <c r="Z422" s="195"/>
    </row>
    <row r="423" ht="15.75" customHeight="1" spans="1:26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8"/>
      <c r="L423" s="198"/>
      <c r="M423" s="198"/>
      <c r="N423" s="198"/>
      <c r="O423" s="198"/>
      <c r="P423" s="198"/>
      <c r="Q423" s="198"/>
      <c r="R423" s="198"/>
      <c r="S423" s="198"/>
      <c r="T423" s="195"/>
      <c r="U423" s="195"/>
      <c r="V423" s="195"/>
      <c r="W423" s="195"/>
      <c r="X423" s="195"/>
      <c r="Y423" s="195"/>
      <c r="Z423" s="195"/>
    </row>
    <row r="424" ht="15.75" customHeight="1" spans="1:26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8"/>
      <c r="L424" s="198"/>
      <c r="M424" s="198"/>
      <c r="N424" s="198"/>
      <c r="O424" s="198"/>
      <c r="P424" s="198"/>
      <c r="Q424" s="198"/>
      <c r="R424" s="198"/>
      <c r="S424" s="198"/>
      <c r="T424" s="195"/>
      <c r="U424" s="195"/>
      <c r="V424" s="195"/>
      <c r="W424" s="195"/>
      <c r="X424" s="195"/>
      <c r="Y424" s="195"/>
      <c r="Z424" s="195"/>
    </row>
    <row r="425" ht="15.75" customHeight="1" spans="1:26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8"/>
      <c r="L425" s="198"/>
      <c r="M425" s="198"/>
      <c r="N425" s="198"/>
      <c r="O425" s="198"/>
      <c r="P425" s="198"/>
      <c r="Q425" s="198"/>
      <c r="R425" s="198"/>
      <c r="S425" s="198"/>
      <c r="T425" s="195"/>
      <c r="U425" s="195"/>
      <c r="V425" s="195"/>
      <c r="W425" s="195"/>
      <c r="X425" s="195"/>
      <c r="Y425" s="195"/>
      <c r="Z425" s="195"/>
    </row>
    <row r="426" ht="15.75" customHeight="1" spans="1: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8"/>
      <c r="L426" s="198"/>
      <c r="M426" s="198"/>
      <c r="N426" s="198"/>
      <c r="O426" s="198"/>
      <c r="P426" s="198"/>
      <c r="Q426" s="198"/>
      <c r="R426" s="198"/>
      <c r="S426" s="198"/>
      <c r="T426" s="195"/>
      <c r="U426" s="195"/>
      <c r="V426" s="195"/>
      <c r="W426" s="195"/>
      <c r="X426" s="195"/>
      <c r="Y426" s="195"/>
      <c r="Z426" s="195"/>
    </row>
    <row r="427" ht="15.75" customHeight="1" spans="1:26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8"/>
      <c r="L427" s="198"/>
      <c r="M427" s="198"/>
      <c r="N427" s="198"/>
      <c r="O427" s="198"/>
      <c r="P427" s="198"/>
      <c r="Q427" s="198"/>
      <c r="R427" s="198"/>
      <c r="S427" s="198"/>
      <c r="T427" s="195"/>
      <c r="U427" s="195"/>
      <c r="V427" s="195"/>
      <c r="W427" s="195"/>
      <c r="X427" s="195"/>
      <c r="Y427" s="195"/>
      <c r="Z427" s="195"/>
    </row>
    <row r="428" ht="15.75" customHeight="1" spans="1:26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8"/>
      <c r="L428" s="198"/>
      <c r="M428" s="198"/>
      <c r="N428" s="198"/>
      <c r="O428" s="198"/>
      <c r="P428" s="198"/>
      <c r="Q428" s="198"/>
      <c r="R428" s="198"/>
      <c r="S428" s="198"/>
      <c r="T428" s="195"/>
      <c r="U428" s="195"/>
      <c r="V428" s="195"/>
      <c r="W428" s="195"/>
      <c r="X428" s="195"/>
      <c r="Y428" s="195"/>
      <c r="Z428" s="195"/>
    </row>
    <row r="429" ht="15.75" customHeight="1" spans="1:26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8"/>
      <c r="L429" s="198"/>
      <c r="M429" s="198"/>
      <c r="N429" s="198"/>
      <c r="O429" s="198"/>
      <c r="P429" s="198"/>
      <c r="Q429" s="198"/>
      <c r="R429" s="198"/>
      <c r="S429" s="198"/>
      <c r="T429" s="195"/>
      <c r="U429" s="195"/>
      <c r="V429" s="195"/>
      <c r="W429" s="195"/>
      <c r="X429" s="195"/>
      <c r="Y429" s="195"/>
      <c r="Z429" s="195"/>
    </row>
    <row r="430" ht="15.75" customHeight="1" spans="1:26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8"/>
      <c r="L430" s="198"/>
      <c r="M430" s="198"/>
      <c r="N430" s="198"/>
      <c r="O430" s="198"/>
      <c r="P430" s="198"/>
      <c r="Q430" s="198"/>
      <c r="R430" s="198"/>
      <c r="S430" s="198"/>
      <c r="T430" s="195"/>
      <c r="U430" s="195"/>
      <c r="V430" s="195"/>
      <c r="W430" s="195"/>
      <c r="X430" s="195"/>
      <c r="Y430" s="195"/>
      <c r="Z430" s="195"/>
    </row>
    <row r="431" ht="15.75" customHeight="1" spans="1:26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8"/>
      <c r="L431" s="198"/>
      <c r="M431" s="198"/>
      <c r="N431" s="198"/>
      <c r="O431" s="198"/>
      <c r="P431" s="198"/>
      <c r="Q431" s="198"/>
      <c r="R431" s="198"/>
      <c r="S431" s="198"/>
      <c r="T431" s="195"/>
      <c r="U431" s="195"/>
      <c r="V431" s="195"/>
      <c r="W431" s="195"/>
      <c r="X431" s="195"/>
      <c r="Y431" s="195"/>
      <c r="Z431" s="195"/>
    </row>
    <row r="432" ht="15.75" customHeight="1" spans="1:26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8"/>
      <c r="L432" s="198"/>
      <c r="M432" s="198"/>
      <c r="N432" s="198"/>
      <c r="O432" s="198"/>
      <c r="P432" s="198"/>
      <c r="Q432" s="198"/>
      <c r="R432" s="198"/>
      <c r="S432" s="198"/>
      <c r="T432" s="195"/>
      <c r="U432" s="195"/>
      <c r="V432" s="195"/>
      <c r="W432" s="195"/>
      <c r="X432" s="195"/>
      <c r="Y432" s="195"/>
      <c r="Z432" s="195"/>
    </row>
    <row r="433" ht="15.75" customHeight="1" spans="1:26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8"/>
      <c r="L433" s="198"/>
      <c r="M433" s="198"/>
      <c r="N433" s="198"/>
      <c r="O433" s="198"/>
      <c r="P433" s="198"/>
      <c r="Q433" s="198"/>
      <c r="R433" s="198"/>
      <c r="S433" s="198"/>
      <c r="T433" s="195"/>
      <c r="U433" s="195"/>
      <c r="V433" s="195"/>
      <c r="W433" s="195"/>
      <c r="X433" s="195"/>
      <c r="Y433" s="195"/>
      <c r="Z433" s="195"/>
    </row>
    <row r="434" ht="15.75" customHeight="1" spans="1:26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8"/>
      <c r="L434" s="198"/>
      <c r="M434" s="198"/>
      <c r="N434" s="198"/>
      <c r="O434" s="198"/>
      <c r="P434" s="198"/>
      <c r="Q434" s="198"/>
      <c r="R434" s="198"/>
      <c r="S434" s="198"/>
      <c r="T434" s="195"/>
      <c r="U434" s="195"/>
      <c r="V434" s="195"/>
      <c r="W434" s="195"/>
      <c r="X434" s="195"/>
      <c r="Y434" s="195"/>
      <c r="Z434" s="195"/>
    </row>
    <row r="435" ht="15.75" customHeight="1" spans="1:26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8"/>
      <c r="L435" s="198"/>
      <c r="M435" s="198"/>
      <c r="N435" s="198"/>
      <c r="O435" s="198"/>
      <c r="P435" s="198"/>
      <c r="Q435" s="198"/>
      <c r="R435" s="198"/>
      <c r="S435" s="198"/>
      <c r="T435" s="195"/>
      <c r="U435" s="195"/>
      <c r="V435" s="195"/>
      <c r="W435" s="195"/>
      <c r="X435" s="195"/>
      <c r="Y435" s="195"/>
      <c r="Z435" s="195"/>
    </row>
    <row r="436" ht="15.75" customHeight="1" spans="1:2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8"/>
      <c r="L436" s="198"/>
      <c r="M436" s="198"/>
      <c r="N436" s="198"/>
      <c r="O436" s="198"/>
      <c r="P436" s="198"/>
      <c r="Q436" s="198"/>
      <c r="R436" s="198"/>
      <c r="S436" s="198"/>
      <c r="T436" s="195"/>
      <c r="U436" s="195"/>
      <c r="V436" s="195"/>
      <c r="W436" s="195"/>
      <c r="X436" s="195"/>
      <c r="Y436" s="195"/>
      <c r="Z436" s="195"/>
    </row>
    <row r="437" ht="15.75" customHeight="1" spans="1:26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8"/>
      <c r="L437" s="198"/>
      <c r="M437" s="198"/>
      <c r="N437" s="198"/>
      <c r="O437" s="198"/>
      <c r="P437" s="198"/>
      <c r="Q437" s="198"/>
      <c r="R437" s="198"/>
      <c r="S437" s="198"/>
      <c r="T437" s="195"/>
      <c r="U437" s="195"/>
      <c r="V437" s="195"/>
      <c r="W437" s="195"/>
      <c r="X437" s="195"/>
      <c r="Y437" s="195"/>
      <c r="Z437" s="195"/>
    </row>
    <row r="438" ht="15.75" customHeight="1" spans="1:26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8"/>
      <c r="L438" s="198"/>
      <c r="M438" s="198"/>
      <c r="N438" s="198"/>
      <c r="O438" s="198"/>
      <c r="P438" s="198"/>
      <c r="Q438" s="198"/>
      <c r="R438" s="198"/>
      <c r="S438" s="198"/>
      <c r="T438" s="195"/>
      <c r="U438" s="195"/>
      <c r="V438" s="195"/>
      <c r="W438" s="195"/>
      <c r="X438" s="195"/>
      <c r="Y438" s="195"/>
      <c r="Z438" s="195"/>
    </row>
    <row r="439" ht="15.75" customHeight="1" spans="1:26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8"/>
      <c r="L439" s="198"/>
      <c r="M439" s="198"/>
      <c r="N439" s="198"/>
      <c r="O439" s="198"/>
      <c r="P439" s="198"/>
      <c r="Q439" s="198"/>
      <c r="R439" s="198"/>
      <c r="S439" s="198"/>
      <c r="T439" s="195"/>
      <c r="U439" s="195"/>
      <c r="V439" s="195"/>
      <c r="W439" s="195"/>
      <c r="X439" s="195"/>
      <c r="Y439" s="195"/>
      <c r="Z439" s="195"/>
    </row>
    <row r="440" ht="15.75" customHeight="1" spans="1:26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8"/>
      <c r="L440" s="198"/>
      <c r="M440" s="198"/>
      <c r="N440" s="198"/>
      <c r="O440" s="198"/>
      <c r="P440" s="198"/>
      <c r="Q440" s="198"/>
      <c r="R440" s="198"/>
      <c r="S440" s="198"/>
      <c r="T440" s="195"/>
      <c r="U440" s="195"/>
      <c r="V440" s="195"/>
      <c r="W440" s="195"/>
      <c r="X440" s="195"/>
      <c r="Y440" s="195"/>
      <c r="Z440" s="195"/>
    </row>
    <row r="441" ht="15.75" customHeight="1" spans="1:26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8"/>
      <c r="L441" s="198"/>
      <c r="M441" s="198"/>
      <c r="N441" s="198"/>
      <c r="O441" s="198"/>
      <c r="P441" s="198"/>
      <c r="Q441" s="198"/>
      <c r="R441" s="198"/>
      <c r="S441" s="198"/>
      <c r="T441" s="195"/>
      <c r="U441" s="195"/>
      <c r="V441" s="195"/>
      <c r="W441" s="195"/>
      <c r="X441" s="195"/>
      <c r="Y441" s="195"/>
      <c r="Z441" s="195"/>
    </row>
    <row r="442" ht="15.75" customHeight="1" spans="1:26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8"/>
      <c r="L442" s="198"/>
      <c r="M442" s="198"/>
      <c r="N442" s="198"/>
      <c r="O442" s="198"/>
      <c r="P442" s="198"/>
      <c r="Q442" s="198"/>
      <c r="R442" s="198"/>
      <c r="S442" s="198"/>
      <c r="T442" s="195"/>
      <c r="U442" s="195"/>
      <c r="V442" s="195"/>
      <c r="W442" s="195"/>
      <c r="X442" s="195"/>
      <c r="Y442" s="195"/>
      <c r="Z442" s="195"/>
    </row>
    <row r="443" ht="15.75" customHeight="1" spans="1:26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8"/>
      <c r="L443" s="198"/>
      <c r="M443" s="198"/>
      <c r="N443" s="198"/>
      <c r="O443" s="198"/>
      <c r="P443" s="198"/>
      <c r="Q443" s="198"/>
      <c r="R443" s="198"/>
      <c r="S443" s="198"/>
      <c r="T443" s="195"/>
      <c r="U443" s="195"/>
      <c r="V443" s="195"/>
      <c r="W443" s="195"/>
      <c r="X443" s="195"/>
      <c r="Y443" s="195"/>
      <c r="Z443" s="195"/>
    </row>
    <row r="444" ht="15.75" customHeight="1" spans="1:26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8"/>
      <c r="L444" s="198"/>
      <c r="M444" s="198"/>
      <c r="N444" s="198"/>
      <c r="O444" s="198"/>
      <c r="P444" s="198"/>
      <c r="Q444" s="198"/>
      <c r="R444" s="198"/>
      <c r="S444" s="198"/>
      <c r="T444" s="195"/>
      <c r="U444" s="195"/>
      <c r="V444" s="195"/>
      <c r="W444" s="195"/>
      <c r="X444" s="195"/>
      <c r="Y444" s="195"/>
      <c r="Z444" s="195"/>
    </row>
    <row r="445" ht="15.75" customHeight="1" spans="1:26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8"/>
      <c r="L445" s="198"/>
      <c r="M445" s="198"/>
      <c r="N445" s="198"/>
      <c r="O445" s="198"/>
      <c r="P445" s="198"/>
      <c r="Q445" s="198"/>
      <c r="R445" s="198"/>
      <c r="S445" s="198"/>
      <c r="T445" s="195"/>
      <c r="U445" s="195"/>
      <c r="V445" s="195"/>
      <c r="W445" s="195"/>
      <c r="X445" s="195"/>
      <c r="Y445" s="195"/>
      <c r="Z445" s="195"/>
    </row>
    <row r="446" ht="15.75" customHeight="1" spans="1:2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8"/>
      <c r="L446" s="198"/>
      <c r="M446" s="198"/>
      <c r="N446" s="198"/>
      <c r="O446" s="198"/>
      <c r="P446" s="198"/>
      <c r="Q446" s="198"/>
      <c r="R446" s="198"/>
      <c r="S446" s="198"/>
      <c r="T446" s="195"/>
      <c r="U446" s="195"/>
      <c r="V446" s="195"/>
      <c r="W446" s="195"/>
      <c r="X446" s="195"/>
      <c r="Y446" s="195"/>
      <c r="Z446" s="195"/>
    </row>
    <row r="447" ht="15.75" customHeight="1" spans="1:26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8"/>
      <c r="L447" s="198"/>
      <c r="M447" s="198"/>
      <c r="N447" s="198"/>
      <c r="O447" s="198"/>
      <c r="P447" s="198"/>
      <c r="Q447" s="198"/>
      <c r="R447" s="198"/>
      <c r="S447" s="198"/>
      <c r="T447" s="195"/>
      <c r="U447" s="195"/>
      <c r="V447" s="195"/>
      <c r="W447" s="195"/>
      <c r="X447" s="195"/>
      <c r="Y447" s="195"/>
      <c r="Z447" s="195"/>
    </row>
    <row r="448" ht="15.75" customHeight="1" spans="1:26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8"/>
      <c r="L448" s="198"/>
      <c r="M448" s="198"/>
      <c r="N448" s="198"/>
      <c r="O448" s="198"/>
      <c r="P448" s="198"/>
      <c r="Q448" s="198"/>
      <c r="R448" s="198"/>
      <c r="S448" s="198"/>
      <c r="T448" s="195"/>
      <c r="U448" s="195"/>
      <c r="V448" s="195"/>
      <c r="W448" s="195"/>
      <c r="X448" s="195"/>
      <c r="Y448" s="195"/>
      <c r="Z448" s="195"/>
    </row>
    <row r="449" ht="15.75" customHeight="1" spans="1:26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8"/>
      <c r="L449" s="198"/>
      <c r="M449" s="198"/>
      <c r="N449" s="198"/>
      <c r="O449" s="198"/>
      <c r="P449" s="198"/>
      <c r="Q449" s="198"/>
      <c r="R449" s="198"/>
      <c r="S449" s="198"/>
      <c r="T449" s="195"/>
      <c r="U449" s="195"/>
      <c r="V449" s="195"/>
      <c r="W449" s="195"/>
      <c r="X449" s="195"/>
      <c r="Y449" s="195"/>
      <c r="Z449" s="195"/>
    </row>
    <row r="450" ht="15.75" customHeight="1" spans="1:26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8"/>
      <c r="L450" s="198"/>
      <c r="M450" s="198"/>
      <c r="N450" s="198"/>
      <c r="O450" s="198"/>
      <c r="P450" s="198"/>
      <c r="Q450" s="198"/>
      <c r="R450" s="198"/>
      <c r="S450" s="198"/>
      <c r="T450" s="195"/>
      <c r="U450" s="195"/>
      <c r="V450" s="195"/>
      <c r="W450" s="195"/>
      <c r="X450" s="195"/>
      <c r="Y450" s="195"/>
      <c r="Z450" s="195"/>
    </row>
    <row r="451" ht="15.75" customHeight="1" spans="1:26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8"/>
      <c r="L451" s="198"/>
      <c r="M451" s="198"/>
      <c r="N451" s="198"/>
      <c r="O451" s="198"/>
      <c r="P451" s="198"/>
      <c r="Q451" s="198"/>
      <c r="R451" s="198"/>
      <c r="S451" s="198"/>
      <c r="T451" s="195"/>
      <c r="U451" s="195"/>
      <c r="V451" s="195"/>
      <c r="W451" s="195"/>
      <c r="X451" s="195"/>
      <c r="Y451" s="195"/>
      <c r="Z451" s="195"/>
    </row>
    <row r="452" ht="15.75" customHeight="1" spans="1:26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8"/>
      <c r="L452" s="198"/>
      <c r="M452" s="198"/>
      <c r="N452" s="198"/>
      <c r="O452" s="198"/>
      <c r="P452" s="198"/>
      <c r="Q452" s="198"/>
      <c r="R452" s="198"/>
      <c r="S452" s="198"/>
      <c r="T452" s="195"/>
      <c r="U452" s="195"/>
      <c r="V452" s="195"/>
      <c r="W452" s="195"/>
      <c r="X452" s="195"/>
      <c r="Y452" s="195"/>
      <c r="Z452" s="195"/>
    </row>
    <row r="453" ht="15.75" customHeight="1" spans="1:26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8"/>
      <c r="L453" s="198"/>
      <c r="M453" s="198"/>
      <c r="N453" s="198"/>
      <c r="O453" s="198"/>
      <c r="P453" s="198"/>
      <c r="Q453" s="198"/>
      <c r="R453" s="198"/>
      <c r="S453" s="198"/>
      <c r="T453" s="195"/>
      <c r="U453" s="195"/>
      <c r="V453" s="195"/>
      <c r="W453" s="195"/>
      <c r="X453" s="195"/>
      <c r="Y453" s="195"/>
      <c r="Z453" s="195"/>
    </row>
    <row r="454" ht="15.75" customHeight="1" spans="1:26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8"/>
      <c r="L454" s="198"/>
      <c r="M454" s="198"/>
      <c r="N454" s="198"/>
      <c r="O454" s="198"/>
      <c r="P454" s="198"/>
      <c r="Q454" s="198"/>
      <c r="R454" s="198"/>
      <c r="S454" s="198"/>
      <c r="T454" s="195"/>
      <c r="U454" s="195"/>
      <c r="V454" s="195"/>
      <c r="W454" s="195"/>
      <c r="X454" s="195"/>
      <c r="Y454" s="195"/>
      <c r="Z454" s="195"/>
    </row>
    <row r="455" ht="15.75" customHeight="1" spans="1:26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8"/>
      <c r="L455" s="198"/>
      <c r="M455" s="198"/>
      <c r="N455" s="198"/>
      <c r="O455" s="198"/>
      <c r="P455" s="198"/>
      <c r="Q455" s="198"/>
      <c r="R455" s="198"/>
      <c r="S455" s="198"/>
      <c r="T455" s="195"/>
      <c r="U455" s="195"/>
      <c r="V455" s="195"/>
      <c r="W455" s="195"/>
      <c r="X455" s="195"/>
      <c r="Y455" s="195"/>
      <c r="Z455" s="195"/>
    </row>
    <row r="456" ht="15.75" customHeight="1" spans="1:2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8"/>
      <c r="L456" s="198"/>
      <c r="M456" s="198"/>
      <c r="N456" s="198"/>
      <c r="O456" s="198"/>
      <c r="P456" s="198"/>
      <c r="Q456" s="198"/>
      <c r="R456" s="198"/>
      <c r="S456" s="198"/>
      <c r="T456" s="195"/>
      <c r="U456" s="195"/>
      <c r="V456" s="195"/>
      <c r="W456" s="195"/>
      <c r="X456" s="195"/>
      <c r="Y456" s="195"/>
      <c r="Z456" s="195"/>
    </row>
    <row r="457" ht="15.75" customHeight="1" spans="1:26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8"/>
      <c r="L457" s="198"/>
      <c r="M457" s="198"/>
      <c r="N457" s="198"/>
      <c r="O457" s="198"/>
      <c r="P457" s="198"/>
      <c r="Q457" s="198"/>
      <c r="R457" s="198"/>
      <c r="S457" s="198"/>
      <c r="T457" s="195"/>
      <c r="U457" s="195"/>
      <c r="V457" s="195"/>
      <c r="W457" s="195"/>
      <c r="X457" s="195"/>
      <c r="Y457" s="195"/>
      <c r="Z457" s="195"/>
    </row>
    <row r="458" ht="15.75" customHeight="1" spans="1:26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8"/>
      <c r="L458" s="198"/>
      <c r="M458" s="198"/>
      <c r="N458" s="198"/>
      <c r="O458" s="198"/>
      <c r="P458" s="198"/>
      <c r="Q458" s="198"/>
      <c r="R458" s="198"/>
      <c r="S458" s="198"/>
      <c r="T458" s="195"/>
      <c r="U458" s="195"/>
      <c r="V458" s="195"/>
      <c r="W458" s="195"/>
      <c r="X458" s="195"/>
      <c r="Y458" s="195"/>
      <c r="Z458" s="195"/>
    </row>
    <row r="459" ht="15.75" customHeight="1" spans="1:26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8"/>
      <c r="L459" s="198"/>
      <c r="M459" s="198"/>
      <c r="N459" s="198"/>
      <c r="O459" s="198"/>
      <c r="P459" s="198"/>
      <c r="Q459" s="198"/>
      <c r="R459" s="198"/>
      <c r="S459" s="198"/>
      <c r="T459" s="195"/>
      <c r="U459" s="195"/>
      <c r="V459" s="195"/>
      <c r="W459" s="195"/>
      <c r="X459" s="195"/>
      <c r="Y459" s="195"/>
      <c r="Z459" s="195"/>
    </row>
    <row r="460" ht="15.75" customHeight="1" spans="1:26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8"/>
      <c r="L460" s="198"/>
      <c r="M460" s="198"/>
      <c r="N460" s="198"/>
      <c r="O460" s="198"/>
      <c r="P460" s="198"/>
      <c r="Q460" s="198"/>
      <c r="R460" s="198"/>
      <c r="S460" s="198"/>
      <c r="T460" s="195"/>
      <c r="U460" s="195"/>
      <c r="V460" s="195"/>
      <c r="W460" s="195"/>
      <c r="X460" s="195"/>
      <c r="Y460" s="195"/>
      <c r="Z460" s="195"/>
    </row>
    <row r="461" ht="15.75" customHeight="1" spans="1:26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8"/>
      <c r="L461" s="198"/>
      <c r="M461" s="198"/>
      <c r="N461" s="198"/>
      <c r="O461" s="198"/>
      <c r="P461" s="198"/>
      <c r="Q461" s="198"/>
      <c r="R461" s="198"/>
      <c r="S461" s="198"/>
      <c r="T461" s="195"/>
      <c r="U461" s="195"/>
      <c r="V461" s="195"/>
      <c r="W461" s="195"/>
      <c r="X461" s="195"/>
      <c r="Y461" s="195"/>
      <c r="Z461" s="195"/>
    </row>
    <row r="462" ht="15.75" customHeight="1" spans="1:26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8"/>
      <c r="L462" s="198"/>
      <c r="M462" s="198"/>
      <c r="N462" s="198"/>
      <c r="O462" s="198"/>
      <c r="P462" s="198"/>
      <c r="Q462" s="198"/>
      <c r="R462" s="198"/>
      <c r="S462" s="198"/>
      <c r="T462" s="195"/>
      <c r="U462" s="195"/>
      <c r="V462" s="195"/>
      <c r="W462" s="195"/>
      <c r="X462" s="195"/>
      <c r="Y462" s="195"/>
      <c r="Z462" s="195"/>
    </row>
    <row r="463" ht="15.75" customHeight="1" spans="1:26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8"/>
      <c r="L463" s="198"/>
      <c r="M463" s="198"/>
      <c r="N463" s="198"/>
      <c r="O463" s="198"/>
      <c r="P463" s="198"/>
      <c r="Q463" s="198"/>
      <c r="R463" s="198"/>
      <c r="S463" s="198"/>
      <c r="T463" s="195"/>
      <c r="U463" s="195"/>
      <c r="V463" s="195"/>
      <c r="W463" s="195"/>
      <c r="X463" s="195"/>
      <c r="Y463" s="195"/>
      <c r="Z463" s="195"/>
    </row>
    <row r="464" ht="15.75" customHeight="1" spans="1:26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8"/>
      <c r="L464" s="198"/>
      <c r="M464" s="198"/>
      <c r="N464" s="198"/>
      <c r="O464" s="198"/>
      <c r="P464" s="198"/>
      <c r="Q464" s="198"/>
      <c r="R464" s="198"/>
      <c r="S464" s="198"/>
      <c r="T464" s="195"/>
      <c r="U464" s="195"/>
      <c r="V464" s="195"/>
      <c r="W464" s="195"/>
      <c r="X464" s="195"/>
      <c r="Y464" s="195"/>
      <c r="Z464" s="195"/>
    </row>
    <row r="465" ht="15.75" customHeight="1" spans="1:26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8"/>
      <c r="L465" s="198"/>
      <c r="M465" s="198"/>
      <c r="N465" s="198"/>
      <c r="O465" s="198"/>
      <c r="P465" s="198"/>
      <c r="Q465" s="198"/>
      <c r="R465" s="198"/>
      <c r="S465" s="198"/>
      <c r="T465" s="195"/>
      <c r="U465" s="195"/>
      <c r="V465" s="195"/>
      <c r="W465" s="195"/>
      <c r="X465" s="195"/>
      <c r="Y465" s="195"/>
      <c r="Z465" s="195"/>
    </row>
    <row r="466" ht="15.75" customHeight="1" spans="1:2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8"/>
      <c r="L466" s="198"/>
      <c r="M466" s="198"/>
      <c r="N466" s="198"/>
      <c r="O466" s="198"/>
      <c r="P466" s="198"/>
      <c r="Q466" s="198"/>
      <c r="R466" s="198"/>
      <c r="S466" s="198"/>
      <c r="T466" s="195"/>
      <c r="U466" s="195"/>
      <c r="V466" s="195"/>
      <c r="W466" s="195"/>
      <c r="X466" s="195"/>
      <c r="Y466" s="195"/>
      <c r="Z466" s="195"/>
    </row>
    <row r="467" ht="15.75" customHeight="1" spans="1:26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8"/>
      <c r="L467" s="198"/>
      <c r="M467" s="198"/>
      <c r="N467" s="198"/>
      <c r="O467" s="198"/>
      <c r="P467" s="198"/>
      <c r="Q467" s="198"/>
      <c r="R467" s="198"/>
      <c r="S467" s="198"/>
      <c r="T467" s="195"/>
      <c r="U467" s="195"/>
      <c r="V467" s="195"/>
      <c r="W467" s="195"/>
      <c r="X467" s="195"/>
      <c r="Y467" s="195"/>
      <c r="Z467" s="195"/>
    </row>
    <row r="468" ht="15.75" customHeight="1" spans="1:26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8"/>
      <c r="L468" s="198"/>
      <c r="M468" s="198"/>
      <c r="N468" s="198"/>
      <c r="O468" s="198"/>
      <c r="P468" s="198"/>
      <c r="Q468" s="198"/>
      <c r="R468" s="198"/>
      <c r="S468" s="198"/>
      <c r="T468" s="195"/>
      <c r="U468" s="195"/>
      <c r="V468" s="195"/>
      <c r="W468" s="195"/>
      <c r="X468" s="195"/>
      <c r="Y468" s="195"/>
      <c r="Z468" s="195"/>
    </row>
    <row r="469" ht="15.75" customHeight="1" spans="1:26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8"/>
      <c r="L469" s="198"/>
      <c r="M469" s="198"/>
      <c r="N469" s="198"/>
      <c r="O469" s="198"/>
      <c r="P469" s="198"/>
      <c r="Q469" s="198"/>
      <c r="R469" s="198"/>
      <c r="S469" s="198"/>
      <c r="T469" s="195"/>
      <c r="U469" s="195"/>
      <c r="V469" s="195"/>
      <c r="W469" s="195"/>
      <c r="X469" s="195"/>
      <c r="Y469" s="195"/>
      <c r="Z469" s="195"/>
    </row>
    <row r="470" ht="15.75" customHeight="1" spans="1:26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8"/>
      <c r="L470" s="198"/>
      <c r="M470" s="198"/>
      <c r="N470" s="198"/>
      <c r="O470" s="198"/>
      <c r="P470" s="198"/>
      <c r="Q470" s="198"/>
      <c r="R470" s="198"/>
      <c r="S470" s="198"/>
      <c r="T470" s="195"/>
      <c r="U470" s="195"/>
      <c r="V470" s="195"/>
      <c r="W470" s="195"/>
      <c r="X470" s="195"/>
      <c r="Y470" s="195"/>
      <c r="Z470" s="195"/>
    </row>
    <row r="471" ht="15.75" customHeight="1" spans="1:26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8"/>
      <c r="L471" s="198"/>
      <c r="M471" s="198"/>
      <c r="N471" s="198"/>
      <c r="O471" s="198"/>
      <c r="P471" s="198"/>
      <c r="Q471" s="198"/>
      <c r="R471" s="198"/>
      <c r="S471" s="198"/>
      <c r="T471" s="195"/>
      <c r="U471" s="195"/>
      <c r="V471" s="195"/>
      <c r="W471" s="195"/>
      <c r="X471" s="195"/>
      <c r="Y471" s="195"/>
      <c r="Z471" s="195"/>
    </row>
    <row r="472" ht="15.75" customHeight="1" spans="1:26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8"/>
      <c r="L472" s="198"/>
      <c r="M472" s="198"/>
      <c r="N472" s="198"/>
      <c r="O472" s="198"/>
      <c r="P472" s="198"/>
      <c r="Q472" s="198"/>
      <c r="R472" s="198"/>
      <c r="S472" s="198"/>
      <c r="T472" s="195"/>
      <c r="U472" s="195"/>
      <c r="V472" s="195"/>
      <c r="W472" s="195"/>
      <c r="X472" s="195"/>
      <c r="Y472" s="195"/>
      <c r="Z472" s="195"/>
    </row>
    <row r="473" ht="15.75" customHeight="1" spans="1:26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8"/>
      <c r="L473" s="198"/>
      <c r="M473" s="198"/>
      <c r="N473" s="198"/>
      <c r="O473" s="198"/>
      <c r="P473" s="198"/>
      <c r="Q473" s="198"/>
      <c r="R473" s="198"/>
      <c r="S473" s="198"/>
      <c r="T473" s="195"/>
      <c r="U473" s="195"/>
      <c r="V473" s="195"/>
      <c r="W473" s="195"/>
      <c r="X473" s="195"/>
      <c r="Y473" s="195"/>
      <c r="Z473" s="195"/>
    </row>
    <row r="474" ht="15.75" customHeight="1" spans="1:26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8"/>
      <c r="L474" s="198"/>
      <c r="M474" s="198"/>
      <c r="N474" s="198"/>
      <c r="O474" s="198"/>
      <c r="P474" s="198"/>
      <c r="Q474" s="198"/>
      <c r="R474" s="198"/>
      <c r="S474" s="198"/>
      <c r="T474" s="195"/>
      <c r="U474" s="195"/>
      <c r="V474" s="195"/>
      <c r="W474" s="195"/>
      <c r="X474" s="195"/>
      <c r="Y474" s="195"/>
      <c r="Z474" s="195"/>
    </row>
    <row r="475" ht="15.75" customHeight="1" spans="1:26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8"/>
      <c r="L475" s="198"/>
      <c r="M475" s="198"/>
      <c r="N475" s="198"/>
      <c r="O475" s="198"/>
      <c r="P475" s="198"/>
      <c r="Q475" s="198"/>
      <c r="R475" s="198"/>
      <c r="S475" s="198"/>
      <c r="T475" s="195"/>
      <c r="U475" s="195"/>
      <c r="V475" s="195"/>
      <c r="W475" s="195"/>
      <c r="X475" s="195"/>
      <c r="Y475" s="195"/>
      <c r="Z475" s="195"/>
    </row>
    <row r="476" ht="15.75" customHeight="1" spans="1:2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8"/>
      <c r="L476" s="198"/>
      <c r="M476" s="198"/>
      <c r="N476" s="198"/>
      <c r="O476" s="198"/>
      <c r="P476" s="198"/>
      <c r="Q476" s="198"/>
      <c r="R476" s="198"/>
      <c r="S476" s="198"/>
      <c r="T476" s="195"/>
      <c r="U476" s="195"/>
      <c r="V476" s="195"/>
      <c r="W476" s="195"/>
      <c r="X476" s="195"/>
      <c r="Y476" s="195"/>
      <c r="Z476" s="195"/>
    </row>
    <row r="477" ht="15.75" customHeight="1" spans="1:26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8"/>
      <c r="L477" s="198"/>
      <c r="M477" s="198"/>
      <c r="N477" s="198"/>
      <c r="O477" s="198"/>
      <c r="P477" s="198"/>
      <c r="Q477" s="198"/>
      <c r="R477" s="198"/>
      <c r="S477" s="198"/>
      <c r="T477" s="195"/>
      <c r="U477" s="195"/>
      <c r="V477" s="195"/>
      <c r="W477" s="195"/>
      <c r="X477" s="195"/>
      <c r="Y477" s="195"/>
      <c r="Z477" s="195"/>
    </row>
    <row r="478" ht="15.75" customHeight="1" spans="1:26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8"/>
      <c r="L478" s="198"/>
      <c r="M478" s="198"/>
      <c r="N478" s="198"/>
      <c r="O478" s="198"/>
      <c r="P478" s="198"/>
      <c r="Q478" s="198"/>
      <c r="R478" s="198"/>
      <c r="S478" s="198"/>
      <c r="T478" s="195"/>
      <c r="U478" s="195"/>
      <c r="V478" s="195"/>
      <c r="W478" s="195"/>
      <c r="X478" s="195"/>
      <c r="Y478" s="195"/>
      <c r="Z478" s="195"/>
    </row>
    <row r="479" ht="15.75" customHeight="1" spans="1:26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8"/>
      <c r="L479" s="198"/>
      <c r="M479" s="198"/>
      <c r="N479" s="198"/>
      <c r="O479" s="198"/>
      <c r="P479" s="198"/>
      <c r="Q479" s="198"/>
      <c r="R479" s="198"/>
      <c r="S479" s="198"/>
      <c r="T479" s="195"/>
      <c r="U479" s="195"/>
      <c r="V479" s="195"/>
      <c r="W479" s="195"/>
      <c r="X479" s="195"/>
      <c r="Y479" s="195"/>
      <c r="Z479" s="195"/>
    </row>
    <row r="480" ht="15.75" customHeight="1" spans="1:26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8"/>
      <c r="L480" s="198"/>
      <c r="M480" s="198"/>
      <c r="N480" s="198"/>
      <c r="O480" s="198"/>
      <c r="P480" s="198"/>
      <c r="Q480" s="198"/>
      <c r="R480" s="198"/>
      <c r="S480" s="198"/>
      <c r="T480" s="195"/>
      <c r="U480" s="195"/>
      <c r="V480" s="195"/>
      <c r="W480" s="195"/>
      <c r="X480" s="195"/>
      <c r="Y480" s="195"/>
      <c r="Z480" s="195"/>
    </row>
    <row r="481" ht="15.75" customHeight="1" spans="1:26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8"/>
      <c r="L481" s="198"/>
      <c r="M481" s="198"/>
      <c r="N481" s="198"/>
      <c r="O481" s="198"/>
      <c r="P481" s="198"/>
      <c r="Q481" s="198"/>
      <c r="R481" s="198"/>
      <c r="S481" s="198"/>
      <c r="T481" s="195"/>
      <c r="U481" s="195"/>
      <c r="V481" s="195"/>
      <c r="W481" s="195"/>
      <c r="X481" s="195"/>
      <c r="Y481" s="195"/>
      <c r="Z481" s="195"/>
    </row>
    <row r="482" ht="15.75" customHeight="1" spans="1:26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8"/>
      <c r="L482" s="198"/>
      <c r="M482" s="198"/>
      <c r="N482" s="198"/>
      <c r="O482" s="198"/>
      <c r="P482" s="198"/>
      <c r="Q482" s="198"/>
      <c r="R482" s="198"/>
      <c r="S482" s="198"/>
      <c r="T482" s="195"/>
      <c r="U482" s="195"/>
      <c r="V482" s="195"/>
      <c r="W482" s="195"/>
      <c r="X482" s="195"/>
      <c r="Y482" s="195"/>
      <c r="Z482" s="195"/>
    </row>
    <row r="483" ht="15.75" customHeight="1" spans="1:26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8"/>
      <c r="L483" s="198"/>
      <c r="M483" s="198"/>
      <c r="N483" s="198"/>
      <c r="O483" s="198"/>
      <c r="P483" s="198"/>
      <c r="Q483" s="198"/>
      <c r="R483" s="198"/>
      <c r="S483" s="198"/>
      <c r="T483" s="195"/>
      <c r="U483" s="195"/>
      <c r="V483" s="195"/>
      <c r="W483" s="195"/>
      <c r="X483" s="195"/>
      <c r="Y483" s="195"/>
      <c r="Z483" s="195"/>
    </row>
    <row r="484" ht="15.75" customHeight="1" spans="1:26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8"/>
      <c r="L484" s="198"/>
      <c r="M484" s="198"/>
      <c r="N484" s="198"/>
      <c r="O484" s="198"/>
      <c r="P484" s="198"/>
      <c r="Q484" s="198"/>
      <c r="R484" s="198"/>
      <c r="S484" s="198"/>
      <c r="T484" s="195"/>
      <c r="U484" s="195"/>
      <c r="V484" s="195"/>
      <c r="W484" s="195"/>
      <c r="X484" s="195"/>
      <c r="Y484" s="195"/>
      <c r="Z484" s="195"/>
    </row>
    <row r="485" ht="15.75" customHeight="1" spans="1:26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8"/>
      <c r="L485" s="198"/>
      <c r="M485" s="198"/>
      <c r="N485" s="198"/>
      <c r="O485" s="198"/>
      <c r="P485" s="198"/>
      <c r="Q485" s="198"/>
      <c r="R485" s="198"/>
      <c r="S485" s="198"/>
      <c r="T485" s="195"/>
      <c r="U485" s="195"/>
      <c r="V485" s="195"/>
      <c r="W485" s="195"/>
      <c r="X485" s="195"/>
      <c r="Y485" s="195"/>
      <c r="Z485" s="195"/>
    </row>
    <row r="486" ht="15.75" customHeight="1" spans="1:2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8"/>
      <c r="L486" s="198"/>
      <c r="M486" s="198"/>
      <c r="N486" s="198"/>
      <c r="O486" s="198"/>
      <c r="P486" s="198"/>
      <c r="Q486" s="198"/>
      <c r="R486" s="198"/>
      <c r="S486" s="198"/>
      <c r="T486" s="195"/>
      <c r="U486" s="195"/>
      <c r="V486" s="195"/>
      <c r="W486" s="195"/>
      <c r="X486" s="195"/>
      <c r="Y486" s="195"/>
      <c r="Z486" s="195"/>
    </row>
    <row r="487" ht="15.75" customHeight="1" spans="1:26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8"/>
      <c r="L487" s="198"/>
      <c r="M487" s="198"/>
      <c r="N487" s="198"/>
      <c r="O487" s="198"/>
      <c r="P487" s="198"/>
      <c r="Q487" s="198"/>
      <c r="R487" s="198"/>
      <c r="S487" s="198"/>
      <c r="T487" s="195"/>
      <c r="U487" s="195"/>
      <c r="V487" s="195"/>
      <c r="W487" s="195"/>
      <c r="X487" s="195"/>
      <c r="Y487" s="195"/>
      <c r="Z487" s="195"/>
    </row>
    <row r="488" ht="15.75" customHeight="1" spans="1:26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8"/>
      <c r="L488" s="198"/>
      <c r="M488" s="198"/>
      <c r="N488" s="198"/>
      <c r="O488" s="198"/>
      <c r="P488" s="198"/>
      <c r="Q488" s="198"/>
      <c r="R488" s="198"/>
      <c r="S488" s="198"/>
      <c r="T488" s="195"/>
      <c r="U488" s="195"/>
      <c r="V488" s="195"/>
      <c r="W488" s="195"/>
      <c r="X488" s="195"/>
      <c r="Y488" s="195"/>
      <c r="Z488" s="195"/>
    </row>
    <row r="489" ht="15.75" customHeight="1" spans="1:26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8"/>
      <c r="L489" s="198"/>
      <c r="M489" s="198"/>
      <c r="N489" s="198"/>
      <c r="O489" s="198"/>
      <c r="P489" s="198"/>
      <c r="Q489" s="198"/>
      <c r="R489" s="198"/>
      <c r="S489" s="198"/>
      <c r="T489" s="195"/>
      <c r="U489" s="195"/>
      <c r="V489" s="195"/>
      <c r="W489" s="195"/>
      <c r="X489" s="195"/>
      <c r="Y489" s="195"/>
      <c r="Z489" s="195"/>
    </row>
    <row r="490" ht="15.75" customHeight="1" spans="1:26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8"/>
      <c r="L490" s="198"/>
      <c r="M490" s="198"/>
      <c r="N490" s="198"/>
      <c r="O490" s="198"/>
      <c r="P490" s="198"/>
      <c r="Q490" s="198"/>
      <c r="R490" s="198"/>
      <c r="S490" s="198"/>
      <c r="T490" s="195"/>
      <c r="U490" s="195"/>
      <c r="V490" s="195"/>
      <c r="W490" s="195"/>
      <c r="X490" s="195"/>
      <c r="Y490" s="195"/>
      <c r="Z490" s="195"/>
    </row>
    <row r="491" ht="15.75" customHeight="1" spans="1:26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8"/>
      <c r="L491" s="198"/>
      <c r="M491" s="198"/>
      <c r="N491" s="198"/>
      <c r="O491" s="198"/>
      <c r="P491" s="198"/>
      <c r="Q491" s="198"/>
      <c r="R491" s="198"/>
      <c r="S491" s="198"/>
      <c r="T491" s="195"/>
      <c r="U491" s="195"/>
      <c r="V491" s="195"/>
      <c r="W491" s="195"/>
      <c r="X491" s="195"/>
      <c r="Y491" s="195"/>
      <c r="Z491" s="195"/>
    </row>
    <row r="492" ht="15.75" customHeight="1" spans="1:26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8"/>
      <c r="L492" s="198"/>
      <c r="M492" s="198"/>
      <c r="N492" s="198"/>
      <c r="O492" s="198"/>
      <c r="P492" s="198"/>
      <c r="Q492" s="198"/>
      <c r="R492" s="198"/>
      <c r="S492" s="198"/>
      <c r="T492" s="195"/>
      <c r="U492" s="195"/>
      <c r="V492" s="195"/>
      <c r="W492" s="195"/>
      <c r="X492" s="195"/>
      <c r="Y492" s="195"/>
      <c r="Z492" s="195"/>
    </row>
    <row r="493" ht="15.75" customHeight="1" spans="1:26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8"/>
      <c r="L493" s="198"/>
      <c r="M493" s="198"/>
      <c r="N493" s="198"/>
      <c r="O493" s="198"/>
      <c r="P493" s="198"/>
      <c r="Q493" s="198"/>
      <c r="R493" s="198"/>
      <c r="S493" s="198"/>
      <c r="T493" s="195"/>
      <c r="U493" s="195"/>
      <c r="V493" s="195"/>
      <c r="W493" s="195"/>
      <c r="X493" s="195"/>
      <c r="Y493" s="195"/>
      <c r="Z493" s="195"/>
    </row>
    <row r="494" ht="15.75" customHeight="1" spans="1:26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8"/>
      <c r="L494" s="198"/>
      <c r="M494" s="198"/>
      <c r="N494" s="198"/>
      <c r="O494" s="198"/>
      <c r="P494" s="198"/>
      <c r="Q494" s="198"/>
      <c r="R494" s="198"/>
      <c r="S494" s="198"/>
      <c r="T494" s="195"/>
      <c r="U494" s="195"/>
      <c r="V494" s="195"/>
      <c r="W494" s="195"/>
      <c r="X494" s="195"/>
      <c r="Y494" s="195"/>
      <c r="Z494" s="195"/>
    </row>
    <row r="495" ht="15.75" customHeight="1" spans="1:26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8"/>
      <c r="L495" s="198"/>
      <c r="M495" s="198"/>
      <c r="N495" s="198"/>
      <c r="O495" s="198"/>
      <c r="P495" s="198"/>
      <c r="Q495" s="198"/>
      <c r="R495" s="198"/>
      <c r="S495" s="198"/>
      <c r="T495" s="195"/>
      <c r="U495" s="195"/>
      <c r="V495" s="195"/>
      <c r="W495" s="195"/>
      <c r="X495" s="195"/>
      <c r="Y495" s="195"/>
      <c r="Z495" s="195"/>
    </row>
    <row r="496" ht="15.75" customHeight="1" spans="1:2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8"/>
      <c r="L496" s="198"/>
      <c r="M496" s="198"/>
      <c r="N496" s="198"/>
      <c r="O496" s="198"/>
      <c r="P496" s="198"/>
      <c r="Q496" s="198"/>
      <c r="R496" s="198"/>
      <c r="S496" s="198"/>
      <c r="T496" s="195"/>
      <c r="U496" s="195"/>
      <c r="V496" s="195"/>
      <c r="W496" s="195"/>
      <c r="X496" s="195"/>
      <c r="Y496" s="195"/>
      <c r="Z496" s="195"/>
    </row>
    <row r="497" ht="15.75" customHeight="1" spans="1:26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8"/>
      <c r="L497" s="198"/>
      <c r="M497" s="198"/>
      <c r="N497" s="198"/>
      <c r="O497" s="198"/>
      <c r="P497" s="198"/>
      <c r="Q497" s="198"/>
      <c r="R497" s="198"/>
      <c r="S497" s="198"/>
      <c r="T497" s="195"/>
      <c r="U497" s="195"/>
      <c r="V497" s="195"/>
      <c r="W497" s="195"/>
      <c r="X497" s="195"/>
      <c r="Y497" s="195"/>
      <c r="Z497" s="195"/>
    </row>
    <row r="498" ht="15.75" customHeight="1" spans="1:26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8"/>
      <c r="L498" s="198"/>
      <c r="M498" s="198"/>
      <c r="N498" s="198"/>
      <c r="O498" s="198"/>
      <c r="P498" s="198"/>
      <c r="Q498" s="198"/>
      <c r="R498" s="198"/>
      <c r="S498" s="198"/>
      <c r="T498" s="195"/>
      <c r="U498" s="195"/>
      <c r="V498" s="195"/>
      <c r="W498" s="195"/>
      <c r="X498" s="195"/>
      <c r="Y498" s="195"/>
      <c r="Z498" s="195"/>
    </row>
    <row r="499" ht="15.75" customHeight="1" spans="1:26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8"/>
      <c r="L499" s="198"/>
      <c r="M499" s="198"/>
      <c r="N499" s="198"/>
      <c r="O499" s="198"/>
      <c r="P499" s="198"/>
      <c r="Q499" s="198"/>
      <c r="R499" s="198"/>
      <c r="S499" s="198"/>
      <c r="T499" s="195"/>
      <c r="U499" s="195"/>
      <c r="V499" s="195"/>
      <c r="W499" s="195"/>
      <c r="X499" s="195"/>
      <c r="Y499" s="195"/>
      <c r="Z499" s="195"/>
    </row>
    <row r="500" ht="15.75" customHeight="1" spans="1:26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8"/>
      <c r="L500" s="198"/>
      <c r="M500" s="198"/>
      <c r="N500" s="198"/>
      <c r="O500" s="198"/>
      <c r="P500" s="198"/>
      <c r="Q500" s="198"/>
      <c r="R500" s="198"/>
      <c r="S500" s="198"/>
      <c r="T500" s="195"/>
      <c r="U500" s="195"/>
      <c r="V500" s="195"/>
      <c r="W500" s="195"/>
      <c r="X500" s="195"/>
      <c r="Y500" s="195"/>
      <c r="Z500" s="195"/>
    </row>
    <row r="501" ht="15.75" customHeight="1" spans="1:26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8"/>
      <c r="L501" s="198"/>
      <c r="M501" s="198"/>
      <c r="N501" s="198"/>
      <c r="O501" s="198"/>
      <c r="P501" s="198"/>
      <c r="Q501" s="198"/>
      <c r="R501" s="198"/>
      <c r="S501" s="198"/>
      <c r="T501" s="195"/>
      <c r="U501" s="195"/>
      <c r="V501" s="195"/>
      <c r="W501" s="195"/>
      <c r="X501" s="195"/>
      <c r="Y501" s="195"/>
      <c r="Z501" s="195"/>
    </row>
    <row r="502" ht="15.75" customHeight="1" spans="1:26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8"/>
      <c r="L502" s="198"/>
      <c r="M502" s="198"/>
      <c r="N502" s="198"/>
      <c r="O502" s="198"/>
      <c r="P502" s="198"/>
      <c r="Q502" s="198"/>
      <c r="R502" s="198"/>
      <c r="S502" s="198"/>
      <c r="T502" s="195"/>
      <c r="U502" s="195"/>
      <c r="V502" s="195"/>
      <c r="W502" s="195"/>
      <c r="X502" s="195"/>
      <c r="Y502" s="195"/>
      <c r="Z502" s="195"/>
    </row>
    <row r="503" ht="15.75" customHeight="1" spans="1:26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8"/>
      <c r="L503" s="198"/>
      <c r="M503" s="198"/>
      <c r="N503" s="198"/>
      <c r="O503" s="198"/>
      <c r="P503" s="198"/>
      <c r="Q503" s="198"/>
      <c r="R503" s="198"/>
      <c r="S503" s="198"/>
      <c r="T503" s="195"/>
      <c r="U503" s="195"/>
      <c r="V503" s="195"/>
      <c r="W503" s="195"/>
      <c r="X503" s="195"/>
      <c r="Y503" s="195"/>
      <c r="Z503" s="195"/>
    </row>
    <row r="504" ht="15.75" customHeight="1" spans="1:26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8"/>
      <c r="L504" s="198"/>
      <c r="M504" s="198"/>
      <c r="N504" s="198"/>
      <c r="O504" s="198"/>
      <c r="P504" s="198"/>
      <c r="Q504" s="198"/>
      <c r="R504" s="198"/>
      <c r="S504" s="198"/>
      <c r="T504" s="195"/>
      <c r="U504" s="195"/>
      <c r="V504" s="195"/>
      <c r="W504" s="195"/>
      <c r="X504" s="195"/>
      <c r="Y504" s="195"/>
      <c r="Z504" s="195"/>
    </row>
    <row r="505" ht="15.75" customHeight="1" spans="1:26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8"/>
      <c r="L505" s="198"/>
      <c r="M505" s="198"/>
      <c r="N505" s="198"/>
      <c r="O505" s="198"/>
      <c r="P505" s="198"/>
      <c r="Q505" s="198"/>
      <c r="R505" s="198"/>
      <c r="S505" s="198"/>
      <c r="T505" s="195"/>
      <c r="U505" s="195"/>
      <c r="V505" s="195"/>
      <c r="W505" s="195"/>
      <c r="X505" s="195"/>
      <c r="Y505" s="195"/>
      <c r="Z505" s="195"/>
    </row>
    <row r="506" ht="15.75" customHeight="1" spans="1:2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8"/>
      <c r="L506" s="198"/>
      <c r="M506" s="198"/>
      <c r="N506" s="198"/>
      <c r="O506" s="198"/>
      <c r="P506" s="198"/>
      <c r="Q506" s="198"/>
      <c r="R506" s="198"/>
      <c r="S506" s="198"/>
      <c r="T506" s="195"/>
      <c r="U506" s="195"/>
      <c r="V506" s="195"/>
      <c r="W506" s="195"/>
      <c r="X506" s="195"/>
      <c r="Y506" s="195"/>
      <c r="Z506" s="195"/>
    </row>
    <row r="507" ht="15.75" customHeight="1" spans="1:26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8"/>
      <c r="L507" s="198"/>
      <c r="M507" s="198"/>
      <c r="N507" s="198"/>
      <c r="O507" s="198"/>
      <c r="P507" s="198"/>
      <c r="Q507" s="198"/>
      <c r="R507" s="198"/>
      <c r="S507" s="198"/>
      <c r="T507" s="195"/>
      <c r="U507" s="195"/>
      <c r="V507" s="195"/>
      <c r="W507" s="195"/>
      <c r="X507" s="195"/>
      <c r="Y507" s="195"/>
      <c r="Z507" s="195"/>
    </row>
    <row r="508" ht="15.75" customHeight="1" spans="1:26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8"/>
      <c r="L508" s="198"/>
      <c r="M508" s="198"/>
      <c r="N508" s="198"/>
      <c r="O508" s="198"/>
      <c r="P508" s="198"/>
      <c r="Q508" s="198"/>
      <c r="R508" s="198"/>
      <c r="S508" s="198"/>
      <c r="T508" s="195"/>
      <c r="U508" s="195"/>
      <c r="V508" s="195"/>
      <c r="W508" s="195"/>
      <c r="X508" s="195"/>
      <c r="Y508" s="195"/>
      <c r="Z508" s="195"/>
    </row>
    <row r="509" ht="15.75" customHeight="1" spans="1:26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8"/>
      <c r="L509" s="198"/>
      <c r="M509" s="198"/>
      <c r="N509" s="198"/>
      <c r="O509" s="198"/>
      <c r="P509" s="198"/>
      <c r="Q509" s="198"/>
      <c r="R509" s="198"/>
      <c r="S509" s="198"/>
      <c r="T509" s="195"/>
      <c r="U509" s="195"/>
      <c r="V509" s="195"/>
      <c r="W509" s="195"/>
      <c r="X509" s="195"/>
      <c r="Y509" s="195"/>
      <c r="Z509" s="195"/>
    </row>
    <row r="510" ht="15.75" customHeight="1" spans="1:26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8"/>
      <c r="L510" s="198"/>
      <c r="M510" s="198"/>
      <c r="N510" s="198"/>
      <c r="O510" s="198"/>
      <c r="P510" s="198"/>
      <c r="Q510" s="198"/>
      <c r="R510" s="198"/>
      <c r="S510" s="198"/>
      <c r="T510" s="195"/>
      <c r="U510" s="195"/>
      <c r="V510" s="195"/>
      <c r="W510" s="195"/>
      <c r="X510" s="195"/>
      <c r="Y510" s="195"/>
      <c r="Z510" s="195"/>
    </row>
    <row r="511" ht="15.75" customHeight="1" spans="1:26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8"/>
      <c r="L511" s="198"/>
      <c r="M511" s="198"/>
      <c r="N511" s="198"/>
      <c r="O511" s="198"/>
      <c r="P511" s="198"/>
      <c r="Q511" s="198"/>
      <c r="R511" s="198"/>
      <c r="S511" s="198"/>
      <c r="T511" s="195"/>
      <c r="U511" s="195"/>
      <c r="V511" s="195"/>
      <c r="W511" s="195"/>
      <c r="X511" s="195"/>
      <c r="Y511" s="195"/>
      <c r="Z511" s="195"/>
    </row>
    <row r="512" ht="15.75" customHeight="1" spans="1:26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8"/>
      <c r="L512" s="198"/>
      <c r="M512" s="198"/>
      <c r="N512" s="198"/>
      <c r="O512" s="198"/>
      <c r="P512" s="198"/>
      <c r="Q512" s="198"/>
      <c r="R512" s="198"/>
      <c r="S512" s="198"/>
      <c r="T512" s="195"/>
      <c r="U512" s="195"/>
      <c r="V512" s="195"/>
      <c r="W512" s="195"/>
      <c r="X512" s="195"/>
      <c r="Y512" s="195"/>
      <c r="Z512" s="195"/>
    </row>
    <row r="513" ht="15.75" customHeight="1" spans="1:26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8"/>
      <c r="L513" s="198"/>
      <c r="M513" s="198"/>
      <c r="N513" s="198"/>
      <c r="O513" s="198"/>
      <c r="P513" s="198"/>
      <c r="Q513" s="198"/>
      <c r="R513" s="198"/>
      <c r="S513" s="198"/>
      <c r="T513" s="195"/>
      <c r="U513" s="195"/>
      <c r="V513" s="195"/>
      <c r="W513" s="195"/>
      <c r="X513" s="195"/>
      <c r="Y513" s="195"/>
      <c r="Z513" s="195"/>
    </row>
    <row r="514" ht="15.75" customHeight="1" spans="1:26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8"/>
      <c r="L514" s="198"/>
      <c r="M514" s="198"/>
      <c r="N514" s="198"/>
      <c r="O514" s="198"/>
      <c r="P514" s="198"/>
      <c r="Q514" s="198"/>
      <c r="R514" s="198"/>
      <c r="S514" s="198"/>
      <c r="T514" s="195"/>
      <c r="U514" s="195"/>
      <c r="V514" s="195"/>
      <c r="W514" s="195"/>
      <c r="X514" s="195"/>
      <c r="Y514" s="195"/>
      <c r="Z514" s="195"/>
    </row>
    <row r="515" ht="15.75" customHeight="1" spans="1:26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8"/>
      <c r="L515" s="198"/>
      <c r="M515" s="198"/>
      <c r="N515" s="198"/>
      <c r="O515" s="198"/>
      <c r="P515" s="198"/>
      <c r="Q515" s="198"/>
      <c r="R515" s="198"/>
      <c r="S515" s="198"/>
      <c r="T515" s="195"/>
      <c r="U515" s="195"/>
      <c r="V515" s="195"/>
      <c r="W515" s="195"/>
      <c r="X515" s="195"/>
      <c r="Y515" s="195"/>
      <c r="Z515" s="195"/>
    </row>
    <row r="516" ht="15.75" customHeight="1" spans="1:2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8"/>
      <c r="L516" s="198"/>
      <c r="M516" s="198"/>
      <c r="N516" s="198"/>
      <c r="O516" s="198"/>
      <c r="P516" s="198"/>
      <c r="Q516" s="198"/>
      <c r="R516" s="198"/>
      <c r="S516" s="198"/>
      <c r="T516" s="195"/>
      <c r="U516" s="195"/>
      <c r="V516" s="195"/>
      <c r="W516" s="195"/>
      <c r="X516" s="195"/>
      <c r="Y516" s="195"/>
      <c r="Z516" s="195"/>
    </row>
    <row r="517" ht="15.75" customHeight="1" spans="1:26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8"/>
      <c r="L517" s="198"/>
      <c r="M517" s="198"/>
      <c r="N517" s="198"/>
      <c r="O517" s="198"/>
      <c r="P517" s="198"/>
      <c r="Q517" s="198"/>
      <c r="R517" s="198"/>
      <c r="S517" s="198"/>
      <c r="T517" s="195"/>
      <c r="U517" s="195"/>
      <c r="V517" s="195"/>
      <c r="W517" s="195"/>
      <c r="X517" s="195"/>
      <c r="Y517" s="195"/>
      <c r="Z517" s="195"/>
    </row>
    <row r="518" ht="15.75" customHeight="1" spans="1:26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8"/>
      <c r="L518" s="198"/>
      <c r="M518" s="198"/>
      <c r="N518" s="198"/>
      <c r="O518" s="198"/>
      <c r="P518" s="198"/>
      <c r="Q518" s="198"/>
      <c r="R518" s="198"/>
      <c r="S518" s="198"/>
      <c r="T518" s="195"/>
      <c r="U518" s="195"/>
      <c r="V518" s="195"/>
      <c r="W518" s="195"/>
      <c r="X518" s="195"/>
      <c r="Y518" s="195"/>
      <c r="Z518" s="195"/>
    </row>
    <row r="519" ht="15.75" customHeight="1" spans="1:26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8"/>
      <c r="L519" s="198"/>
      <c r="M519" s="198"/>
      <c r="N519" s="198"/>
      <c r="O519" s="198"/>
      <c r="P519" s="198"/>
      <c r="Q519" s="198"/>
      <c r="R519" s="198"/>
      <c r="S519" s="198"/>
      <c r="T519" s="195"/>
      <c r="U519" s="195"/>
      <c r="V519" s="195"/>
      <c r="W519" s="195"/>
      <c r="X519" s="195"/>
      <c r="Y519" s="195"/>
      <c r="Z519" s="195"/>
    </row>
    <row r="520" ht="15.75" customHeight="1" spans="1:26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8"/>
      <c r="L520" s="198"/>
      <c r="M520" s="198"/>
      <c r="N520" s="198"/>
      <c r="O520" s="198"/>
      <c r="P520" s="198"/>
      <c r="Q520" s="198"/>
      <c r="R520" s="198"/>
      <c r="S520" s="198"/>
      <c r="T520" s="195"/>
      <c r="U520" s="195"/>
      <c r="V520" s="195"/>
      <c r="W520" s="195"/>
      <c r="X520" s="195"/>
      <c r="Y520" s="195"/>
      <c r="Z520" s="195"/>
    </row>
    <row r="521" ht="15.75" customHeight="1" spans="1:26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8"/>
      <c r="L521" s="198"/>
      <c r="M521" s="198"/>
      <c r="N521" s="198"/>
      <c r="O521" s="198"/>
      <c r="P521" s="198"/>
      <c r="Q521" s="198"/>
      <c r="R521" s="198"/>
      <c r="S521" s="198"/>
      <c r="T521" s="195"/>
      <c r="U521" s="195"/>
      <c r="V521" s="195"/>
      <c r="W521" s="195"/>
      <c r="X521" s="195"/>
      <c r="Y521" s="195"/>
      <c r="Z521" s="195"/>
    </row>
    <row r="522" ht="15.75" customHeight="1" spans="1:26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8"/>
      <c r="L522" s="198"/>
      <c r="M522" s="198"/>
      <c r="N522" s="198"/>
      <c r="O522" s="198"/>
      <c r="P522" s="198"/>
      <c r="Q522" s="198"/>
      <c r="R522" s="198"/>
      <c r="S522" s="198"/>
      <c r="T522" s="195"/>
      <c r="U522" s="195"/>
      <c r="V522" s="195"/>
      <c r="W522" s="195"/>
      <c r="X522" s="195"/>
      <c r="Y522" s="195"/>
      <c r="Z522" s="195"/>
    </row>
    <row r="523" ht="15.75" customHeight="1" spans="1:26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8"/>
      <c r="L523" s="198"/>
      <c r="M523" s="198"/>
      <c r="N523" s="198"/>
      <c r="O523" s="198"/>
      <c r="P523" s="198"/>
      <c r="Q523" s="198"/>
      <c r="R523" s="198"/>
      <c r="S523" s="198"/>
      <c r="T523" s="195"/>
      <c r="U523" s="195"/>
      <c r="V523" s="195"/>
      <c r="W523" s="195"/>
      <c r="X523" s="195"/>
      <c r="Y523" s="195"/>
      <c r="Z523" s="195"/>
    </row>
    <row r="524" ht="15.75" customHeight="1" spans="1:26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8"/>
      <c r="L524" s="198"/>
      <c r="M524" s="198"/>
      <c r="N524" s="198"/>
      <c r="O524" s="198"/>
      <c r="P524" s="198"/>
      <c r="Q524" s="198"/>
      <c r="R524" s="198"/>
      <c r="S524" s="198"/>
      <c r="T524" s="195"/>
      <c r="U524" s="195"/>
      <c r="V524" s="195"/>
      <c r="W524" s="195"/>
      <c r="X524" s="195"/>
      <c r="Y524" s="195"/>
      <c r="Z524" s="195"/>
    </row>
    <row r="525" ht="15.75" customHeight="1" spans="1:26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8"/>
      <c r="L525" s="198"/>
      <c r="M525" s="198"/>
      <c r="N525" s="198"/>
      <c r="O525" s="198"/>
      <c r="P525" s="198"/>
      <c r="Q525" s="198"/>
      <c r="R525" s="198"/>
      <c r="S525" s="198"/>
      <c r="T525" s="195"/>
      <c r="U525" s="195"/>
      <c r="V525" s="195"/>
      <c r="W525" s="195"/>
      <c r="X525" s="195"/>
      <c r="Y525" s="195"/>
      <c r="Z525" s="195"/>
    </row>
    <row r="526" ht="15.75" customHeight="1" spans="1: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8"/>
      <c r="L526" s="198"/>
      <c r="M526" s="198"/>
      <c r="N526" s="198"/>
      <c r="O526" s="198"/>
      <c r="P526" s="198"/>
      <c r="Q526" s="198"/>
      <c r="R526" s="198"/>
      <c r="S526" s="198"/>
      <c r="T526" s="195"/>
      <c r="U526" s="195"/>
      <c r="V526" s="195"/>
      <c r="W526" s="195"/>
      <c r="X526" s="195"/>
      <c r="Y526" s="195"/>
      <c r="Z526" s="195"/>
    </row>
    <row r="527" ht="15.75" customHeight="1" spans="1:26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8"/>
      <c r="L527" s="198"/>
      <c r="M527" s="198"/>
      <c r="N527" s="198"/>
      <c r="O527" s="198"/>
      <c r="P527" s="198"/>
      <c r="Q527" s="198"/>
      <c r="R527" s="198"/>
      <c r="S527" s="198"/>
      <c r="T527" s="195"/>
      <c r="U527" s="195"/>
      <c r="V527" s="195"/>
      <c r="W527" s="195"/>
      <c r="X527" s="195"/>
      <c r="Y527" s="195"/>
      <c r="Z527" s="195"/>
    </row>
    <row r="528" ht="15.75" customHeight="1" spans="1:26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8"/>
      <c r="L528" s="198"/>
      <c r="M528" s="198"/>
      <c r="N528" s="198"/>
      <c r="O528" s="198"/>
      <c r="P528" s="198"/>
      <c r="Q528" s="198"/>
      <c r="R528" s="198"/>
      <c r="S528" s="198"/>
      <c r="T528" s="195"/>
      <c r="U528" s="195"/>
      <c r="V528" s="195"/>
      <c r="W528" s="195"/>
      <c r="X528" s="195"/>
      <c r="Y528" s="195"/>
      <c r="Z528" s="195"/>
    </row>
    <row r="529" ht="15.75" customHeight="1" spans="1:26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8"/>
      <c r="L529" s="198"/>
      <c r="M529" s="198"/>
      <c r="N529" s="198"/>
      <c r="O529" s="198"/>
      <c r="P529" s="198"/>
      <c r="Q529" s="198"/>
      <c r="R529" s="198"/>
      <c r="S529" s="198"/>
      <c r="T529" s="195"/>
      <c r="U529" s="195"/>
      <c r="V529" s="195"/>
      <c r="W529" s="195"/>
      <c r="X529" s="195"/>
      <c r="Y529" s="195"/>
      <c r="Z529" s="195"/>
    </row>
    <row r="530" ht="15.75" customHeight="1" spans="1:26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8"/>
      <c r="L530" s="198"/>
      <c r="M530" s="198"/>
      <c r="N530" s="198"/>
      <c r="O530" s="198"/>
      <c r="P530" s="198"/>
      <c r="Q530" s="198"/>
      <c r="R530" s="198"/>
      <c r="S530" s="198"/>
      <c r="T530" s="195"/>
      <c r="U530" s="195"/>
      <c r="V530" s="195"/>
      <c r="W530" s="195"/>
      <c r="X530" s="195"/>
      <c r="Y530" s="195"/>
      <c r="Z530" s="195"/>
    </row>
    <row r="531" ht="15.75" customHeight="1" spans="1:26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8"/>
      <c r="L531" s="198"/>
      <c r="M531" s="198"/>
      <c r="N531" s="198"/>
      <c r="O531" s="198"/>
      <c r="P531" s="198"/>
      <c r="Q531" s="198"/>
      <c r="R531" s="198"/>
      <c r="S531" s="198"/>
      <c r="T531" s="195"/>
      <c r="U531" s="195"/>
      <c r="V531" s="195"/>
      <c r="W531" s="195"/>
      <c r="X531" s="195"/>
      <c r="Y531" s="195"/>
      <c r="Z531" s="195"/>
    </row>
    <row r="532" ht="15.75" customHeight="1" spans="1:26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8"/>
      <c r="L532" s="198"/>
      <c r="M532" s="198"/>
      <c r="N532" s="198"/>
      <c r="O532" s="198"/>
      <c r="P532" s="198"/>
      <c r="Q532" s="198"/>
      <c r="R532" s="198"/>
      <c r="S532" s="198"/>
      <c r="T532" s="195"/>
      <c r="U532" s="195"/>
      <c r="V532" s="195"/>
      <c r="W532" s="195"/>
      <c r="X532" s="195"/>
      <c r="Y532" s="195"/>
      <c r="Z532" s="195"/>
    </row>
    <row r="533" ht="15.75" customHeight="1" spans="1:26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8"/>
      <c r="L533" s="198"/>
      <c r="M533" s="198"/>
      <c r="N533" s="198"/>
      <c r="O533" s="198"/>
      <c r="P533" s="198"/>
      <c r="Q533" s="198"/>
      <c r="R533" s="198"/>
      <c r="S533" s="198"/>
      <c r="T533" s="195"/>
      <c r="U533" s="195"/>
      <c r="V533" s="195"/>
      <c r="W533" s="195"/>
      <c r="X533" s="195"/>
      <c r="Y533" s="195"/>
      <c r="Z533" s="195"/>
    </row>
    <row r="534" ht="15.75" customHeight="1" spans="1:26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8"/>
      <c r="L534" s="198"/>
      <c r="M534" s="198"/>
      <c r="N534" s="198"/>
      <c r="O534" s="198"/>
      <c r="P534" s="198"/>
      <c r="Q534" s="198"/>
      <c r="R534" s="198"/>
      <c r="S534" s="198"/>
      <c r="T534" s="195"/>
      <c r="U534" s="195"/>
      <c r="V534" s="195"/>
      <c r="W534" s="195"/>
      <c r="X534" s="195"/>
      <c r="Y534" s="195"/>
      <c r="Z534" s="195"/>
    </row>
    <row r="535" ht="15.75" customHeight="1" spans="1:26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8"/>
      <c r="L535" s="198"/>
      <c r="M535" s="198"/>
      <c r="N535" s="198"/>
      <c r="O535" s="198"/>
      <c r="P535" s="198"/>
      <c r="Q535" s="198"/>
      <c r="R535" s="198"/>
      <c r="S535" s="198"/>
      <c r="T535" s="195"/>
      <c r="U535" s="195"/>
      <c r="V535" s="195"/>
      <c r="W535" s="195"/>
      <c r="X535" s="195"/>
      <c r="Y535" s="195"/>
      <c r="Z535" s="195"/>
    </row>
    <row r="536" ht="15.75" customHeight="1" spans="1:2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8"/>
      <c r="L536" s="198"/>
      <c r="M536" s="198"/>
      <c r="N536" s="198"/>
      <c r="O536" s="198"/>
      <c r="P536" s="198"/>
      <c r="Q536" s="198"/>
      <c r="R536" s="198"/>
      <c r="S536" s="198"/>
      <c r="T536" s="195"/>
      <c r="U536" s="195"/>
      <c r="V536" s="195"/>
      <c r="W536" s="195"/>
      <c r="X536" s="195"/>
      <c r="Y536" s="195"/>
      <c r="Z536" s="195"/>
    </row>
    <row r="537" ht="15.75" customHeight="1" spans="1:26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8"/>
      <c r="L537" s="198"/>
      <c r="M537" s="198"/>
      <c r="N537" s="198"/>
      <c r="O537" s="198"/>
      <c r="P537" s="198"/>
      <c r="Q537" s="198"/>
      <c r="R537" s="198"/>
      <c r="S537" s="198"/>
      <c r="T537" s="195"/>
      <c r="U537" s="195"/>
      <c r="V537" s="195"/>
      <c r="W537" s="195"/>
      <c r="X537" s="195"/>
      <c r="Y537" s="195"/>
      <c r="Z537" s="195"/>
    </row>
    <row r="538" ht="15.75" customHeight="1" spans="1:26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8"/>
      <c r="L538" s="198"/>
      <c r="M538" s="198"/>
      <c r="N538" s="198"/>
      <c r="O538" s="198"/>
      <c r="P538" s="198"/>
      <c r="Q538" s="198"/>
      <c r="R538" s="198"/>
      <c r="S538" s="198"/>
      <c r="T538" s="195"/>
      <c r="U538" s="195"/>
      <c r="V538" s="195"/>
      <c r="W538" s="195"/>
      <c r="X538" s="195"/>
      <c r="Y538" s="195"/>
      <c r="Z538" s="195"/>
    </row>
    <row r="539" ht="15.75" customHeight="1" spans="1:26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8"/>
      <c r="L539" s="198"/>
      <c r="M539" s="198"/>
      <c r="N539" s="198"/>
      <c r="O539" s="198"/>
      <c r="P539" s="198"/>
      <c r="Q539" s="198"/>
      <c r="R539" s="198"/>
      <c r="S539" s="198"/>
      <c r="T539" s="195"/>
      <c r="U539" s="195"/>
      <c r="V539" s="195"/>
      <c r="W539" s="195"/>
      <c r="X539" s="195"/>
      <c r="Y539" s="195"/>
      <c r="Z539" s="195"/>
    </row>
    <row r="540" ht="15.75" customHeight="1" spans="1:26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8"/>
      <c r="L540" s="198"/>
      <c r="M540" s="198"/>
      <c r="N540" s="198"/>
      <c r="O540" s="198"/>
      <c r="P540" s="198"/>
      <c r="Q540" s="198"/>
      <c r="R540" s="198"/>
      <c r="S540" s="198"/>
      <c r="T540" s="195"/>
      <c r="U540" s="195"/>
      <c r="V540" s="195"/>
      <c r="W540" s="195"/>
      <c r="X540" s="195"/>
      <c r="Y540" s="195"/>
      <c r="Z540" s="195"/>
    </row>
    <row r="541" ht="15.75" customHeight="1" spans="1:26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8"/>
      <c r="L541" s="198"/>
      <c r="M541" s="198"/>
      <c r="N541" s="198"/>
      <c r="O541" s="198"/>
      <c r="P541" s="198"/>
      <c r="Q541" s="198"/>
      <c r="R541" s="198"/>
      <c r="S541" s="198"/>
      <c r="T541" s="195"/>
      <c r="U541" s="195"/>
      <c r="V541" s="195"/>
      <c r="W541" s="195"/>
      <c r="X541" s="195"/>
      <c r="Y541" s="195"/>
      <c r="Z541" s="195"/>
    </row>
    <row r="542" ht="15.75" customHeight="1" spans="1:26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8"/>
      <c r="L542" s="198"/>
      <c r="M542" s="198"/>
      <c r="N542" s="198"/>
      <c r="O542" s="198"/>
      <c r="P542" s="198"/>
      <c r="Q542" s="198"/>
      <c r="R542" s="198"/>
      <c r="S542" s="198"/>
      <c r="T542" s="195"/>
      <c r="U542" s="195"/>
      <c r="V542" s="195"/>
      <c r="W542" s="195"/>
      <c r="X542" s="195"/>
      <c r="Y542" s="195"/>
      <c r="Z542" s="195"/>
    </row>
    <row r="543" ht="15.75" customHeight="1" spans="1:26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8"/>
      <c r="L543" s="198"/>
      <c r="M543" s="198"/>
      <c r="N543" s="198"/>
      <c r="O543" s="198"/>
      <c r="P543" s="198"/>
      <c r="Q543" s="198"/>
      <c r="R543" s="198"/>
      <c r="S543" s="198"/>
      <c r="T543" s="195"/>
      <c r="U543" s="195"/>
      <c r="V543" s="195"/>
      <c r="W543" s="195"/>
      <c r="X543" s="195"/>
      <c r="Y543" s="195"/>
      <c r="Z543" s="195"/>
    </row>
    <row r="544" ht="15.75" customHeight="1" spans="1:26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8"/>
      <c r="L544" s="198"/>
      <c r="M544" s="198"/>
      <c r="N544" s="198"/>
      <c r="O544" s="198"/>
      <c r="P544" s="198"/>
      <c r="Q544" s="198"/>
      <c r="R544" s="198"/>
      <c r="S544" s="198"/>
      <c r="T544" s="195"/>
      <c r="U544" s="195"/>
      <c r="V544" s="195"/>
      <c r="W544" s="195"/>
      <c r="X544" s="195"/>
      <c r="Y544" s="195"/>
      <c r="Z544" s="195"/>
    </row>
    <row r="545" ht="15.75" customHeight="1" spans="1:26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8"/>
      <c r="L545" s="198"/>
      <c r="M545" s="198"/>
      <c r="N545" s="198"/>
      <c r="O545" s="198"/>
      <c r="P545" s="198"/>
      <c r="Q545" s="198"/>
      <c r="R545" s="198"/>
      <c r="S545" s="198"/>
      <c r="T545" s="195"/>
      <c r="U545" s="195"/>
      <c r="V545" s="195"/>
      <c r="W545" s="195"/>
      <c r="X545" s="195"/>
      <c r="Y545" s="195"/>
      <c r="Z545" s="195"/>
    </row>
    <row r="546" ht="15.75" customHeight="1" spans="1:2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8"/>
      <c r="L546" s="198"/>
      <c r="M546" s="198"/>
      <c r="N546" s="198"/>
      <c r="O546" s="198"/>
      <c r="P546" s="198"/>
      <c r="Q546" s="198"/>
      <c r="R546" s="198"/>
      <c r="S546" s="198"/>
      <c r="T546" s="195"/>
      <c r="U546" s="195"/>
      <c r="V546" s="195"/>
      <c r="W546" s="195"/>
      <c r="X546" s="195"/>
      <c r="Y546" s="195"/>
      <c r="Z546" s="195"/>
    </row>
    <row r="547" ht="15.75" customHeight="1" spans="1:26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8"/>
      <c r="L547" s="198"/>
      <c r="M547" s="198"/>
      <c r="N547" s="198"/>
      <c r="O547" s="198"/>
      <c r="P547" s="198"/>
      <c r="Q547" s="198"/>
      <c r="R547" s="198"/>
      <c r="S547" s="198"/>
      <c r="T547" s="195"/>
      <c r="U547" s="195"/>
      <c r="V547" s="195"/>
      <c r="W547" s="195"/>
      <c r="X547" s="195"/>
      <c r="Y547" s="195"/>
      <c r="Z547" s="195"/>
    </row>
    <row r="548" ht="15.75" customHeight="1" spans="1:26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8"/>
      <c r="L548" s="198"/>
      <c r="M548" s="198"/>
      <c r="N548" s="198"/>
      <c r="O548" s="198"/>
      <c r="P548" s="198"/>
      <c r="Q548" s="198"/>
      <c r="R548" s="198"/>
      <c r="S548" s="198"/>
      <c r="T548" s="195"/>
      <c r="U548" s="195"/>
      <c r="V548" s="195"/>
      <c r="W548" s="195"/>
      <c r="X548" s="195"/>
      <c r="Y548" s="195"/>
      <c r="Z548" s="195"/>
    </row>
    <row r="549" ht="15.75" customHeight="1" spans="1:26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8"/>
      <c r="L549" s="198"/>
      <c r="M549" s="198"/>
      <c r="N549" s="198"/>
      <c r="O549" s="198"/>
      <c r="P549" s="198"/>
      <c r="Q549" s="198"/>
      <c r="R549" s="198"/>
      <c r="S549" s="198"/>
      <c r="T549" s="195"/>
      <c r="U549" s="195"/>
      <c r="V549" s="195"/>
      <c r="W549" s="195"/>
      <c r="X549" s="195"/>
      <c r="Y549" s="195"/>
      <c r="Z549" s="195"/>
    </row>
    <row r="550" ht="15.75" customHeight="1" spans="1:26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8"/>
      <c r="L550" s="198"/>
      <c r="M550" s="198"/>
      <c r="N550" s="198"/>
      <c r="O550" s="198"/>
      <c r="P550" s="198"/>
      <c r="Q550" s="198"/>
      <c r="R550" s="198"/>
      <c r="S550" s="198"/>
      <c r="T550" s="195"/>
      <c r="U550" s="195"/>
      <c r="V550" s="195"/>
      <c r="W550" s="195"/>
      <c r="X550" s="195"/>
      <c r="Y550" s="195"/>
      <c r="Z550" s="195"/>
    </row>
    <row r="551" ht="15.75" customHeight="1" spans="1:26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8"/>
      <c r="L551" s="198"/>
      <c r="M551" s="198"/>
      <c r="N551" s="198"/>
      <c r="O551" s="198"/>
      <c r="P551" s="198"/>
      <c r="Q551" s="198"/>
      <c r="R551" s="198"/>
      <c r="S551" s="198"/>
      <c r="T551" s="195"/>
      <c r="U551" s="195"/>
      <c r="V551" s="195"/>
      <c r="W551" s="195"/>
      <c r="X551" s="195"/>
      <c r="Y551" s="195"/>
      <c r="Z551" s="195"/>
    </row>
    <row r="552" ht="15.75" customHeight="1" spans="1:26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8"/>
      <c r="L552" s="198"/>
      <c r="M552" s="198"/>
      <c r="N552" s="198"/>
      <c r="O552" s="198"/>
      <c r="P552" s="198"/>
      <c r="Q552" s="198"/>
      <c r="R552" s="198"/>
      <c r="S552" s="198"/>
      <c r="T552" s="195"/>
      <c r="U552" s="195"/>
      <c r="V552" s="195"/>
      <c r="W552" s="195"/>
      <c r="X552" s="195"/>
      <c r="Y552" s="195"/>
      <c r="Z552" s="195"/>
    </row>
    <row r="553" ht="15.75" customHeight="1" spans="1:26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8"/>
      <c r="L553" s="198"/>
      <c r="M553" s="198"/>
      <c r="N553" s="198"/>
      <c r="O553" s="198"/>
      <c r="P553" s="198"/>
      <c r="Q553" s="198"/>
      <c r="R553" s="198"/>
      <c r="S553" s="198"/>
      <c r="T553" s="195"/>
      <c r="U553" s="195"/>
      <c r="V553" s="195"/>
      <c r="W553" s="195"/>
      <c r="X553" s="195"/>
      <c r="Y553" s="195"/>
      <c r="Z553" s="195"/>
    </row>
    <row r="554" ht="15.75" customHeight="1" spans="1:26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8"/>
      <c r="L554" s="198"/>
      <c r="M554" s="198"/>
      <c r="N554" s="198"/>
      <c r="O554" s="198"/>
      <c r="P554" s="198"/>
      <c r="Q554" s="198"/>
      <c r="R554" s="198"/>
      <c r="S554" s="198"/>
      <c r="T554" s="195"/>
      <c r="U554" s="195"/>
      <c r="V554" s="195"/>
      <c r="W554" s="195"/>
      <c r="X554" s="195"/>
      <c r="Y554" s="195"/>
      <c r="Z554" s="195"/>
    </row>
    <row r="555" ht="15.75" customHeight="1" spans="1:26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8"/>
      <c r="L555" s="198"/>
      <c r="M555" s="198"/>
      <c r="N555" s="198"/>
      <c r="O555" s="198"/>
      <c r="P555" s="198"/>
      <c r="Q555" s="198"/>
      <c r="R555" s="198"/>
      <c r="S555" s="198"/>
      <c r="T555" s="195"/>
      <c r="U555" s="195"/>
      <c r="V555" s="195"/>
      <c r="W555" s="195"/>
      <c r="X555" s="195"/>
      <c r="Y555" s="195"/>
      <c r="Z555" s="195"/>
    </row>
    <row r="556" ht="15.75" customHeight="1" spans="1:2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8"/>
      <c r="L556" s="198"/>
      <c r="M556" s="198"/>
      <c r="N556" s="198"/>
      <c r="O556" s="198"/>
      <c r="P556" s="198"/>
      <c r="Q556" s="198"/>
      <c r="R556" s="198"/>
      <c r="S556" s="198"/>
      <c r="T556" s="195"/>
      <c r="U556" s="195"/>
      <c r="V556" s="195"/>
      <c r="W556" s="195"/>
      <c r="X556" s="195"/>
      <c r="Y556" s="195"/>
      <c r="Z556" s="195"/>
    </row>
    <row r="557" ht="15.75" customHeight="1" spans="1:26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8"/>
      <c r="L557" s="198"/>
      <c r="M557" s="198"/>
      <c r="N557" s="198"/>
      <c r="O557" s="198"/>
      <c r="P557" s="198"/>
      <c r="Q557" s="198"/>
      <c r="R557" s="198"/>
      <c r="S557" s="198"/>
      <c r="T557" s="195"/>
      <c r="U557" s="195"/>
      <c r="V557" s="195"/>
      <c r="W557" s="195"/>
      <c r="X557" s="195"/>
      <c r="Y557" s="195"/>
      <c r="Z557" s="195"/>
    </row>
    <row r="558" ht="15.75" customHeight="1" spans="1:26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8"/>
      <c r="L558" s="198"/>
      <c r="M558" s="198"/>
      <c r="N558" s="198"/>
      <c r="O558" s="198"/>
      <c r="P558" s="198"/>
      <c r="Q558" s="198"/>
      <c r="R558" s="198"/>
      <c r="S558" s="198"/>
      <c r="T558" s="195"/>
      <c r="U558" s="195"/>
      <c r="V558" s="195"/>
      <c r="W558" s="195"/>
      <c r="X558" s="195"/>
      <c r="Y558" s="195"/>
      <c r="Z558" s="195"/>
    </row>
    <row r="559" ht="15.75" customHeight="1" spans="1:26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8"/>
      <c r="L559" s="198"/>
      <c r="M559" s="198"/>
      <c r="N559" s="198"/>
      <c r="O559" s="198"/>
      <c r="P559" s="198"/>
      <c r="Q559" s="198"/>
      <c r="R559" s="198"/>
      <c r="S559" s="198"/>
      <c r="T559" s="195"/>
      <c r="U559" s="195"/>
      <c r="V559" s="195"/>
      <c r="W559" s="195"/>
      <c r="X559" s="195"/>
      <c r="Y559" s="195"/>
      <c r="Z559" s="195"/>
    </row>
    <row r="560" ht="15.75" customHeight="1" spans="1:26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8"/>
      <c r="L560" s="198"/>
      <c r="M560" s="198"/>
      <c r="N560" s="198"/>
      <c r="O560" s="198"/>
      <c r="P560" s="198"/>
      <c r="Q560" s="198"/>
      <c r="R560" s="198"/>
      <c r="S560" s="198"/>
      <c r="T560" s="195"/>
      <c r="U560" s="195"/>
      <c r="V560" s="195"/>
      <c r="W560" s="195"/>
      <c r="X560" s="195"/>
      <c r="Y560" s="195"/>
      <c r="Z560" s="195"/>
    </row>
    <row r="561" ht="15.75" customHeight="1" spans="1:26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8"/>
      <c r="L561" s="198"/>
      <c r="M561" s="198"/>
      <c r="N561" s="198"/>
      <c r="O561" s="198"/>
      <c r="P561" s="198"/>
      <c r="Q561" s="198"/>
      <c r="R561" s="198"/>
      <c r="S561" s="198"/>
      <c r="T561" s="195"/>
      <c r="U561" s="195"/>
      <c r="V561" s="195"/>
      <c r="W561" s="195"/>
      <c r="X561" s="195"/>
      <c r="Y561" s="195"/>
      <c r="Z561" s="195"/>
    </row>
    <row r="562" ht="15.75" customHeight="1" spans="1:26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8"/>
      <c r="L562" s="198"/>
      <c r="M562" s="198"/>
      <c r="N562" s="198"/>
      <c r="O562" s="198"/>
      <c r="P562" s="198"/>
      <c r="Q562" s="198"/>
      <c r="R562" s="198"/>
      <c r="S562" s="198"/>
      <c r="T562" s="195"/>
      <c r="U562" s="195"/>
      <c r="V562" s="195"/>
      <c r="W562" s="195"/>
      <c r="X562" s="195"/>
      <c r="Y562" s="195"/>
      <c r="Z562" s="195"/>
    </row>
    <row r="563" ht="15.75" customHeight="1" spans="1:26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8"/>
      <c r="L563" s="198"/>
      <c r="M563" s="198"/>
      <c r="N563" s="198"/>
      <c r="O563" s="198"/>
      <c r="P563" s="198"/>
      <c r="Q563" s="198"/>
      <c r="R563" s="198"/>
      <c r="S563" s="198"/>
      <c r="T563" s="195"/>
      <c r="U563" s="195"/>
      <c r="V563" s="195"/>
      <c r="W563" s="195"/>
      <c r="X563" s="195"/>
      <c r="Y563" s="195"/>
      <c r="Z563" s="195"/>
    </row>
    <row r="564" ht="15.75" customHeight="1" spans="1:26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8"/>
      <c r="L564" s="198"/>
      <c r="M564" s="198"/>
      <c r="N564" s="198"/>
      <c r="O564" s="198"/>
      <c r="P564" s="198"/>
      <c r="Q564" s="198"/>
      <c r="R564" s="198"/>
      <c r="S564" s="198"/>
      <c r="T564" s="195"/>
      <c r="U564" s="195"/>
      <c r="V564" s="195"/>
      <c r="W564" s="195"/>
      <c r="X564" s="195"/>
      <c r="Y564" s="195"/>
      <c r="Z564" s="195"/>
    </row>
    <row r="565" ht="15.75" customHeight="1" spans="1:26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8"/>
      <c r="L565" s="198"/>
      <c r="M565" s="198"/>
      <c r="N565" s="198"/>
      <c r="O565" s="198"/>
      <c r="P565" s="198"/>
      <c r="Q565" s="198"/>
      <c r="R565" s="198"/>
      <c r="S565" s="198"/>
      <c r="T565" s="195"/>
      <c r="U565" s="195"/>
      <c r="V565" s="195"/>
      <c r="W565" s="195"/>
      <c r="X565" s="195"/>
      <c r="Y565" s="195"/>
      <c r="Z565" s="195"/>
    </row>
    <row r="566" ht="15.75" customHeight="1" spans="1:2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8"/>
      <c r="L566" s="198"/>
      <c r="M566" s="198"/>
      <c r="N566" s="198"/>
      <c r="O566" s="198"/>
      <c r="P566" s="198"/>
      <c r="Q566" s="198"/>
      <c r="R566" s="198"/>
      <c r="S566" s="198"/>
      <c r="T566" s="195"/>
      <c r="U566" s="195"/>
      <c r="V566" s="195"/>
      <c r="W566" s="195"/>
      <c r="X566" s="195"/>
      <c r="Y566" s="195"/>
      <c r="Z566" s="195"/>
    </row>
    <row r="567" ht="15.75" customHeight="1" spans="1:26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8"/>
      <c r="L567" s="198"/>
      <c r="M567" s="198"/>
      <c r="N567" s="198"/>
      <c r="O567" s="198"/>
      <c r="P567" s="198"/>
      <c r="Q567" s="198"/>
      <c r="R567" s="198"/>
      <c r="S567" s="198"/>
      <c r="T567" s="195"/>
      <c r="U567" s="195"/>
      <c r="V567" s="195"/>
      <c r="W567" s="195"/>
      <c r="X567" s="195"/>
      <c r="Y567" s="195"/>
      <c r="Z567" s="195"/>
    </row>
    <row r="568" ht="15.75" customHeight="1" spans="1:26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8"/>
      <c r="L568" s="198"/>
      <c r="M568" s="198"/>
      <c r="N568" s="198"/>
      <c r="O568" s="198"/>
      <c r="P568" s="198"/>
      <c r="Q568" s="198"/>
      <c r="R568" s="198"/>
      <c r="S568" s="198"/>
      <c r="T568" s="195"/>
      <c r="U568" s="195"/>
      <c r="V568" s="195"/>
      <c r="W568" s="195"/>
      <c r="X568" s="195"/>
      <c r="Y568" s="195"/>
      <c r="Z568" s="195"/>
    </row>
    <row r="569" ht="15.75" customHeight="1" spans="1:26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8"/>
      <c r="L569" s="198"/>
      <c r="M569" s="198"/>
      <c r="N569" s="198"/>
      <c r="O569" s="198"/>
      <c r="P569" s="198"/>
      <c r="Q569" s="198"/>
      <c r="R569" s="198"/>
      <c r="S569" s="198"/>
      <c r="T569" s="195"/>
      <c r="U569" s="195"/>
      <c r="V569" s="195"/>
      <c r="W569" s="195"/>
      <c r="X569" s="195"/>
      <c r="Y569" s="195"/>
      <c r="Z569" s="195"/>
    </row>
    <row r="570" ht="15.75" customHeight="1" spans="1:26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8"/>
      <c r="L570" s="198"/>
      <c r="M570" s="198"/>
      <c r="N570" s="198"/>
      <c r="O570" s="198"/>
      <c r="P570" s="198"/>
      <c r="Q570" s="198"/>
      <c r="R570" s="198"/>
      <c r="S570" s="198"/>
      <c r="T570" s="195"/>
      <c r="U570" s="195"/>
      <c r="V570" s="195"/>
      <c r="W570" s="195"/>
      <c r="X570" s="195"/>
      <c r="Y570" s="195"/>
      <c r="Z570" s="195"/>
    </row>
    <row r="571" ht="15.75" customHeight="1" spans="1:26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8"/>
      <c r="L571" s="198"/>
      <c r="M571" s="198"/>
      <c r="N571" s="198"/>
      <c r="O571" s="198"/>
      <c r="P571" s="198"/>
      <c r="Q571" s="198"/>
      <c r="R571" s="198"/>
      <c r="S571" s="198"/>
      <c r="T571" s="195"/>
      <c r="U571" s="195"/>
      <c r="V571" s="195"/>
      <c r="W571" s="195"/>
      <c r="X571" s="195"/>
      <c r="Y571" s="195"/>
      <c r="Z571" s="195"/>
    </row>
    <row r="572" ht="15.75" customHeight="1" spans="1:26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8"/>
      <c r="L572" s="198"/>
      <c r="M572" s="198"/>
      <c r="N572" s="198"/>
      <c r="O572" s="198"/>
      <c r="P572" s="198"/>
      <c r="Q572" s="198"/>
      <c r="R572" s="198"/>
      <c r="S572" s="198"/>
      <c r="T572" s="195"/>
      <c r="U572" s="195"/>
      <c r="V572" s="195"/>
      <c r="W572" s="195"/>
      <c r="X572" s="195"/>
      <c r="Y572" s="195"/>
      <c r="Z572" s="195"/>
    </row>
    <row r="573" ht="15.75" customHeight="1" spans="1:26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8"/>
      <c r="L573" s="198"/>
      <c r="M573" s="198"/>
      <c r="N573" s="198"/>
      <c r="O573" s="198"/>
      <c r="P573" s="198"/>
      <c r="Q573" s="198"/>
      <c r="R573" s="198"/>
      <c r="S573" s="198"/>
      <c r="T573" s="195"/>
      <c r="U573" s="195"/>
      <c r="V573" s="195"/>
      <c r="W573" s="195"/>
      <c r="X573" s="195"/>
      <c r="Y573" s="195"/>
      <c r="Z573" s="195"/>
    </row>
    <row r="574" ht="15.75" customHeight="1" spans="1:26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8"/>
      <c r="L574" s="198"/>
      <c r="M574" s="198"/>
      <c r="N574" s="198"/>
      <c r="O574" s="198"/>
      <c r="P574" s="198"/>
      <c r="Q574" s="198"/>
      <c r="R574" s="198"/>
      <c r="S574" s="198"/>
      <c r="T574" s="195"/>
      <c r="U574" s="195"/>
      <c r="V574" s="195"/>
      <c r="W574" s="195"/>
      <c r="X574" s="195"/>
      <c r="Y574" s="195"/>
      <c r="Z574" s="195"/>
    </row>
    <row r="575" ht="15.75" customHeight="1" spans="1:26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8"/>
      <c r="L575" s="198"/>
      <c r="M575" s="198"/>
      <c r="N575" s="198"/>
      <c r="O575" s="198"/>
      <c r="P575" s="198"/>
      <c r="Q575" s="198"/>
      <c r="R575" s="198"/>
      <c r="S575" s="198"/>
      <c r="T575" s="195"/>
      <c r="U575" s="195"/>
      <c r="V575" s="195"/>
      <c r="W575" s="195"/>
      <c r="X575" s="195"/>
      <c r="Y575" s="195"/>
      <c r="Z575" s="195"/>
    </row>
    <row r="576" ht="15.75" customHeight="1" spans="1:2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8"/>
      <c r="L576" s="198"/>
      <c r="M576" s="198"/>
      <c r="N576" s="198"/>
      <c r="O576" s="198"/>
      <c r="P576" s="198"/>
      <c r="Q576" s="198"/>
      <c r="R576" s="198"/>
      <c r="S576" s="198"/>
      <c r="T576" s="195"/>
      <c r="U576" s="195"/>
      <c r="V576" s="195"/>
      <c r="W576" s="195"/>
      <c r="X576" s="195"/>
      <c r="Y576" s="195"/>
      <c r="Z576" s="195"/>
    </row>
    <row r="577" ht="15.75" customHeight="1" spans="1:26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8"/>
      <c r="L577" s="198"/>
      <c r="M577" s="198"/>
      <c r="N577" s="198"/>
      <c r="O577" s="198"/>
      <c r="P577" s="198"/>
      <c r="Q577" s="198"/>
      <c r="R577" s="198"/>
      <c r="S577" s="198"/>
      <c r="T577" s="195"/>
      <c r="U577" s="195"/>
      <c r="V577" s="195"/>
      <c r="W577" s="195"/>
      <c r="X577" s="195"/>
      <c r="Y577" s="195"/>
      <c r="Z577" s="195"/>
    </row>
    <row r="578" ht="15.75" customHeight="1" spans="1:26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8"/>
      <c r="L578" s="198"/>
      <c r="M578" s="198"/>
      <c r="N578" s="198"/>
      <c r="O578" s="198"/>
      <c r="P578" s="198"/>
      <c r="Q578" s="198"/>
      <c r="R578" s="198"/>
      <c r="S578" s="198"/>
      <c r="T578" s="195"/>
      <c r="U578" s="195"/>
      <c r="V578" s="195"/>
      <c r="W578" s="195"/>
      <c r="X578" s="195"/>
      <c r="Y578" s="195"/>
      <c r="Z578" s="195"/>
    </row>
    <row r="579" ht="15.75" customHeight="1" spans="1:26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8"/>
      <c r="L579" s="198"/>
      <c r="M579" s="198"/>
      <c r="N579" s="198"/>
      <c r="O579" s="198"/>
      <c r="P579" s="198"/>
      <c r="Q579" s="198"/>
      <c r="R579" s="198"/>
      <c r="S579" s="198"/>
      <c r="T579" s="195"/>
      <c r="U579" s="195"/>
      <c r="V579" s="195"/>
      <c r="W579" s="195"/>
      <c r="X579" s="195"/>
      <c r="Y579" s="195"/>
      <c r="Z579" s="195"/>
    </row>
    <row r="580" ht="15.75" customHeight="1" spans="1:26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8"/>
      <c r="L580" s="198"/>
      <c r="M580" s="198"/>
      <c r="N580" s="198"/>
      <c r="O580" s="198"/>
      <c r="P580" s="198"/>
      <c r="Q580" s="198"/>
      <c r="R580" s="198"/>
      <c r="S580" s="198"/>
      <c r="T580" s="195"/>
      <c r="U580" s="195"/>
      <c r="V580" s="195"/>
      <c r="W580" s="195"/>
      <c r="X580" s="195"/>
      <c r="Y580" s="195"/>
      <c r="Z580" s="195"/>
    </row>
    <row r="581" ht="15.75" customHeight="1" spans="1:26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8"/>
      <c r="L581" s="198"/>
      <c r="M581" s="198"/>
      <c r="N581" s="198"/>
      <c r="O581" s="198"/>
      <c r="P581" s="198"/>
      <c r="Q581" s="198"/>
      <c r="R581" s="198"/>
      <c r="S581" s="198"/>
      <c r="T581" s="195"/>
      <c r="U581" s="195"/>
      <c r="V581" s="195"/>
      <c r="W581" s="195"/>
      <c r="X581" s="195"/>
      <c r="Y581" s="195"/>
      <c r="Z581" s="195"/>
    </row>
    <row r="582" ht="15.75" customHeight="1" spans="1:26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8"/>
      <c r="L582" s="198"/>
      <c r="M582" s="198"/>
      <c r="N582" s="198"/>
      <c r="O582" s="198"/>
      <c r="P582" s="198"/>
      <c r="Q582" s="198"/>
      <c r="R582" s="198"/>
      <c r="S582" s="198"/>
      <c r="T582" s="195"/>
      <c r="U582" s="195"/>
      <c r="V582" s="195"/>
      <c r="W582" s="195"/>
      <c r="X582" s="195"/>
      <c r="Y582" s="195"/>
      <c r="Z582" s="195"/>
    </row>
    <row r="583" ht="15.75" customHeight="1" spans="1:26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8"/>
      <c r="L583" s="198"/>
      <c r="M583" s="198"/>
      <c r="N583" s="198"/>
      <c r="O583" s="198"/>
      <c r="P583" s="198"/>
      <c r="Q583" s="198"/>
      <c r="R583" s="198"/>
      <c r="S583" s="198"/>
      <c r="T583" s="195"/>
      <c r="U583" s="195"/>
      <c r="V583" s="195"/>
      <c r="W583" s="195"/>
      <c r="X583" s="195"/>
      <c r="Y583" s="195"/>
      <c r="Z583" s="195"/>
    </row>
    <row r="584" ht="15.75" customHeight="1" spans="1:26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8"/>
      <c r="L584" s="198"/>
      <c r="M584" s="198"/>
      <c r="N584" s="198"/>
      <c r="O584" s="198"/>
      <c r="P584" s="198"/>
      <c r="Q584" s="198"/>
      <c r="R584" s="198"/>
      <c r="S584" s="198"/>
      <c r="T584" s="195"/>
      <c r="U584" s="195"/>
      <c r="V584" s="195"/>
      <c r="W584" s="195"/>
      <c r="X584" s="195"/>
      <c r="Y584" s="195"/>
      <c r="Z584" s="195"/>
    </row>
    <row r="585" ht="15.75" customHeight="1" spans="1:26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8"/>
      <c r="L585" s="198"/>
      <c r="M585" s="198"/>
      <c r="N585" s="198"/>
      <c r="O585" s="198"/>
      <c r="P585" s="198"/>
      <c r="Q585" s="198"/>
      <c r="R585" s="198"/>
      <c r="S585" s="198"/>
      <c r="T585" s="195"/>
      <c r="U585" s="195"/>
      <c r="V585" s="195"/>
      <c r="W585" s="195"/>
      <c r="X585" s="195"/>
      <c r="Y585" s="195"/>
      <c r="Z585" s="195"/>
    </row>
    <row r="586" ht="15.75" customHeight="1" spans="1:2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8"/>
      <c r="L586" s="198"/>
      <c r="M586" s="198"/>
      <c r="N586" s="198"/>
      <c r="O586" s="198"/>
      <c r="P586" s="198"/>
      <c r="Q586" s="198"/>
      <c r="R586" s="198"/>
      <c r="S586" s="198"/>
      <c r="T586" s="195"/>
      <c r="U586" s="195"/>
      <c r="V586" s="195"/>
      <c r="W586" s="195"/>
      <c r="X586" s="195"/>
      <c r="Y586" s="195"/>
      <c r="Z586" s="195"/>
    </row>
    <row r="587" ht="15.75" customHeight="1" spans="1:26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8"/>
      <c r="L587" s="198"/>
      <c r="M587" s="198"/>
      <c r="N587" s="198"/>
      <c r="O587" s="198"/>
      <c r="P587" s="198"/>
      <c r="Q587" s="198"/>
      <c r="R587" s="198"/>
      <c r="S587" s="198"/>
      <c r="T587" s="195"/>
      <c r="U587" s="195"/>
      <c r="V587" s="195"/>
      <c r="W587" s="195"/>
      <c r="X587" s="195"/>
      <c r="Y587" s="195"/>
      <c r="Z587" s="195"/>
    </row>
    <row r="588" ht="15.75" customHeight="1" spans="1:26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8"/>
      <c r="L588" s="198"/>
      <c r="M588" s="198"/>
      <c r="N588" s="198"/>
      <c r="O588" s="198"/>
      <c r="P588" s="198"/>
      <c r="Q588" s="198"/>
      <c r="R588" s="198"/>
      <c r="S588" s="198"/>
      <c r="T588" s="195"/>
      <c r="U588" s="195"/>
      <c r="V588" s="195"/>
      <c r="W588" s="195"/>
      <c r="X588" s="195"/>
      <c r="Y588" s="195"/>
      <c r="Z588" s="195"/>
    </row>
    <row r="589" ht="15.75" customHeight="1" spans="1:26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8"/>
      <c r="L589" s="198"/>
      <c r="M589" s="198"/>
      <c r="N589" s="198"/>
      <c r="O589" s="198"/>
      <c r="P589" s="198"/>
      <c r="Q589" s="198"/>
      <c r="R589" s="198"/>
      <c r="S589" s="198"/>
      <c r="T589" s="195"/>
      <c r="U589" s="195"/>
      <c r="V589" s="195"/>
      <c r="W589" s="195"/>
      <c r="X589" s="195"/>
      <c r="Y589" s="195"/>
      <c r="Z589" s="195"/>
    </row>
    <row r="590" ht="15.75" customHeight="1" spans="1:26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8"/>
      <c r="L590" s="198"/>
      <c r="M590" s="198"/>
      <c r="N590" s="198"/>
      <c r="O590" s="198"/>
      <c r="P590" s="198"/>
      <c r="Q590" s="198"/>
      <c r="R590" s="198"/>
      <c r="S590" s="198"/>
      <c r="T590" s="195"/>
      <c r="U590" s="195"/>
      <c r="V590" s="195"/>
      <c r="W590" s="195"/>
      <c r="X590" s="195"/>
      <c r="Y590" s="195"/>
      <c r="Z590" s="195"/>
    </row>
    <row r="591" ht="15.75" customHeight="1" spans="1:26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8"/>
      <c r="L591" s="198"/>
      <c r="M591" s="198"/>
      <c r="N591" s="198"/>
      <c r="O591" s="198"/>
      <c r="P591" s="198"/>
      <c r="Q591" s="198"/>
      <c r="R591" s="198"/>
      <c r="S591" s="198"/>
      <c r="T591" s="195"/>
      <c r="U591" s="195"/>
      <c r="V591" s="195"/>
      <c r="W591" s="195"/>
      <c r="X591" s="195"/>
      <c r="Y591" s="195"/>
      <c r="Z591" s="195"/>
    </row>
    <row r="592" ht="15.75" customHeight="1" spans="1:26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8"/>
      <c r="L592" s="198"/>
      <c r="M592" s="198"/>
      <c r="N592" s="198"/>
      <c r="O592" s="198"/>
      <c r="P592" s="198"/>
      <c r="Q592" s="198"/>
      <c r="R592" s="198"/>
      <c r="S592" s="198"/>
      <c r="T592" s="195"/>
      <c r="U592" s="195"/>
      <c r="V592" s="195"/>
      <c r="W592" s="195"/>
      <c r="X592" s="195"/>
      <c r="Y592" s="195"/>
      <c r="Z592" s="195"/>
    </row>
    <row r="593" ht="15.75" customHeight="1" spans="1:26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8"/>
      <c r="L593" s="198"/>
      <c r="M593" s="198"/>
      <c r="N593" s="198"/>
      <c r="O593" s="198"/>
      <c r="P593" s="198"/>
      <c r="Q593" s="198"/>
      <c r="R593" s="198"/>
      <c r="S593" s="198"/>
      <c r="T593" s="195"/>
      <c r="U593" s="195"/>
      <c r="V593" s="195"/>
      <c r="W593" s="195"/>
      <c r="X593" s="195"/>
      <c r="Y593" s="195"/>
      <c r="Z593" s="195"/>
    </row>
    <row r="594" ht="15.75" customHeight="1" spans="1:26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8"/>
      <c r="L594" s="198"/>
      <c r="M594" s="198"/>
      <c r="N594" s="198"/>
      <c r="O594" s="198"/>
      <c r="P594" s="198"/>
      <c r="Q594" s="198"/>
      <c r="R594" s="198"/>
      <c r="S594" s="198"/>
      <c r="T594" s="195"/>
      <c r="U594" s="195"/>
      <c r="V594" s="195"/>
      <c r="W594" s="195"/>
      <c r="X594" s="195"/>
      <c r="Y594" s="195"/>
      <c r="Z594" s="195"/>
    </row>
    <row r="595" ht="15.75" customHeight="1" spans="1:26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8"/>
      <c r="L595" s="198"/>
      <c r="M595" s="198"/>
      <c r="N595" s="198"/>
      <c r="O595" s="198"/>
      <c r="P595" s="198"/>
      <c r="Q595" s="198"/>
      <c r="R595" s="198"/>
      <c r="S595" s="198"/>
      <c r="T595" s="195"/>
      <c r="U595" s="195"/>
      <c r="V595" s="195"/>
      <c r="W595" s="195"/>
      <c r="X595" s="195"/>
      <c r="Y595" s="195"/>
      <c r="Z595" s="195"/>
    </row>
    <row r="596" ht="15.75" customHeight="1" spans="1:2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8"/>
      <c r="L596" s="198"/>
      <c r="M596" s="198"/>
      <c r="N596" s="198"/>
      <c r="O596" s="198"/>
      <c r="P596" s="198"/>
      <c r="Q596" s="198"/>
      <c r="R596" s="198"/>
      <c r="S596" s="198"/>
      <c r="T596" s="195"/>
      <c r="U596" s="195"/>
      <c r="V596" s="195"/>
      <c r="W596" s="195"/>
      <c r="X596" s="195"/>
      <c r="Y596" s="195"/>
      <c r="Z596" s="195"/>
    </row>
    <row r="597" ht="15.75" customHeight="1" spans="1:26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8"/>
      <c r="L597" s="198"/>
      <c r="M597" s="198"/>
      <c r="N597" s="198"/>
      <c r="O597" s="198"/>
      <c r="P597" s="198"/>
      <c r="Q597" s="198"/>
      <c r="R597" s="198"/>
      <c r="S597" s="198"/>
      <c r="T597" s="195"/>
      <c r="U597" s="195"/>
      <c r="V597" s="195"/>
      <c r="W597" s="195"/>
      <c r="X597" s="195"/>
      <c r="Y597" s="195"/>
      <c r="Z597" s="195"/>
    </row>
    <row r="598" ht="15.75" customHeight="1" spans="1:26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8"/>
      <c r="L598" s="198"/>
      <c r="M598" s="198"/>
      <c r="N598" s="198"/>
      <c r="O598" s="198"/>
      <c r="P598" s="198"/>
      <c r="Q598" s="198"/>
      <c r="R598" s="198"/>
      <c r="S598" s="198"/>
      <c r="T598" s="195"/>
      <c r="U598" s="195"/>
      <c r="V598" s="195"/>
      <c r="W598" s="195"/>
      <c r="X598" s="195"/>
      <c r="Y598" s="195"/>
      <c r="Z598" s="195"/>
    </row>
    <row r="599" ht="15.75" customHeight="1" spans="1:26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8"/>
      <c r="L599" s="198"/>
      <c r="M599" s="198"/>
      <c r="N599" s="198"/>
      <c r="O599" s="198"/>
      <c r="P599" s="198"/>
      <c r="Q599" s="198"/>
      <c r="R599" s="198"/>
      <c r="S599" s="198"/>
      <c r="T599" s="195"/>
      <c r="U599" s="195"/>
      <c r="V599" s="195"/>
      <c r="W599" s="195"/>
      <c r="X599" s="195"/>
      <c r="Y599" s="195"/>
      <c r="Z599" s="195"/>
    </row>
    <row r="600" ht="15.75" customHeight="1" spans="1:26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8"/>
      <c r="L600" s="198"/>
      <c r="M600" s="198"/>
      <c r="N600" s="198"/>
      <c r="O600" s="198"/>
      <c r="P600" s="198"/>
      <c r="Q600" s="198"/>
      <c r="R600" s="198"/>
      <c r="S600" s="198"/>
      <c r="T600" s="195"/>
      <c r="U600" s="195"/>
      <c r="V600" s="195"/>
      <c r="W600" s="195"/>
      <c r="X600" s="195"/>
      <c r="Y600" s="195"/>
      <c r="Z600" s="195"/>
    </row>
    <row r="601" ht="15.75" customHeight="1" spans="1:26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8"/>
      <c r="L601" s="198"/>
      <c r="M601" s="198"/>
      <c r="N601" s="198"/>
      <c r="O601" s="198"/>
      <c r="P601" s="198"/>
      <c r="Q601" s="198"/>
      <c r="R601" s="198"/>
      <c r="S601" s="198"/>
      <c r="T601" s="195"/>
      <c r="U601" s="195"/>
      <c r="V601" s="195"/>
      <c r="W601" s="195"/>
      <c r="X601" s="195"/>
      <c r="Y601" s="195"/>
      <c r="Z601" s="195"/>
    </row>
    <row r="602" ht="15.75" customHeight="1" spans="1:26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8"/>
      <c r="L602" s="198"/>
      <c r="M602" s="198"/>
      <c r="N602" s="198"/>
      <c r="O602" s="198"/>
      <c r="P602" s="198"/>
      <c r="Q602" s="198"/>
      <c r="R602" s="198"/>
      <c r="S602" s="198"/>
      <c r="T602" s="195"/>
      <c r="U602" s="195"/>
      <c r="V602" s="195"/>
      <c r="W602" s="195"/>
      <c r="X602" s="195"/>
      <c r="Y602" s="195"/>
      <c r="Z602" s="195"/>
    </row>
    <row r="603" ht="15.75" customHeight="1" spans="1:26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8"/>
      <c r="L603" s="198"/>
      <c r="M603" s="198"/>
      <c r="N603" s="198"/>
      <c r="O603" s="198"/>
      <c r="P603" s="198"/>
      <c r="Q603" s="198"/>
      <c r="R603" s="198"/>
      <c r="S603" s="198"/>
      <c r="T603" s="195"/>
      <c r="U603" s="195"/>
      <c r="V603" s="195"/>
      <c r="W603" s="195"/>
      <c r="X603" s="195"/>
      <c r="Y603" s="195"/>
      <c r="Z603" s="195"/>
    </row>
    <row r="604" ht="15.75" customHeight="1" spans="1:26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8"/>
      <c r="L604" s="198"/>
      <c r="M604" s="198"/>
      <c r="N604" s="198"/>
      <c r="O604" s="198"/>
      <c r="P604" s="198"/>
      <c r="Q604" s="198"/>
      <c r="R604" s="198"/>
      <c r="S604" s="198"/>
      <c r="T604" s="195"/>
      <c r="U604" s="195"/>
      <c r="V604" s="195"/>
      <c r="W604" s="195"/>
      <c r="X604" s="195"/>
      <c r="Y604" s="195"/>
      <c r="Z604" s="195"/>
    </row>
    <row r="605" ht="15.75" customHeight="1" spans="1:26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8"/>
      <c r="L605" s="198"/>
      <c r="M605" s="198"/>
      <c r="N605" s="198"/>
      <c r="O605" s="198"/>
      <c r="P605" s="198"/>
      <c r="Q605" s="198"/>
      <c r="R605" s="198"/>
      <c r="S605" s="198"/>
      <c r="T605" s="195"/>
      <c r="U605" s="195"/>
      <c r="V605" s="195"/>
      <c r="W605" s="195"/>
      <c r="X605" s="195"/>
      <c r="Y605" s="195"/>
      <c r="Z605" s="195"/>
    </row>
    <row r="606" ht="15.75" customHeight="1" spans="1:2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8"/>
      <c r="L606" s="198"/>
      <c r="M606" s="198"/>
      <c r="N606" s="198"/>
      <c r="O606" s="198"/>
      <c r="P606" s="198"/>
      <c r="Q606" s="198"/>
      <c r="R606" s="198"/>
      <c r="S606" s="198"/>
      <c r="T606" s="195"/>
      <c r="U606" s="195"/>
      <c r="V606" s="195"/>
      <c r="W606" s="195"/>
      <c r="X606" s="195"/>
      <c r="Y606" s="195"/>
      <c r="Z606" s="195"/>
    </row>
    <row r="607" ht="15.75" customHeight="1" spans="1:26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8"/>
      <c r="L607" s="198"/>
      <c r="M607" s="198"/>
      <c r="N607" s="198"/>
      <c r="O607" s="198"/>
      <c r="P607" s="198"/>
      <c r="Q607" s="198"/>
      <c r="R607" s="198"/>
      <c r="S607" s="198"/>
      <c r="T607" s="195"/>
      <c r="U607" s="195"/>
      <c r="V607" s="195"/>
      <c r="W607" s="195"/>
      <c r="X607" s="195"/>
      <c r="Y607" s="195"/>
      <c r="Z607" s="195"/>
    </row>
    <row r="608" ht="15.75" customHeight="1" spans="1:26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8"/>
      <c r="L608" s="198"/>
      <c r="M608" s="198"/>
      <c r="N608" s="198"/>
      <c r="O608" s="198"/>
      <c r="P608" s="198"/>
      <c r="Q608" s="198"/>
      <c r="R608" s="198"/>
      <c r="S608" s="198"/>
      <c r="T608" s="195"/>
      <c r="U608" s="195"/>
      <c r="V608" s="195"/>
      <c r="W608" s="195"/>
      <c r="X608" s="195"/>
      <c r="Y608" s="195"/>
      <c r="Z608" s="195"/>
    </row>
    <row r="609" ht="15.75" customHeight="1" spans="1:26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8"/>
      <c r="L609" s="198"/>
      <c r="M609" s="198"/>
      <c r="N609" s="198"/>
      <c r="O609" s="198"/>
      <c r="P609" s="198"/>
      <c r="Q609" s="198"/>
      <c r="R609" s="198"/>
      <c r="S609" s="198"/>
      <c r="T609" s="195"/>
      <c r="U609" s="195"/>
      <c r="V609" s="195"/>
      <c r="W609" s="195"/>
      <c r="X609" s="195"/>
      <c r="Y609" s="195"/>
      <c r="Z609" s="195"/>
    </row>
    <row r="610" ht="15.75" customHeight="1" spans="1:26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8"/>
      <c r="L610" s="198"/>
      <c r="M610" s="198"/>
      <c r="N610" s="198"/>
      <c r="O610" s="198"/>
      <c r="P610" s="198"/>
      <c r="Q610" s="198"/>
      <c r="R610" s="198"/>
      <c r="S610" s="198"/>
      <c r="T610" s="195"/>
      <c r="U610" s="195"/>
      <c r="V610" s="195"/>
      <c r="W610" s="195"/>
      <c r="X610" s="195"/>
      <c r="Y610" s="195"/>
      <c r="Z610" s="195"/>
    </row>
    <row r="611" ht="15.75" customHeight="1" spans="1:26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8"/>
      <c r="L611" s="198"/>
      <c r="M611" s="198"/>
      <c r="N611" s="198"/>
      <c r="O611" s="198"/>
      <c r="P611" s="198"/>
      <c r="Q611" s="198"/>
      <c r="R611" s="198"/>
      <c r="S611" s="198"/>
      <c r="T611" s="195"/>
      <c r="U611" s="195"/>
      <c r="V611" s="195"/>
      <c r="W611" s="195"/>
      <c r="X611" s="195"/>
      <c r="Y611" s="195"/>
      <c r="Z611" s="195"/>
    </row>
    <row r="612" ht="15.75" customHeight="1" spans="1:26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8"/>
      <c r="L612" s="198"/>
      <c r="M612" s="198"/>
      <c r="N612" s="198"/>
      <c r="O612" s="198"/>
      <c r="P612" s="198"/>
      <c r="Q612" s="198"/>
      <c r="R612" s="198"/>
      <c r="S612" s="198"/>
      <c r="T612" s="195"/>
      <c r="U612" s="195"/>
      <c r="V612" s="195"/>
      <c r="W612" s="195"/>
      <c r="X612" s="195"/>
      <c r="Y612" s="195"/>
      <c r="Z612" s="195"/>
    </row>
    <row r="613" ht="15.75" customHeight="1" spans="1:26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8"/>
      <c r="L613" s="198"/>
      <c r="M613" s="198"/>
      <c r="N613" s="198"/>
      <c r="O613" s="198"/>
      <c r="P613" s="198"/>
      <c r="Q613" s="198"/>
      <c r="R613" s="198"/>
      <c r="S613" s="198"/>
      <c r="T613" s="195"/>
      <c r="U613" s="195"/>
      <c r="V613" s="195"/>
      <c r="W613" s="195"/>
      <c r="X613" s="195"/>
      <c r="Y613" s="195"/>
      <c r="Z613" s="195"/>
    </row>
    <row r="614" ht="15.75" customHeight="1" spans="1:26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8"/>
      <c r="L614" s="198"/>
      <c r="M614" s="198"/>
      <c r="N614" s="198"/>
      <c r="O614" s="198"/>
      <c r="P614" s="198"/>
      <c r="Q614" s="198"/>
      <c r="R614" s="198"/>
      <c r="S614" s="198"/>
      <c r="T614" s="195"/>
      <c r="U614" s="195"/>
      <c r="V614" s="195"/>
      <c r="W614" s="195"/>
      <c r="X614" s="195"/>
      <c r="Y614" s="195"/>
      <c r="Z614" s="195"/>
    </row>
    <row r="615" ht="15.75" customHeight="1" spans="1:26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8"/>
      <c r="L615" s="198"/>
      <c r="M615" s="198"/>
      <c r="N615" s="198"/>
      <c r="O615" s="198"/>
      <c r="P615" s="198"/>
      <c r="Q615" s="198"/>
      <c r="R615" s="198"/>
      <c r="S615" s="198"/>
      <c r="T615" s="195"/>
      <c r="U615" s="195"/>
      <c r="V615" s="195"/>
      <c r="W615" s="195"/>
      <c r="X615" s="195"/>
      <c r="Y615" s="195"/>
      <c r="Z615" s="195"/>
    </row>
    <row r="616" ht="15.75" customHeight="1" spans="1:2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8"/>
      <c r="L616" s="198"/>
      <c r="M616" s="198"/>
      <c r="N616" s="198"/>
      <c r="O616" s="198"/>
      <c r="P616" s="198"/>
      <c r="Q616" s="198"/>
      <c r="R616" s="198"/>
      <c r="S616" s="198"/>
      <c r="T616" s="195"/>
      <c r="U616" s="195"/>
      <c r="V616" s="195"/>
      <c r="W616" s="195"/>
      <c r="X616" s="195"/>
      <c r="Y616" s="195"/>
      <c r="Z616" s="195"/>
    </row>
    <row r="617" ht="15.75" customHeight="1" spans="1:26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8"/>
      <c r="L617" s="198"/>
      <c r="M617" s="198"/>
      <c r="N617" s="198"/>
      <c r="O617" s="198"/>
      <c r="P617" s="198"/>
      <c r="Q617" s="198"/>
      <c r="R617" s="198"/>
      <c r="S617" s="198"/>
      <c r="T617" s="195"/>
      <c r="U617" s="195"/>
      <c r="V617" s="195"/>
      <c r="W617" s="195"/>
      <c r="X617" s="195"/>
      <c r="Y617" s="195"/>
      <c r="Z617" s="195"/>
    </row>
    <row r="618" ht="15.75" customHeight="1" spans="1:26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8"/>
      <c r="L618" s="198"/>
      <c r="M618" s="198"/>
      <c r="N618" s="198"/>
      <c r="O618" s="198"/>
      <c r="P618" s="198"/>
      <c r="Q618" s="198"/>
      <c r="R618" s="198"/>
      <c r="S618" s="198"/>
      <c r="T618" s="195"/>
      <c r="U618" s="195"/>
      <c r="V618" s="195"/>
      <c r="W618" s="195"/>
      <c r="X618" s="195"/>
      <c r="Y618" s="195"/>
      <c r="Z618" s="195"/>
    </row>
    <row r="619" ht="15.75" customHeight="1" spans="1:26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8"/>
      <c r="L619" s="198"/>
      <c r="M619" s="198"/>
      <c r="N619" s="198"/>
      <c r="O619" s="198"/>
      <c r="P619" s="198"/>
      <c r="Q619" s="198"/>
      <c r="R619" s="198"/>
      <c r="S619" s="198"/>
      <c r="T619" s="195"/>
      <c r="U619" s="195"/>
      <c r="V619" s="195"/>
      <c r="W619" s="195"/>
      <c r="X619" s="195"/>
      <c r="Y619" s="195"/>
      <c r="Z619" s="195"/>
    </row>
    <row r="620" ht="15.75" customHeight="1" spans="1:26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8"/>
      <c r="L620" s="198"/>
      <c r="M620" s="198"/>
      <c r="N620" s="198"/>
      <c r="O620" s="198"/>
      <c r="P620" s="198"/>
      <c r="Q620" s="198"/>
      <c r="R620" s="198"/>
      <c r="S620" s="198"/>
      <c r="T620" s="195"/>
      <c r="U620" s="195"/>
      <c r="V620" s="195"/>
      <c r="W620" s="195"/>
      <c r="X620" s="195"/>
      <c r="Y620" s="195"/>
      <c r="Z620" s="195"/>
    </row>
    <row r="621" ht="15.75" customHeight="1" spans="1:26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8"/>
      <c r="L621" s="198"/>
      <c r="M621" s="198"/>
      <c r="N621" s="198"/>
      <c r="O621" s="198"/>
      <c r="P621" s="198"/>
      <c r="Q621" s="198"/>
      <c r="R621" s="198"/>
      <c r="S621" s="198"/>
      <c r="T621" s="195"/>
      <c r="U621" s="195"/>
      <c r="V621" s="195"/>
      <c r="W621" s="195"/>
      <c r="X621" s="195"/>
      <c r="Y621" s="195"/>
      <c r="Z621" s="195"/>
    </row>
    <row r="622" ht="15.75" customHeight="1" spans="1:26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8"/>
      <c r="L622" s="198"/>
      <c r="M622" s="198"/>
      <c r="N622" s="198"/>
      <c r="O622" s="198"/>
      <c r="P622" s="198"/>
      <c r="Q622" s="198"/>
      <c r="R622" s="198"/>
      <c r="S622" s="198"/>
      <c r="T622" s="195"/>
      <c r="U622" s="195"/>
      <c r="V622" s="195"/>
      <c r="W622" s="195"/>
      <c r="X622" s="195"/>
      <c r="Y622" s="195"/>
      <c r="Z622" s="195"/>
    </row>
    <row r="623" ht="15.75" customHeight="1" spans="1:26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8"/>
      <c r="L623" s="198"/>
      <c r="M623" s="198"/>
      <c r="N623" s="198"/>
      <c r="O623" s="198"/>
      <c r="P623" s="198"/>
      <c r="Q623" s="198"/>
      <c r="R623" s="198"/>
      <c r="S623" s="198"/>
      <c r="T623" s="195"/>
      <c r="U623" s="195"/>
      <c r="V623" s="195"/>
      <c r="W623" s="195"/>
      <c r="X623" s="195"/>
      <c r="Y623" s="195"/>
      <c r="Z623" s="195"/>
    </row>
    <row r="624" ht="15.75" customHeight="1" spans="1:26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8"/>
      <c r="L624" s="198"/>
      <c r="M624" s="198"/>
      <c r="N624" s="198"/>
      <c r="O624" s="198"/>
      <c r="P624" s="198"/>
      <c r="Q624" s="198"/>
      <c r="R624" s="198"/>
      <c r="S624" s="198"/>
      <c r="T624" s="195"/>
      <c r="U624" s="195"/>
      <c r="V624" s="195"/>
      <c r="W624" s="195"/>
      <c r="X624" s="195"/>
      <c r="Y624" s="195"/>
      <c r="Z624" s="195"/>
    </row>
    <row r="625" ht="15.75" customHeight="1" spans="1:26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8"/>
      <c r="L625" s="198"/>
      <c r="M625" s="198"/>
      <c r="N625" s="198"/>
      <c r="O625" s="198"/>
      <c r="P625" s="198"/>
      <c r="Q625" s="198"/>
      <c r="R625" s="198"/>
      <c r="S625" s="198"/>
      <c r="T625" s="195"/>
      <c r="U625" s="195"/>
      <c r="V625" s="195"/>
      <c r="W625" s="195"/>
      <c r="X625" s="195"/>
      <c r="Y625" s="195"/>
      <c r="Z625" s="195"/>
    </row>
    <row r="626" ht="15.75" customHeight="1" spans="1: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8"/>
      <c r="L626" s="198"/>
      <c r="M626" s="198"/>
      <c r="N626" s="198"/>
      <c r="O626" s="198"/>
      <c r="P626" s="198"/>
      <c r="Q626" s="198"/>
      <c r="R626" s="198"/>
      <c r="S626" s="198"/>
      <c r="T626" s="195"/>
      <c r="U626" s="195"/>
      <c r="V626" s="195"/>
      <c r="W626" s="195"/>
      <c r="X626" s="195"/>
      <c r="Y626" s="195"/>
      <c r="Z626" s="195"/>
    </row>
    <row r="627" ht="15.75" customHeight="1" spans="1:26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8"/>
      <c r="L627" s="198"/>
      <c r="M627" s="198"/>
      <c r="N627" s="198"/>
      <c r="O627" s="198"/>
      <c r="P627" s="198"/>
      <c r="Q627" s="198"/>
      <c r="R627" s="198"/>
      <c r="S627" s="198"/>
      <c r="T627" s="195"/>
      <c r="U627" s="195"/>
      <c r="V627" s="195"/>
      <c r="W627" s="195"/>
      <c r="X627" s="195"/>
      <c r="Y627" s="195"/>
      <c r="Z627" s="195"/>
    </row>
    <row r="628" ht="15.75" customHeight="1" spans="1:26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8"/>
      <c r="L628" s="198"/>
      <c r="M628" s="198"/>
      <c r="N628" s="198"/>
      <c r="O628" s="198"/>
      <c r="P628" s="198"/>
      <c r="Q628" s="198"/>
      <c r="R628" s="198"/>
      <c r="S628" s="198"/>
      <c r="T628" s="195"/>
      <c r="U628" s="195"/>
      <c r="V628" s="195"/>
      <c r="W628" s="195"/>
      <c r="X628" s="195"/>
      <c r="Y628" s="195"/>
      <c r="Z628" s="195"/>
    </row>
    <row r="629" ht="15.75" customHeight="1" spans="1:26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8"/>
      <c r="L629" s="198"/>
      <c r="M629" s="198"/>
      <c r="N629" s="198"/>
      <c r="O629" s="198"/>
      <c r="P629" s="198"/>
      <c r="Q629" s="198"/>
      <c r="R629" s="198"/>
      <c r="S629" s="198"/>
      <c r="T629" s="195"/>
      <c r="U629" s="195"/>
      <c r="V629" s="195"/>
      <c r="W629" s="195"/>
      <c r="X629" s="195"/>
      <c r="Y629" s="195"/>
      <c r="Z629" s="195"/>
    </row>
    <row r="630" ht="15.75" customHeight="1" spans="1:26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8"/>
      <c r="L630" s="198"/>
      <c r="M630" s="198"/>
      <c r="N630" s="198"/>
      <c r="O630" s="198"/>
      <c r="P630" s="198"/>
      <c r="Q630" s="198"/>
      <c r="R630" s="198"/>
      <c r="S630" s="198"/>
      <c r="T630" s="195"/>
      <c r="U630" s="195"/>
      <c r="V630" s="195"/>
      <c r="W630" s="195"/>
      <c r="X630" s="195"/>
      <c r="Y630" s="195"/>
      <c r="Z630" s="195"/>
    </row>
    <row r="631" ht="15.75" customHeight="1" spans="1:26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8"/>
      <c r="L631" s="198"/>
      <c r="M631" s="198"/>
      <c r="N631" s="198"/>
      <c r="O631" s="198"/>
      <c r="P631" s="198"/>
      <c r="Q631" s="198"/>
      <c r="R631" s="198"/>
      <c r="S631" s="198"/>
      <c r="T631" s="195"/>
      <c r="U631" s="195"/>
      <c r="V631" s="195"/>
      <c r="W631" s="195"/>
      <c r="X631" s="195"/>
      <c r="Y631" s="195"/>
      <c r="Z631" s="195"/>
    </row>
    <row r="632" ht="15.75" customHeight="1" spans="1:26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8"/>
      <c r="L632" s="198"/>
      <c r="M632" s="198"/>
      <c r="N632" s="198"/>
      <c r="O632" s="198"/>
      <c r="P632" s="198"/>
      <c r="Q632" s="198"/>
      <c r="R632" s="198"/>
      <c r="S632" s="198"/>
      <c r="T632" s="195"/>
      <c r="U632" s="195"/>
      <c r="V632" s="195"/>
      <c r="W632" s="195"/>
      <c r="X632" s="195"/>
      <c r="Y632" s="195"/>
      <c r="Z632" s="195"/>
    </row>
    <row r="633" ht="15.75" customHeight="1" spans="1:26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8"/>
      <c r="L633" s="198"/>
      <c r="M633" s="198"/>
      <c r="N633" s="198"/>
      <c r="O633" s="198"/>
      <c r="P633" s="198"/>
      <c r="Q633" s="198"/>
      <c r="R633" s="198"/>
      <c r="S633" s="198"/>
      <c r="T633" s="195"/>
      <c r="U633" s="195"/>
      <c r="V633" s="195"/>
      <c r="W633" s="195"/>
      <c r="X633" s="195"/>
      <c r="Y633" s="195"/>
      <c r="Z633" s="195"/>
    </row>
    <row r="634" ht="15.75" customHeight="1" spans="1:26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8"/>
      <c r="L634" s="198"/>
      <c r="M634" s="198"/>
      <c r="N634" s="198"/>
      <c r="O634" s="198"/>
      <c r="P634" s="198"/>
      <c r="Q634" s="198"/>
      <c r="R634" s="198"/>
      <c r="S634" s="198"/>
      <c r="T634" s="195"/>
      <c r="U634" s="195"/>
      <c r="V634" s="195"/>
      <c r="W634" s="195"/>
      <c r="X634" s="195"/>
      <c r="Y634" s="195"/>
      <c r="Z634" s="195"/>
    </row>
    <row r="635" ht="15.75" customHeight="1" spans="1:26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8"/>
      <c r="L635" s="198"/>
      <c r="M635" s="198"/>
      <c r="N635" s="198"/>
      <c r="O635" s="198"/>
      <c r="P635" s="198"/>
      <c r="Q635" s="198"/>
      <c r="R635" s="198"/>
      <c r="S635" s="198"/>
      <c r="T635" s="195"/>
      <c r="U635" s="195"/>
      <c r="V635" s="195"/>
      <c r="W635" s="195"/>
      <c r="X635" s="195"/>
      <c r="Y635" s="195"/>
      <c r="Z635" s="195"/>
    </row>
    <row r="636" ht="15.75" customHeight="1" spans="1:2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8"/>
      <c r="L636" s="198"/>
      <c r="M636" s="198"/>
      <c r="N636" s="198"/>
      <c r="O636" s="198"/>
      <c r="P636" s="198"/>
      <c r="Q636" s="198"/>
      <c r="R636" s="198"/>
      <c r="S636" s="198"/>
      <c r="T636" s="195"/>
      <c r="U636" s="195"/>
      <c r="V636" s="195"/>
      <c r="W636" s="195"/>
      <c r="X636" s="195"/>
      <c r="Y636" s="195"/>
      <c r="Z636" s="195"/>
    </row>
    <row r="637" ht="15.75" customHeight="1" spans="1:26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8"/>
      <c r="L637" s="198"/>
      <c r="M637" s="198"/>
      <c r="N637" s="198"/>
      <c r="O637" s="198"/>
      <c r="P637" s="198"/>
      <c r="Q637" s="198"/>
      <c r="R637" s="198"/>
      <c r="S637" s="198"/>
      <c r="T637" s="195"/>
      <c r="U637" s="195"/>
      <c r="V637" s="195"/>
      <c r="W637" s="195"/>
      <c r="X637" s="195"/>
      <c r="Y637" s="195"/>
      <c r="Z637" s="195"/>
    </row>
    <row r="638" ht="15.75" customHeight="1" spans="1:26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8"/>
      <c r="L638" s="198"/>
      <c r="M638" s="198"/>
      <c r="N638" s="198"/>
      <c r="O638" s="198"/>
      <c r="P638" s="198"/>
      <c r="Q638" s="198"/>
      <c r="R638" s="198"/>
      <c r="S638" s="198"/>
      <c r="T638" s="195"/>
      <c r="U638" s="195"/>
      <c r="V638" s="195"/>
      <c r="W638" s="195"/>
      <c r="X638" s="195"/>
      <c r="Y638" s="195"/>
      <c r="Z638" s="195"/>
    </row>
    <row r="639" ht="15.75" customHeight="1" spans="1:26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8"/>
      <c r="L639" s="198"/>
      <c r="M639" s="198"/>
      <c r="N639" s="198"/>
      <c r="O639" s="198"/>
      <c r="P639" s="198"/>
      <c r="Q639" s="198"/>
      <c r="R639" s="198"/>
      <c r="S639" s="198"/>
      <c r="T639" s="195"/>
      <c r="U639" s="195"/>
      <c r="V639" s="195"/>
      <c r="W639" s="195"/>
      <c r="X639" s="195"/>
      <c r="Y639" s="195"/>
      <c r="Z639" s="195"/>
    </row>
    <row r="640" ht="15.75" customHeight="1" spans="1:26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8"/>
      <c r="L640" s="198"/>
      <c r="M640" s="198"/>
      <c r="N640" s="198"/>
      <c r="O640" s="198"/>
      <c r="P640" s="198"/>
      <c r="Q640" s="198"/>
      <c r="R640" s="198"/>
      <c r="S640" s="198"/>
      <c r="T640" s="195"/>
      <c r="U640" s="195"/>
      <c r="V640" s="195"/>
      <c r="W640" s="195"/>
      <c r="X640" s="195"/>
      <c r="Y640" s="195"/>
      <c r="Z640" s="195"/>
    </row>
    <row r="641" ht="15.75" customHeight="1" spans="1:26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8"/>
      <c r="L641" s="198"/>
      <c r="M641" s="198"/>
      <c r="N641" s="198"/>
      <c r="O641" s="198"/>
      <c r="P641" s="198"/>
      <c r="Q641" s="198"/>
      <c r="R641" s="198"/>
      <c r="S641" s="198"/>
      <c r="T641" s="195"/>
      <c r="U641" s="195"/>
      <c r="V641" s="195"/>
      <c r="W641" s="195"/>
      <c r="X641" s="195"/>
      <c r="Y641" s="195"/>
      <c r="Z641" s="195"/>
    </row>
    <row r="642" ht="15.75" customHeight="1" spans="1:26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8"/>
      <c r="L642" s="198"/>
      <c r="M642" s="198"/>
      <c r="N642" s="198"/>
      <c r="O642" s="198"/>
      <c r="P642" s="198"/>
      <c r="Q642" s="198"/>
      <c r="R642" s="198"/>
      <c r="S642" s="198"/>
      <c r="T642" s="195"/>
      <c r="U642" s="195"/>
      <c r="V642" s="195"/>
      <c r="W642" s="195"/>
      <c r="X642" s="195"/>
      <c r="Y642" s="195"/>
      <c r="Z642" s="195"/>
    </row>
    <row r="643" ht="15.75" customHeight="1" spans="1:26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8"/>
      <c r="L643" s="198"/>
      <c r="M643" s="198"/>
      <c r="N643" s="198"/>
      <c r="O643" s="198"/>
      <c r="P643" s="198"/>
      <c r="Q643" s="198"/>
      <c r="R643" s="198"/>
      <c r="S643" s="198"/>
      <c r="T643" s="195"/>
      <c r="U643" s="195"/>
      <c r="V643" s="195"/>
      <c r="W643" s="195"/>
      <c r="X643" s="195"/>
      <c r="Y643" s="195"/>
      <c r="Z643" s="195"/>
    </row>
    <row r="644" ht="15.75" customHeight="1" spans="1:26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8"/>
      <c r="L644" s="198"/>
      <c r="M644" s="198"/>
      <c r="N644" s="198"/>
      <c r="O644" s="198"/>
      <c r="P644" s="198"/>
      <c r="Q644" s="198"/>
      <c r="R644" s="198"/>
      <c r="S644" s="198"/>
      <c r="T644" s="195"/>
      <c r="U644" s="195"/>
      <c r="V644" s="195"/>
      <c r="W644" s="195"/>
      <c r="X644" s="195"/>
      <c r="Y644" s="195"/>
      <c r="Z644" s="195"/>
    </row>
    <row r="645" ht="15.75" customHeight="1" spans="1:26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8"/>
      <c r="L645" s="198"/>
      <c r="M645" s="198"/>
      <c r="N645" s="198"/>
      <c r="O645" s="198"/>
      <c r="P645" s="198"/>
      <c r="Q645" s="198"/>
      <c r="R645" s="198"/>
      <c r="S645" s="198"/>
      <c r="T645" s="195"/>
      <c r="U645" s="195"/>
      <c r="V645" s="195"/>
      <c r="W645" s="195"/>
      <c r="X645" s="195"/>
      <c r="Y645" s="195"/>
      <c r="Z645" s="195"/>
    </row>
    <row r="646" ht="15.75" customHeight="1" spans="1:2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8"/>
      <c r="L646" s="198"/>
      <c r="M646" s="198"/>
      <c r="N646" s="198"/>
      <c r="O646" s="198"/>
      <c r="P646" s="198"/>
      <c r="Q646" s="198"/>
      <c r="R646" s="198"/>
      <c r="S646" s="198"/>
      <c r="T646" s="195"/>
      <c r="U646" s="195"/>
      <c r="V646" s="195"/>
      <c r="W646" s="195"/>
      <c r="X646" s="195"/>
      <c r="Y646" s="195"/>
      <c r="Z646" s="195"/>
    </row>
    <row r="647" ht="15.75" customHeight="1" spans="1:26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8"/>
      <c r="L647" s="198"/>
      <c r="M647" s="198"/>
      <c r="N647" s="198"/>
      <c r="O647" s="198"/>
      <c r="P647" s="198"/>
      <c r="Q647" s="198"/>
      <c r="R647" s="198"/>
      <c r="S647" s="198"/>
      <c r="T647" s="195"/>
      <c r="U647" s="195"/>
      <c r="V647" s="195"/>
      <c r="W647" s="195"/>
      <c r="X647" s="195"/>
      <c r="Y647" s="195"/>
      <c r="Z647" s="195"/>
    </row>
    <row r="648" ht="15.75" customHeight="1" spans="1:26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8"/>
      <c r="L648" s="198"/>
      <c r="M648" s="198"/>
      <c r="N648" s="198"/>
      <c r="O648" s="198"/>
      <c r="P648" s="198"/>
      <c r="Q648" s="198"/>
      <c r="R648" s="198"/>
      <c r="S648" s="198"/>
      <c r="T648" s="195"/>
      <c r="U648" s="195"/>
      <c r="V648" s="195"/>
      <c r="W648" s="195"/>
      <c r="X648" s="195"/>
      <c r="Y648" s="195"/>
      <c r="Z648" s="195"/>
    </row>
    <row r="649" ht="15.75" customHeight="1" spans="1:26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8"/>
      <c r="L649" s="198"/>
      <c r="M649" s="198"/>
      <c r="N649" s="198"/>
      <c r="O649" s="198"/>
      <c r="P649" s="198"/>
      <c r="Q649" s="198"/>
      <c r="R649" s="198"/>
      <c r="S649" s="198"/>
      <c r="T649" s="195"/>
      <c r="U649" s="195"/>
      <c r="V649" s="195"/>
      <c r="W649" s="195"/>
      <c r="X649" s="195"/>
      <c r="Y649" s="195"/>
      <c r="Z649" s="195"/>
    </row>
    <row r="650" ht="15.75" customHeight="1" spans="1:26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8"/>
      <c r="L650" s="198"/>
      <c r="M650" s="198"/>
      <c r="N650" s="198"/>
      <c r="O650" s="198"/>
      <c r="P650" s="198"/>
      <c r="Q650" s="198"/>
      <c r="R650" s="198"/>
      <c r="S650" s="198"/>
      <c r="T650" s="195"/>
      <c r="U650" s="195"/>
      <c r="V650" s="195"/>
      <c r="W650" s="195"/>
      <c r="X650" s="195"/>
      <c r="Y650" s="195"/>
      <c r="Z650" s="195"/>
    </row>
    <row r="651" ht="15.75" customHeight="1" spans="1:26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8"/>
      <c r="L651" s="198"/>
      <c r="M651" s="198"/>
      <c r="N651" s="198"/>
      <c r="O651" s="198"/>
      <c r="P651" s="198"/>
      <c r="Q651" s="198"/>
      <c r="R651" s="198"/>
      <c r="S651" s="198"/>
      <c r="T651" s="195"/>
      <c r="U651" s="195"/>
      <c r="V651" s="195"/>
      <c r="W651" s="195"/>
      <c r="X651" s="195"/>
      <c r="Y651" s="195"/>
      <c r="Z651" s="195"/>
    </row>
    <row r="652" ht="15.75" customHeight="1" spans="1:26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8"/>
      <c r="L652" s="198"/>
      <c r="M652" s="198"/>
      <c r="N652" s="198"/>
      <c r="O652" s="198"/>
      <c r="P652" s="198"/>
      <c r="Q652" s="198"/>
      <c r="R652" s="198"/>
      <c r="S652" s="198"/>
      <c r="T652" s="195"/>
      <c r="U652" s="195"/>
      <c r="V652" s="195"/>
      <c r="W652" s="195"/>
      <c r="X652" s="195"/>
      <c r="Y652" s="195"/>
      <c r="Z652" s="195"/>
    </row>
    <row r="653" ht="15.75" customHeight="1" spans="1:26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8"/>
      <c r="L653" s="198"/>
      <c r="M653" s="198"/>
      <c r="N653" s="198"/>
      <c r="O653" s="198"/>
      <c r="P653" s="198"/>
      <c r="Q653" s="198"/>
      <c r="R653" s="198"/>
      <c r="S653" s="198"/>
      <c r="T653" s="195"/>
      <c r="U653" s="195"/>
      <c r="V653" s="195"/>
      <c r="W653" s="195"/>
      <c r="X653" s="195"/>
      <c r="Y653" s="195"/>
      <c r="Z653" s="195"/>
    </row>
    <row r="654" ht="15.75" customHeight="1" spans="1:26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8"/>
      <c r="L654" s="198"/>
      <c r="M654" s="198"/>
      <c r="N654" s="198"/>
      <c r="O654" s="198"/>
      <c r="P654" s="198"/>
      <c r="Q654" s="198"/>
      <c r="R654" s="198"/>
      <c r="S654" s="198"/>
      <c r="T654" s="195"/>
      <c r="U654" s="195"/>
      <c r="V654" s="195"/>
      <c r="W654" s="195"/>
      <c r="X654" s="195"/>
      <c r="Y654" s="195"/>
      <c r="Z654" s="195"/>
    </row>
    <row r="655" ht="15.75" customHeight="1" spans="1:26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8"/>
      <c r="L655" s="198"/>
      <c r="M655" s="198"/>
      <c r="N655" s="198"/>
      <c r="O655" s="198"/>
      <c r="P655" s="198"/>
      <c r="Q655" s="198"/>
      <c r="R655" s="198"/>
      <c r="S655" s="198"/>
      <c r="T655" s="195"/>
      <c r="U655" s="195"/>
      <c r="V655" s="195"/>
      <c r="W655" s="195"/>
      <c r="X655" s="195"/>
      <c r="Y655" s="195"/>
      <c r="Z655" s="195"/>
    </row>
    <row r="656" ht="15.75" customHeight="1" spans="1:2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8"/>
      <c r="L656" s="198"/>
      <c r="M656" s="198"/>
      <c r="N656" s="198"/>
      <c r="O656" s="198"/>
      <c r="P656" s="198"/>
      <c r="Q656" s="198"/>
      <c r="R656" s="198"/>
      <c r="S656" s="198"/>
      <c r="T656" s="195"/>
      <c r="U656" s="195"/>
      <c r="V656" s="195"/>
      <c r="W656" s="195"/>
      <c r="X656" s="195"/>
      <c r="Y656" s="195"/>
      <c r="Z656" s="195"/>
    </row>
    <row r="657" ht="15.75" customHeight="1" spans="1:26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8"/>
      <c r="L657" s="198"/>
      <c r="M657" s="198"/>
      <c r="N657" s="198"/>
      <c r="O657" s="198"/>
      <c r="P657" s="198"/>
      <c r="Q657" s="198"/>
      <c r="R657" s="198"/>
      <c r="S657" s="198"/>
      <c r="T657" s="195"/>
      <c r="U657" s="195"/>
      <c r="V657" s="195"/>
      <c r="W657" s="195"/>
      <c r="X657" s="195"/>
      <c r="Y657" s="195"/>
      <c r="Z657" s="195"/>
    </row>
    <row r="658" ht="15.75" customHeight="1" spans="1:26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8"/>
      <c r="L658" s="198"/>
      <c r="M658" s="198"/>
      <c r="N658" s="198"/>
      <c r="O658" s="198"/>
      <c r="P658" s="198"/>
      <c r="Q658" s="198"/>
      <c r="R658" s="198"/>
      <c r="S658" s="198"/>
      <c r="T658" s="195"/>
      <c r="U658" s="195"/>
      <c r="V658" s="195"/>
      <c r="W658" s="195"/>
      <c r="X658" s="195"/>
      <c r="Y658" s="195"/>
      <c r="Z658" s="195"/>
    </row>
    <row r="659" ht="15.75" customHeight="1" spans="1:26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8"/>
      <c r="L659" s="198"/>
      <c r="M659" s="198"/>
      <c r="N659" s="198"/>
      <c r="O659" s="198"/>
      <c r="P659" s="198"/>
      <c r="Q659" s="198"/>
      <c r="R659" s="198"/>
      <c r="S659" s="198"/>
      <c r="T659" s="195"/>
      <c r="U659" s="195"/>
      <c r="V659" s="195"/>
      <c r="W659" s="195"/>
      <c r="X659" s="195"/>
      <c r="Y659" s="195"/>
      <c r="Z659" s="195"/>
    </row>
    <row r="660" ht="15.75" customHeight="1" spans="1:26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8"/>
      <c r="L660" s="198"/>
      <c r="M660" s="198"/>
      <c r="N660" s="198"/>
      <c r="O660" s="198"/>
      <c r="P660" s="198"/>
      <c r="Q660" s="198"/>
      <c r="R660" s="198"/>
      <c r="S660" s="198"/>
      <c r="T660" s="195"/>
      <c r="U660" s="195"/>
      <c r="V660" s="195"/>
      <c r="W660" s="195"/>
      <c r="X660" s="195"/>
      <c r="Y660" s="195"/>
      <c r="Z660" s="195"/>
    </row>
    <row r="661" ht="15.75" customHeight="1" spans="1:26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8"/>
      <c r="L661" s="198"/>
      <c r="M661" s="198"/>
      <c r="N661" s="198"/>
      <c r="O661" s="198"/>
      <c r="P661" s="198"/>
      <c r="Q661" s="198"/>
      <c r="R661" s="198"/>
      <c r="S661" s="198"/>
      <c r="T661" s="195"/>
      <c r="U661" s="195"/>
      <c r="V661" s="195"/>
      <c r="W661" s="195"/>
      <c r="X661" s="195"/>
      <c r="Y661" s="195"/>
      <c r="Z661" s="195"/>
    </row>
    <row r="662" ht="15.75" customHeight="1" spans="1:26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8"/>
      <c r="L662" s="198"/>
      <c r="M662" s="198"/>
      <c r="N662" s="198"/>
      <c r="O662" s="198"/>
      <c r="P662" s="198"/>
      <c r="Q662" s="198"/>
      <c r="R662" s="198"/>
      <c r="S662" s="198"/>
      <c r="T662" s="195"/>
      <c r="U662" s="195"/>
      <c r="V662" s="195"/>
      <c r="W662" s="195"/>
      <c r="X662" s="195"/>
      <c r="Y662" s="195"/>
      <c r="Z662" s="195"/>
    </row>
    <row r="663" ht="15.75" customHeight="1" spans="1:26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8"/>
      <c r="L663" s="198"/>
      <c r="M663" s="198"/>
      <c r="N663" s="198"/>
      <c r="O663" s="198"/>
      <c r="P663" s="198"/>
      <c r="Q663" s="198"/>
      <c r="R663" s="198"/>
      <c r="S663" s="198"/>
      <c r="T663" s="195"/>
      <c r="U663" s="195"/>
      <c r="V663" s="195"/>
      <c r="W663" s="195"/>
      <c r="X663" s="195"/>
      <c r="Y663" s="195"/>
      <c r="Z663" s="195"/>
    </row>
    <row r="664" ht="15.75" customHeight="1" spans="1:26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8"/>
      <c r="L664" s="198"/>
      <c r="M664" s="198"/>
      <c r="N664" s="198"/>
      <c r="O664" s="198"/>
      <c r="P664" s="198"/>
      <c r="Q664" s="198"/>
      <c r="R664" s="198"/>
      <c r="S664" s="198"/>
      <c r="T664" s="195"/>
      <c r="U664" s="195"/>
      <c r="V664" s="195"/>
      <c r="W664" s="195"/>
      <c r="X664" s="195"/>
      <c r="Y664" s="195"/>
      <c r="Z664" s="195"/>
    </row>
    <row r="665" ht="15.75" customHeight="1" spans="1:26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8"/>
      <c r="L665" s="198"/>
      <c r="M665" s="198"/>
      <c r="N665" s="198"/>
      <c r="O665" s="198"/>
      <c r="P665" s="198"/>
      <c r="Q665" s="198"/>
      <c r="R665" s="198"/>
      <c r="S665" s="198"/>
      <c r="T665" s="195"/>
      <c r="U665" s="195"/>
      <c r="V665" s="195"/>
      <c r="W665" s="195"/>
      <c r="X665" s="195"/>
      <c r="Y665" s="195"/>
      <c r="Z665" s="195"/>
    </row>
    <row r="666" ht="15.75" customHeight="1" spans="1:2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8"/>
      <c r="L666" s="198"/>
      <c r="M666" s="198"/>
      <c r="N666" s="198"/>
      <c r="O666" s="198"/>
      <c r="P666" s="198"/>
      <c r="Q666" s="198"/>
      <c r="R666" s="198"/>
      <c r="S666" s="198"/>
      <c r="T666" s="195"/>
      <c r="U666" s="195"/>
      <c r="V666" s="195"/>
      <c r="W666" s="195"/>
      <c r="X666" s="195"/>
      <c r="Y666" s="195"/>
      <c r="Z666" s="195"/>
    </row>
    <row r="667" ht="15.75" customHeight="1" spans="1:26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8"/>
      <c r="L667" s="198"/>
      <c r="M667" s="198"/>
      <c r="N667" s="198"/>
      <c r="O667" s="198"/>
      <c r="P667" s="198"/>
      <c r="Q667" s="198"/>
      <c r="R667" s="198"/>
      <c r="S667" s="198"/>
      <c r="T667" s="195"/>
      <c r="U667" s="195"/>
      <c r="V667" s="195"/>
      <c r="W667" s="195"/>
      <c r="X667" s="195"/>
      <c r="Y667" s="195"/>
      <c r="Z667" s="195"/>
    </row>
    <row r="668" ht="15.75" customHeight="1" spans="1:26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8"/>
      <c r="L668" s="198"/>
      <c r="M668" s="198"/>
      <c r="N668" s="198"/>
      <c r="O668" s="198"/>
      <c r="P668" s="198"/>
      <c r="Q668" s="198"/>
      <c r="R668" s="198"/>
      <c r="S668" s="198"/>
      <c r="T668" s="195"/>
      <c r="U668" s="195"/>
      <c r="V668" s="195"/>
      <c r="W668" s="195"/>
      <c r="X668" s="195"/>
      <c r="Y668" s="195"/>
      <c r="Z668" s="195"/>
    </row>
    <row r="669" ht="15.75" customHeight="1" spans="1:26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8"/>
      <c r="L669" s="198"/>
      <c r="M669" s="198"/>
      <c r="N669" s="198"/>
      <c r="O669" s="198"/>
      <c r="P669" s="198"/>
      <c r="Q669" s="198"/>
      <c r="R669" s="198"/>
      <c r="S669" s="198"/>
      <c r="T669" s="195"/>
      <c r="U669" s="195"/>
      <c r="V669" s="195"/>
      <c r="W669" s="195"/>
      <c r="X669" s="195"/>
      <c r="Y669" s="195"/>
      <c r="Z669" s="195"/>
    </row>
    <row r="670" ht="15.75" customHeight="1" spans="1:26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8"/>
      <c r="L670" s="198"/>
      <c r="M670" s="198"/>
      <c r="N670" s="198"/>
      <c r="O670" s="198"/>
      <c r="P670" s="198"/>
      <c r="Q670" s="198"/>
      <c r="R670" s="198"/>
      <c r="S670" s="198"/>
      <c r="T670" s="195"/>
      <c r="U670" s="195"/>
      <c r="V670" s="195"/>
      <c r="W670" s="195"/>
      <c r="X670" s="195"/>
      <c r="Y670" s="195"/>
      <c r="Z670" s="195"/>
    </row>
    <row r="671" ht="15.75" customHeight="1" spans="1:26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8"/>
      <c r="L671" s="198"/>
      <c r="M671" s="198"/>
      <c r="N671" s="198"/>
      <c r="O671" s="198"/>
      <c r="P671" s="198"/>
      <c r="Q671" s="198"/>
      <c r="R671" s="198"/>
      <c r="S671" s="198"/>
      <c r="T671" s="195"/>
      <c r="U671" s="195"/>
      <c r="V671" s="195"/>
      <c r="W671" s="195"/>
      <c r="X671" s="195"/>
      <c r="Y671" s="195"/>
      <c r="Z671" s="195"/>
    </row>
    <row r="672" ht="15.75" customHeight="1" spans="1:26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8"/>
      <c r="L672" s="198"/>
      <c r="M672" s="198"/>
      <c r="N672" s="198"/>
      <c r="O672" s="198"/>
      <c r="P672" s="198"/>
      <c r="Q672" s="198"/>
      <c r="R672" s="198"/>
      <c r="S672" s="198"/>
      <c r="T672" s="195"/>
      <c r="U672" s="195"/>
      <c r="V672" s="195"/>
      <c r="W672" s="195"/>
      <c r="X672" s="195"/>
      <c r="Y672" s="195"/>
      <c r="Z672" s="195"/>
    </row>
    <row r="673" ht="15.75" customHeight="1" spans="1:26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8"/>
      <c r="L673" s="198"/>
      <c r="M673" s="198"/>
      <c r="N673" s="198"/>
      <c r="O673" s="198"/>
      <c r="P673" s="198"/>
      <c r="Q673" s="198"/>
      <c r="R673" s="198"/>
      <c r="S673" s="198"/>
      <c r="T673" s="195"/>
      <c r="U673" s="195"/>
      <c r="V673" s="195"/>
      <c r="W673" s="195"/>
      <c r="X673" s="195"/>
      <c r="Y673" s="195"/>
      <c r="Z673" s="195"/>
    </row>
    <row r="674" ht="15.75" customHeight="1" spans="1:26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8"/>
      <c r="L674" s="198"/>
      <c r="M674" s="198"/>
      <c r="N674" s="198"/>
      <c r="O674" s="198"/>
      <c r="P674" s="198"/>
      <c r="Q674" s="198"/>
      <c r="R674" s="198"/>
      <c r="S674" s="198"/>
      <c r="T674" s="195"/>
      <c r="U674" s="195"/>
      <c r="V674" s="195"/>
      <c r="W674" s="195"/>
      <c r="X674" s="195"/>
      <c r="Y674" s="195"/>
      <c r="Z674" s="195"/>
    </row>
    <row r="675" ht="15.75" customHeight="1" spans="1:26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8"/>
      <c r="L675" s="198"/>
      <c r="M675" s="198"/>
      <c r="N675" s="198"/>
      <c r="O675" s="198"/>
      <c r="P675" s="198"/>
      <c r="Q675" s="198"/>
      <c r="R675" s="198"/>
      <c r="S675" s="198"/>
      <c r="T675" s="195"/>
      <c r="U675" s="195"/>
      <c r="V675" s="195"/>
      <c r="W675" s="195"/>
      <c r="X675" s="195"/>
      <c r="Y675" s="195"/>
      <c r="Z675" s="195"/>
    </row>
    <row r="676" ht="15.75" customHeight="1" spans="1:2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8"/>
      <c r="L676" s="198"/>
      <c r="M676" s="198"/>
      <c r="N676" s="198"/>
      <c r="O676" s="198"/>
      <c r="P676" s="198"/>
      <c r="Q676" s="198"/>
      <c r="R676" s="198"/>
      <c r="S676" s="198"/>
      <c r="T676" s="195"/>
      <c r="U676" s="195"/>
      <c r="V676" s="195"/>
      <c r="W676" s="195"/>
      <c r="X676" s="195"/>
      <c r="Y676" s="195"/>
      <c r="Z676" s="195"/>
    </row>
    <row r="677" ht="15.75" customHeight="1" spans="1:26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8"/>
      <c r="L677" s="198"/>
      <c r="M677" s="198"/>
      <c r="N677" s="198"/>
      <c r="O677" s="198"/>
      <c r="P677" s="198"/>
      <c r="Q677" s="198"/>
      <c r="R677" s="198"/>
      <c r="S677" s="198"/>
      <c r="T677" s="195"/>
      <c r="U677" s="195"/>
      <c r="V677" s="195"/>
      <c r="W677" s="195"/>
      <c r="X677" s="195"/>
      <c r="Y677" s="195"/>
      <c r="Z677" s="195"/>
    </row>
    <row r="678" ht="15.75" customHeight="1" spans="1:26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8"/>
      <c r="L678" s="198"/>
      <c r="M678" s="198"/>
      <c r="N678" s="198"/>
      <c r="O678" s="198"/>
      <c r="P678" s="198"/>
      <c r="Q678" s="198"/>
      <c r="R678" s="198"/>
      <c r="S678" s="198"/>
      <c r="T678" s="195"/>
      <c r="U678" s="195"/>
      <c r="V678" s="195"/>
      <c r="W678" s="195"/>
      <c r="X678" s="195"/>
      <c r="Y678" s="195"/>
      <c r="Z678" s="195"/>
    </row>
    <row r="679" ht="15.75" customHeight="1" spans="1:26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8"/>
      <c r="L679" s="198"/>
      <c r="M679" s="198"/>
      <c r="N679" s="198"/>
      <c r="O679" s="198"/>
      <c r="P679" s="198"/>
      <c r="Q679" s="198"/>
      <c r="R679" s="198"/>
      <c r="S679" s="198"/>
      <c r="T679" s="195"/>
      <c r="U679" s="195"/>
      <c r="V679" s="195"/>
      <c r="W679" s="195"/>
      <c r="X679" s="195"/>
      <c r="Y679" s="195"/>
      <c r="Z679" s="195"/>
    </row>
    <row r="680" ht="15.75" customHeight="1" spans="1:26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8"/>
      <c r="L680" s="198"/>
      <c r="M680" s="198"/>
      <c r="N680" s="198"/>
      <c r="O680" s="198"/>
      <c r="P680" s="198"/>
      <c r="Q680" s="198"/>
      <c r="R680" s="198"/>
      <c r="S680" s="198"/>
      <c r="T680" s="195"/>
      <c r="U680" s="195"/>
      <c r="V680" s="195"/>
      <c r="W680" s="195"/>
      <c r="X680" s="195"/>
      <c r="Y680" s="195"/>
      <c r="Z680" s="195"/>
    </row>
    <row r="681" ht="15.75" customHeight="1" spans="1:26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8"/>
      <c r="L681" s="198"/>
      <c r="M681" s="198"/>
      <c r="N681" s="198"/>
      <c r="O681" s="198"/>
      <c r="P681" s="198"/>
      <c r="Q681" s="198"/>
      <c r="R681" s="198"/>
      <c r="S681" s="198"/>
      <c r="T681" s="195"/>
      <c r="U681" s="195"/>
      <c r="V681" s="195"/>
      <c r="W681" s="195"/>
      <c r="X681" s="195"/>
      <c r="Y681" s="195"/>
      <c r="Z681" s="195"/>
    </row>
    <row r="682" ht="15.75" customHeight="1" spans="1:26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8"/>
      <c r="L682" s="198"/>
      <c r="M682" s="198"/>
      <c r="N682" s="198"/>
      <c r="O682" s="198"/>
      <c r="P682" s="198"/>
      <c r="Q682" s="198"/>
      <c r="R682" s="198"/>
      <c r="S682" s="198"/>
      <c r="T682" s="195"/>
      <c r="U682" s="195"/>
      <c r="V682" s="195"/>
      <c r="W682" s="195"/>
      <c r="X682" s="195"/>
      <c r="Y682" s="195"/>
      <c r="Z682" s="195"/>
    </row>
    <row r="683" ht="15.75" customHeight="1" spans="1:26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8"/>
      <c r="L683" s="198"/>
      <c r="M683" s="198"/>
      <c r="N683" s="198"/>
      <c r="O683" s="198"/>
      <c r="P683" s="198"/>
      <c r="Q683" s="198"/>
      <c r="R683" s="198"/>
      <c r="S683" s="198"/>
      <c r="T683" s="195"/>
      <c r="U683" s="195"/>
      <c r="V683" s="195"/>
      <c r="W683" s="195"/>
      <c r="X683" s="195"/>
      <c r="Y683" s="195"/>
      <c r="Z683" s="195"/>
    </row>
    <row r="684" ht="15.75" customHeight="1" spans="1:26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8"/>
      <c r="L684" s="198"/>
      <c r="M684" s="198"/>
      <c r="N684" s="198"/>
      <c r="O684" s="198"/>
      <c r="P684" s="198"/>
      <c r="Q684" s="198"/>
      <c r="R684" s="198"/>
      <c r="S684" s="198"/>
      <c r="T684" s="195"/>
      <c r="U684" s="195"/>
      <c r="V684" s="195"/>
      <c r="W684" s="195"/>
      <c r="X684" s="195"/>
      <c r="Y684" s="195"/>
      <c r="Z684" s="195"/>
    </row>
    <row r="685" ht="15.75" customHeight="1" spans="1:26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8"/>
      <c r="L685" s="198"/>
      <c r="M685" s="198"/>
      <c r="N685" s="198"/>
      <c r="O685" s="198"/>
      <c r="P685" s="198"/>
      <c r="Q685" s="198"/>
      <c r="R685" s="198"/>
      <c r="S685" s="198"/>
      <c r="T685" s="195"/>
      <c r="U685" s="195"/>
      <c r="V685" s="195"/>
      <c r="W685" s="195"/>
      <c r="X685" s="195"/>
      <c r="Y685" s="195"/>
      <c r="Z685" s="195"/>
    </row>
    <row r="686" ht="15.75" customHeight="1" spans="1:2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8"/>
      <c r="L686" s="198"/>
      <c r="M686" s="198"/>
      <c r="N686" s="198"/>
      <c r="O686" s="198"/>
      <c r="P686" s="198"/>
      <c r="Q686" s="198"/>
      <c r="R686" s="198"/>
      <c r="S686" s="198"/>
      <c r="T686" s="195"/>
      <c r="U686" s="195"/>
      <c r="V686" s="195"/>
      <c r="W686" s="195"/>
      <c r="X686" s="195"/>
      <c r="Y686" s="195"/>
      <c r="Z686" s="195"/>
    </row>
    <row r="687" ht="15.75" customHeight="1" spans="1:26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8"/>
      <c r="L687" s="198"/>
      <c r="M687" s="198"/>
      <c r="N687" s="198"/>
      <c r="O687" s="198"/>
      <c r="P687" s="198"/>
      <c r="Q687" s="198"/>
      <c r="R687" s="198"/>
      <c r="S687" s="198"/>
      <c r="T687" s="195"/>
      <c r="U687" s="195"/>
      <c r="V687" s="195"/>
      <c r="W687" s="195"/>
      <c r="X687" s="195"/>
      <c r="Y687" s="195"/>
      <c r="Z687" s="195"/>
    </row>
    <row r="688" ht="15.75" customHeight="1" spans="1:26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8"/>
      <c r="L688" s="198"/>
      <c r="M688" s="198"/>
      <c r="N688" s="198"/>
      <c r="O688" s="198"/>
      <c r="P688" s="198"/>
      <c r="Q688" s="198"/>
      <c r="R688" s="198"/>
      <c r="S688" s="198"/>
      <c r="T688" s="195"/>
      <c r="U688" s="195"/>
      <c r="V688" s="195"/>
      <c r="W688" s="195"/>
      <c r="X688" s="195"/>
      <c r="Y688" s="195"/>
      <c r="Z688" s="195"/>
    </row>
    <row r="689" ht="15.75" customHeight="1" spans="1:26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8"/>
      <c r="L689" s="198"/>
      <c r="M689" s="198"/>
      <c r="N689" s="198"/>
      <c r="O689" s="198"/>
      <c r="P689" s="198"/>
      <c r="Q689" s="198"/>
      <c r="R689" s="198"/>
      <c r="S689" s="198"/>
      <c r="T689" s="195"/>
      <c r="U689" s="195"/>
      <c r="V689" s="195"/>
      <c r="W689" s="195"/>
      <c r="X689" s="195"/>
      <c r="Y689" s="195"/>
      <c r="Z689" s="195"/>
    </row>
    <row r="690" ht="15.75" customHeight="1" spans="1:26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8"/>
      <c r="L690" s="198"/>
      <c r="M690" s="198"/>
      <c r="N690" s="198"/>
      <c r="O690" s="198"/>
      <c r="P690" s="198"/>
      <c r="Q690" s="198"/>
      <c r="R690" s="198"/>
      <c r="S690" s="198"/>
      <c r="T690" s="195"/>
      <c r="U690" s="195"/>
      <c r="V690" s="195"/>
      <c r="W690" s="195"/>
      <c r="X690" s="195"/>
      <c r="Y690" s="195"/>
      <c r="Z690" s="195"/>
    </row>
    <row r="691" ht="15.75" customHeight="1" spans="1:26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8"/>
      <c r="L691" s="198"/>
      <c r="M691" s="198"/>
      <c r="N691" s="198"/>
      <c r="O691" s="198"/>
      <c r="P691" s="198"/>
      <c r="Q691" s="198"/>
      <c r="R691" s="198"/>
      <c r="S691" s="198"/>
      <c r="T691" s="195"/>
      <c r="U691" s="195"/>
      <c r="V691" s="195"/>
      <c r="W691" s="195"/>
      <c r="X691" s="195"/>
      <c r="Y691" s="195"/>
      <c r="Z691" s="195"/>
    </row>
    <row r="692" ht="15.75" customHeight="1" spans="1:26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8"/>
      <c r="L692" s="198"/>
      <c r="M692" s="198"/>
      <c r="N692" s="198"/>
      <c r="O692" s="198"/>
      <c r="P692" s="198"/>
      <c r="Q692" s="198"/>
      <c r="R692" s="198"/>
      <c r="S692" s="198"/>
      <c r="T692" s="195"/>
      <c r="U692" s="195"/>
      <c r="V692" s="195"/>
      <c r="W692" s="195"/>
      <c r="X692" s="195"/>
      <c r="Y692" s="195"/>
      <c r="Z692" s="195"/>
    </row>
    <row r="693" ht="15.75" customHeight="1" spans="1:26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8"/>
      <c r="L693" s="198"/>
      <c r="M693" s="198"/>
      <c r="N693" s="198"/>
      <c r="O693" s="198"/>
      <c r="P693" s="198"/>
      <c r="Q693" s="198"/>
      <c r="R693" s="198"/>
      <c r="S693" s="198"/>
      <c r="T693" s="195"/>
      <c r="U693" s="195"/>
      <c r="V693" s="195"/>
      <c r="W693" s="195"/>
      <c r="X693" s="195"/>
      <c r="Y693" s="195"/>
      <c r="Z693" s="195"/>
    </row>
    <row r="694" ht="15.75" customHeight="1" spans="1:26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8"/>
      <c r="L694" s="198"/>
      <c r="M694" s="198"/>
      <c r="N694" s="198"/>
      <c r="O694" s="198"/>
      <c r="P694" s="198"/>
      <c r="Q694" s="198"/>
      <c r="R694" s="198"/>
      <c r="S694" s="198"/>
      <c r="T694" s="195"/>
      <c r="U694" s="195"/>
      <c r="V694" s="195"/>
      <c r="W694" s="195"/>
      <c r="X694" s="195"/>
      <c r="Y694" s="195"/>
      <c r="Z694" s="195"/>
    </row>
    <row r="695" ht="15.75" customHeight="1" spans="1:26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8"/>
      <c r="L695" s="198"/>
      <c r="M695" s="198"/>
      <c r="N695" s="198"/>
      <c r="O695" s="198"/>
      <c r="P695" s="198"/>
      <c r="Q695" s="198"/>
      <c r="R695" s="198"/>
      <c r="S695" s="198"/>
      <c r="T695" s="195"/>
      <c r="U695" s="195"/>
      <c r="V695" s="195"/>
      <c r="W695" s="195"/>
      <c r="X695" s="195"/>
      <c r="Y695" s="195"/>
      <c r="Z695" s="195"/>
    </row>
    <row r="696" ht="15.75" customHeight="1" spans="1:2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8"/>
      <c r="L696" s="198"/>
      <c r="M696" s="198"/>
      <c r="N696" s="198"/>
      <c r="O696" s="198"/>
      <c r="P696" s="198"/>
      <c r="Q696" s="198"/>
      <c r="R696" s="198"/>
      <c r="S696" s="198"/>
      <c r="T696" s="195"/>
      <c r="U696" s="195"/>
      <c r="V696" s="195"/>
      <c r="W696" s="195"/>
      <c r="X696" s="195"/>
      <c r="Y696" s="195"/>
      <c r="Z696" s="195"/>
    </row>
    <row r="697" ht="15.75" customHeight="1" spans="1:26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8"/>
      <c r="L697" s="198"/>
      <c r="M697" s="198"/>
      <c r="N697" s="198"/>
      <c r="O697" s="198"/>
      <c r="P697" s="198"/>
      <c r="Q697" s="198"/>
      <c r="R697" s="198"/>
      <c r="S697" s="198"/>
      <c r="T697" s="195"/>
      <c r="U697" s="195"/>
      <c r="V697" s="195"/>
      <c r="W697" s="195"/>
      <c r="X697" s="195"/>
      <c r="Y697" s="195"/>
      <c r="Z697" s="195"/>
    </row>
    <row r="698" ht="15.75" customHeight="1" spans="1:26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8"/>
      <c r="L698" s="198"/>
      <c r="M698" s="198"/>
      <c r="N698" s="198"/>
      <c r="O698" s="198"/>
      <c r="P698" s="198"/>
      <c r="Q698" s="198"/>
      <c r="R698" s="198"/>
      <c r="S698" s="198"/>
      <c r="T698" s="195"/>
      <c r="U698" s="195"/>
      <c r="V698" s="195"/>
      <c r="W698" s="195"/>
      <c r="X698" s="195"/>
      <c r="Y698" s="195"/>
      <c r="Z698" s="195"/>
    </row>
    <row r="699" ht="15.75" customHeight="1" spans="1:26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8"/>
      <c r="L699" s="198"/>
      <c r="M699" s="198"/>
      <c r="N699" s="198"/>
      <c r="O699" s="198"/>
      <c r="P699" s="198"/>
      <c r="Q699" s="198"/>
      <c r="R699" s="198"/>
      <c r="S699" s="198"/>
      <c r="T699" s="195"/>
      <c r="U699" s="195"/>
      <c r="V699" s="195"/>
      <c r="W699" s="195"/>
      <c r="X699" s="195"/>
      <c r="Y699" s="195"/>
      <c r="Z699" s="195"/>
    </row>
    <row r="700" ht="15.75" customHeight="1" spans="1:26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8"/>
      <c r="L700" s="198"/>
      <c r="M700" s="198"/>
      <c r="N700" s="198"/>
      <c r="O700" s="198"/>
      <c r="P700" s="198"/>
      <c r="Q700" s="198"/>
      <c r="R700" s="198"/>
      <c r="S700" s="198"/>
      <c r="T700" s="195"/>
      <c r="U700" s="195"/>
      <c r="V700" s="195"/>
      <c r="W700" s="195"/>
      <c r="X700" s="195"/>
      <c r="Y700" s="195"/>
      <c r="Z700" s="195"/>
    </row>
    <row r="701" ht="15.75" customHeight="1" spans="1:26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8"/>
      <c r="L701" s="198"/>
      <c r="M701" s="198"/>
      <c r="N701" s="198"/>
      <c r="O701" s="198"/>
      <c r="P701" s="198"/>
      <c r="Q701" s="198"/>
      <c r="R701" s="198"/>
      <c r="S701" s="198"/>
      <c r="T701" s="195"/>
      <c r="U701" s="195"/>
      <c r="V701" s="195"/>
      <c r="W701" s="195"/>
      <c r="X701" s="195"/>
      <c r="Y701" s="195"/>
      <c r="Z701" s="195"/>
    </row>
    <row r="702" ht="15.75" customHeight="1" spans="1:26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8"/>
      <c r="L702" s="198"/>
      <c r="M702" s="198"/>
      <c r="N702" s="198"/>
      <c r="O702" s="198"/>
      <c r="P702" s="198"/>
      <c r="Q702" s="198"/>
      <c r="R702" s="198"/>
      <c r="S702" s="198"/>
      <c r="T702" s="195"/>
      <c r="U702" s="195"/>
      <c r="V702" s="195"/>
      <c r="W702" s="195"/>
      <c r="X702" s="195"/>
      <c r="Y702" s="195"/>
      <c r="Z702" s="195"/>
    </row>
    <row r="703" ht="15.75" customHeight="1" spans="1:26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8"/>
      <c r="L703" s="198"/>
      <c r="M703" s="198"/>
      <c r="N703" s="198"/>
      <c r="O703" s="198"/>
      <c r="P703" s="198"/>
      <c r="Q703" s="198"/>
      <c r="R703" s="198"/>
      <c r="S703" s="198"/>
      <c r="T703" s="195"/>
      <c r="U703" s="195"/>
      <c r="V703" s="195"/>
      <c r="W703" s="195"/>
      <c r="X703" s="195"/>
      <c r="Y703" s="195"/>
      <c r="Z703" s="195"/>
    </row>
    <row r="704" ht="15.75" customHeight="1" spans="1:26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8"/>
      <c r="L704" s="198"/>
      <c r="M704" s="198"/>
      <c r="N704" s="198"/>
      <c r="O704" s="198"/>
      <c r="P704" s="198"/>
      <c r="Q704" s="198"/>
      <c r="R704" s="198"/>
      <c r="S704" s="198"/>
      <c r="T704" s="195"/>
      <c r="U704" s="195"/>
      <c r="V704" s="195"/>
      <c r="W704" s="195"/>
      <c r="X704" s="195"/>
      <c r="Y704" s="195"/>
      <c r="Z704" s="195"/>
    </row>
    <row r="705" ht="15.75" customHeight="1" spans="1:26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8"/>
      <c r="L705" s="198"/>
      <c r="M705" s="198"/>
      <c r="N705" s="198"/>
      <c r="O705" s="198"/>
      <c r="P705" s="198"/>
      <c r="Q705" s="198"/>
      <c r="R705" s="198"/>
      <c r="S705" s="198"/>
      <c r="T705" s="195"/>
      <c r="U705" s="195"/>
      <c r="V705" s="195"/>
      <c r="W705" s="195"/>
      <c r="X705" s="195"/>
      <c r="Y705" s="195"/>
      <c r="Z705" s="195"/>
    </row>
    <row r="706" ht="15.75" customHeight="1" spans="1:2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8"/>
      <c r="L706" s="198"/>
      <c r="M706" s="198"/>
      <c r="N706" s="198"/>
      <c r="O706" s="198"/>
      <c r="P706" s="198"/>
      <c r="Q706" s="198"/>
      <c r="R706" s="198"/>
      <c r="S706" s="198"/>
      <c r="T706" s="195"/>
      <c r="U706" s="195"/>
      <c r="V706" s="195"/>
      <c r="W706" s="195"/>
      <c r="X706" s="195"/>
      <c r="Y706" s="195"/>
      <c r="Z706" s="195"/>
    </row>
    <row r="707" ht="15.75" customHeight="1" spans="1:26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8"/>
      <c r="L707" s="198"/>
      <c r="M707" s="198"/>
      <c r="N707" s="198"/>
      <c r="O707" s="198"/>
      <c r="P707" s="198"/>
      <c r="Q707" s="198"/>
      <c r="R707" s="198"/>
      <c r="S707" s="198"/>
      <c r="T707" s="195"/>
      <c r="U707" s="195"/>
      <c r="V707" s="195"/>
      <c r="W707" s="195"/>
      <c r="X707" s="195"/>
      <c r="Y707" s="195"/>
      <c r="Z707" s="195"/>
    </row>
    <row r="708" ht="15.75" customHeight="1" spans="1:26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8"/>
      <c r="L708" s="198"/>
      <c r="M708" s="198"/>
      <c r="N708" s="198"/>
      <c r="O708" s="198"/>
      <c r="P708" s="198"/>
      <c r="Q708" s="198"/>
      <c r="R708" s="198"/>
      <c r="S708" s="198"/>
      <c r="T708" s="195"/>
      <c r="U708" s="195"/>
      <c r="V708" s="195"/>
      <c r="W708" s="195"/>
      <c r="X708" s="195"/>
      <c r="Y708" s="195"/>
      <c r="Z708" s="195"/>
    </row>
    <row r="709" ht="15.75" customHeight="1" spans="1:26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8"/>
      <c r="L709" s="198"/>
      <c r="M709" s="198"/>
      <c r="N709" s="198"/>
      <c r="O709" s="198"/>
      <c r="P709" s="198"/>
      <c r="Q709" s="198"/>
      <c r="R709" s="198"/>
      <c r="S709" s="198"/>
      <c r="T709" s="195"/>
      <c r="U709" s="195"/>
      <c r="V709" s="195"/>
      <c r="W709" s="195"/>
      <c r="X709" s="195"/>
      <c r="Y709" s="195"/>
      <c r="Z709" s="195"/>
    </row>
    <row r="710" ht="15.75" customHeight="1" spans="1:26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8"/>
      <c r="L710" s="198"/>
      <c r="M710" s="198"/>
      <c r="N710" s="198"/>
      <c r="O710" s="198"/>
      <c r="P710" s="198"/>
      <c r="Q710" s="198"/>
      <c r="R710" s="198"/>
      <c r="S710" s="198"/>
      <c r="T710" s="195"/>
      <c r="U710" s="195"/>
      <c r="V710" s="195"/>
      <c r="W710" s="195"/>
      <c r="X710" s="195"/>
      <c r="Y710" s="195"/>
      <c r="Z710" s="195"/>
    </row>
    <row r="711" ht="15.75" customHeight="1" spans="1:26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8"/>
      <c r="L711" s="198"/>
      <c r="M711" s="198"/>
      <c r="N711" s="198"/>
      <c r="O711" s="198"/>
      <c r="P711" s="198"/>
      <c r="Q711" s="198"/>
      <c r="R711" s="198"/>
      <c r="S711" s="198"/>
      <c r="T711" s="195"/>
      <c r="U711" s="195"/>
      <c r="V711" s="195"/>
      <c r="W711" s="195"/>
      <c r="X711" s="195"/>
      <c r="Y711" s="195"/>
      <c r="Z711" s="195"/>
    </row>
    <row r="712" ht="15.75" customHeight="1" spans="1:26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8"/>
      <c r="L712" s="198"/>
      <c r="M712" s="198"/>
      <c r="N712" s="198"/>
      <c r="O712" s="198"/>
      <c r="P712" s="198"/>
      <c r="Q712" s="198"/>
      <c r="R712" s="198"/>
      <c r="S712" s="198"/>
      <c r="T712" s="195"/>
      <c r="U712" s="195"/>
      <c r="V712" s="195"/>
      <c r="W712" s="195"/>
      <c r="X712" s="195"/>
      <c r="Y712" s="195"/>
      <c r="Z712" s="195"/>
    </row>
    <row r="713" ht="15.75" customHeight="1" spans="1:26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8"/>
      <c r="L713" s="198"/>
      <c r="M713" s="198"/>
      <c r="N713" s="198"/>
      <c r="O713" s="198"/>
      <c r="P713" s="198"/>
      <c r="Q713" s="198"/>
      <c r="R713" s="198"/>
      <c r="S713" s="198"/>
      <c r="T713" s="195"/>
      <c r="U713" s="195"/>
      <c r="V713" s="195"/>
      <c r="W713" s="195"/>
      <c r="X713" s="195"/>
      <c r="Y713" s="195"/>
      <c r="Z713" s="195"/>
    </row>
    <row r="714" ht="15.75" customHeight="1" spans="1:26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8"/>
      <c r="L714" s="198"/>
      <c r="M714" s="198"/>
      <c r="N714" s="198"/>
      <c r="O714" s="198"/>
      <c r="P714" s="198"/>
      <c r="Q714" s="198"/>
      <c r="R714" s="198"/>
      <c r="S714" s="198"/>
      <c r="T714" s="195"/>
      <c r="U714" s="195"/>
      <c r="V714" s="195"/>
      <c r="W714" s="195"/>
      <c r="X714" s="195"/>
      <c r="Y714" s="195"/>
      <c r="Z714" s="195"/>
    </row>
    <row r="715" ht="15.75" customHeight="1" spans="1:26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8"/>
      <c r="L715" s="198"/>
      <c r="M715" s="198"/>
      <c r="N715" s="198"/>
      <c r="O715" s="198"/>
      <c r="P715" s="198"/>
      <c r="Q715" s="198"/>
      <c r="R715" s="198"/>
      <c r="S715" s="198"/>
      <c r="T715" s="195"/>
      <c r="U715" s="195"/>
      <c r="V715" s="195"/>
      <c r="W715" s="195"/>
      <c r="X715" s="195"/>
      <c r="Y715" s="195"/>
      <c r="Z715" s="195"/>
    </row>
    <row r="716" ht="15.75" customHeight="1" spans="1:2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8"/>
      <c r="L716" s="198"/>
      <c r="M716" s="198"/>
      <c r="N716" s="198"/>
      <c r="O716" s="198"/>
      <c r="P716" s="198"/>
      <c r="Q716" s="198"/>
      <c r="R716" s="198"/>
      <c r="S716" s="198"/>
      <c r="T716" s="195"/>
      <c r="U716" s="195"/>
      <c r="V716" s="195"/>
      <c r="W716" s="195"/>
      <c r="X716" s="195"/>
      <c r="Y716" s="195"/>
      <c r="Z716" s="195"/>
    </row>
    <row r="717" ht="15.75" customHeight="1" spans="1:26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8"/>
      <c r="L717" s="198"/>
      <c r="M717" s="198"/>
      <c r="N717" s="198"/>
      <c r="O717" s="198"/>
      <c r="P717" s="198"/>
      <c r="Q717" s="198"/>
      <c r="R717" s="198"/>
      <c r="S717" s="198"/>
      <c r="T717" s="195"/>
      <c r="U717" s="195"/>
      <c r="V717" s="195"/>
      <c r="W717" s="195"/>
      <c r="X717" s="195"/>
      <c r="Y717" s="195"/>
      <c r="Z717" s="195"/>
    </row>
    <row r="718" ht="15.75" customHeight="1" spans="1:26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8"/>
      <c r="L718" s="198"/>
      <c r="M718" s="198"/>
      <c r="N718" s="198"/>
      <c r="O718" s="198"/>
      <c r="P718" s="198"/>
      <c r="Q718" s="198"/>
      <c r="R718" s="198"/>
      <c r="S718" s="198"/>
      <c r="T718" s="195"/>
      <c r="U718" s="195"/>
      <c r="V718" s="195"/>
      <c r="W718" s="195"/>
      <c r="X718" s="195"/>
      <c r="Y718" s="195"/>
      <c r="Z718" s="195"/>
    </row>
    <row r="719" ht="15.75" customHeight="1" spans="1:26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8"/>
      <c r="L719" s="198"/>
      <c r="M719" s="198"/>
      <c r="N719" s="198"/>
      <c r="O719" s="198"/>
      <c r="P719" s="198"/>
      <c r="Q719" s="198"/>
      <c r="R719" s="198"/>
      <c r="S719" s="198"/>
      <c r="T719" s="195"/>
      <c r="U719" s="195"/>
      <c r="V719" s="195"/>
      <c r="W719" s="195"/>
      <c r="X719" s="195"/>
      <c r="Y719" s="195"/>
      <c r="Z719" s="195"/>
    </row>
    <row r="720" ht="15.75" customHeight="1" spans="1:26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8"/>
      <c r="L720" s="198"/>
      <c r="M720" s="198"/>
      <c r="N720" s="198"/>
      <c r="O720" s="198"/>
      <c r="P720" s="198"/>
      <c r="Q720" s="198"/>
      <c r="R720" s="198"/>
      <c r="S720" s="198"/>
      <c r="T720" s="195"/>
      <c r="U720" s="195"/>
      <c r="V720" s="195"/>
      <c r="W720" s="195"/>
      <c r="X720" s="195"/>
      <c r="Y720" s="195"/>
      <c r="Z720" s="195"/>
    </row>
    <row r="721" ht="15.75" customHeight="1" spans="1:26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8"/>
      <c r="L721" s="198"/>
      <c r="M721" s="198"/>
      <c r="N721" s="198"/>
      <c r="O721" s="198"/>
      <c r="P721" s="198"/>
      <c r="Q721" s="198"/>
      <c r="R721" s="198"/>
      <c r="S721" s="198"/>
      <c r="T721" s="195"/>
      <c r="U721" s="195"/>
      <c r="V721" s="195"/>
      <c r="W721" s="195"/>
      <c r="X721" s="195"/>
      <c r="Y721" s="195"/>
      <c r="Z721" s="195"/>
    </row>
    <row r="722" ht="15.75" customHeight="1" spans="1:26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8"/>
      <c r="L722" s="198"/>
      <c r="M722" s="198"/>
      <c r="N722" s="198"/>
      <c r="O722" s="198"/>
      <c r="P722" s="198"/>
      <c r="Q722" s="198"/>
      <c r="R722" s="198"/>
      <c r="S722" s="198"/>
      <c r="T722" s="195"/>
      <c r="U722" s="195"/>
      <c r="V722" s="195"/>
      <c r="W722" s="195"/>
      <c r="X722" s="195"/>
      <c r="Y722" s="195"/>
      <c r="Z722" s="195"/>
    </row>
    <row r="723" ht="15.75" customHeight="1" spans="1:26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8"/>
      <c r="L723" s="198"/>
      <c r="M723" s="198"/>
      <c r="N723" s="198"/>
      <c r="O723" s="198"/>
      <c r="P723" s="198"/>
      <c r="Q723" s="198"/>
      <c r="R723" s="198"/>
      <c r="S723" s="198"/>
      <c r="T723" s="195"/>
      <c r="U723" s="195"/>
      <c r="V723" s="195"/>
      <c r="W723" s="195"/>
      <c r="X723" s="195"/>
      <c r="Y723" s="195"/>
      <c r="Z723" s="195"/>
    </row>
    <row r="724" ht="15.75" customHeight="1" spans="1:26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8"/>
      <c r="L724" s="198"/>
      <c r="M724" s="198"/>
      <c r="N724" s="198"/>
      <c r="O724" s="198"/>
      <c r="P724" s="198"/>
      <c r="Q724" s="198"/>
      <c r="R724" s="198"/>
      <c r="S724" s="198"/>
      <c r="T724" s="195"/>
      <c r="U724" s="195"/>
      <c r="V724" s="195"/>
      <c r="W724" s="195"/>
      <c r="X724" s="195"/>
      <c r="Y724" s="195"/>
      <c r="Z724" s="195"/>
    </row>
    <row r="725" ht="15.75" customHeight="1" spans="1:26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8"/>
      <c r="L725" s="198"/>
      <c r="M725" s="198"/>
      <c r="N725" s="198"/>
      <c r="O725" s="198"/>
      <c r="P725" s="198"/>
      <c r="Q725" s="198"/>
      <c r="R725" s="198"/>
      <c r="S725" s="198"/>
      <c r="T725" s="195"/>
      <c r="U725" s="195"/>
      <c r="V725" s="195"/>
      <c r="W725" s="195"/>
      <c r="X725" s="195"/>
      <c r="Y725" s="195"/>
      <c r="Z725" s="195"/>
    </row>
    <row r="726" ht="15.75" customHeight="1" spans="1: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8"/>
      <c r="L726" s="198"/>
      <c r="M726" s="198"/>
      <c r="N726" s="198"/>
      <c r="O726" s="198"/>
      <c r="P726" s="198"/>
      <c r="Q726" s="198"/>
      <c r="R726" s="198"/>
      <c r="S726" s="198"/>
      <c r="T726" s="195"/>
      <c r="U726" s="195"/>
      <c r="V726" s="195"/>
      <c r="W726" s="195"/>
      <c r="X726" s="195"/>
      <c r="Y726" s="195"/>
      <c r="Z726" s="195"/>
    </row>
    <row r="727" ht="15.75" customHeight="1" spans="1:26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8"/>
      <c r="L727" s="198"/>
      <c r="M727" s="198"/>
      <c r="N727" s="198"/>
      <c r="O727" s="198"/>
      <c r="P727" s="198"/>
      <c r="Q727" s="198"/>
      <c r="R727" s="198"/>
      <c r="S727" s="198"/>
      <c r="T727" s="195"/>
      <c r="U727" s="195"/>
      <c r="V727" s="195"/>
      <c r="W727" s="195"/>
      <c r="X727" s="195"/>
      <c r="Y727" s="195"/>
      <c r="Z727" s="195"/>
    </row>
    <row r="728" ht="15.75" customHeight="1" spans="1:26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8"/>
      <c r="L728" s="198"/>
      <c r="M728" s="198"/>
      <c r="N728" s="198"/>
      <c r="O728" s="198"/>
      <c r="P728" s="198"/>
      <c r="Q728" s="198"/>
      <c r="R728" s="198"/>
      <c r="S728" s="198"/>
      <c r="T728" s="195"/>
      <c r="U728" s="195"/>
      <c r="V728" s="195"/>
      <c r="W728" s="195"/>
      <c r="X728" s="195"/>
      <c r="Y728" s="195"/>
      <c r="Z728" s="195"/>
    </row>
    <row r="729" ht="15.75" customHeight="1" spans="1:26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8"/>
      <c r="L729" s="198"/>
      <c r="M729" s="198"/>
      <c r="N729" s="198"/>
      <c r="O729" s="198"/>
      <c r="P729" s="198"/>
      <c r="Q729" s="198"/>
      <c r="R729" s="198"/>
      <c r="S729" s="198"/>
      <c r="T729" s="195"/>
      <c r="U729" s="195"/>
      <c r="V729" s="195"/>
      <c r="W729" s="195"/>
      <c r="X729" s="195"/>
      <c r="Y729" s="195"/>
      <c r="Z729" s="195"/>
    </row>
    <row r="730" ht="15.75" customHeight="1" spans="1:26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8"/>
      <c r="L730" s="198"/>
      <c r="M730" s="198"/>
      <c r="N730" s="198"/>
      <c r="O730" s="198"/>
      <c r="P730" s="198"/>
      <c r="Q730" s="198"/>
      <c r="R730" s="198"/>
      <c r="S730" s="198"/>
      <c r="T730" s="195"/>
      <c r="U730" s="195"/>
      <c r="V730" s="195"/>
      <c r="W730" s="195"/>
      <c r="X730" s="195"/>
      <c r="Y730" s="195"/>
      <c r="Z730" s="195"/>
    </row>
    <row r="731" ht="15.75" customHeight="1" spans="1:26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8"/>
      <c r="L731" s="198"/>
      <c r="M731" s="198"/>
      <c r="N731" s="198"/>
      <c r="O731" s="198"/>
      <c r="P731" s="198"/>
      <c r="Q731" s="198"/>
      <c r="R731" s="198"/>
      <c r="S731" s="198"/>
      <c r="T731" s="195"/>
      <c r="U731" s="195"/>
      <c r="V731" s="195"/>
      <c r="W731" s="195"/>
      <c r="X731" s="195"/>
      <c r="Y731" s="195"/>
      <c r="Z731" s="195"/>
    </row>
    <row r="732" ht="15.75" customHeight="1" spans="1:26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8"/>
      <c r="L732" s="198"/>
      <c r="M732" s="198"/>
      <c r="N732" s="198"/>
      <c r="O732" s="198"/>
      <c r="P732" s="198"/>
      <c r="Q732" s="198"/>
      <c r="R732" s="198"/>
      <c r="S732" s="198"/>
      <c r="T732" s="195"/>
      <c r="U732" s="195"/>
      <c r="V732" s="195"/>
      <c r="W732" s="195"/>
      <c r="X732" s="195"/>
      <c r="Y732" s="195"/>
      <c r="Z732" s="195"/>
    </row>
    <row r="733" ht="15.75" customHeight="1" spans="1:26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8"/>
      <c r="L733" s="198"/>
      <c r="M733" s="198"/>
      <c r="N733" s="198"/>
      <c r="O733" s="198"/>
      <c r="P733" s="198"/>
      <c r="Q733" s="198"/>
      <c r="R733" s="198"/>
      <c r="S733" s="198"/>
      <c r="T733" s="195"/>
      <c r="U733" s="195"/>
      <c r="V733" s="195"/>
      <c r="W733" s="195"/>
      <c r="X733" s="195"/>
      <c r="Y733" s="195"/>
      <c r="Z733" s="195"/>
    </row>
    <row r="734" ht="15.75" customHeight="1" spans="1:26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8"/>
      <c r="L734" s="198"/>
      <c r="M734" s="198"/>
      <c r="N734" s="198"/>
      <c r="O734" s="198"/>
      <c r="P734" s="198"/>
      <c r="Q734" s="198"/>
      <c r="R734" s="198"/>
      <c r="S734" s="198"/>
      <c r="T734" s="195"/>
      <c r="U734" s="195"/>
      <c r="V734" s="195"/>
      <c r="W734" s="195"/>
      <c r="X734" s="195"/>
      <c r="Y734" s="195"/>
      <c r="Z734" s="195"/>
    </row>
    <row r="735" ht="15.75" customHeight="1" spans="1:26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8"/>
      <c r="L735" s="198"/>
      <c r="M735" s="198"/>
      <c r="N735" s="198"/>
      <c r="O735" s="198"/>
      <c r="P735" s="198"/>
      <c r="Q735" s="198"/>
      <c r="R735" s="198"/>
      <c r="S735" s="198"/>
      <c r="T735" s="195"/>
      <c r="U735" s="195"/>
      <c r="V735" s="195"/>
      <c r="W735" s="195"/>
      <c r="X735" s="195"/>
      <c r="Y735" s="195"/>
      <c r="Z735" s="195"/>
    </row>
    <row r="736" ht="15.75" customHeight="1" spans="1:2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8"/>
      <c r="L736" s="198"/>
      <c r="M736" s="198"/>
      <c r="N736" s="198"/>
      <c r="O736" s="198"/>
      <c r="P736" s="198"/>
      <c r="Q736" s="198"/>
      <c r="R736" s="198"/>
      <c r="S736" s="198"/>
      <c r="T736" s="195"/>
      <c r="U736" s="195"/>
      <c r="V736" s="195"/>
      <c r="W736" s="195"/>
      <c r="X736" s="195"/>
      <c r="Y736" s="195"/>
      <c r="Z736" s="195"/>
    </row>
    <row r="737" ht="15.75" customHeight="1" spans="1:26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8"/>
      <c r="L737" s="198"/>
      <c r="M737" s="198"/>
      <c r="N737" s="198"/>
      <c r="O737" s="198"/>
      <c r="P737" s="198"/>
      <c r="Q737" s="198"/>
      <c r="R737" s="198"/>
      <c r="S737" s="198"/>
      <c r="T737" s="195"/>
      <c r="U737" s="195"/>
      <c r="V737" s="195"/>
      <c r="W737" s="195"/>
      <c r="X737" s="195"/>
      <c r="Y737" s="195"/>
      <c r="Z737" s="195"/>
    </row>
    <row r="738" ht="15.75" customHeight="1" spans="1:26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8"/>
      <c r="L738" s="198"/>
      <c r="M738" s="198"/>
      <c r="N738" s="198"/>
      <c r="O738" s="198"/>
      <c r="P738" s="198"/>
      <c r="Q738" s="198"/>
      <c r="R738" s="198"/>
      <c r="S738" s="198"/>
      <c r="T738" s="195"/>
      <c r="U738" s="195"/>
      <c r="V738" s="195"/>
      <c r="W738" s="195"/>
      <c r="X738" s="195"/>
      <c r="Y738" s="195"/>
      <c r="Z738" s="195"/>
    </row>
    <row r="739" ht="15.75" customHeight="1" spans="1:26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8"/>
      <c r="L739" s="198"/>
      <c r="M739" s="198"/>
      <c r="N739" s="198"/>
      <c r="O739" s="198"/>
      <c r="P739" s="198"/>
      <c r="Q739" s="198"/>
      <c r="R739" s="198"/>
      <c r="S739" s="198"/>
      <c r="T739" s="195"/>
      <c r="U739" s="195"/>
      <c r="V739" s="195"/>
      <c r="W739" s="195"/>
      <c r="X739" s="195"/>
      <c r="Y739" s="195"/>
      <c r="Z739" s="195"/>
    </row>
    <row r="740" ht="15.75" customHeight="1" spans="1:26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8"/>
      <c r="L740" s="198"/>
      <c r="M740" s="198"/>
      <c r="N740" s="198"/>
      <c r="O740" s="198"/>
      <c r="P740" s="198"/>
      <c r="Q740" s="198"/>
      <c r="R740" s="198"/>
      <c r="S740" s="198"/>
      <c r="T740" s="195"/>
      <c r="U740" s="195"/>
      <c r="V740" s="195"/>
      <c r="W740" s="195"/>
      <c r="X740" s="195"/>
      <c r="Y740" s="195"/>
      <c r="Z740" s="195"/>
    </row>
    <row r="741" ht="15.75" customHeight="1" spans="1:26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8"/>
      <c r="L741" s="198"/>
      <c r="M741" s="198"/>
      <c r="N741" s="198"/>
      <c r="O741" s="198"/>
      <c r="P741" s="198"/>
      <c r="Q741" s="198"/>
      <c r="R741" s="198"/>
      <c r="S741" s="198"/>
      <c r="T741" s="195"/>
      <c r="U741" s="195"/>
      <c r="V741" s="195"/>
      <c r="W741" s="195"/>
      <c r="X741" s="195"/>
      <c r="Y741" s="195"/>
      <c r="Z741" s="195"/>
    </row>
    <row r="742" ht="15.75" customHeight="1" spans="1:26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8"/>
      <c r="L742" s="198"/>
      <c r="M742" s="198"/>
      <c r="N742" s="198"/>
      <c r="O742" s="198"/>
      <c r="P742" s="198"/>
      <c r="Q742" s="198"/>
      <c r="R742" s="198"/>
      <c r="S742" s="198"/>
      <c r="T742" s="195"/>
      <c r="U742" s="195"/>
      <c r="V742" s="195"/>
      <c r="W742" s="195"/>
      <c r="X742" s="195"/>
      <c r="Y742" s="195"/>
      <c r="Z742" s="195"/>
    </row>
    <row r="743" ht="15.75" customHeight="1" spans="1:26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8"/>
      <c r="L743" s="198"/>
      <c r="M743" s="198"/>
      <c r="N743" s="198"/>
      <c r="O743" s="198"/>
      <c r="P743" s="198"/>
      <c r="Q743" s="198"/>
      <c r="R743" s="198"/>
      <c r="S743" s="198"/>
      <c r="T743" s="195"/>
      <c r="U743" s="195"/>
      <c r="V743" s="195"/>
      <c r="W743" s="195"/>
      <c r="X743" s="195"/>
      <c r="Y743" s="195"/>
      <c r="Z743" s="195"/>
    </row>
    <row r="744" ht="15.75" customHeight="1" spans="1:26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8"/>
      <c r="L744" s="198"/>
      <c r="M744" s="198"/>
      <c r="N744" s="198"/>
      <c r="O744" s="198"/>
      <c r="P744" s="198"/>
      <c r="Q744" s="198"/>
      <c r="R744" s="198"/>
      <c r="S744" s="198"/>
      <c r="T744" s="195"/>
      <c r="U744" s="195"/>
      <c r="V744" s="195"/>
      <c r="W744" s="195"/>
      <c r="X744" s="195"/>
      <c r="Y744" s="195"/>
      <c r="Z744" s="195"/>
    </row>
    <row r="745" ht="15.75" customHeight="1" spans="1:26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8"/>
      <c r="L745" s="198"/>
      <c r="M745" s="198"/>
      <c r="N745" s="198"/>
      <c r="O745" s="198"/>
      <c r="P745" s="198"/>
      <c r="Q745" s="198"/>
      <c r="R745" s="198"/>
      <c r="S745" s="198"/>
      <c r="T745" s="195"/>
      <c r="U745" s="195"/>
      <c r="V745" s="195"/>
      <c r="W745" s="195"/>
      <c r="X745" s="195"/>
      <c r="Y745" s="195"/>
      <c r="Z745" s="195"/>
    </row>
    <row r="746" ht="15.75" customHeight="1" spans="1:2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8"/>
      <c r="L746" s="198"/>
      <c r="M746" s="198"/>
      <c r="N746" s="198"/>
      <c r="O746" s="198"/>
      <c r="P746" s="198"/>
      <c r="Q746" s="198"/>
      <c r="R746" s="198"/>
      <c r="S746" s="198"/>
      <c r="T746" s="195"/>
      <c r="U746" s="195"/>
      <c r="V746" s="195"/>
      <c r="W746" s="195"/>
      <c r="X746" s="195"/>
      <c r="Y746" s="195"/>
      <c r="Z746" s="195"/>
    </row>
    <row r="747" ht="15.75" customHeight="1" spans="1:26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8"/>
      <c r="L747" s="198"/>
      <c r="M747" s="198"/>
      <c r="N747" s="198"/>
      <c r="O747" s="198"/>
      <c r="P747" s="198"/>
      <c r="Q747" s="198"/>
      <c r="R747" s="198"/>
      <c r="S747" s="198"/>
      <c r="T747" s="195"/>
      <c r="U747" s="195"/>
      <c r="V747" s="195"/>
      <c r="W747" s="195"/>
      <c r="X747" s="195"/>
      <c r="Y747" s="195"/>
      <c r="Z747" s="195"/>
    </row>
    <row r="748" ht="15.75" customHeight="1" spans="1:26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8"/>
      <c r="L748" s="198"/>
      <c r="M748" s="198"/>
      <c r="N748" s="198"/>
      <c r="O748" s="198"/>
      <c r="P748" s="198"/>
      <c r="Q748" s="198"/>
      <c r="R748" s="198"/>
      <c r="S748" s="198"/>
      <c r="T748" s="195"/>
      <c r="U748" s="195"/>
      <c r="V748" s="195"/>
      <c r="W748" s="195"/>
      <c r="X748" s="195"/>
      <c r="Y748" s="195"/>
      <c r="Z748" s="195"/>
    </row>
    <row r="749" ht="15.75" customHeight="1" spans="1:26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8"/>
      <c r="L749" s="198"/>
      <c r="M749" s="198"/>
      <c r="N749" s="198"/>
      <c r="O749" s="198"/>
      <c r="P749" s="198"/>
      <c r="Q749" s="198"/>
      <c r="R749" s="198"/>
      <c r="S749" s="198"/>
      <c r="T749" s="195"/>
      <c r="U749" s="195"/>
      <c r="V749" s="195"/>
      <c r="W749" s="195"/>
      <c r="X749" s="195"/>
      <c r="Y749" s="195"/>
      <c r="Z749" s="195"/>
    </row>
    <row r="750" ht="15.75" customHeight="1" spans="1:26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8"/>
      <c r="L750" s="198"/>
      <c r="M750" s="198"/>
      <c r="N750" s="198"/>
      <c r="O750" s="198"/>
      <c r="P750" s="198"/>
      <c r="Q750" s="198"/>
      <c r="R750" s="198"/>
      <c r="S750" s="198"/>
      <c r="T750" s="195"/>
      <c r="U750" s="195"/>
      <c r="V750" s="195"/>
      <c r="W750" s="195"/>
      <c r="X750" s="195"/>
      <c r="Y750" s="195"/>
      <c r="Z750" s="195"/>
    </row>
    <row r="751" ht="15.75" customHeight="1" spans="1:26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8"/>
      <c r="L751" s="198"/>
      <c r="M751" s="198"/>
      <c r="N751" s="198"/>
      <c r="O751" s="198"/>
      <c r="P751" s="198"/>
      <c r="Q751" s="198"/>
      <c r="R751" s="198"/>
      <c r="S751" s="198"/>
      <c r="T751" s="195"/>
      <c r="U751" s="195"/>
      <c r="V751" s="195"/>
      <c r="W751" s="195"/>
      <c r="X751" s="195"/>
      <c r="Y751" s="195"/>
      <c r="Z751" s="195"/>
    </row>
    <row r="752" ht="15.75" customHeight="1" spans="1:26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8"/>
      <c r="L752" s="198"/>
      <c r="M752" s="198"/>
      <c r="N752" s="198"/>
      <c r="O752" s="198"/>
      <c r="P752" s="198"/>
      <c r="Q752" s="198"/>
      <c r="R752" s="198"/>
      <c r="S752" s="198"/>
      <c r="T752" s="195"/>
      <c r="U752" s="195"/>
      <c r="V752" s="195"/>
      <c r="W752" s="195"/>
      <c r="X752" s="195"/>
      <c r="Y752" s="195"/>
      <c r="Z752" s="195"/>
    </row>
    <row r="753" ht="15.75" customHeight="1" spans="1:26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8"/>
      <c r="L753" s="198"/>
      <c r="M753" s="198"/>
      <c r="N753" s="198"/>
      <c r="O753" s="198"/>
      <c r="P753" s="198"/>
      <c r="Q753" s="198"/>
      <c r="R753" s="198"/>
      <c r="S753" s="198"/>
      <c r="T753" s="195"/>
      <c r="U753" s="195"/>
      <c r="V753" s="195"/>
      <c r="W753" s="195"/>
      <c r="X753" s="195"/>
      <c r="Y753" s="195"/>
      <c r="Z753" s="195"/>
    </row>
    <row r="754" ht="15.75" customHeight="1" spans="1:26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8"/>
      <c r="L754" s="198"/>
      <c r="M754" s="198"/>
      <c r="N754" s="198"/>
      <c r="O754" s="198"/>
      <c r="P754" s="198"/>
      <c r="Q754" s="198"/>
      <c r="R754" s="198"/>
      <c r="S754" s="198"/>
      <c r="T754" s="195"/>
      <c r="U754" s="195"/>
      <c r="V754" s="195"/>
      <c r="W754" s="195"/>
      <c r="X754" s="195"/>
      <c r="Y754" s="195"/>
      <c r="Z754" s="195"/>
    </row>
    <row r="755" ht="15.75" customHeight="1" spans="1:26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8"/>
      <c r="L755" s="198"/>
      <c r="M755" s="198"/>
      <c r="N755" s="198"/>
      <c r="O755" s="198"/>
      <c r="P755" s="198"/>
      <c r="Q755" s="198"/>
      <c r="R755" s="198"/>
      <c r="S755" s="198"/>
      <c r="T755" s="195"/>
      <c r="U755" s="195"/>
      <c r="V755" s="195"/>
      <c r="W755" s="195"/>
      <c r="X755" s="195"/>
      <c r="Y755" s="195"/>
      <c r="Z755" s="195"/>
    </row>
    <row r="756" ht="15.75" customHeight="1" spans="1:2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8"/>
      <c r="L756" s="198"/>
      <c r="M756" s="198"/>
      <c r="N756" s="198"/>
      <c r="O756" s="198"/>
      <c r="P756" s="198"/>
      <c r="Q756" s="198"/>
      <c r="R756" s="198"/>
      <c r="S756" s="198"/>
      <c r="T756" s="195"/>
      <c r="U756" s="195"/>
      <c r="V756" s="195"/>
      <c r="W756" s="195"/>
      <c r="X756" s="195"/>
      <c r="Y756" s="195"/>
      <c r="Z756" s="195"/>
    </row>
    <row r="757" ht="15.75" customHeight="1" spans="1:26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8"/>
      <c r="L757" s="198"/>
      <c r="M757" s="198"/>
      <c r="N757" s="198"/>
      <c r="O757" s="198"/>
      <c r="P757" s="198"/>
      <c r="Q757" s="198"/>
      <c r="R757" s="198"/>
      <c r="S757" s="198"/>
      <c r="T757" s="195"/>
      <c r="U757" s="195"/>
      <c r="V757" s="195"/>
      <c r="W757" s="195"/>
      <c r="X757" s="195"/>
      <c r="Y757" s="195"/>
      <c r="Z757" s="195"/>
    </row>
    <row r="758" ht="15.75" customHeight="1" spans="1:26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8"/>
      <c r="L758" s="198"/>
      <c r="M758" s="198"/>
      <c r="N758" s="198"/>
      <c r="O758" s="198"/>
      <c r="P758" s="198"/>
      <c r="Q758" s="198"/>
      <c r="R758" s="198"/>
      <c r="S758" s="198"/>
      <c r="T758" s="195"/>
      <c r="U758" s="195"/>
      <c r="V758" s="195"/>
      <c r="W758" s="195"/>
      <c r="X758" s="195"/>
      <c r="Y758" s="195"/>
      <c r="Z758" s="195"/>
    </row>
    <row r="759" ht="15.75" customHeight="1" spans="1:26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8"/>
      <c r="L759" s="198"/>
      <c r="M759" s="198"/>
      <c r="N759" s="198"/>
      <c r="O759" s="198"/>
      <c r="P759" s="198"/>
      <c r="Q759" s="198"/>
      <c r="R759" s="198"/>
      <c r="S759" s="198"/>
      <c r="T759" s="195"/>
      <c r="U759" s="195"/>
      <c r="V759" s="195"/>
      <c r="W759" s="195"/>
      <c r="X759" s="195"/>
      <c r="Y759" s="195"/>
      <c r="Z759" s="195"/>
    </row>
    <row r="760" ht="15.75" customHeight="1" spans="1:26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8"/>
      <c r="L760" s="198"/>
      <c r="M760" s="198"/>
      <c r="N760" s="198"/>
      <c r="O760" s="198"/>
      <c r="P760" s="198"/>
      <c r="Q760" s="198"/>
      <c r="R760" s="198"/>
      <c r="S760" s="198"/>
      <c r="T760" s="195"/>
      <c r="U760" s="195"/>
      <c r="V760" s="195"/>
      <c r="W760" s="195"/>
      <c r="X760" s="195"/>
      <c r="Y760" s="195"/>
      <c r="Z760" s="195"/>
    </row>
    <row r="761" ht="15.75" customHeight="1" spans="1:26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8"/>
      <c r="L761" s="198"/>
      <c r="M761" s="198"/>
      <c r="N761" s="198"/>
      <c r="O761" s="198"/>
      <c r="P761" s="198"/>
      <c r="Q761" s="198"/>
      <c r="R761" s="198"/>
      <c r="S761" s="198"/>
      <c r="T761" s="195"/>
      <c r="U761" s="195"/>
      <c r="V761" s="195"/>
      <c r="W761" s="195"/>
      <c r="X761" s="195"/>
      <c r="Y761" s="195"/>
      <c r="Z761" s="195"/>
    </row>
    <row r="762" ht="15.75" customHeight="1" spans="1:26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8"/>
      <c r="L762" s="198"/>
      <c r="M762" s="198"/>
      <c r="N762" s="198"/>
      <c r="O762" s="198"/>
      <c r="P762" s="198"/>
      <c r="Q762" s="198"/>
      <c r="R762" s="198"/>
      <c r="S762" s="198"/>
      <c r="T762" s="195"/>
      <c r="U762" s="195"/>
      <c r="V762" s="195"/>
      <c r="W762" s="195"/>
      <c r="X762" s="195"/>
      <c r="Y762" s="195"/>
      <c r="Z762" s="195"/>
    </row>
    <row r="763" ht="15.75" customHeight="1" spans="1:26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8"/>
      <c r="L763" s="198"/>
      <c r="M763" s="198"/>
      <c r="N763" s="198"/>
      <c r="O763" s="198"/>
      <c r="P763" s="198"/>
      <c r="Q763" s="198"/>
      <c r="R763" s="198"/>
      <c r="S763" s="198"/>
      <c r="T763" s="195"/>
      <c r="U763" s="195"/>
      <c r="V763" s="195"/>
      <c r="W763" s="195"/>
      <c r="X763" s="195"/>
      <c r="Y763" s="195"/>
      <c r="Z763" s="195"/>
    </row>
    <row r="764" ht="15.75" customHeight="1" spans="1:26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8"/>
      <c r="L764" s="198"/>
      <c r="M764" s="198"/>
      <c r="N764" s="198"/>
      <c r="O764" s="198"/>
      <c r="P764" s="198"/>
      <c r="Q764" s="198"/>
      <c r="R764" s="198"/>
      <c r="S764" s="198"/>
      <c r="T764" s="195"/>
      <c r="U764" s="195"/>
      <c r="V764" s="195"/>
      <c r="W764" s="195"/>
      <c r="X764" s="195"/>
      <c r="Y764" s="195"/>
      <c r="Z764" s="195"/>
    </row>
    <row r="765" ht="15.75" customHeight="1" spans="1:26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8"/>
      <c r="L765" s="198"/>
      <c r="M765" s="198"/>
      <c r="N765" s="198"/>
      <c r="O765" s="198"/>
      <c r="P765" s="198"/>
      <c r="Q765" s="198"/>
      <c r="R765" s="198"/>
      <c r="S765" s="198"/>
      <c r="T765" s="195"/>
      <c r="U765" s="195"/>
      <c r="V765" s="195"/>
      <c r="W765" s="195"/>
      <c r="X765" s="195"/>
      <c r="Y765" s="195"/>
      <c r="Z765" s="195"/>
    </row>
    <row r="766" ht="15.75" customHeight="1" spans="1:2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8"/>
      <c r="L766" s="198"/>
      <c r="M766" s="198"/>
      <c r="N766" s="198"/>
      <c r="O766" s="198"/>
      <c r="P766" s="198"/>
      <c r="Q766" s="198"/>
      <c r="R766" s="198"/>
      <c r="S766" s="198"/>
      <c r="T766" s="195"/>
      <c r="U766" s="195"/>
      <c r="V766" s="195"/>
      <c r="W766" s="195"/>
      <c r="X766" s="195"/>
      <c r="Y766" s="195"/>
      <c r="Z766" s="195"/>
    </row>
    <row r="767" ht="15.75" customHeight="1" spans="1:26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8"/>
      <c r="L767" s="198"/>
      <c r="M767" s="198"/>
      <c r="N767" s="198"/>
      <c r="O767" s="198"/>
      <c r="P767" s="198"/>
      <c r="Q767" s="198"/>
      <c r="R767" s="198"/>
      <c r="S767" s="198"/>
      <c r="T767" s="195"/>
      <c r="U767" s="195"/>
      <c r="V767" s="195"/>
      <c r="W767" s="195"/>
      <c r="X767" s="195"/>
      <c r="Y767" s="195"/>
      <c r="Z767" s="195"/>
    </row>
    <row r="768" ht="15.75" customHeight="1" spans="1:26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8"/>
      <c r="L768" s="198"/>
      <c r="M768" s="198"/>
      <c r="N768" s="198"/>
      <c r="O768" s="198"/>
      <c r="P768" s="198"/>
      <c r="Q768" s="198"/>
      <c r="R768" s="198"/>
      <c r="S768" s="198"/>
      <c r="T768" s="195"/>
      <c r="U768" s="195"/>
      <c r="V768" s="195"/>
      <c r="W768" s="195"/>
      <c r="X768" s="195"/>
      <c r="Y768" s="195"/>
      <c r="Z768" s="195"/>
    </row>
    <row r="769" ht="15.75" customHeight="1" spans="1:26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8"/>
      <c r="L769" s="198"/>
      <c r="M769" s="198"/>
      <c r="N769" s="198"/>
      <c r="O769" s="198"/>
      <c r="P769" s="198"/>
      <c r="Q769" s="198"/>
      <c r="R769" s="198"/>
      <c r="S769" s="198"/>
      <c r="T769" s="195"/>
      <c r="U769" s="195"/>
      <c r="V769" s="195"/>
      <c r="W769" s="195"/>
      <c r="X769" s="195"/>
      <c r="Y769" s="195"/>
      <c r="Z769" s="195"/>
    </row>
    <row r="770" ht="15.75" customHeight="1" spans="1:26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8"/>
      <c r="L770" s="198"/>
      <c r="M770" s="198"/>
      <c r="N770" s="198"/>
      <c r="O770" s="198"/>
      <c r="P770" s="198"/>
      <c r="Q770" s="198"/>
      <c r="R770" s="198"/>
      <c r="S770" s="198"/>
      <c r="T770" s="195"/>
      <c r="U770" s="195"/>
      <c r="V770" s="195"/>
      <c r="W770" s="195"/>
      <c r="X770" s="195"/>
      <c r="Y770" s="195"/>
      <c r="Z770" s="195"/>
    </row>
    <row r="771" ht="15.75" customHeight="1" spans="1:26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8"/>
      <c r="L771" s="198"/>
      <c r="M771" s="198"/>
      <c r="N771" s="198"/>
      <c r="O771" s="198"/>
      <c r="P771" s="198"/>
      <c r="Q771" s="198"/>
      <c r="R771" s="198"/>
      <c r="S771" s="198"/>
      <c r="T771" s="195"/>
      <c r="U771" s="195"/>
      <c r="V771" s="195"/>
      <c r="W771" s="195"/>
      <c r="X771" s="195"/>
      <c r="Y771" s="195"/>
      <c r="Z771" s="195"/>
    </row>
    <row r="772" ht="15.75" customHeight="1" spans="1:26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8"/>
      <c r="L772" s="198"/>
      <c r="M772" s="198"/>
      <c r="N772" s="198"/>
      <c r="O772" s="198"/>
      <c r="P772" s="198"/>
      <c r="Q772" s="198"/>
      <c r="R772" s="198"/>
      <c r="S772" s="198"/>
      <c r="T772" s="195"/>
      <c r="U772" s="195"/>
      <c r="V772" s="195"/>
      <c r="W772" s="195"/>
      <c r="X772" s="195"/>
      <c r="Y772" s="195"/>
      <c r="Z772" s="195"/>
    </row>
    <row r="773" ht="15.75" customHeight="1" spans="1:26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8"/>
      <c r="L773" s="198"/>
      <c r="M773" s="198"/>
      <c r="N773" s="198"/>
      <c r="O773" s="198"/>
      <c r="P773" s="198"/>
      <c r="Q773" s="198"/>
      <c r="R773" s="198"/>
      <c r="S773" s="198"/>
      <c r="T773" s="195"/>
      <c r="U773" s="195"/>
      <c r="V773" s="195"/>
      <c r="W773" s="195"/>
      <c r="X773" s="195"/>
      <c r="Y773" s="195"/>
      <c r="Z773" s="195"/>
    </row>
    <row r="774" ht="15.75" customHeight="1" spans="1:26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8"/>
      <c r="L774" s="198"/>
      <c r="M774" s="198"/>
      <c r="N774" s="198"/>
      <c r="O774" s="198"/>
      <c r="P774" s="198"/>
      <c r="Q774" s="198"/>
      <c r="R774" s="198"/>
      <c r="S774" s="198"/>
      <c r="T774" s="195"/>
      <c r="U774" s="195"/>
      <c r="V774" s="195"/>
      <c r="W774" s="195"/>
      <c r="X774" s="195"/>
      <c r="Y774" s="195"/>
      <c r="Z774" s="195"/>
    </row>
    <row r="775" ht="15.75" customHeight="1" spans="1:26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8"/>
      <c r="L775" s="198"/>
      <c r="M775" s="198"/>
      <c r="N775" s="198"/>
      <c r="O775" s="198"/>
      <c r="P775" s="198"/>
      <c r="Q775" s="198"/>
      <c r="R775" s="198"/>
      <c r="S775" s="198"/>
      <c r="T775" s="195"/>
      <c r="U775" s="195"/>
      <c r="V775" s="195"/>
      <c r="W775" s="195"/>
      <c r="X775" s="195"/>
      <c r="Y775" s="195"/>
      <c r="Z775" s="195"/>
    </row>
    <row r="776" ht="15.75" customHeight="1" spans="1:2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8"/>
      <c r="L776" s="198"/>
      <c r="M776" s="198"/>
      <c r="N776" s="198"/>
      <c r="O776" s="198"/>
      <c r="P776" s="198"/>
      <c r="Q776" s="198"/>
      <c r="R776" s="198"/>
      <c r="S776" s="198"/>
      <c r="T776" s="195"/>
      <c r="U776" s="195"/>
      <c r="V776" s="195"/>
      <c r="W776" s="195"/>
      <c r="X776" s="195"/>
      <c r="Y776" s="195"/>
      <c r="Z776" s="195"/>
    </row>
    <row r="777" ht="15.75" customHeight="1" spans="1:26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8"/>
      <c r="L777" s="198"/>
      <c r="M777" s="198"/>
      <c r="N777" s="198"/>
      <c r="O777" s="198"/>
      <c r="P777" s="198"/>
      <c r="Q777" s="198"/>
      <c r="R777" s="198"/>
      <c r="S777" s="198"/>
      <c r="T777" s="195"/>
      <c r="U777" s="195"/>
      <c r="V777" s="195"/>
      <c r="W777" s="195"/>
      <c r="X777" s="195"/>
      <c r="Y777" s="195"/>
      <c r="Z777" s="195"/>
    </row>
    <row r="778" ht="15.75" customHeight="1" spans="1:26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8"/>
      <c r="L778" s="198"/>
      <c r="M778" s="198"/>
      <c r="N778" s="198"/>
      <c r="O778" s="198"/>
      <c r="P778" s="198"/>
      <c r="Q778" s="198"/>
      <c r="R778" s="198"/>
      <c r="S778" s="198"/>
      <c r="T778" s="195"/>
      <c r="U778" s="195"/>
      <c r="V778" s="195"/>
      <c r="W778" s="195"/>
      <c r="X778" s="195"/>
      <c r="Y778" s="195"/>
      <c r="Z778" s="195"/>
    </row>
    <row r="779" ht="15.75" customHeight="1" spans="1:26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8"/>
      <c r="L779" s="198"/>
      <c r="M779" s="198"/>
      <c r="N779" s="198"/>
      <c r="O779" s="198"/>
      <c r="P779" s="198"/>
      <c r="Q779" s="198"/>
      <c r="R779" s="198"/>
      <c r="S779" s="198"/>
      <c r="T779" s="195"/>
      <c r="U779" s="195"/>
      <c r="V779" s="195"/>
      <c r="W779" s="195"/>
      <c r="X779" s="195"/>
      <c r="Y779" s="195"/>
      <c r="Z779" s="195"/>
    </row>
    <row r="780" ht="15.75" customHeight="1" spans="1:26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8"/>
      <c r="L780" s="198"/>
      <c r="M780" s="198"/>
      <c r="N780" s="198"/>
      <c r="O780" s="198"/>
      <c r="P780" s="198"/>
      <c r="Q780" s="198"/>
      <c r="R780" s="198"/>
      <c r="S780" s="198"/>
      <c r="T780" s="195"/>
      <c r="U780" s="195"/>
      <c r="V780" s="195"/>
      <c r="W780" s="195"/>
      <c r="X780" s="195"/>
      <c r="Y780" s="195"/>
      <c r="Z780" s="195"/>
    </row>
    <row r="781" ht="15.75" customHeight="1" spans="1:26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8"/>
      <c r="L781" s="198"/>
      <c r="M781" s="198"/>
      <c r="N781" s="198"/>
      <c r="O781" s="198"/>
      <c r="P781" s="198"/>
      <c r="Q781" s="198"/>
      <c r="R781" s="198"/>
      <c r="S781" s="198"/>
      <c r="T781" s="195"/>
      <c r="U781" s="195"/>
      <c r="V781" s="195"/>
      <c r="W781" s="195"/>
      <c r="X781" s="195"/>
      <c r="Y781" s="195"/>
      <c r="Z781" s="195"/>
    </row>
    <row r="782" ht="15.75" customHeight="1" spans="1:26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8"/>
      <c r="L782" s="198"/>
      <c r="M782" s="198"/>
      <c r="N782" s="198"/>
      <c r="O782" s="198"/>
      <c r="P782" s="198"/>
      <c r="Q782" s="198"/>
      <c r="R782" s="198"/>
      <c r="S782" s="198"/>
      <c r="T782" s="195"/>
      <c r="U782" s="195"/>
      <c r="V782" s="195"/>
      <c r="W782" s="195"/>
      <c r="X782" s="195"/>
      <c r="Y782" s="195"/>
      <c r="Z782" s="195"/>
    </row>
    <row r="783" ht="15.75" customHeight="1" spans="1:26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8"/>
      <c r="L783" s="198"/>
      <c r="M783" s="198"/>
      <c r="N783" s="198"/>
      <c r="O783" s="198"/>
      <c r="P783" s="198"/>
      <c r="Q783" s="198"/>
      <c r="R783" s="198"/>
      <c r="S783" s="198"/>
      <c r="T783" s="195"/>
      <c r="U783" s="195"/>
      <c r="V783" s="195"/>
      <c r="W783" s="195"/>
      <c r="X783" s="195"/>
      <c r="Y783" s="195"/>
      <c r="Z783" s="195"/>
    </row>
    <row r="784" ht="15.75" customHeight="1" spans="1:26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8"/>
      <c r="L784" s="198"/>
      <c r="M784" s="198"/>
      <c r="N784" s="198"/>
      <c r="O784" s="198"/>
      <c r="P784" s="198"/>
      <c r="Q784" s="198"/>
      <c r="R784" s="198"/>
      <c r="S784" s="198"/>
      <c r="T784" s="195"/>
      <c r="U784" s="195"/>
      <c r="V784" s="195"/>
      <c r="W784" s="195"/>
      <c r="X784" s="195"/>
      <c r="Y784" s="195"/>
      <c r="Z784" s="195"/>
    </row>
    <row r="785" ht="15.75" customHeight="1" spans="1:26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8"/>
      <c r="L785" s="198"/>
      <c r="M785" s="198"/>
      <c r="N785" s="198"/>
      <c r="O785" s="198"/>
      <c r="P785" s="198"/>
      <c r="Q785" s="198"/>
      <c r="R785" s="198"/>
      <c r="S785" s="198"/>
      <c r="T785" s="195"/>
      <c r="U785" s="195"/>
      <c r="V785" s="195"/>
      <c r="W785" s="195"/>
      <c r="X785" s="195"/>
      <c r="Y785" s="195"/>
      <c r="Z785" s="195"/>
    </row>
    <row r="786" ht="15.75" customHeight="1" spans="1:2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8"/>
      <c r="L786" s="198"/>
      <c r="M786" s="198"/>
      <c r="N786" s="198"/>
      <c r="O786" s="198"/>
      <c r="P786" s="198"/>
      <c r="Q786" s="198"/>
      <c r="R786" s="198"/>
      <c r="S786" s="198"/>
      <c r="T786" s="195"/>
      <c r="U786" s="195"/>
      <c r="V786" s="195"/>
      <c r="W786" s="195"/>
      <c r="X786" s="195"/>
      <c r="Y786" s="195"/>
      <c r="Z786" s="195"/>
    </row>
    <row r="787" ht="15.75" customHeight="1" spans="1:26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8"/>
      <c r="L787" s="198"/>
      <c r="M787" s="198"/>
      <c r="N787" s="198"/>
      <c r="O787" s="198"/>
      <c r="P787" s="198"/>
      <c r="Q787" s="198"/>
      <c r="R787" s="198"/>
      <c r="S787" s="198"/>
      <c r="T787" s="195"/>
      <c r="U787" s="195"/>
      <c r="V787" s="195"/>
      <c r="W787" s="195"/>
      <c r="X787" s="195"/>
      <c r="Y787" s="195"/>
      <c r="Z787" s="195"/>
    </row>
    <row r="788" ht="15.75" customHeight="1" spans="1:26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8"/>
      <c r="L788" s="198"/>
      <c r="M788" s="198"/>
      <c r="N788" s="198"/>
      <c r="O788" s="198"/>
      <c r="P788" s="198"/>
      <c r="Q788" s="198"/>
      <c r="R788" s="198"/>
      <c r="S788" s="198"/>
      <c r="T788" s="195"/>
      <c r="U788" s="195"/>
      <c r="V788" s="195"/>
      <c r="W788" s="195"/>
      <c r="X788" s="195"/>
      <c r="Y788" s="195"/>
      <c r="Z788" s="195"/>
    </row>
    <row r="789" ht="15.75" customHeight="1" spans="1:26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8"/>
      <c r="L789" s="198"/>
      <c r="M789" s="198"/>
      <c r="N789" s="198"/>
      <c r="O789" s="198"/>
      <c r="P789" s="198"/>
      <c r="Q789" s="198"/>
      <c r="R789" s="198"/>
      <c r="S789" s="198"/>
      <c r="T789" s="195"/>
      <c r="U789" s="195"/>
      <c r="V789" s="195"/>
      <c r="W789" s="195"/>
      <c r="X789" s="195"/>
      <c r="Y789" s="195"/>
      <c r="Z789" s="195"/>
    </row>
    <row r="790" ht="15.75" customHeight="1" spans="1:26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8"/>
      <c r="L790" s="198"/>
      <c r="M790" s="198"/>
      <c r="N790" s="198"/>
      <c r="O790" s="198"/>
      <c r="P790" s="198"/>
      <c r="Q790" s="198"/>
      <c r="R790" s="198"/>
      <c r="S790" s="198"/>
      <c r="T790" s="195"/>
      <c r="U790" s="195"/>
      <c r="V790" s="195"/>
      <c r="W790" s="195"/>
      <c r="X790" s="195"/>
      <c r="Y790" s="195"/>
      <c r="Z790" s="195"/>
    </row>
    <row r="791" ht="15.75" customHeight="1" spans="1:26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8"/>
      <c r="L791" s="198"/>
      <c r="M791" s="198"/>
      <c r="N791" s="198"/>
      <c r="O791" s="198"/>
      <c r="P791" s="198"/>
      <c r="Q791" s="198"/>
      <c r="R791" s="198"/>
      <c r="S791" s="198"/>
      <c r="T791" s="195"/>
      <c r="U791" s="195"/>
      <c r="V791" s="195"/>
      <c r="W791" s="195"/>
      <c r="X791" s="195"/>
      <c r="Y791" s="195"/>
      <c r="Z791" s="195"/>
    </row>
    <row r="792" ht="15.75" customHeight="1" spans="1:26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8"/>
      <c r="L792" s="198"/>
      <c r="M792" s="198"/>
      <c r="N792" s="198"/>
      <c r="O792" s="198"/>
      <c r="P792" s="198"/>
      <c r="Q792" s="198"/>
      <c r="R792" s="198"/>
      <c r="S792" s="198"/>
      <c r="T792" s="195"/>
      <c r="U792" s="195"/>
      <c r="V792" s="195"/>
      <c r="W792" s="195"/>
      <c r="X792" s="195"/>
      <c r="Y792" s="195"/>
      <c r="Z792" s="195"/>
    </row>
    <row r="793" ht="15.75" customHeight="1" spans="1:26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8"/>
      <c r="L793" s="198"/>
      <c r="M793" s="198"/>
      <c r="N793" s="198"/>
      <c r="O793" s="198"/>
      <c r="P793" s="198"/>
      <c r="Q793" s="198"/>
      <c r="R793" s="198"/>
      <c r="S793" s="198"/>
      <c r="T793" s="195"/>
      <c r="U793" s="195"/>
      <c r="V793" s="195"/>
      <c r="W793" s="195"/>
      <c r="X793" s="195"/>
      <c r="Y793" s="195"/>
      <c r="Z793" s="195"/>
    </row>
    <row r="794" ht="15.75" customHeight="1" spans="1:26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8"/>
      <c r="L794" s="198"/>
      <c r="M794" s="198"/>
      <c r="N794" s="198"/>
      <c r="O794" s="198"/>
      <c r="P794" s="198"/>
      <c r="Q794" s="198"/>
      <c r="R794" s="198"/>
      <c r="S794" s="198"/>
      <c r="T794" s="195"/>
      <c r="U794" s="195"/>
      <c r="V794" s="195"/>
      <c r="W794" s="195"/>
      <c r="X794" s="195"/>
      <c r="Y794" s="195"/>
      <c r="Z794" s="195"/>
    </row>
    <row r="795" ht="15.75" customHeight="1" spans="1:26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8"/>
      <c r="L795" s="198"/>
      <c r="M795" s="198"/>
      <c r="N795" s="198"/>
      <c r="O795" s="198"/>
      <c r="P795" s="198"/>
      <c r="Q795" s="198"/>
      <c r="R795" s="198"/>
      <c r="S795" s="198"/>
      <c r="T795" s="195"/>
      <c r="U795" s="195"/>
      <c r="V795" s="195"/>
      <c r="W795" s="195"/>
      <c r="X795" s="195"/>
      <c r="Y795" s="195"/>
      <c r="Z795" s="195"/>
    </row>
    <row r="796" ht="15.75" customHeight="1" spans="1:2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8"/>
      <c r="L796" s="198"/>
      <c r="M796" s="198"/>
      <c r="N796" s="198"/>
      <c r="O796" s="198"/>
      <c r="P796" s="198"/>
      <c r="Q796" s="198"/>
      <c r="R796" s="198"/>
      <c r="S796" s="198"/>
      <c r="T796" s="195"/>
      <c r="U796" s="195"/>
      <c r="V796" s="195"/>
      <c r="W796" s="195"/>
      <c r="X796" s="195"/>
      <c r="Y796" s="195"/>
      <c r="Z796" s="195"/>
    </row>
    <row r="797" ht="15.75" customHeight="1" spans="1:26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8"/>
      <c r="L797" s="198"/>
      <c r="M797" s="198"/>
      <c r="N797" s="198"/>
      <c r="O797" s="198"/>
      <c r="P797" s="198"/>
      <c r="Q797" s="198"/>
      <c r="R797" s="198"/>
      <c r="S797" s="198"/>
      <c r="T797" s="195"/>
      <c r="U797" s="195"/>
      <c r="V797" s="195"/>
      <c r="W797" s="195"/>
      <c r="X797" s="195"/>
      <c r="Y797" s="195"/>
      <c r="Z797" s="195"/>
    </row>
    <row r="798" ht="15.75" customHeight="1" spans="1:26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8"/>
      <c r="L798" s="198"/>
      <c r="M798" s="198"/>
      <c r="N798" s="198"/>
      <c r="O798" s="198"/>
      <c r="P798" s="198"/>
      <c r="Q798" s="198"/>
      <c r="R798" s="198"/>
      <c r="S798" s="198"/>
      <c r="T798" s="195"/>
      <c r="U798" s="195"/>
      <c r="V798" s="195"/>
      <c r="W798" s="195"/>
      <c r="X798" s="195"/>
      <c r="Y798" s="195"/>
      <c r="Z798" s="195"/>
    </row>
    <row r="799" ht="15.75" customHeight="1" spans="1:26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8"/>
      <c r="L799" s="198"/>
      <c r="M799" s="198"/>
      <c r="N799" s="198"/>
      <c r="O799" s="198"/>
      <c r="P799" s="198"/>
      <c r="Q799" s="198"/>
      <c r="R799" s="198"/>
      <c r="S799" s="198"/>
      <c r="T799" s="195"/>
      <c r="U799" s="195"/>
      <c r="V799" s="195"/>
      <c r="W799" s="195"/>
      <c r="X799" s="195"/>
      <c r="Y799" s="195"/>
      <c r="Z799" s="195"/>
    </row>
    <row r="800" ht="15.75" customHeight="1" spans="1:26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8"/>
      <c r="L800" s="198"/>
      <c r="M800" s="198"/>
      <c r="N800" s="198"/>
      <c r="O800" s="198"/>
      <c r="P800" s="198"/>
      <c r="Q800" s="198"/>
      <c r="R800" s="198"/>
      <c r="S800" s="198"/>
      <c r="T800" s="195"/>
      <c r="U800" s="195"/>
      <c r="V800" s="195"/>
      <c r="W800" s="195"/>
      <c r="X800" s="195"/>
      <c r="Y800" s="195"/>
      <c r="Z800" s="195"/>
    </row>
    <row r="801" ht="15.75" customHeight="1" spans="1:26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8"/>
      <c r="L801" s="198"/>
      <c r="M801" s="198"/>
      <c r="N801" s="198"/>
      <c r="O801" s="198"/>
      <c r="P801" s="198"/>
      <c r="Q801" s="198"/>
      <c r="R801" s="198"/>
      <c r="S801" s="198"/>
      <c r="T801" s="195"/>
      <c r="U801" s="195"/>
      <c r="V801" s="195"/>
      <c r="W801" s="195"/>
      <c r="X801" s="195"/>
      <c r="Y801" s="195"/>
      <c r="Z801" s="195"/>
    </row>
    <row r="802" ht="15.75" customHeight="1" spans="1:26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8"/>
      <c r="L802" s="198"/>
      <c r="M802" s="198"/>
      <c r="N802" s="198"/>
      <c r="O802" s="198"/>
      <c r="P802" s="198"/>
      <c r="Q802" s="198"/>
      <c r="R802" s="198"/>
      <c r="S802" s="198"/>
      <c r="T802" s="195"/>
      <c r="U802" s="195"/>
      <c r="V802" s="195"/>
      <c r="W802" s="195"/>
      <c r="X802" s="195"/>
      <c r="Y802" s="195"/>
      <c r="Z802" s="195"/>
    </row>
    <row r="803" ht="15.75" customHeight="1" spans="1:26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8"/>
      <c r="L803" s="198"/>
      <c r="M803" s="198"/>
      <c r="N803" s="198"/>
      <c r="O803" s="198"/>
      <c r="P803" s="198"/>
      <c r="Q803" s="198"/>
      <c r="R803" s="198"/>
      <c r="S803" s="198"/>
      <c r="T803" s="195"/>
      <c r="U803" s="195"/>
      <c r="V803" s="195"/>
      <c r="W803" s="195"/>
      <c r="X803" s="195"/>
      <c r="Y803" s="195"/>
      <c r="Z803" s="195"/>
    </row>
    <row r="804" ht="15.75" customHeight="1" spans="1:26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8"/>
      <c r="L804" s="198"/>
      <c r="M804" s="198"/>
      <c r="N804" s="198"/>
      <c r="O804" s="198"/>
      <c r="P804" s="198"/>
      <c r="Q804" s="198"/>
      <c r="R804" s="198"/>
      <c r="S804" s="198"/>
      <c r="T804" s="195"/>
      <c r="U804" s="195"/>
      <c r="V804" s="195"/>
      <c r="W804" s="195"/>
      <c r="X804" s="195"/>
      <c r="Y804" s="195"/>
      <c r="Z804" s="195"/>
    </row>
    <row r="805" ht="15.75" customHeight="1" spans="1:26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8"/>
      <c r="L805" s="198"/>
      <c r="M805" s="198"/>
      <c r="N805" s="198"/>
      <c r="O805" s="198"/>
      <c r="P805" s="198"/>
      <c r="Q805" s="198"/>
      <c r="R805" s="198"/>
      <c r="S805" s="198"/>
      <c r="T805" s="195"/>
      <c r="U805" s="195"/>
      <c r="V805" s="195"/>
      <c r="W805" s="195"/>
      <c r="X805" s="195"/>
      <c r="Y805" s="195"/>
      <c r="Z805" s="195"/>
    </row>
    <row r="806" ht="15.75" customHeight="1" spans="1:2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8"/>
      <c r="L806" s="198"/>
      <c r="M806" s="198"/>
      <c r="N806" s="198"/>
      <c r="O806" s="198"/>
      <c r="P806" s="198"/>
      <c r="Q806" s="198"/>
      <c r="R806" s="198"/>
      <c r="S806" s="198"/>
      <c r="T806" s="195"/>
      <c r="U806" s="195"/>
      <c r="V806" s="195"/>
      <c r="W806" s="195"/>
      <c r="X806" s="195"/>
      <c r="Y806" s="195"/>
      <c r="Z806" s="195"/>
    </row>
    <row r="807" ht="15.75" customHeight="1" spans="1:26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8"/>
      <c r="L807" s="198"/>
      <c r="M807" s="198"/>
      <c r="N807" s="198"/>
      <c r="O807" s="198"/>
      <c r="P807" s="198"/>
      <c r="Q807" s="198"/>
      <c r="R807" s="198"/>
      <c r="S807" s="198"/>
      <c r="T807" s="195"/>
      <c r="U807" s="195"/>
      <c r="V807" s="195"/>
      <c r="W807" s="195"/>
      <c r="X807" s="195"/>
      <c r="Y807" s="195"/>
      <c r="Z807" s="195"/>
    </row>
    <row r="808" ht="15.75" customHeight="1" spans="1:26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8"/>
      <c r="L808" s="198"/>
      <c r="M808" s="198"/>
      <c r="N808" s="198"/>
      <c r="O808" s="198"/>
      <c r="P808" s="198"/>
      <c r="Q808" s="198"/>
      <c r="R808" s="198"/>
      <c r="S808" s="198"/>
      <c r="T808" s="195"/>
      <c r="U808" s="195"/>
      <c r="V808" s="195"/>
      <c r="W808" s="195"/>
      <c r="X808" s="195"/>
      <c r="Y808" s="195"/>
      <c r="Z808" s="195"/>
    </row>
    <row r="809" ht="15.75" customHeight="1" spans="1:26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8"/>
      <c r="L809" s="198"/>
      <c r="M809" s="198"/>
      <c r="N809" s="198"/>
      <c r="O809" s="198"/>
      <c r="P809" s="198"/>
      <c r="Q809" s="198"/>
      <c r="R809" s="198"/>
      <c r="S809" s="198"/>
      <c r="T809" s="195"/>
      <c r="U809" s="195"/>
      <c r="V809" s="195"/>
      <c r="W809" s="195"/>
      <c r="X809" s="195"/>
      <c r="Y809" s="195"/>
      <c r="Z809" s="195"/>
    </row>
    <row r="810" ht="15.75" customHeight="1" spans="1:26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8"/>
      <c r="L810" s="198"/>
      <c r="M810" s="198"/>
      <c r="N810" s="198"/>
      <c r="O810" s="198"/>
      <c r="P810" s="198"/>
      <c r="Q810" s="198"/>
      <c r="R810" s="198"/>
      <c r="S810" s="198"/>
      <c r="T810" s="195"/>
      <c r="U810" s="195"/>
      <c r="V810" s="195"/>
      <c r="W810" s="195"/>
      <c r="X810" s="195"/>
      <c r="Y810" s="195"/>
      <c r="Z810" s="195"/>
    </row>
    <row r="811" ht="15.75" customHeight="1" spans="1:26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8"/>
      <c r="L811" s="198"/>
      <c r="M811" s="198"/>
      <c r="N811" s="198"/>
      <c r="O811" s="198"/>
      <c r="P811" s="198"/>
      <c r="Q811" s="198"/>
      <c r="R811" s="198"/>
      <c r="S811" s="198"/>
      <c r="T811" s="195"/>
      <c r="U811" s="195"/>
      <c r="V811" s="195"/>
      <c r="W811" s="195"/>
      <c r="X811" s="195"/>
      <c r="Y811" s="195"/>
      <c r="Z811" s="195"/>
    </row>
    <row r="812" ht="15.75" customHeight="1" spans="1:26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8"/>
      <c r="L812" s="198"/>
      <c r="M812" s="198"/>
      <c r="N812" s="198"/>
      <c r="O812" s="198"/>
      <c r="P812" s="198"/>
      <c r="Q812" s="198"/>
      <c r="R812" s="198"/>
      <c r="S812" s="198"/>
      <c r="T812" s="195"/>
      <c r="U812" s="195"/>
      <c r="V812" s="195"/>
      <c r="W812" s="195"/>
      <c r="X812" s="195"/>
      <c r="Y812" s="195"/>
      <c r="Z812" s="195"/>
    </row>
    <row r="813" ht="15.75" customHeight="1" spans="1:26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8"/>
      <c r="L813" s="198"/>
      <c r="M813" s="198"/>
      <c r="N813" s="198"/>
      <c r="O813" s="198"/>
      <c r="P813" s="198"/>
      <c r="Q813" s="198"/>
      <c r="R813" s="198"/>
      <c r="S813" s="198"/>
      <c r="T813" s="195"/>
      <c r="U813" s="195"/>
      <c r="V813" s="195"/>
      <c r="W813" s="195"/>
      <c r="X813" s="195"/>
      <c r="Y813" s="195"/>
      <c r="Z813" s="195"/>
    </row>
    <row r="814" ht="15.75" customHeight="1" spans="1:26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8"/>
      <c r="L814" s="198"/>
      <c r="M814" s="198"/>
      <c r="N814" s="198"/>
      <c r="O814" s="198"/>
      <c r="P814" s="198"/>
      <c r="Q814" s="198"/>
      <c r="R814" s="198"/>
      <c r="S814" s="198"/>
      <c r="T814" s="195"/>
      <c r="U814" s="195"/>
      <c r="V814" s="195"/>
      <c r="W814" s="195"/>
      <c r="X814" s="195"/>
      <c r="Y814" s="195"/>
      <c r="Z814" s="195"/>
    </row>
    <row r="815" ht="15.75" customHeight="1" spans="1:26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8"/>
      <c r="L815" s="198"/>
      <c r="M815" s="198"/>
      <c r="N815" s="198"/>
      <c r="O815" s="198"/>
      <c r="P815" s="198"/>
      <c r="Q815" s="198"/>
      <c r="R815" s="198"/>
      <c r="S815" s="198"/>
      <c r="T815" s="195"/>
      <c r="U815" s="195"/>
      <c r="V815" s="195"/>
      <c r="W815" s="195"/>
      <c r="X815" s="195"/>
      <c r="Y815" s="195"/>
      <c r="Z815" s="195"/>
    </row>
    <row r="816" ht="15.75" customHeight="1" spans="1:2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8"/>
      <c r="L816" s="198"/>
      <c r="M816" s="198"/>
      <c r="N816" s="198"/>
      <c r="O816" s="198"/>
      <c r="P816" s="198"/>
      <c r="Q816" s="198"/>
      <c r="R816" s="198"/>
      <c r="S816" s="198"/>
      <c r="T816" s="195"/>
      <c r="U816" s="195"/>
      <c r="V816" s="195"/>
      <c r="W816" s="195"/>
      <c r="X816" s="195"/>
      <c r="Y816" s="195"/>
      <c r="Z816" s="195"/>
    </row>
    <row r="817" ht="15.75" customHeight="1" spans="1:26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8"/>
      <c r="L817" s="198"/>
      <c r="M817" s="198"/>
      <c r="N817" s="198"/>
      <c r="O817" s="198"/>
      <c r="P817" s="198"/>
      <c r="Q817" s="198"/>
      <c r="R817" s="198"/>
      <c r="S817" s="198"/>
      <c r="T817" s="195"/>
      <c r="U817" s="195"/>
      <c r="V817" s="195"/>
      <c r="W817" s="195"/>
      <c r="X817" s="195"/>
      <c r="Y817" s="195"/>
      <c r="Z817" s="195"/>
    </row>
    <row r="818" ht="15.75" customHeight="1" spans="1:26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8"/>
      <c r="L818" s="198"/>
      <c r="M818" s="198"/>
      <c r="N818" s="198"/>
      <c r="O818" s="198"/>
      <c r="P818" s="198"/>
      <c r="Q818" s="198"/>
      <c r="R818" s="198"/>
      <c r="S818" s="198"/>
      <c r="T818" s="195"/>
      <c r="U818" s="195"/>
      <c r="V818" s="195"/>
      <c r="W818" s="195"/>
      <c r="X818" s="195"/>
      <c r="Y818" s="195"/>
      <c r="Z818" s="195"/>
    </row>
    <row r="819" ht="15.75" customHeight="1" spans="1:26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8"/>
      <c r="L819" s="198"/>
      <c r="M819" s="198"/>
      <c r="N819" s="198"/>
      <c r="O819" s="198"/>
      <c r="P819" s="198"/>
      <c r="Q819" s="198"/>
      <c r="R819" s="198"/>
      <c r="S819" s="198"/>
      <c r="T819" s="195"/>
      <c r="U819" s="195"/>
      <c r="V819" s="195"/>
      <c r="W819" s="195"/>
      <c r="X819" s="195"/>
      <c r="Y819" s="195"/>
      <c r="Z819" s="195"/>
    </row>
    <row r="820" ht="15.75" customHeight="1" spans="1:26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8"/>
      <c r="L820" s="198"/>
      <c r="M820" s="198"/>
      <c r="N820" s="198"/>
      <c r="O820" s="198"/>
      <c r="P820" s="198"/>
      <c r="Q820" s="198"/>
      <c r="R820" s="198"/>
      <c r="S820" s="198"/>
      <c r="T820" s="195"/>
      <c r="U820" s="195"/>
      <c r="V820" s="195"/>
      <c r="W820" s="195"/>
      <c r="X820" s="195"/>
      <c r="Y820" s="195"/>
      <c r="Z820" s="195"/>
    </row>
    <row r="821" ht="15.75" customHeight="1" spans="1:26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8"/>
      <c r="L821" s="198"/>
      <c r="M821" s="198"/>
      <c r="N821" s="198"/>
      <c r="O821" s="198"/>
      <c r="P821" s="198"/>
      <c r="Q821" s="198"/>
      <c r="R821" s="198"/>
      <c r="S821" s="198"/>
      <c r="T821" s="195"/>
      <c r="U821" s="195"/>
      <c r="V821" s="195"/>
      <c r="W821" s="195"/>
      <c r="X821" s="195"/>
      <c r="Y821" s="195"/>
      <c r="Z821" s="195"/>
    </row>
    <row r="822" ht="15.75" customHeight="1" spans="1:26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8"/>
      <c r="L822" s="198"/>
      <c r="M822" s="198"/>
      <c r="N822" s="198"/>
      <c r="O822" s="198"/>
      <c r="P822" s="198"/>
      <c r="Q822" s="198"/>
      <c r="R822" s="198"/>
      <c r="S822" s="198"/>
      <c r="T822" s="195"/>
      <c r="U822" s="195"/>
      <c r="V822" s="195"/>
      <c r="W822" s="195"/>
      <c r="X822" s="195"/>
      <c r="Y822" s="195"/>
      <c r="Z822" s="195"/>
    </row>
    <row r="823" ht="15.75" customHeight="1" spans="1:26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8"/>
      <c r="L823" s="198"/>
      <c r="M823" s="198"/>
      <c r="N823" s="198"/>
      <c r="O823" s="198"/>
      <c r="P823" s="198"/>
      <c r="Q823" s="198"/>
      <c r="R823" s="198"/>
      <c r="S823" s="198"/>
      <c r="T823" s="195"/>
      <c r="U823" s="195"/>
      <c r="V823" s="195"/>
      <c r="W823" s="195"/>
      <c r="X823" s="195"/>
      <c r="Y823" s="195"/>
      <c r="Z823" s="195"/>
    </row>
    <row r="824" ht="15.75" customHeight="1" spans="1:26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8"/>
      <c r="L824" s="198"/>
      <c r="M824" s="198"/>
      <c r="N824" s="198"/>
      <c r="O824" s="198"/>
      <c r="P824" s="198"/>
      <c r="Q824" s="198"/>
      <c r="R824" s="198"/>
      <c r="S824" s="198"/>
      <c r="T824" s="195"/>
      <c r="U824" s="195"/>
      <c r="V824" s="195"/>
      <c r="W824" s="195"/>
      <c r="X824" s="195"/>
      <c r="Y824" s="195"/>
      <c r="Z824" s="195"/>
    </row>
    <row r="825" ht="15.75" customHeight="1" spans="1:26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8"/>
      <c r="L825" s="198"/>
      <c r="M825" s="198"/>
      <c r="N825" s="198"/>
      <c r="O825" s="198"/>
      <c r="P825" s="198"/>
      <c r="Q825" s="198"/>
      <c r="R825" s="198"/>
      <c r="S825" s="198"/>
      <c r="T825" s="195"/>
      <c r="U825" s="195"/>
      <c r="V825" s="195"/>
      <c r="W825" s="195"/>
      <c r="X825" s="195"/>
      <c r="Y825" s="195"/>
      <c r="Z825" s="195"/>
    </row>
    <row r="826" ht="15.75" customHeight="1" spans="1: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8"/>
      <c r="L826" s="198"/>
      <c r="M826" s="198"/>
      <c r="N826" s="198"/>
      <c r="O826" s="198"/>
      <c r="P826" s="198"/>
      <c r="Q826" s="198"/>
      <c r="R826" s="198"/>
      <c r="S826" s="198"/>
      <c r="T826" s="195"/>
      <c r="U826" s="195"/>
      <c r="V826" s="195"/>
      <c r="W826" s="195"/>
      <c r="X826" s="195"/>
      <c r="Y826" s="195"/>
      <c r="Z826" s="195"/>
    </row>
    <row r="827" ht="15.75" customHeight="1" spans="1:26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8"/>
      <c r="L827" s="198"/>
      <c r="M827" s="198"/>
      <c r="N827" s="198"/>
      <c r="O827" s="198"/>
      <c r="P827" s="198"/>
      <c r="Q827" s="198"/>
      <c r="R827" s="198"/>
      <c r="S827" s="198"/>
      <c r="T827" s="195"/>
      <c r="U827" s="195"/>
      <c r="V827" s="195"/>
      <c r="W827" s="195"/>
      <c r="X827" s="195"/>
      <c r="Y827" s="195"/>
      <c r="Z827" s="195"/>
    </row>
    <row r="828" ht="15.75" customHeight="1" spans="1:26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8"/>
      <c r="L828" s="198"/>
      <c r="M828" s="198"/>
      <c r="N828" s="198"/>
      <c r="O828" s="198"/>
      <c r="P828" s="198"/>
      <c r="Q828" s="198"/>
      <c r="R828" s="198"/>
      <c r="S828" s="198"/>
      <c r="T828" s="195"/>
      <c r="U828" s="195"/>
      <c r="V828" s="195"/>
      <c r="W828" s="195"/>
      <c r="X828" s="195"/>
      <c r="Y828" s="195"/>
      <c r="Z828" s="195"/>
    </row>
    <row r="829" ht="15.75" customHeight="1" spans="1:26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8"/>
      <c r="L829" s="198"/>
      <c r="M829" s="198"/>
      <c r="N829" s="198"/>
      <c r="O829" s="198"/>
      <c r="P829" s="198"/>
      <c r="Q829" s="198"/>
      <c r="R829" s="198"/>
      <c r="S829" s="198"/>
      <c r="T829" s="195"/>
      <c r="U829" s="195"/>
      <c r="V829" s="195"/>
      <c r="W829" s="195"/>
      <c r="X829" s="195"/>
      <c r="Y829" s="195"/>
      <c r="Z829" s="195"/>
    </row>
    <row r="830" ht="15.75" customHeight="1" spans="1:26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8"/>
      <c r="L830" s="198"/>
      <c r="M830" s="198"/>
      <c r="N830" s="198"/>
      <c r="O830" s="198"/>
      <c r="P830" s="198"/>
      <c r="Q830" s="198"/>
      <c r="R830" s="198"/>
      <c r="S830" s="198"/>
      <c r="T830" s="195"/>
      <c r="U830" s="195"/>
      <c r="V830" s="195"/>
      <c r="W830" s="195"/>
      <c r="X830" s="195"/>
      <c r="Y830" s="195"/>
      <c r="Z830" s="195"/>
    </row>
    <row r="831" ht="15.75" customHeight="1" spans="1:26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8"/>
      <c r="L831" s="198"/>
      <c r="M831" s="198"/>
      <c r="N831" s="198"/>
      <c r="O831" s="198"/>
      <c r="P831" s="198"/>
      <c r="Q831" s="198"/>
      <c r="R831" s="198"/>
      <c r="S831" s="198"/>
      <c r="T831" s="195"/>
      <c r="U831" s="195"/>
      <c r="V831" s="195"/>
      <c r="W831" s="195"/>
      <c r="X831" s="195"/>
      <c r="Y831" s="195"/>
      <c r="Z831" s="195"/>
    </row>
    <row r="832" ht="15.75" customHeight="1" spans="1:26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8"/>
      <c r="L832" s="198"/>
      <c r="M832" s="198"/>
      <c r="N832" s="198"/>
      <c r="O832" s="198"/>
      <c r="P832" s="198"/>
      <c r="Q832" s="198"/>
      <c r="R832" s="198"/>
      <c r="S832" s="198"/>
      <c r="T832" s="195"/>
      <c r="U832" s="195"/>
      <c r="V832" s="195"/>
      <c r="W832" s="195"/>
      <c r="X832" s="195"/>
      <c r="Y832" s="195"/>
      <c r="Z832" s="195"/>
    </row>
    <row r="833" ht="15.75" customHeight="1" spans="1:26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8"/>
      <c r="L833" s="198"/>
      <c r="M833" s="198"/>
      <c r="N833" s="198"/>
      <c r="O833" s="198"/>
      <c r="P833" s="198"/>
      <c r="Q833" s="198"/>
      <c r="R833" s="198"/>
      <c r="S833" s="198"/>
      <c r="T833" s="195"/>
      <c r="U833" s="195"/>
      <c r="V833" s="195"/>
      <c r="W833" s="195"/>
      <c r="X833" s="195"/>
      <c r="Y833" s="195"/>
      <c r="Z833" s="195"/>
    </row>
    <row r="834" ht="15.75" customHeight="1" spans="1:26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8"/>
      <c r="L834" s="198"/>
      <c r="M834" s="198"/>
      <c r="N834" s="198"/>
      <c r="O834" s="198"/>
      <c r="P834" s="198"/>
      <c r="Q834" s="198"/>
      <c r="R834" s="198"/>
      <c r="S834" s="198"/>
      <c r="T834" s="195"/>
      <c r="U834" s="195"/>
      <c r="V834" s="195"/>
      <c r="W834" s="195"/>
      <c r="X834" s="195"/>
      <c r="Y834" s="195"/>
      <c r="Z834" s="195"/>
    </row>
    <row r="835" ht="15.75" customHeight="1" spans="1:26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8"/>
      <c r="L835" s="198"/>
      <c r="M835" s="198"/>
      <c r="N835" s="198"/>
      <c r="O835" s="198"/>
      <c r="P835" s="198"/>
      <c r="Q835" s="198"/>
      <c r="R835" s="198"/>
      <c r="S835" s="198"/>
      <c r="T835" s="195"/>
      <c r="U835" s="195"/>
      <c r="V835" s="195"/>
      <c r="W835" s="195"/>
      <c r="X835" s="195"/>
      <c r="Y835" s="195"/>
      <c r="Z835" s="195"/>
    </row>
    <row r="836" ht="15.75" customHeight="1" spans="1:2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8"/>
      <c r="L836" s="198"/>
      <c r="M836" s="198"/>
      <c r="N836" s="198"/>
      <c r="O836" s="198"/>
      <c r="P836" s="198"/>
      <c r="Q836" s="198"/>
      <c r="R836" s="198"/>
      <c r="S836" s="198"/>
      <c r="T836" s="195"/>
      <c r="U836" s="195"/>
      <c r="V836" s="195"/>
      <c r="W836" s="195"/>
      <c r="X836" s="195"/>
      <c r="Y836" s="195"/>
      <c r="Z836" s="195"/>
    </row>
    <row r="837" ht="15.75" customHeight="1" spans="1:26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8"/>
      <c r="L837" s="198"/>
      <c r="M837" s="198"/>
      <c r="N837" s="198"/>
      <c r="O837" s="198"/>
      <c r="P837" s="198"/>
      <c r="Q837" s="198"/>
      <c r="R837" s="198"/>
      <c r="S837" s="198"/>
      <c r="T837" s="195"/>
      <c r="U837" s="195"/>
      <c r="V837" s="195"/>
      <c r="W837" s="195"/>
      <c r="X837" s="195"/>
      <c r="Y837" s="195"/>
      <c r="Z837" s="195"/>
    </row>
    <row r="838" ht="15.75" customHeight="1" spans="1:26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8"/>
      <c r="L838" s="198"/>
      <c r="M838" s="198"/>
      <c r="N838" s="198"/>
      <c r="O838" s="198"/>
      <c r="P838" s="198"/>
      <c r="Q838" s="198"/>
      <c r="R838" s="198"/>
      <c r="S838" s="198"/>
      <c r="T838" s="195"/>
      <c r="U838" s="195"/>
      <c r="V838" s="195"/>
      <c r="W838" s="195"/>
      <c r="X838" s="195"/>
      <c r="Y838" s="195"/>
      <c r="Z838" s="195"/>
    </row>
    <row r="839" ht="15.75" customHeight="1" spans="1:26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8"/>
      <c r="L839" s="198"/>
      <c r="M839" s="198"/>
      <c r="N839" s="198"/>
      <c r="O839" s="198"/>
      <c r="P839" s="198"/>
      <c r="Q839" s="198"/>
      <c r="R839" s="198"/>
      <c r="S839" s="198"/>
      <c r="T839" s="195"/>
      <c r="U839" s="195"/>
      <c r="V839" s="195"/>
      <c r="W839" s="195"/>
      <c r="X839" s="195"/>
      <c r="Y839" s="195"/>
      <c r="Z839" s="195"/>
    </row>
    <row r="840" ht="15.75" customHeight="1" spans="1:26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8"/>
      <c r="L840" s="198"/>
      <c r="M840" s="198"/>
      <c r="N840" s="198"/>
      <c r="O840" s="198"/>
      <c r="P840" s="198"/>
      <c r="Q840" s="198"/>
      <c r="R840" s="198"/>
      <c r="S840" s="198"/>
      <c r="T840" s="195"/>
      <c r="U840" s="195"/>
      <c r="V840" s="195"/>
      <c r="W840" s="195"/>
      <c r="X840" s="195"/>
      <c r="Y840" s="195"/>
      <c r="Z840" s="195"/>
    </row>
    <row r="841" ht="15.75" customHeight="1" spans="1:26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8"/>
      <c r="L841" s="198"/>
      <c r="M841" s="198"/>
      <c r="N841" s="198"/>
      <c r="O841" s="198"/>
      <c r="P841" s="198"/>
      <c r="Q841" s="198"/>
      <c r="R841" s="198"/>
      <c r="S841" s="198"/>
      <c r="T841" s="195"/>
      <c r="U841" s="195"/>
      <c r="V841" s="195"/>
      <c r="W841" s="195"/>
      <c r="X841" s="195"/>
      <c r="Y841" s="195"/>
      <c r="Z841" s="195"/>
    </row>
    <row r="842" ht="15.75" customHeight="1" spans="1:26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8"/>
      <c r="L842" s="198"/>
      <c r="M842" s="198"/>
      <c r="N842" s="198"/>
      <c r="O842" s="198"/>
      <c r="P842" s="198"/>
      <c r="Q842" s="198"/>
      <c r="R842" s="198"/>
      <c r="S842" s="198"/>
      <c r="T842" s="195"/>
      <c r="U842" s="195"/>
      <c r="V842" s="195"/>
      <c r="W842" s="195"/>
      <c r="X842" s="195"/>
      <c r="Y842" s="195"/>
      <c r="Z842" s="195"/>
    </row>
    <row r="843" ht="15.75" customHeight="1" spans="1:26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8"/>
      <c r="L843" s="198"/>
      <c r="M843" s="198"/>
      <c r="N843" s="198"/>
      <c r="O843" s="198"/>
      <c r="P843" s="198"/>
      <c r="Q843" s="198"/>
      <c r="R843" s="198"/>
      <c r="S843" s="198"/>
      <c r="T843" s="195"/>
      <c r="U843" s="195"/>
      <c r="V843" s="195"/>
      <c r="W843" s="195"/>
      <c r="X843" s="195"/>
      <c r="Y843" s="195"/>
      <c r="Z843" s="195"/>
    </row>
    <row r="844" ht="15.75" customHeight="1" spans="1:26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8"/>
      <c r="L844" s="198"/>
      <c r="M844" s="198"/>
      <c r="N844" s="198"/>
      <c r="O844" s="198"/>
      <c r="P844" s="198"/>
      <c r="Q844" s="198"/>
      <c r="R844" s="198"/>
      <c r="S844" s="198"/>
      <c r="T844" s="195"/>
      <c r="U844" s="195"/>
      <c r="V844" s="195"/>
      <c r="W844" s="195"/>
      <c r="X844" s="195"/>
      <c r="Y844" s="195"/>
      <c r="Z844" s="195"/>
    </row>
    <row r="845" ht="15.75" customHeight="1" spans="1:26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8"/>
      <c r="L845" s="198"/>
      <c r="M845" s="198"/>
      <c r="N845" s="198"/>
      <c r="O845" s="198"/>
      <c r="P845" s="198"/>
      <c r="Q845" s="198"/>
      <c r="R845" s="198"/>
      <c r="S845" s="198"/>
      <c r="T845" s="195"/>
      <c r="U845" s="195"/>
      <c r="V845" s="195"/>
      <c r="W845" s="195"/>
      <c r="X845" s="195"/>
      <c r="Y845" s="195"/>
      <c r="Z845" s="195"/>
    </row>
    <row r="846" ht="15.75" customHeight="1" spans="1:2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8"/>
      <c r="L846" s="198"/>
      <c r="M846" s="198"/>
      <c r="N846" s="198"/>
      <c r="O846" s="198"/>
      <c r="P846" s="198"/>
      <c r="Q846" s="198"/>
      <c r="R846" s="198"/>
      <c r="S846" s="198"/>
      <c r="T846" s="195"/>
      <c r="U846" s="195"/>
      <c r="V846" s="195"/>
      <c r="W846" s="195"/>
      <c r="X846" s="195"/>
      <c r="Y846" s="195"/>
      <c r="Z846" s="195"/>
    </row>
    <row r="847" ht="15.75" customHeight="1" spans="1:26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8"/>
      <c r="L847" s="198"/>
      <c r="M847" s="198"/>
      <c r="N847" s="198"/>
      <c r="O847" s="198"/>
      <c r="P847" s="198"/>
      <c r="Q847" s="198"/>
      <c r="R847" s="198"/>
      <c r="S847" s="198"/>
      <c r="T847" s="195"/>
      <c r="U847" s="195"/>
      <c r="V847" s="195"/>
      <c r="W847" s="195"/>
      <c r="X847" s="195"/>
      <c r="Y847" s="195"/>
      <c r="Z847" s="195"/>
    </row>
    <row r="848" ht="15.75" customHeight="1" spans="1:26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8"/>
      <c r="L848" s="198"/>
      <c r="M848" s="198"/>
      <c r="N848" s="198"/>
      <c r="O848" s="198"/>
      <c r="P848" s="198"/>
      <c r="Q848" s="198"/>
      <c r="R848" s="198"/>
      <c r="S848" s="198"/>
      <c r="T848" s="195"/>
      <c r="U848" s="195"/>
      <c r="V848" s="195"/>
      <c r="W848" s="195"/>
      <c r="X848" s="195"/>
      <c r="Y848" s="195"/>
      <c r="Z848" s="195"/>
    </row>
    <row r="849" ht="15.75" customHeight="1" spans="1:26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8"/>
      <c r="L849" s="198"/>
      <c r="M849" s="198"/>
      <c r="N849" s="198"/>
      <c r="O849" s="198"/>
      <c r="P849" s="198"/>
      <c r="Q849" s="198"/>
      <c r="R849" s="198"/>
      <c r="S849" s="198"/>
      <c r="T849" s="195"/>
      <c r="U849" s="195"/>
      <c r="V849" s="195"/>
      <c r="W849" s="195"/>
      <c r="X849" s="195"/>
      <c r="Y849" s="195"/>
      <c r="Z849" s="195"/>
    </row>
    <row r="850" ht="15.75" customHeight="1" spans="1:26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8"/>
      <c r="L850" s="198"/>
      <c r="M850" s="198"/>
      <c r="N850" s="198"/>
      <c r="O850" s="198"/>
      <c r="P850" s="198"/>
      <c r="Q850" s="198"/>
      <c r="R850" s="198"/>
      <c r="S850" s="198"/>
      <c r="T850" s="195"/>
      <c r="U850" s="195"/>
      <c r="V850" s="195"/>
      <c r="W850" s="195"/>
      <c r="X850" s="195"/>
      <c r="Y850" s="195"/>
      <c r="Z850" s="195"/>
    </row>
    <row r="851" ht="15.75" customHeight="1" spans="1:26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8"/>
      <c r="L851" s="198"/>
      <c r="M851" s="198"/>
      <c r="N851" s="198"/>
      <c r="O851" s="198"/>
      <c r="P851" s="198"/>
      <c r="Q851" s="198"/>
      <c r="R851" s="198"/>
      <c r="S851" s="198"/>
      <c r="T851" s="195"/>
      <c r="U851" s="195"/>
      <c r="V851" s="195"/>
      <c r="W851" s="195"/>
      <c r="X851" s="195"/>
      <c r="Y851" s="195"/>
      <c r="Z851" s="195"/>
    </row>
    <row r="852" ht="15.75" customHeight="1" spans="1:26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8"/>
      <c r="L852" s="198"/>
      <c r="M852" s="198"/>
      <c r="N852" s="198"/>
      <c r="O852" s="198"/>
      <c r="P852" s="198"/>
      <c r="Q852" s="198"/>
      <c r="R852" s="198"/>
      <c r="S852" s="198"/>
      <c r="T852" s="195"/>
      <c r="U852" s="195"/>
      <c r="V852" s="195"/>
      <c r="W852" s="195"/>
      <c r="X852" s="195"/>
      <c r="Y852" s="195"/>
      <c r="Z852" s="195"/>
    </row>
    <row r="853" ht="15.75" customHeight="1" spans="1:26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8"/>
      <c r="L853" s="198"/>
      <c r="M853" s="198"/>
      <c r="N853" s="198"/>
      <c r="O853" s="198"/>
      <c r="P853" s="198"/>
      <c r="Q853" s="198"/>
      <c r="R853" s="198"/>
      <c r="S853" s="198"/>
      <c r="T853" s="195"/>
      <c r="U853" s="195"/>
      <c r="V853" s="195"/>
      <c r="W853" s="195"/>
      <c r="X853" s="195"/>
      <c r="Y853" s="195"/>
      <c r="Z853" s="195"/>
    </row>
    <row r="854" ht="15.75" customHeight="1" spans="1:26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8"/>
      <c r="L854" s="198"/>
      <c r="M854" s="198"/>
      <c r="N854" s="198"/>
      <c r="O854" s="198"/>
      <c r="P854" s="198"/>
      <c r="Q854" s="198"/>
      <c r="R854" s="198"/>
      <c r="S854" s="198"/>
      <c r="T854" s="195"/>
      <c r="U854" s="195"/>
      <c r="V854" s="195"/>
      <c r="W854" s="195"/>
      <c r="X854" s="195"/>
      <c r="Y854" s="195"/>
      <c r="Z854" s="195"/>
    </row>
    <row r="855" ht="15.75" customHeight="1" spans="1:26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8"/>
      <c r="L855" s="198"/>
      <c r="M855" s="198"/>
      <c r="N855" s="198"/>
      <c r="O855" s="198"/>
      <c r="P855" s="198"/>
      <c r="Q855" s="198"/>
      <c r="R855" s="198"/>
      <c r="S855" s="198"/>
      <c r="T855" s="195"/>
      <c r="U855" s="195"/>
      <c r="V855" s="195"/>
      <c r="W855" s="195"/>
      <c r="X855" s="195"/>
      <c r="Y855" s="195"/>
      <c r="Z855" s="195"/>
    </row>
    <row r="856" ht="15.75" customHeight="1" spans="1:2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8"/>
      <c r="L856" s="198"/>
      <c r="M856" s="198"/>
      <c r="N856" s="198"/>
      <c r="O856" s="198"/>
      <c r="P856" s="198"/>
      <c r="Q856" s="198"/>
      <c r="R856" s="198"/>
      <c r="S856" s="198"/>
      <c r="T856" s="195"/>
      <c r="U856" s="195"/>
      <c r="V856" s="195"/>
      <c r="W856" s="195"/>
      <c r="X856" s="195"/>
      <c r="Y856" s="195"/>
      <c r="Z856" s="195"/>
    </row>
    <row r="857" ht="15.75" customHeight="1" spans="1:26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8"/>
      <c r="L857" s="198"/>
      <c r="M857" s="198"/>
      <c r="N857" s="198"/>
      <c r="O857" s="198"/>
      <c r="P857" s="198"/>
      <c r="Q857" s="198"/>
      <c r="R857" s="198"/>
      <c r="S857" s="198"/>
      <c r="T857" s="195"/>
      <c r="U857" s="195"/>
      <c r="V857" s="195"/>
      <c r="W857" s="195"/>
      <c r="X857" s="195"/>
      <c r="Y857" s="195"/>
      <c r="Z857" s="195"/>
    </row>
    <row r="858" ht="15.75" customHeight="1" spans="1:26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8"/>
      <c r="L858" s="198"/>
      <c r="M858" s="198"/>
      <c r="N858" s="198"/>
      <c r="O858" s="198"/>
      <c r="P858" s="198"/>
      <c r="Q858" s="198"/>
      <c r="R858" s="198"/>
      <c r="S858" s="198"/>
      <c r="T858" s="195"/>
      <c r="U858" s="195"/>
      <c r="V858" s="195"/>
      <c r="W858" s="195"/>
      <c r="X858" s="195"/>
      <c r="Y858" s="195"/>
      <c r="Z858" s="195"/>
    </row>
    <row r="859" ht="15.75" customHeight="1" spans="1:26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8"/>
      <c r="L859" s="198"/>
      <c r="M859" s="198"/>
      <c r="N859" s="198"/>
      <c r="O859" s="198"/>
      <c r="P859" s="198"/>
      <c r="Q859" s="198"/>
      <c r="R859" s="198"/>
      <c r="S859" s="198"/>
      <c r="T859" s="195"/>
      <c r="U859" s="195"/>
      <c r="V859" s="195"/>
      <c r="W859" s="195"/>
      <c r="X859" s="195"/>
      <c r="Y859" s="195"/>
      <c r="Z859" s="195"/>
    </row>
    <row r="860" ht="15.75" customHeight="1" spans="1:26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8"/>
      <c r="L860" s="198"/>
      <c r="M860" s="198"/>
      <c r="N860" s="198"/>
      <c r="O860" s="198"/>
      <c r="P860" s="198"/>
      <c r="Q860" s="198"/>
      <c r="R860" s="198"/>
      <c r="S860" s="198"/>
      <c r="T860" s="195"/>
      <c r="U860" s="195"/>
      <c r="V860" s="195"/>
      <c r="W860" s="195"/>
      <c r="X860" s="195"/>
      <c r="Y860" s="195"/>
      <c r="Z860" s="195"/>
    </row>
    <row r="861" ht="15.75" customHeight="1" spans="1:26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8"/>
      <c r="L861" s="198"/>
      <c r="M861" s="198"/>
      <c r="N861" s="198"/>
      <c r="O861" s="198"/>
      <c r="P861" s="198"/>
      <c r="Q861" s="198"/>
      <c r="R861" s="198"/>
      <c r="S861" s="198"/>
      <c r="T861" s="195"/>
      <c r="U861" s="195"/>
      <c r="V861" s="195"/>
      <c r="W861" s="195"/>
      <c r="X861" s="195"/>
      <c r="Y861" s="195"/>
      <c r="Z861" s="195"/>
    </row>
    <row r="862" ht="15.75" customHeight="1" spans="1:26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8"/>
      <c r="L862" s="198"/>
      <c r="M862" s="198"/>
      <c r="N862" s="198"/>
      <c r="O862" s="198"/>
      <c r="P862" s="198"/>
      <c r="Q862" s="198"/>
      <c r="R862" s="198"/>
      <c r="S862" s="198"/>
      <c r="T862" s="195"/>
      <c r="U862" s="195"/>
      <c r="V862" s="195"/>
      <c r="W862" s="195"/>
      <c r="X862" s="195"/>
      <c r="Y862" s="195"/>
      <c r="Z862" s="195"/>
    </row>
    <row r="863" ht="15.75" customHeight="1" spans="1:26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8"/>
      <c r="L863" s="198"/>
      <c r="M863" s="198"/>
      <c r="N863" s="198"/>
      <c r="O863" s="198"/>
      <c r="P863" s="198"/>
      <c r="Q863" s="198"/>
      <c r="R863" s="198"/>
      <c r="S863" s="198"/>
      <c r="T863" s="195"/>
      <c r="U863" s="195"/>
      <c r="V863" s="195"/>
      <c r="W863" s="195"/>
      <c r="X863" s="195"/>
      <c r="Y863" s="195"/>
      <c r="Z863" s="195"/>
    </row>
    <row r="864" ht="15.75" customHeight="1" spans="1:26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8"/>
      <c r="L864" s="198"/>
      <c r="M864" s="198"/>
      <c r="N864" s="198"/>
      <c r="O864" s="198"/>
      <c r="P864" s="198"/>
      <c r="Q864" s="198"/>
      <c r="R864" s="198"/>
      <c r="S864" s="198"/>
      <c r="T864" s="195"/>
      <c r="U864" s="195"/>
      <c r="V864" s="195"/>
      <c r="W864" s="195"/>
      <c r="X864" s="195"/>
      <c r="Y864" s="195"/>
      <c r="Z864" s="195"/>
    </row>
    <row r="865" ht="15.75" customHeight="1" spans="1:26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8"/>
      <c r="L865" s="198"/>
      <c r="M865" s="198"/>
      <c r="N865" s="198"/>
      <c r="O865" s="198"/>
      <c r="P865" s="198"/>
      <c r="Q865" s="198"/>
      <c r="R865" s="198"/>
      <c r="S865" s="198"/>
      <c r="T865" s="195"/>
      <c r="U865" s="195"/>
      <c r="V865" s="195"/>
      <c r="W865" s="195"/>
      <c r="X865" s="195"/>
      <c r="Y865" s="195"/>
      <c r="Z865" s="195"/>
    </row>
    <row r="866" ht="15.75" customHeight="1" spans="1:2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8"/>
      <c r="L866" s="198"/>
      <c r="M866" s="198"/>
      <c r="N866" s="198"/>
      <c r="O866" s="198"/>
      <c r="P866" s="198"/>
      <c r="Q866" s="198"/>
      <c r="R866" s="198"/>
      <c r="S866" s="198"/>
      <c r="T866" s="195"/>
      <c r="U866" s="195"/>
      <c r="V866" s="195"/>
      <c r="W866" s="195"/>
      <c r="X866" s="195"/>
      <c r="Y866" s="195"/>
      <c r="Z866" s="195"/>
    </row>
    <row r="867" ht="15.75" customHeight="1" spans="1:26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8"/>
      <c r="L867" s="198"/>
      <c r="M867" s="198"/>
      <c r="N867" s="198"/>
      <c r="O867" s="198"/>
      <c r="P867" s="198"/>
      <c r="Q867" s="198"/>
      <c r="R867" s="198"/>
      <c r="S867" s="198"/>
      <c r="T867" s="195"/>
      <c r="U867" s="195"/>
      <c r="V867" s="195"/>
      <c r="W867" s="195"/>
      <c r="X867" s="195"/>
      <c r="Y867" s="195"/>
      <c r="Z867" s="195"/>
    </row>
    <row r="868" ht="15.75" customHeight="1" spans="1:26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8"/>
      <c r="L868" s="198"/>
      <c r="M868" s="198"/>
      <c r="N868" s="198"/>
      <c r="O868" s="198"/>
      <c r="P868" s="198"/>
      <c r="Q868" s="198"/>
      <c r="R868" s="198"/>
      <c r="S868" s="198"/>
      <c r="T868" s="195"/>
      <c r="U868" s="195"/>
      <c r="V868" s="195"/>
      <c r="W868" s="195"/>
      <c r="X868" s="195"/>
      <c r="Y868" s="195"/>
      <c r="Z868" s="195"/>
    </row>
    <row r="869" ht="15.75" customHeight="1" spans="1:26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8"/>
      <c r="L869" s="198"/>
      <c r="M869" s="198"/>
      <c r="N869" s="198"/>
      <c r="O869" s="198"/>
      <c r="P869" s="198"/>
      <c r="Q869" s="198"/>
      <c r="R869" s="198"/>
      <c r="S869" s="198"/>
      <c r="T869" s="195"/>
      <c r="U869" s="195"/>
      <c r="V869" s="195"/>
      <c r="W869" s="195"/>
      <c r="X869" s="195"/>
      <c r="Y869" s="195"/>
      <c r="Z869" s="195"/>
    </row>
    <row r="870" ht="15.75" customHeight="1" spans="1:26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8"/>
      <c r="L870" s="198"/>
      <c r="M870" s="198"/>
      <c r="N870" s="198"/>
      <c r="O870" s="198"/>
      <c r="P870" s="198"/>
      <c r="Q870" s="198"/>
      <c r="R870" s="198"/>
      <c r="S870" s="198"/>
      <c r="T870" s="195"/>
      <c r="U870" s="195"/>
      <c r="V870" s="195"/>
      <c r="W870" s="195"/>
      <c r="X870" s="195"/>
      <c r="Y870" s="195"/>
      <c r="Z870" s="195"/>
    </row>
    <row r="871" ht="15.75" customHeight="1" spans="1:26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8"/>
      <c r="L871" s="198"/>
      <c r="M871" s="198"/>
      <c r="N871" s="198"/>
      <c r="O871" s="198"/>
      <c r="P871" s="198"/>
      <c r="Q871" s="198"/>
      <c r="R871" s="198"/>
      <c r="S871" s="198"/>
      <c r="T871" s="195"/>
      <c r="U871" s="195"/>
      <c r="V871" s="195"/>
      <c r="W871" s="195"/>
      <c r="X871" s="195"/>
      <c r="Y871" s="195"/>
      <c r="Z871" s="195"/>
    </row>
    <row r="872" ht="15.75" customHeight="1" spans="1:26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8"/>
      <c r="L872" s="198"/>
      <c r="M872" s="198"/>
      <c r="N872" s="198"/>
      <c r="O872" s="198"/>
      <c r="P872" s="198"/>
      <c r="Q872" s="198"/>
      <c r="R872" s="198"/>
      <c r="S872" s="198"/>
      <c r="T872" s="195"/>
      <c r="U872" s="195"/>
      <c r="V872" s="195"/>
      <c r="W872" s="195"/>
      <c r="X872" s="195"/>
      <c r="Y872" s="195"/>
      <c r="Z872" s="195"/>
    </row>
    <row r="873" ht="15.75" customHeight="1" spans="1:26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8"/>
      <c r="L873" s="198"/>
      <c r="M873" s="198"/>
      <c r="N873" s="198"/>
      <c r="O873" s="198"/>
      <c r="P873" s="198"/>
      <c r="Q873" s="198"/>
      <c r="R873" s="198"/>
      <c r="S873" s="198"/>
      <c r="T873" s="195"/>
      <c r="U873" s="195"/>
      <c r="V873" s="195"/>
      <c r="W873" s="195"/>
      <c r="X873" s="195"/>
      <c r="Y873" s="195"/>
      <c r="Z873" s="195"/>
    </row>
    <row r="874" ht="15.75" customHeight="1" spans="1:26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8"/>
      <c r="L874" s="198"/>
      <c r="M874" s="198"/>
      <c r="N874" s="198"/>
      <c r="O874" s="198"/>
      <c r="P874" s="198"/>
      <c r="Q874" s="198"/>
      <c r="R874" s="198"/>
      <c r="S874" s="198"/>
      <c r="T874" s="195"/>
      <c r="U874" s="195"/>
      <c r="V874" s="195"/>
      <c r="W874" s="195"/>
      <c r="X874" s="195"/>
      <c r="Y874" s="195"/>
      <c r="Z874" s="195"/>
    </row>
    <row r="875" ht="15.75" customHeight="1" spans="1:26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8"/>
      <c r="L875" s="198"/>
      <c r="M875" s="198"/>
      <c r="N875" s="198"/>
      <c r="O875" s="198"/>
      <c r="P875" s="198"/>
      <c r="Q875" s="198"/>
      <c r="R875" s="198"/>
      <c r="S875" s="198"/>
      <c r="T875" s="195"/>
      <c r="U875" s="195"/>
      <c r="V875" s="195"/>
      <c r="W875" s="195"/>
      <c r="X875" s="195"/>
      <c r="Y875" s="195"/>
      <c r="Z875" s="195"/>
    </row>
    <row r="876" ht="15.75" customHeight="1" spans="1:2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8"/>
      <c r="L876" s="198"/>
      <c r="M876" s="198"/>
      <c r="N876" s="198"/>
      <c r="O876" s="198"/>
      <c r="P876" s="198"/>
      <c r="Q876" s="198"/>
      <c r="R876" s="198"/>
      <c r="S876" s="198"/>
      <c r="T876" s="195"/>
      <c r="U876" s="195"/>
      <c r="V876" s="195"/>
      <c r="W876" s="195"/>
      <c r="X876" s="195"/>
      <c r="Y876" s="195"/>
      <c r="Z876" s="195"/>
    </row>
    <row r="877" ht="15.75" customHeight="1" spans="1:26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8"/>
      <c r="L877" s="198"/>
      <c r="M877" s="198"/>
      <c r="N877" s="198"/>
      <c r="O877" s="198"/>
      <c r="P877" s="198"/>
      <c r="Q877" s="198"/>
      <c r="R877" s="198"/>
      <c r="S877" s="198"/>
      <c r="T877" s="195"/>
      <c r="U877" s="195"/>
      <c r="V877" s="195"/>
      <c r="W877" s="195"/>
      <c r="X877" s="195"/>
      <c r="Y877" s="195"/>
      <c r="Z877" s="195"/>
    </row>
    <row r="878" ht="15.75" customHeight="1" spans="1:26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8"/>
      <c r="L878" s="198"/>
      <c r="M878" s="198"/>
      <c r="N878" s="198"/>
      <c r="O878" s="198"/>
      <c r="P878" s="198"/>
      <c r="Q878" s="198"/>
      <c r="R878" s="198"/>
      <c r="S878" s="198"/>
      <c r="T878" s="195"/>
      <c r="U878" s="195"/>
      <c r="V878" s="195"/>
      <c r="W878" s="195"/>
      <c r="X878" s="195"/>
      <c r="Y878" s="195"/>
      <c r="Z878" s="195"/>
    </row>
    <row r="879" ht="15.75" customHeight="1" spans="1:26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8"/>
      <c r="L879" s="198"/>
      <c r="M879" s="198"/>
      <c r="N879" s="198"/>
      <c r="O879" s="198"/>
      <c r="P879" s="198"/>
      <c r="Q879" s="198"/>
      <c r="R879" s="198"/>
      <c r="S879" s="198"/>
      <c r="T879" s="195"/>
      <c r="U879" s="195"/>
      <c r="V879" s="195"/>
      <c r="W879" s="195"/>
      <c r="X879" s="195"/>
      <c r="Y879" s="195"/>
      <c r="Z879" s="195"/>
    </row>
    <row r="880" ht="15.75" customHeight="1" spans="1:26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8"/>
      <c r="L880" s="198"/>
      <c r="M880" s="198"/>
      <c r="N880" s="198"/>
      <c r="O880" s="198"/>
      <c r="P880" s="198"/>
      <c r="Q880" s="198"/>
      <c r="R880" s="198"/>
      <c r="S880" s="198"/>
      <c r="T880" s="195"/>
      <c r="U880" s="195"/>
      <c r="V880" s="195"/>
      <c r="W880" s="195"/>
      <c r="X880" s="195"/>
      <c r="Y880" s="195"/>
      <c r="Z880" s="195"/>
    </row>
    <row r="881" ht="15.75" customHeight="1" spans="1:26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8"/>
      <c r="L881" s="198"/>
      <c r="M881" s="198"/>
      <c r="N881" s="198"/>
      <c r="O881" s="198"/>
      <c r="P881" s="198"/>
      <c r="Q881" s="198"/>
      <c r="R881" s="198"/>
      <c r="S881" s="198"/>
      <c r="T881" s="195"/>
      <c r="U881" s="195"/>
      <c r="V881" s="195"/>
      <c r="W881" s="195"/>
      <c r="X881" s="195"/>
      <c r="Y881" s="195"/>
      <c r="Z881" s="195"/>
    </row>
    <row r="882" ht="15.75" customHeight="1" spans="1:26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8"/>
      <c r="L882" s="198"/>
      <c r="M882" s="198"/>
      <c r="N882" s="198"/>
      <c r="O882" s="198"/>
      <c r="P882" s="198"/>
      <c r="Q882" s="198"/>
      <c r="R882" s="198"/>
      <c r="S882" s="198"/>
      <c r="T882" s="195"/>
      <c r="U882" s="195"/>
      <c r="V882" s="195"/>
      <c r="W882" s="195"/>
      <c r="X882" s="195"/>
      <c r="Y882" s="195"/>
      <c r="Z882" s="195"/>
    </row>
    <row r="883" ht="15.75" customHeight="1" spans="1:26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8"/>
      <c r="L883" s="198"/>
      <c r="M883" s="198"/>
      <c r="N883" s="198"/>
      <c r="O883" s="198"/>
      <c r="P883" s="198"/>
      <c r="Q883" s="198"/>
      <c r="R883" s="198"/>
      <c r="S883" s="198"/>
      <c r="T883" s="195"/>
      <c r="U883" s="195"/>
      <c r="V883" s="195"/>
      <c r="W883" s="195"/>
      <c r="X883" s="195"/>
      <c r="Y883" s="195"/>
      <c r="Z883" s="195"/>
    </row>
    <row r="884" ht="15.75" customHeight="1" spans="1:26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8"/>
      <c r="L884" s="198"/>
      <c r="M884" s="198"/>
      <c r="N884" s="198"/>
      <c r="O884" s="198"/>
      <c r="P884" s="198"/>
      <c r="Q884" s="198"/>
      <c r="R884" s="198"/>
      <c r="S884" s="198"/>
      <c r="T884" s="195"/>
      <c r="U884" s="195"/>
      <c r="V884" s="195"/>
      <c r="W884" s="195"/>
      <c r="X884" s="195"/>
      <c r="Y884" s="195"/>
      <c r="Z884" s="195"/>
    </row>
    <row r="885" ht="15.75" customHeight="1" spans="1:26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8"/>
      <c r="L885" s="198"/>
      <c r="M885" s="198"/>
      <c r="N885" s="198"/>
      <c r="O885" s="198"/>
      <c r="P885" s="198"/>
      <c r="Q885" s="198"/>
      <c r="R885" s="198"/>
      <c r="S885" s="198"/>
      <c r="T885" s="195"/>
      <c r="U885" s="195"/>
      <c r="V885" s="195"/>
      <c r="W885" s="195"/>
      <c r="X885" s="195"/>
      <c r="Y885" s="195"/>
      <c r="Z885" s="195"/>
    </row>
    <row r="886" ht="15.75" customHeight="1" spans="1:2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8"/>
      <c r="L886" s="198"/>
      <c r="M886" s="198"/>
      <c r="N886" s="198"/>
      <c r="O886" s="198"/>
      <c r="P886" s="198"/>
      <c r="Q886" s="198"/>
      <c r="R886" s="198"/>
      <c r="S886" s="198"/>
      <c r="T886" s="195"/>
      <c r="U886" s="195"/>
      <c r="V886" s="195"/>
      <c r="W886" s="195"/>
      <c r="X886" s="195"/>
      <c r="Y886" s="195"/>
      <c r="Z886" s="195"/>
    </row>
    <row r="887" ht="15.75" customHeight="1" spans="1:26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8"/>
      <c r="L887" s="198"/>
      <c r="M887" s="198"/>
      <c r="N887" s="198"/>
      <c r="O887" s="198"/>
      <c r="P887" s="198"/>
      <c r="Q887" s="198"/>
      <c r="R887" s="198"/>
      <c r="S887" s="198"/>
      <c r="T887" s="195"/>
      <c r="U887" s="195"/>
      <c r="V887" s="195"/>
      <c r="W887" s="195"/>
      <c r="X887" s="195"/>
      <c r="Y887" s="195"/>
      <c r="Z887" s="195"/>
    </row>
    <row r="888" ht="15.75" customHeight="1" spans="1:26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8"/>
      <c r="L888" s="198"/>
      <c r="M888" s="198"/>
      <c r="N888" s="198"/>
      <c r="O888" s="198"/>
      <c r="P888" s="198"/>
      <c r="Q888" s="198"/>
      <c r="R888" s="198"/>
      <c r="S888" s="198"/>
      <c r="T888" s="195"/>
      <c r="U888" s="195"/>
      <c r="V888" s="195"/>
      <c r="W888" s="195"/>
      <c r="X888" s="195"/>
      <c r="Y888" s="195"/>
      <c r="Z888" s="195"/>
    </row>
    <row r="889" ht="15.75" customHeight="1" spans="1:26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8"/>
      <c r="L889" s="198"/>
      <c r="M889" s="198"/>
      <c r="N889" s="198"/>
      <c r="O889" s="198"/>
      <c r="P889" s="198"/>
      <c r="Q889" s="198"/>
      <c r="R889" s="198"/>
      <c r="S889" s="198"/>
      <c r="T889" s="195"/>
      <c r="U889" s="195"/>
      <c r="V889" s="195"/>
      <c r="W889" s="195"/>
      <c r="X889" s="195"/>
      <c r="Y889" s="195"/>
      <c r="Z889" s="195"/>
    </row>
    <row r="890" ht="15.75" customHeight="1" spans="1:26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8"/>
      <c r="L890" s="198"/>
      <c r="M890" s="198"/>
      <c r="N890" s="198"/>
      <c r="O890" s="198"/>
      <c r="P890" s="198"/>
      <c r="Q890" s="198"/>
      <c r="R890" s="198"/>
      <c r="S890" s="198"/>
      <c r="T890" s="195"/>
      <c r="U890" s="195"/>
      <c r="V890" s="195"/>
      <c r="W890" s="195"/>
      <c r="X890" s="195"/>
      <c r="Y890" s="195"/>
      <c r="Z890" s="195"/>
    </row>
    <row r="891" ht="15.75" customHeight="1" spans="1:26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8"/>
      <c r="L891" s="198"/>
      <c r="M891" s="198"/>
      <c r="N891" s="198"/>
      <c r="O891" s="198"/>
      <c r="P891" s="198"/>
      <c r="Q891" s="198"/>
      <c r="R891" s="198"/>
      <c r="S891" s="198"/>
      <c r="T891" s="195"/>
      <c r="U891" s="195"/>
      <c r="V891" s="195"/>
      <c r="W891" s="195"/>
      <c r="X891" s="195"/>
      <c r="Y891" s="195"/>
      <c r="Z891" s="195"/>
    </row>
    <row r="892" ht="15.75" customHeight="1" spans="1:26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8"/>
      <c r="L892" s="198"/>
      <c r="M892" s="198"/>
      <c r="N892" s="198"/>
      <c r="O892" s="198"/>
      <c r="P892" s="198"/>
      <c r="Q892" s="198"/>
      <c r="R892" s="198"/>
      <c r="S892" s="198"/>
      <c r="T892" s="195"/>
      <c r="U892" s="195"/>
      <c r="V892" s="195"/>
      <c r="W892" s="195"/>
      <c r="X892" s="195"/>
      <c r="Y892" s="195"/>
      <c r="Z892" s="195"/>
    </row>
    <row r="893" ht="15.75" customHeight="1" spans="1:26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8"/>
      <c r="L893" s="198"/>
      <c r="M893" s="198"/>
      <c r="N893" s="198"/>
      <c r="O893" s="198"/>
      <c r="P893" s="198"/>
      <c r="Q893" s="198"/>
      <c r="R893" s="198"/>
      <c r="S893" s="198"/>
      <c r="T893" s="195"/>
      <c r="U893" s="195"/>
      <c r="V893" s="195"/>
      <c r="W893" s="195"/>
      <c r="X893" s="195"/>
      <c r="Y893" s="195"/>
      <c r="Z893" s="195"/>
    </row>
    <row r="894" ht="15.75" customHeight="1" spans="1:26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8"/>
      <c r="L894" s="198"/>
      <c r="M894" s="198"/>
      <c r="N894" s="198"/>
      <c r="O894" s="198"/>
      <c r="P894" s="198"/>
      <c r="Q894" s="198"/>
      <c r="R894" s="198"/>
      <c r="S894" s="198"/>
      <c r="T894" s="195"/>
      <c r="U894" s="195"/>
      <c r="V894" s="195"/>
      <c r="W894" s="195"/>
      <c r="X894" s="195"/>
      <c r="Y894" s="195"/>
      <c r="Z894" s="195"/>
    </row>
    <row r="895" ht="15.75" customHeight="1" spans="1:26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8"/>
      <c r="L895" s="198"/>
      <c r="M895" s="198"/>
      <c r="N895" s="198"/>
      <c r="O895" s="198"/>
      <c r="P895" s="198"/>
      <c r="Q895" s="198"/>
      <c r="R895" s="198"/>
      <c r="S895" s="198"/>
      <c r="T895" s="195"/>
      <c r="U895" s="195"/>
      <c r="V895" s="195"/>
      <c r="W895" s="195"/>
      <c r="X895" s="195"/>
      <c r="Y895" s="195"/>
      <c r="Z895" s="195"/>
    </row>
    <row r="896" ht="15.75" customHeight="1" spans="1:2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8"/>
      <c r="L896" s="198"/>
      <c r="M896" s="198"/>
      <c r="N896" s="198"/>
      <c r="O896" s="198"/>
      <c r="P896" s="198"/>
      <c r="Q896" s="198"/>
      <c r="R896" s="198"/>
      <c r="S896" s="198"/>
      <c r="T896" s="195"/>
      <c r="U896" s="195"/>
      <c r="V896" s="195"/>
      <c r="W896" s="195"/>
      <c r="X896" s="195"/>
      <c r="Y896" s="195"/>
      <c r="Z896" s="195"/>
    </row>
    <row r="897" ht="15.75" customHeight="1" spans="1:26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8"/>
      <c r="L897" s="198"/>
      <c r="M897" s="198"/>
      <c r="N897" s="198"/>
      <c r="O897" s="198"/>
      <c r="P897" s="198"/>
      <c r="Q897" s="198"/>
      <c r="R897" s="198"/>
      <c r="S897" s="198"/>
      <c r="T897" s="195"/>
      <c r="U897" s="195"/>
      <c r="V897" s="195"/>
      <c r="W897" s="195"/>
      <c r="X897" s="195"/>
      <c r="Y897" s="195"/>
      <c r="Z897" s="195"/>
    </row>
    <row r="898" ht="15.75" customHeight="1" spans="1:26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8"/>
      <c r="L898" s="198"/>
      <c r="M898" s="198"/>
      <c r="N898" s="198"/>
      <c r="O898" s="198"/>
      <c r="P898" s="198"/>
      <c r="Q898" s="198"/>
      <c r="R898" s="198"/>
      <c r="S898" s="198"/>
      <c r="T898" s="195"/>
      <c r="U898" s="195"/>
      <c r="V898" s="195"/>
      <c r="W898" s="195"/>
      <c r="X898" s="195"/>
      <c r="Y898" s="195"/>
      <c r="Z898" s="195"/>
    </row>
    <row r="899" ht="15.75" customHeight="1" spans="1:26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8"/>
      <c r="L899" s="198"/>
      <c r="M899" s="198"/>
      <c r="N899" s="198"/>
      <c r="O899" s="198"/>
      <c r="P899" s="198"/>
      <c r="Q899" s="198"/>
      <c r="R899" s="198"/>
      <c r="S899" s="198"/>
      <c r="T899" s="195"/>
      <c r="U899" s="195"/>
      <c r="V899" s="195"/>
      <c r="W899" s="195"/>
      <c r="X899" s="195"/>
      <c r="Y899" s="195"/>
      <c r="Z899" s="195"/>
    </row>
    <row r="900" ht="15.75" customHeight="1" spans="1:26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8"/>
      <c r="L900" s="198"/>
      <c r="M900" s="198"/>
      <c r="N900" s="198"/>
      <c r="O900" s="198"/>
      <c r="P900" s="198"/>
      <c r="Q900" s="198"/>
      <c r="R900" s="198"/>
      <c r="S900" s="198"/>
      <c r="T900" s="195"/>
      <c r="U900" s="195"/>
      <c r="V900" s="195"/>
      <c r="W900" s="195"/>
      <c r="X900" s="195"/>
      <c r="Y900" s="195"/>
      <c r="Z900" s="195"/>
    </row>
    <row r="901" ht="15.75" customHeight="1" spans="1:26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8"/>
      <c r="L901" s="198"/>
      <c r="M901" s="198"/>
      <c r="N901" s="198"/>
      <c r="O901" s="198"/>
      <c r="P901" s="198"/>
      <c r="Q901" s="198"/>
      <c r="R901" s="198"/>
      <c r="S901" s="198"/>
      <c r="T901" s="195"/>
      <c r="U901" s="195"/>
      <c r="V901" s="195"/>
      <c r="W901" s="195"/>
      <c r="X901" s="195"/>
      <c r="Y901" s="195"/>
      <c r="Z901" s="195"/>
    </row>
    <row r="902" ht="15.75" customHeight="1" spans="1:26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8"/>
      <c r="L902" s="198"/>
      <c r="M902" s="198"/>
      <c r="N902" s="198"/>
      <c r="O902" s="198"/>
      <c r="P902" s="198"/>
      <c r="Q902" s="198"/>
      <c r="R902" s="198"/>
      <c r="S902" s="198"/>
      <c r="T902" s="195"/>
      <c r="U902" s="195"/>
      <c r="V902" s="195"/>
      <c r="W902" s="195"/>
      <c r="X902" s="195"/>
      <c r="Y902" s="195"/>
      <c r="Z902" s="195"/>
    </row>
    <row r="903" ht="15.75" customHeight="1" spans="1:26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8"/>
      <c r="L903" s="198"/>
      <c r="M903" s="198"/>
      <c r="N903" s="198"/>
      <c r="O903" s="198"/>
      <c r="P903" s="198"/>
      <c r="Q903" s="198"/>
      <c r="R903" s="198"/>
      <c r="S903" s="198"/>
      <c r="T903" s="195"/>
      <c r="U903" s="195"/>
      <c r="V903" s="195"/>
      <c r="W903" s="195"/>
      <c r="X903" s="195"/>
      <c r="Y903" s="195"/>
      <c r="Z903" s="195"/>
    </row>
    <row r="904" ht="15.75" customHeight="1" spans="1:26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8"/>
      <c r="L904" s="198"/>
      <c r="M904" s="198"/>
      <c r="N904" s="198"/>
      <c r="O904" s="198"/>
      <c r="P904" s="198"/>
      <c r="Q904" s="198"/>
      <c r="R904" s="198"/>
      <c r="S904" s="198"/>
      <c r="T904" s="195"/>
      <c r="U904" s="195"/>
      <c r="V904" s="195"/>
      <c r="W904" s="195"/>
      <c r="X904" s="195"/>
      <c r="Y904" s="195"/>
      <c r="Z904" s="195"/>
    </row>
    <row r="905" ht="15.75" customHeight="1" spans="1:26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8"/>
      <c r="L905" s="198"/>
      <c r="M905" s="198"/>
      <c r="N905" s="198"/>
      <c r="O905" s="198"/>
      <c r="P905" s="198"/>
      <c r="Q905" s="198"/>
      <c r="R905" s="198"/>
      <c r="S905" s="198"/>
      <c r="T905" s="195"/>
      <c r="U905" s="195"/>
      <c r="V905" s="195"/>
      <c r="W905" s="195"/>
      <c r="X905" s="195"/>
      <c r="Y905" s="195"/>
      <c r="Z905" s="195"/>
    </row>
    <row r="906" ht="15.75" customHeight="1" spans="1:2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8"/>
      <c r="L906" s="198"/>
      <c r="M906" s="198"/>
      <c r="N906" s="198"/>
      <c r="O906" s="198"/>
      <c r="P906" s="198"/>
      <c r="Q906" s="198"/>
      <c r="R906" s="198"/>
      <c r="S906" s="198"/>
      <c r="T906" s="195"/>
      <c r="U906" s="195"/>
      <c r="V906" s="195"/>
      <c r="W906" s="195"/>
      <c r="X906" s="195"/>
      <c r="Y906" s="195"/>
      <c r="Z906" s="195"/>
    </row>
    <row r="907" ht="15.75" customHeight="1" spans="1:26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8"/>
      <c r="L907" s="198"/>
      <c r="M907" s="198"/>
      <c r="N907" s="198"/>
      <c r="O907" s="198"/>
      <c r="P907" s="198"/>
      <c r="Q907" s="198"/>
      <c r="R907" s="198"/>
      <c r="S907" s="198"/>
      <c r="T907" s="195"/>
      <c r="U907" s="195"/>
      <c r="V907" s="195"/>
      <c r="W907" s="195"/>
      <c r="X907" s="195"/>
      <c r="Y907" s="195"/>
      <c r="Z907" s="195"/>
    </row>
    <row r="908" ht="15.75" customHeight="1" spans="1:26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8"/>
      <c r="L908" s="198"/>
      <c r="M908" s="198"/>
      <c r="N908" s="198"/>
      <c r="O908" s="198"/>
      <c r="P908" s="198"/>
      <c r="Q908" s="198"/>
      <c r="R908" s="198"/>
      <c r="S908" s="198"/>
      <c r="T908" s="195"/>
      <c r="U908" s="195"/>
      <c r="V908" s="195"/>
      <c r="W908" s="195"/>
      <c r="X908" s="195"/>
      <c r="Y908" s="195"/>
      <c r="Z908" s="195"/>
    </row>
    <row r="909" ht="15.75" customHeight="1" spans="1:26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8"/>
      <c r="L909" s="198"/>
      <c r="M909" s="198"/>
      <c r="N909" s="198"/>
      <c r="O909" s="198"/>
      <c r="P909" s="198"/>
      <c r="Q909" s="198"/>
      <c r="R909" s="198"/>
      <c r="S909" s="198"/>
      <c r="T909" s="195"/>
      <c r="U909" s="195"/>
      <c r="V909" s="195"/>
      <c r="W909" s="195"/>
      <c r="X909" s="195"/>
      <c r="Y909" s="195"/>
      <c r="Z909" s="195"/>
    </row>
    <row r="910" ht="15.75" customHeight="1" spans="1:26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8"/>
      <c r="L910" s="198"/>
      <c r="M910" s="198"/>
      <c r="N910" s="198"/>
      <c r="O910" s="198"/>
      <c r="P910" s="198"/>
      <c r="Q910" s="198"/>
      <c r="R910" s="198"/>
      <c r="S910" s="198"/>
      <c r="T910" s="195"/>
      <c r="U910" s="195"/>
      <c r="V910" s="195"/>
      <c r="W910" s="195"/>
      <c r="X910" s="195"/>
      <c r="Y910" s="195"/>
      <c r="Z910" s="195"/>
    </row>
    <row r="911" ht="15.75" customHeight="1" spans="1:26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8"/>
      <c r="L911" s="198"/>
      <c r="M911" s="198"/>
      <c r="N911" s="198"/>
      <c r="O911" s="198"/>
      <c r="P911" s="198"/>
      <c r="Q911" s="198"/>
      <c r="R911" s="198"/>
      <c r="S911" s="198"/>
      <c r="T911" s="195"/>
      <c r="U911" s="195"/>
      <c r="V911" s="195"/>
      <c r="W911" s="195"/>
      <c r="X911" s="195"/>
      <c r="Y911" s="195"/>
      <c r="Z911" s="195"/>
    </row>
    <row r="912" ht="15.75" customHeight="1" spans="1:26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8"/>
      <c r="L912" s="198"/>
      <c r="M912" s="198"/>
      <c r="N912" s="198"/>
      <c r="O912" s="198"/>
      <c r="P912" s="198"/>
      <c r="Q912" s="198"/>
      <c r="R912" s="198"/>
      <c r="S912" s="198"/>
      <c r="T912" s="195"/>
      <c r="U912" s="195"/>
      <c r="V912" s="195"/>
      <c r="W912" s="195"/>
      <c r="X912" s="195"/>
      <c r="Y912" s="195"/>
      <c r="Z912" s="195"/>
    </row>
    <row r="913" ht="15.75" customHeight="1" spans="1:26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8"/>
      <c r="L913" s="198"/>
      <c r="M913" s="198"/>
      <c r="N913" s="198"/>
      <c r="O913" s="198"/>
      <c r="P913" s="198"/>
      <c r="Q913" s="198"/>
      <c r="R913" s="198"/>
      <c r="S913" s="198"/>
      <c r="T913" s="195"/>
      <c r="U913" s="195"/>
      <c r="V913" s="195"/>
      <c r="W913" s="195"/>
      <c r="X913" s="195"/>
      <c r="Y913" s="195"/>
      <c r="Z913" s="195"/>
    </row>
    <row r="914" ht="15.75" customHeight="1" spans="1:26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8"/>
      <c r="L914" s="198"/>
      <c r="M914" s="198"/>
      <c r="N914" s="198"/>
      <c r="O914" s="198"/>
      <c r="P914" s="198"/>
      <c r="Q914" s="198"/>
      <c r="R914" s="198"/>
      <c r="S914" s="198"/>
      <c r="T914" s="195"/>
      <c r="U914" s="195"/>
      <c r="V914" s="195"/>
      <c r="W914" s="195"/>
      <c r="X914" s="195"/>
      <c r="Y914" s="195"/>
      <c r="Z914" s="195"/>
    </row>
    <row r="915" ht="15.75" customHeight="1" spans="1:26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8"/>
      <c r="L915" s="198"/>
      <c r="M915" s="198"/>
      <c r="N915" s="198"/>
      <c r="O915" s="198"/>
      <c r="P915" s="198"/>
      <c r="Q915" s="198"/>
      <c r="R915" s="198"/>
      <c r="S915" s="198"/>
      <c r="T915" s="195"/>
      <c r="U915" s="195"/>
      <c r="V915" s="195"/>
      <c r="W915" s="195"/>
      <c r="X915" s="195"/>
      <c r="Y915" s="195"/>
      <c r="Z915" s="195"/>
    </row>
    <row r="916" ht="15.75" customHeight="1" spans="1:2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8"/>
      <c r="L916" s="198"/>
      <c r="M916" s="198"/>
      <c r="N916" s="198"/>
      <c r="O916" s="198"/>
      <c r="P916" s="198"/>
      <c r="Q916" s="198"/>
      <c r="R916" s="198"/>
      <c r="S916" s="198"/>
      <c r="T916" s="195"/>
      <c r="U916" s="195"/>
      <c r="V916" s="195"/>
      <c r="W916" s="195"/>
      <c r="X916" s="195"/>
      <c r="Y916" s="195"/>
      <c r="Z916" s="195"/>
    </row>
    <row r="917" ht="15.75" customHeight="1" spans="1:26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8"/>
      <c r="L917" s="198"/>
      <c r="M917" s="198"/>
      <c r="N917" s="198"/>
      <c r="O917" s="198"/>
      <c r="P917" s="198"/>
      <c r="Q917" s="198"/>
      <c r="R917" s="198"/>
      <c r="S917" s="198"/>
      <c r="T917" s="195"/>
      <c r="U917" s="195"/>
      <c r="V917" s="195"/>
      <c r="W917" s="195"/>
      <c r="X917" s="195"/>
      <c r="Y917" s="195"/>
      <c r="Z917" s="195"/>
    </row>
    <row r="918" ht="15.75" customHeight="1" spans="1:26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8"/>
      <c r="L918" s="198"/>
      <c r="M918" s="198"/>
      <c r="N918" s="198"/>
      <c r="O918" s="198"/>
      <c r="P918" s="198"/>
      <c r="Q918" s="198"/>
      <c r="R918" s="198"/>
      <c r="S918" s="198"/>
      <c r="T918" s="195"/>
      <c r="U918" s="195"/>
      <c r="V918" s="195"/>
      <c r="W918" s="195"/>
      <c r="X918" s="195"/>
      <c r="Y918" s="195"/>
      <c r="Z918" s="195"/>
    </row>
    <row r="919" ht="15.75" customHeight="1" spans="1:26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8"/>
      <c r="L919" s="198"/>
      <c r="M919" s="198"/>
      <c r="N919" s="198"/>
      <c r="O919" s="198"/>
      <c r="P919" s="198"/>
      <c r="Q919" s="198"/>
      <c r="R919" s="198"/>
      <c r="S919" s="198"/>
      <c r="T919" s="195"/>
      <c r="U919" s="195"/>
      <c r="V919" s="195"/>
      <c r="W919" s="195"/>
      <c r="X919" s="195"/>
      <c r="Y919" s="195"/>
      <c r="Z919" s="195"/>
    </row>
    <row r="920" ht="15.75" customHeight="1" spans="1:26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8"/>
      <c r="L920" s="198"/>
      <c r="M920" s="198"/>
      <c r="N920" s="198"/>
      <c r="O920" s="198"/>
      <c r="P920" s="198"/>
      <c r="Q920" s="198"/>
      <c r="R920" s="198"/>
      <c r="S920" s="198"/>
      <c r="T920" s="195"/>
      <c r="U920" s="195"/>
      <c r="V920" s="195"/>
      <c r="W920" s="195"/>
      <c r="X920" s="195"/>
      <c r="Y920" s="195"/>
      <c r="Z920" s="195"/>
    </row>
    <row r="921" ht="15.75" customHeight="1" spans="1:26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8"/>
      <c r="L921" s="198"/>
      <c r="M921" s="198"/>
      <c r="N921" s="198"/>
      <c r="O921" s="198"/>
      <c r="P921" s="198"/>
      <c r="Q921" s="198"/>
      <c r="R921" s="198"/>
      <c r="S921" s="198"/>
      <c r="T921" s="195"/>
      <c r="U921" s="195"/>
      <c r="V921" s="195"/>
      <c r="W921" s="195"/>
      <c r="X921" s="195"/>
      <c r="Y921" s="195"/>
      <c r="Z921" s="195"/>
    </row>
    <row r="922" ht="15.75" customHeight="1" spans="1:26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8"/>
      <c r="L922" s="198"/>
      <c r="M922" s="198"/>
      <c r="N922" s="198"/>
      <c r="O922" s="198"/>
      <c r="P922" s="198"/>
      <c r="Q922" s="198"/>
      <c r="R922" s="198"/>
      <c r="S922" s="198"/>
      <c r="T922" s="195"/>
      <c r="U922" s="195"/>
      <c r="V922" s="195"/>
      <c r="W922" s="195"/>
      <c r="X922" s="195"/>
      <c r="Y922" s="195"/>
      <c r="Z922" s="195"/>
    </row>
    <row r="923" ht="15.75" customHeight="1" spans="1:26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8"/>
      <c r="L923" s="198"/>
      <c r="M923" s="198"/>
      <c r="N923" s="198"/>
      <c r="O923" s="198"/>
      <c r="P923" s="198"/>
      <c r="Q923" s="198"/>
      <c r="R923" s="198"/>
      <c r="S923" s="198"/>
      <c r="T923" s="195"/>
      <c r="U923" s="195"/>
      <c r="V923" s="195"/>
      <c r="W923" s="195"/>
      <c r="X923" s="195"/>
      <c r="Y923" s="195"/>
      <c r="Z923" s="195"/>
    </row>
    <row r="924" ht="15.75" customHeight="1" spans="1:26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8"/>
      <c r="L924" s="198"/>
      <c r="M924" s="198"/>
      <c r="N924" s="198"/>
      <c r="O924" s="198"/>
      <c r="P924" s="198"/>
      <c r="Q924" s="198"/>
      <c r="R924" s="198"/>
      <c r="S924" s="198"/>
      <c r="T924" s="195"/>
      <c r="U924" s="195"/>
      <c r="V924" s="195"/>
      <c r="W924" s="195"/>
      <c r="X924" s="195"/>
      <c r="Y924" s="195"/>
      <c r="Z924" s="195"/>
    </row>
    <row r="925" ht="15.75" customHeight="1" spans="1:26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8"/>
      <c r="L925" s="198"/>
      <c r="M925" s="198"/>
      <c r="N925" s="198"/>
      <c r="O925" s="198"/>
      <c r="P925" s="198"/>
      <c r="Q925" s="198"/>
      <c r="R925" s="198"/>
      <c r="S925" s="198"/>
      <c r="T925" s="195"/>
      <c r="U925" s="195"/>
      <c r="V925" s="195"/>
      <c r="W925" s="195"/>
      <c r="X925" s="195"/>
      <c r="Y925" s="195"/>
      <c r="Z925" s="195"/>
    </row>
    <row r="926" ht="15.75" customHeight="1" spans="1: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8"/>
      <c r="L926" s="198"/>
      <c r="M926" s="198"/>
      <c r="N926" s="198"/>
      <c r="O926" s="198"/>
      <c r="P926" s="198"/>
      <c r="Q926" s="198"/>
      <c r="R926" s="198"/>
      <c r="S926" s="198"/>
      <c r="T926" s="195"/>
      <c r="U926" s="195"/>
      <c r="V926" s="195"/>
      <c r="W926" s="195"/>
      <c r="X926" s="195"/>
      <c r="Y926" s="195"/>
      <c r="Z926" s="195"/>
    </row>
    <row r="927" ht="15.75" customHeight="1" spans="1:26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8"/>
      <c r="L927" s="198"/>
      <c r="M927" s="198"/>
      <c r="N927" s="198"/>
      <c r="O927" s="198"/>
      <c r="P927" s="198"/>
      <c r="Q927" s="198"/>
      <c r="R927" s="198"/>
      <c r="S927" s="198"/>
      <c r="T927" s="195"/>
      <c r="U927" s="195"/>
      <c r="V927" s="195"/>
      <c r="W927" s="195"/>
      <c r="X927" s="195"/>
      <c r="Y927" s="195"/>
      <c r="Z927" s="195"/>
    </row>
    <row r="928" ht="15.75" customHeight="1" spans="1:26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8"/>
      <c r="L928" s="198"/>
      <c r="M928" s="198"/>
      <c r="N928" s="198"/>
      <c r="O928" s="198"/>
      <c r="P928" s="198"/>
      <c r="Q928" s="198"/>
      <c r="R928" s="198"/>
      <c r="S928" s="198"/>
      <c r="T928" s="195"/>
      <c r="U928" s="195"/>
      <c r="V928" s="195"/>
      <c r="W928" s="195"/>
      <c r="X928" s="195"/>
      <c r="Y928" s="195"/>
      <c r="Z928" s="195"/>
    </row>
    <row r="929" ht="15.75" customHeight="1" spans="1:26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8"/>
      <c r="L929" s="198"/>
      <c r="M929" s="198"/>
      <c r="N929" s="198"/>
      <c r="O929" s="198"/>
      <c r="P929" s="198"/>
      <c r="Q929" s="198"/>
      <c r="R929" s="198"/>
      <c r="S929" s="198"/>
      <c r="T929" s="195"/>
      <c r="U929" s="195"/>
      <c r="V929" s="195"/>
      <c r="W929" s="195"/>
      <c r="X929" s="195"/>
      <c r="Y929" s="195"/>
      <c r="Z929" s="195"/>
    </row>
    <row r="930" ht="15.75" customHeight="1" spans="1:26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8"/>
      <c r="L930" s="198"/>
      <c r="M930" s="198"/>
      <c r="N930" s="198"/>
      <c r="O930" s="198"/>
      <c r="P930" s="198"/>
      <c r="Q930" s="198"/>
      <c r="R930" s="198"/>
      <c r="S930" s="198"/>
      <c r="T930" s="195"/>
      <c r="U930" s="195"/>
      <c r="V930" s="195"/>
      <c r="W930" s="195"/>
      <c r="X930" s="195"/>
      <c r="Y930" s="195"/>
      <c r="Z930" s="195"/>
    </row>
    <row r="931" ht="15.75" customHeight="1" spans="1:26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8"/>
      <c r="L931" s="198"/>
      <c r="M931" s="198"/>
      <c r="N931" s="198"/>
      <c r="O931" s="198"/>
      <c r="P931" s="198"/>
      <c r="Q931" s="198"/>
      <c r="R931" s="198"/>
      <c r="S931" s="198"/>
      <c r="T931" s="195"/>
      <c r="U931" s="195"/>
      <c r="V931" s="195"/>
      <c r="W931" s="195"/>
      <c r="X931" s="195"/>
      <c r="Y931" s="195"/>
      <c r="Z931" s="195"/>
    </row>
    <row r="932" ht="15.75" customHeight="1" spans="1:26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8"/>
      <c r="L932" s="198"/>
      <c r="M932" s="198"/>
      <c r="N932" s="198"/>
      <c r="O932" s="198"/>
      <c r="P932" s="198"/>
      <c r="Q932" s="198"/>
      <c r="R932" s="198"/>
      <c r="S932" s="198"/>
      <c r="T932" s="195"/>
      <c r="U932" s="195"/>
      <c r="V932" s="195"/>
      <c r="W932" s="195"/>
      <c r="X932" s="195"/>
      <c r="Y932" s="195"/>
      <c r="Z932" s="195"/>
    </row>
    <row r="933" ht="15.75" customHeight="1" spans="1:26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8"/>
      <c r="L933" s="198"/>
      <c r="M933" s="198"/>
      <c r="N933" s="198"/>
      <c r="O933" s="198"/>
      <c r="P933" s="198"/>
      <c r="Q933" s="198"/>
      <c r="R933" s="198"/>
      <c r="S933" s="198"/>
      <c r="T933" s="195"/>
      <c r="U933" s="195"/>
      <c r="V933" s="195"/>
      <c r="W933" s="195"/>
      <c r="X933" s="195"/>
      <c r="Y933" s="195"/>
      <c r="Z933" s="195"/>
    </row>
    <row r="934" ht="15.75" customHeight="1" spans="1:26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8"/>
      <c r="L934" s="198"/>
      <c r="M934" s="198"/>
      <c r="N934" s="198"/>
      <c r="O934" s="198"/>
      <c r="P934" s="198"/>
      <c r="Q934" s="198"/>
      <c r="R934" s="198"/>
      <c r="S934" s="198"/>
      <c r="T934" s="195"/>
      <c r="U934" s="195"/>
      <c r="V934" s="195"/>
      <c r="W934" s="195"/>
      <c r="X934" s="195"/>
      <c r="Y934" s="195"/>
      <c r="Z934" s="195"/>
    </row>
    <row r="935" ht="15.75" customHeight="1" spans="1:26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8"/>
      <c r="L935" s="198"/>
      <c r="M935" s="198"/>
      <c r="N935" s="198"/>
      <c r="O935" s="198"/>
      <c r="P935" s="198"/>
      <c r="Q935" s="198"/>
      <c r="R935" s="198"/>
      <c r="S935" s="198"/>
      <c r="T935" s="195"/>
      <c r="U935" s="195"/>
      <c r="V935" s="195"/>
      <c r="W935" s="195"/>
      <c r="X935" s="195"/>
      <c r="Y935" s="195"/>
      <c r="Z935" s="195"/>
    </row>
    <row r="936" ht="15.75" customHeight="1" spans="1:2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8"/>
      <c r="L936" s="198"/>
      <c r="M936" s="198"/>
      <c r="N936" s="198"/>
      <c r="O936" s="198"/>
      <c r="P936" s="198"/>
      <c r="Q936" s="198"/>
      <c r="R936" s="198"/>
      <c r="S936" s="198"/>
      <c r="T936" s="195"/>
      <c r="U936" s="195"/>
      <c r="V936" s="195"/>
      <c r="W936" s="195"/>
      <c r="X936" s="195"/>
      <c r="Y936" s="195"/>
      <c r="Z936" s="195"/>
    </row>
    <row r="937" ht="15.75" customHeight="1" spans="1:26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8"/>
      <c r="L937" s="198"/>
      <c r="M937" s="198"/>
      <c r="N937" s="198"/>
      <c r="O937" s="198"/>
      <c r="P937" s="198"/>
      <c r="Q937" s="198"/>
      <c r="R937" s="198"/>
      <c r="S937" s="198"/>
      <c r="T937" s="195"/>
      <c r="U937" s="195"/>
      <c r="V937" s="195"/>
      <c r="W937" s="195"/>
      <c r="X937" s="195"/>
      <c r="Y937" s="195"/>
      <c r="Z937" s="195"/>
    </row>
    <row r="938" ht="15.75" customHeight="1" spans="1:26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8"/>
      <c r="L938" s="198"/>
      <c r="M938" s="198"/>
      <c r="N938" s="198"/>
      <c r="O938" s="198"/>
      <c r="P938" s="198"/>
      <c r="Q938" s="198"/>
      <c r="R938" s="198"/>
      <c r="S938" s="198"/>
      <c r="T938" s="195"/>
      <c r="U938" s="195"/>
      <c r="V938" s="195"/>
      <c r="W938" s="195"/>
      <c r="X938" s="195"/>
      <c r="Y938" s="195"/>
      <c r="Z938" s="195"/>
    </row>
    <row r="939" ht="15.75" customHeight="1" spans="1:26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8"/>
      <c r="L939" s="198"/>
      <c r="M939" s="198"/>
      <c r="N939" s="198"/>
      <c r="O939" s="198"/>
      <c r="P939" s="198"/>
      <c r="Q939" s="198"/>
      <c r="R939" s="198"/>
      <c r="S939" s="198"/>
      <c r="T939" s="195"/>
      <c r="U939" s="195"/>
      <c r="V939" s="195"/>
      <c r="W939" s="195"/>
      <c r="X939" s="195"/>
      <c r="Y939" s="195"/>
      <c r="Z939" s="195"/>
    </row>
    <row r="940" ht="15.75" customHeight="1" spans="1:26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8"/>
      <c r="L940" s="198"/>
      <c r="M940" s="198"/>
      <c r="N940" s="198"/>
      <c r="O940" s="198"/>
      <c r="P940" s="198"/>
      <c r="Q940" s="198"/>
      <c r="R940" s="198"/>
      <c r="S940" s="198"/>
      <c r="T940" s="195"/>
      <c r="U940" s="195"/>
      <c r="V940" s="195"/>
      <c r="W940" s="195"/>
      <c r="X940" s="195"/>
      <c r="Y940" s="195"/>
      <c r="Z940" s="195"/>
    </row>
    <row r="941" ht="15.75" customHeight="1" spans="1:26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8"/>
      <c r="L941" s="198"/>
      <c r="M941" s="198"/>
      <c r="N941" s="198"/>
      <c r="O941" s="198"/>
      <c r="P941" s="198"/>
      <c r="Q941" s="198"/>
      <c r="R941" s="198"/>
      <c r="S941" s="198"/>
      <c r="T941" s="195"/>
      <c r="U941" s="195"/>
      <c r="V941" s="195"/>
      <c r="W941" s="195"/>
      <c r="X941" s="195"/>
      <c r="Y941" s="195"/>
      <c r="Z941" s="195"/>
    </row>
    <row r="942" ht="15.75" customHeight="1" spans="1:26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8"/>
      <c r="L942" s="198"/>
      <c r="M942" s="198"/>
      <c r="N942" s="198"/>
      <c r="O942" s="198"/>
      <c r="P942" s="198"/>
      <c r="Q942" s="198"/>
      <c r="R942" s="198"/>
      <c r="S942" s="198"/>
      <c r="T942" s="195"/>
      <c r="U942" s="195"/>
      <c r="V942" s="195"/>
      <c r="W942" s="195"/>
      <c r="X942" s="195"/>
      <c r="Y942" s="195"/>
      <c r="Z942" s="195"/>
    </row>
    <row r="943" ht="15.75" customHeight="1" spans="1:26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8"/>
      <c r="L943" s="198"/>
      <c r="M943" s="198"/>
      <c r="N943" s="198"/>
      <c r="O943" s="198"/>
      <c r="P943" s="198"/>
      <c r="Q943" s="198"/>
      <c r="R943" s="198"/>
      <c r="S943" s="198"/>
      <c r="T943" s="195"/>
      <c r="U943" s="195"/>
      <c r="V943" s="195"/>
      <c r="W943" s="195"/>
      <c r="X943" s="195"/>
      <c r="Y943" s="195"/>
      <c r="Z943" s="195"/>
    </row>
    <row r="944" ht="15.75" customHeight="1" spans="1:26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8"/>
      <c r="L944" s="198"/>
      <c r="M944" s="198"/>
      <c r="N944" s="198"/>
      <c r="O944" s="198"/>
      <c r="P944" s="198"/>
      <c r="Q944" s="198"/>
      <c r="R944" s="198"/>
      <c r="S944" s="198"/>
      <c r="T944" s="195"/>
      <c r="U944" s="195"/>
      <c r="V944" s="195"/>
      <c r="W944" s="195"/>
      <c r="X944" s="195"/>
      <c r="Y944" s="195"/>
      <c r="Z944" s="195"/>
    </row>
    <row r="945" ht="15.75" customHeight="1" spans="1:26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8"/>
      <c r="L945" s="198"/>
      <c r="M945" s="198"/>
      <c r="N945" s="198"/>
      <c r="O945" s="198"/>
      <c r="P945" s="198"/>
      <c r="Q945" s="198"/>
      <c r="R945" s="198"/>
      <c r="S945" s="198"/>
      <c r="T945" s="195"/>
      <c r="U945" s="195"/>
      <c r="V945" s="195"/>
      <c r="W945" s="195"/>
      <c r="X945" s="195"/>
      <c r="Y945" s="195"/>
      <c r="Z945" s="195"/>
    </row>
    <row r="946" ht="15.75" customHeight="1" spans="1:2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8"/>
      <c r="L946" s="198"/>
      <c r="M946" s="198"/>
      <c r="N946" s="198"/>
      <c r="O946" s="198"/>
      <c r="P946" s="198"/>
      <c r="Q946" s="198"/>
      <c r="R946" s="198"/>
      <c r="S946" s="198"/>
      <c r="T946" s="195"/>
      <c r="U946" s="195"/>
      <c r="V946" s="195"/>
      <c r="W946" s="195"/>
      <c r="X946" s="195"/>
      <c r="Y946" s="195"/>
      <c r="Z946" s="195"/>
    </row>
    <row r="947" ht="15.75" customHeight="1" spans="1:26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8"/>
      <c r="L947" s="198"/>
      <c r="M947" s="198"/>
      <c r="N947" s="198"/>
      <c r="O947" s="198"/>
      <c r="P947" s="198"/>
      <c r="Q947" s="198"/>
      <c r="R947" s="198"/>
      <c r="S947" s="198"/>
      <c r="T947" s="195"/>
      <c r="U947" s="195"/>
      <c r="V947" s="195"/>
      <c r="W947" s="195"/>
      <c r="X947" s="195"/>
      <c r="Y947" s="195"/>
      <c r="Z947" s="195"/>
    </row>
    <row r="948" ht="15.75" customHeight="1" spans="1:26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8"/>
      <c r="L948" s="198"/>
      <c r="M948" s="198"/>
      <c r="N948" s="198"/>
      <c r="O948" s="198"/>
      <c r="P948" s="198"/>
      <c r="Q948" s="198"/>
      <c r="R948" s="198"/>
      <c r="S948" s="198"/>
      <c r="T948" s="195"/>
      <c r="U948" s="195"/>
      <c r="V948" s="195"/>
      <c r="W948" s="195"/>
      <c r="X948" s="195"/>
      <c r="Y948" s="195"/>
      <c r="Z948" s="195"/>
    </row>
    <row r="949" ht="15.75" customHeight="1" spans="1:26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8"/>
      <c r="L949" s="198"/>
      <c r="M949" s="198"/>
      <c r="N949" s="198"/>
      <c r="O949" s="198"/>
      <c r="P949" s="198"/>
      <c r="Q949" s="198"/>
      <c r="R949" s="198"/>
      <c r="S949" s="198"/>
      <c r="T949" s="195"/>
      <c r="U949" s="195"/>
      <c r="V949" s="195"/>
      <c r="W949" s="195"/>
      <c r="X949" s="195"/>
      <c r="Y949" s="195"/>
      <c r="Z949" s="195"/>
    </row>
    <row r="950" ht="15.75" customHeight="1" spans="1:26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8"/>
      <c r="L950" s="198"/>
      <c r="M950" s="198"/>
      <c r="N950" s="198"/>
      <c r="O950" s="198"/>
      <c r="P950" s="198"/>
      <c r="Q950" s="198"/>
      <c r="R950" s="198"/>
      <c r="S950" s="198"/>
      <c r="T950" s="195"/>
      <c r="U950" s="195"/>
      <c r="V950" s="195"/>
      <c r="W950" s="195"/>
      <c r="X950" s="195"/>
      <c r="Y950" s="195"/>
      <c r="Z950" s="195"/>
    </row>
    <row r="951" ht="15.75" customHeight="1" spans="1:26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8"/>
      <c r="L951" s="198"/>
      <c r="M951" s="198"/>
      <c r="N951" s="198"/>
      <c r="O951" s="198"/>
      <c r="P951" s="198"/>
      <c r="Q951" s="198"/>
      <c r="R951" s="198"/>
      <c r="S951" s="198"/>
      <c r="T951" s="195"/>
      <c r="U951" s="195"/>
      <c r="V951" s="195"/>
      <c r="W951" s="195"/>
      <c r="X951" s="195"/>
      <c r="Y951" s="195"/>
      <c r="Z951" s="195"/>
    </row>
    <row r="952" ht="15.75" customHeight="1" spans="1:26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8"/>
      <c r="L952" s="198"/>
      <c r="M952" s="198"/>
      <c r="N952" s="198"/>
      <c r="O952" s="198"/>
      <c r="P952" s="198"/>
      <c r="Q952" s="198"/>
      <c r="R952" s="198"/>
      <c r="S952" s="198"/>
      <c r="T952" s="195"/>
      <c r="U952" s="195"/>
      <c r="V952" s="195"/>
      <c r="W952" s="195"/>
      <c r="X952" s="195"/>
      <c r="Y952" s="195"/>
      <c r="Z952" s="195"/>
    </row>
    <row r="953" ht="15.75" customHeight="1" spans="1:26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8"/>
      <c r="L953" s="198"/>
      <c r="M953" s="198"/>
      <c r="N953" s="198"/>
      <c r="O953" s="198"/>
      <c r="P953" s="198"/>
      <c r="Q953" s="198"/>
      <c r="R953" s="198"/>
      <c r="S953" s="198"/>
      <c r="T953" s="195"/>
      <c r="U953" s="195"/>
      <c r="V953" s="195"/>
      <c r="W953" s="195"/>
      <c r="X953" s="195"/>
      <c r="Y953" s="195"/>
      <c r="Z953" s="195"/>
    </row>
    <row r="954" ht="15.75" customHeight="1" spans="1:26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8"/>
      <c r="L954" s="198"/>
      <c r="M954" s="198"/>
      <c r="N954" s="198"/>
      <c r="O954" s="198"/>
      <c r="P954" s="198"/>
      <c r="Q954" s="198"/>
      <c r="R954" s="198"/>
      <c r="S954" s="198"/>
      <c r="T954" s="195"/>
      <c r="U954" s="195"/>
      <c r="V954" s="195"/>
      <c r="W954" s="195"/>
      <c r="X954" s="195"/>
      <c r="Y954" s="195"/>
      <c r="Z954" s="195"/>
    </row>
    <row r="955" ht="15.75" customHeight="1" spans="1:26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8"/>
      <c r="L955" s="198"/>
      <c r="M955" s="198"/>
      <c r="N955" s="198"/>
      <c r="O955" s="198"/>
      <c r="P955" s="198"/>
      <c r="Q955" s="198"/>
      <c r="R955" s="198"/>
      <c r="S955" s="198"/>
      <c r="T955" s="195"/>
      <c r="U955" s="195"/>
      <c r="V955" s="195"/>
      <c r="W955" s="195"/>
      <c r="X955" s="195"/>
      <c r="Y955" s="195"/>
      <c r="Z955" s="195"/>
    </row>
    <row r="956" ht="15.75" customHeight="1" spans="1:2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8"/>
      <c r="L956" s="198"/>
      <c r="M956" s="198"/>
      <c r="N956" s="198"/>
      <c r="O956" s="198"/>
      <c r="P956" s="198"/>
      <c r="Q956" s="198"/>
      <c r="R956" s="198"/>
      <c r="S956" s="198"/>
      <c r="T956" s="195"/>
      <c r="U956" s="195"/>
      <c r="V956" s="195"/>
      <c r="W956" s="195"/>
      <c r="X956" s="195"/>
      <c r="Y956" s="195"/>
      <c r="Z956" s="195"/>
    </row>
    <row r="957" ht="15.75" customHeight="1" spans="1:26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8"/>
      <c r="L957" s="198"/>
      <c r="M957" s="198"/>
      <c r="N957" s="198"/>
      <c r="O957" s="198"/>
      <c r="P957" s="198"/>
      <c r="Q957" s="198"/>
      <c r="R957" s="198"/>
      <c r="S957" s="198"/>
      <c r="T957" s="195"/>
      <c r="U957" s="195"/>
      <c r="V957" s="195"/>
      <c r="W957" s="195"/>
      <c r="X957" s="195"/>
      <c r="Y957" s="195"/>
      <c r="Z957" s="195"/>
    </row>
    <row r="958" ht="15.75" customHeight="1" spans="1:26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8"/>
      <c r="L958" s="198"/>
      <c r="M958" s="198"/>
      <c r="N958" s="198"/>
      <c r="O958" s="198"/>
      <c r="P958" s="198"/>
      <c r="Q958" s="198"/>
      <c r="R958" s="198"/>
      <c r="S958" s="198"/>
      <c r="T958" s="195"/>
      <c r="U958" s="195"/>
      <c r="V958" s="195"/>
      <c r="W958" s="195"/>
      <c r="X958" s="195"/>
      <c r="Y958" s="195"/>
      <c r="Z958" s="195"/>
    </row>
    <row r="959" ht="15.75" customHeight="1" spans="1:26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8"/>
      <c r="L959" s="198"/>
      <c r="M959" s="198"/>
      <c r="N959" s="198"/>
      <c r="O959" s="198"/>
      <c r="P959" s="198"/>
      <c r="Q959" s="198"/>
      <c r="R959" s="198"/>
      <c r="S959" s="198"/>
      <c r="T959" s="195"/>
      <c r="U959" s="195"/>
      <c r="V959" s="195"/>
      <c r="W959" s="195"/>
      <c r="X959" s="195"/>
      <c r="Y959" s="195"/>
      <c r="Z959" s="195"/>
    </row>
    <row r="960" ht="15.75" customHeight="1" spans="1:26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8"/>
      <c r="L960" s="198"/>
      <c r="M960" s="198"/>
      <c r="N960" s="198"/>
      <c r="O960" s="198"/>
      <c r="P960" s="198"/>
      <c r="Q960" s="198"/>
      <c r="R960" s="198"/>
      <c r="S960" s="198"/>
      <c r="T960" s="195"/>
      <c r="U960" s="195"/>
      <c r="V960" s="195"/>
      <c r="W960" s="195"/>
      <c r="X960" s="195"/>
      <c r="Y960" s="195"/>
      <c r="Z960" s="195"/>
    </row>
    <row r="961" ht="15.75" customHeight="1" spans="1:26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8"/>
      <c r="L961" s="198"/>
      <c r="M961" s="198"/>
      <c r="N961" s="198"/>
      <c r="O961" s="198"/>
      <c r="P961" s="198"/>
      <c r="Q961" s="198"/>
      <c r="R961" s="198"/>
      <c r="S961" s="198"/>
      <c r="T961" s="195"/>
      <c r="U961" s="195"/>
      <c r="V961" s="195"/>
      <c r="W961" s="195"/>
      <c r="X961" s="195"/>
      <c r="Y961" s="195"/>
      <c r="Z961" s="195"/>
    </row>
    <row r="962" ht="15.75" customHeight="1" spans="1:26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8"/>
      <c r="L962" s="198"/>
      <c r="M962" s="198"/>
      <c r="N962" s="198"/>
      <c r="O962" s="198"/>
      <c r="P962" s="198"/>
      <c r="Q962" s="198"/>
      <c r="R962" s="198"/>
      <c r="S962" s="198"/>
      <c r="T962" s="195"/>
      <c r="U962" s="195"/>
      <c r="V962" s="195"/>
      <c r="W962" s="195"/>
      <c r="X962" s="195"/>
      <c r="Y962" s="195"/>
      <c r="Z962" s="195"/>
    </row>
    <row r="963" ht="15.75" customHeight="1" spans="1:26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8"/>
      <c r="L963" s="198"/>
      <c r="M963" s="198"/>
      <c r="N963" s="198"/>
      <c r="O963" s="198"/>
      <c r="P963" s="198"/>
      <c r="Q963" s="198"/>
      <c r="R963" s="198"/>
      <c r="S963" s="198"/>
      <c r="T963" s="195"/>
      <c r="U963" s="195"/>
      <c r="V963" s="195"/>
      <c r="W963" s="195"/>
      <c r="X963" s="195"/>
      <c r="Y963" s="195"/>
      <c r="Z963" s="195"/>
    </row>
    <row r="964" ht="15.75" customHeight="1" spans="1:26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8"/>
      <c r="L964" s="198"/>
      <c r="M964" s="198"/>
      <c r="N964" s="198"/>
      <c r="O964" s="198"/>
      <c r="P964" s="198"/>
      <c r="Q964" s="198"/>
      <c r="R964" s="198"/>
      <c r="S964" s="198"/>
      <c r="T964" s="195"/>
      <c r="U964" s="195"/>
      <c r="V964" s="195"/>
      <c r="W964" s="195"/>
      <c r="X964" s="195"/>
      <c r="Y964" s="195"/>
      <c r="Z964" s="195"/>
    </row>
    <row r="965" ht="15.75" customHeight="1" spans="1:26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8"/>
      <c r="L965" s="198"/>
      <c r="M965" s="198"/>
      <c r="N965" s="198"/>
      <c r="O965" s="198"/>
      <c r="P965" s="198"/>
      <c r="Q965" s="198"/>
      <c r="R965" s="198"/>
      <c r="S965" s="198"/>
      <c r="T965" s="195"/>
      <c r="U965" s="195"/>
      <c r="V965" s="195"/>
      <c r="W965" s="195"/>
      <c r="X965" s="195"/>
      <c r="Y965" s="195"/>
      <c r="Z965" s="195"/>
    </row>
    <row r="966" ht="15.75" customHeight="1" spans="1:2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8"/>
      <c r="L966" s="198"/>
      <c r="M966" s="198"/>
      <c r="N966" s="198"/>
      <c r="O966" s="198"/>
      <c r="P966" s="198"/>
      <c r="Q966" s="198"/>
      <c r="R966" s="198"/>
      <c r="S966" s="198"/>
      <c r="T966" s="195"/>
      <c r="U966" s="195"/>
      <c r="V966" s="195"/>
      <c r="W966" s="195"/>
      <c r="X966" s="195"/>
      <c r="Y966" s="195"/>
      <c r="Z966" s="195"/>
    </row>
    <row r="967" ht="15.75" customHeight="1" spans="1:26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8"/>
      <c r="L967" s="198"/>
      <c r="M967" s="198"/>
      <c r="N967" s="198"/>
      <c r="O967" s="198"/>
      <c r="P967" s="198"/>
      <c r="Q967" s="198"/>
      <c r="R967" s="198"/>
      <c r="S967" s="198"/>
      <c r="T967" s="195"/>
      <c r="U967" s="195"/>
      <c r="V967" s="195"/>
      <c r="W967" s="195"/>
      <c r="X967" s="195"/>
      <c r="Y967" s="195"/>
      <c r="Z967" s="195"/>
    </row>
    <row r="968" ht="15.75" customHeight="1" spans="1:26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8"/>
      <c r="L968" s="198"/>
      <c r="M968" s="198"/>
      <c r="N968" s="198"/>
      <c r="O968" s="198"/>
      <c r="P968" s="198"/>
      <c r="Q968" s="198"/>
      <c r="R968" s="198"/>
      <c r="S968" s="198"/>
      <c r="T968" s="195"/>
      <c r="U968" s="195"/>
      <c r="V968" s="195"/>
      <c r="W968" s="195"/>
      <c r="X968" s="195"/>
      <c r="Y968" s="195"/>
      <c r="Z968" s="195"/>
    </row>
    <row r="969" ht="15.75" customHeight="1" spans="1:26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8"/>
      <c r="L969" s="198"/>
      <c r="M969" s="198"/>
      <c r="N969" s="198"/>
      <c r="O969" s="198"/>
      <c r="P969" s="198"/>
      <c r="Q969" s="198"/>
      <c r="R969" s="198"/>
      <c r="S969" s="198"/>
      <c r="T969" s="195"/>
      <c r="U969" s="195"/>
      <c r="V969" s="195"/>
      <c r="W969" s="195"/>
      <c r="X969" s="195"/>
      <c r="Y969" s="195"/>
      <c r="Z969" s="195"/>
    </row>
    <row r="970" ht="15.75" customHeight="1" spans="1:26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8"/>
      <c r="L970" s="198"/>
      <c r="M970" s="198"/>
      <c r="N970" s="198"/>
      <c r="O970" s="198"/>
      <c r="P970" s="198"/>
      <c r="Q970" s="198"/>
      <c r="R970" s="198"/>
      <c r="S970" s="198"/>
      <c r="T970" s="195"/>
      <c r="U970" s="195"/>
      <c r="V970" s="195"/>
      <c r="W970" s="195"/>
      <c r="X970" s="195"/>
      <c r="Y970" s="195"/>
      <c r="Z970" s="195"/>
    </row>
    <row r="971" ht="15.75" customHeight="1" spans="1:26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8"/>
      <c r="L971" s="198"/>
      <c r="M971" s="198"/>
      <c r="N971" s="198"/>
      <c r="O971" s="198"/>
      <c r="P971" s="198"/>
      <c r="Q971" s="198"/>
      <c r="R971" s="198"/>
      <c r="S971" s="198"/>
      <c r="T971" s="195"/>
      <c r="U971" s="195"/>
      <c r="V971" s="195"/>
      <c r="W971" s="195"/>
      <c r="X971" s="195"/>
      <c r="Y971" s="195"/>
      <c r="Z971" s="195"/>
    </row>
    <row r="972" ht="15.75" customHeight="1" spans="1:26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8"/>
      <c r="L972" s="198"/>
      <c r="M972" s="198"/>
      <c r="N972" s="198"/>
      <c r="O972" s="198"/>
      <c r="P972" s="198"/>
      <c r="Q972" s="198"/>
      <c r="R972" s="198"/>
      <c r="S972" s="198"/>
      <c r="T972" s="195"/>
      <c r="U972" s="195"/>
      <c r="V972" s="195"/>
      <c r="W972" s="195"/>
      <c r="X972" s="195"/>
      <c r="Y972" s="195"/>
      <c r="Z972" s="195"/>
    </row>
    <row r="973" ht="15.75" customHeight="1" spans="1:26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8"/>
      <c r="L973" s="198"/>
      <c r="M973" s="198"/>
      <c r="N973" s="198"/>
      <c r="O973" s="198"/>
      <c r="P973" s="198"/>
      <c r="Q973" s="198"/>
      <c r="R973" s="198"/>
      <c r="S973" s="198"/>
      <c r="T973" s="195"/>
      <c r="U973" s="195"/>
      <c r="V973" s="195"/>
      <c r="W973" s="195"/>
      <c r="X973" s="195"/>
      <c r="Y973" s="195"/>
      <c r="Z973" s="195"/>
    </row>
    <row r="974" ht="15.75" customHeight="1" spans="1:26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8"/>
      <c r="L974" s="198"/>
      <c r="M974" s="198"/>
      <c r="N974" s="198"/>
      <c r="O974" s="198"/>
      <c r="P974" s="198"/>
      <c r="Q974" s="198"/>
      <c r="R974" s="198"/>
      <c r="S974" s="198"/>
      <c r="T974" s="195"/>
      <c r="U974" s="195"/>
      <c r="V974" s="195"/>
      <c r="W974" s="195"/>
      <c r="X974" s="195"/>
      <c r="Y974" s="195"/>
      <c r="Z974" s="195"/>
    </row>
    <row r="975" ht="15.75" customHeight="1" spans="1:26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8"/>
      <c r="L975" s="198"/>
      <c r="M975" s="198"/>
      <c r="N975" s="198"/>
      <c r="O975" s="198"/>
      <c r="P975" s="198"/>
      <c r="Q975" s="198"/>
      <c r="R975" s="198"/>
      <c r="S975" s="198"/>
      <c r="T975" s="195"/>
      <c r="U975" s="195"/>
      <c r="V975" s="195"/>
      <c r="W975" s="195"/>
      <c r="X975" s="195"/>
      <c r="Y975" s="195"/>
      <c r="Z975" s="195"/>
    </row>
    <row r="976" ht="15.75" customHeight="1" spans="1:2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8"/>
      <c r="L976" s="198"/>
      <c r="M976" s="198"/>
      <c r="N976" s="198"/>
      <c r="O976" s="198"/>
      <c r="P976" s="198"/>
      <c r="Q976" s="198"/>
      <c r="R976" s="198"/>
      <c r="S976" s="198"/>
      <c r="T976" s="195"/>
      <c r="U976" s="195"/>
      <c r="V976" s="195"/>
      <c r="W976" s="195"/>
      <c r="X976" s="195"/>
      <c r="Y976" s="195"/>
      <c r="Z976" s="195"/>
    </row>
    <row r="977" ht="15.75" customHeight="1" spans="1:26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8"/>
      <c r="L977" s="198"/>
      <c r="M977" s="198"/>
      <c r="N977" s="198"/>
      <c r="O977" s="198"/>
      <c r="P977" s="198"/>
      <c r="Q977" s="198"/>
      <c r="R977" s="198"/>
      <c r="S977" s="198"/>
      <c r="T977" s="195"/>
      <c r="U977" s="195"/>
      <c r="V977" s="195"/>
      <c r="W977" s="195"/>
      <c r="X977" s="195"/>
      <c r="Y977" s="195"/>
      <c r="Z977" s="195"/>
    </row>
    <row r="978" ht="15.75" customHeight="1" spans="1:26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8"/>
      <c r="L978" s="198"/>
      <c r="M978" s="198"/>
      <c r="N978" s="198"/>
      <c r="O978" s="198"/>
      <c r="P978" s="198"/>
      <c r="Q978" s="198"/>
      <c r="R978" s="198"/>
      <c r="S978" s="198"/>
      <c r="T978" s="195"/>
      <c r="U978" s="195"/>
      <c r="V978" s="195"/>
      <c r="W978" s="195"/>
      <c r="X978" s="195"/>
      <c r="Y978" s="195"/>
      <c r="Z978" s="195"/>
    </row>
    <row r="979" ht="15.75" customHeight="1" spans="1:26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8"/>
      <c r="L979" s="198"/>
      <c r="M979" s="198"/>
      <c r="N979" s="198"/>
      <c r="O979" s="198"/>
      <c r="P979" s="198"/>
      <c r="Q979" s="198"/>
      <c r="R979" s="198"/>
      <c r="S979" s="198"/>
      <c r="T979" s="195"/>
      <c r="U979" s="195"/>
      <c r="V979" s="195"/>
      <c r="W979" s="195"/>
      <c r="X979" s="195"/>
      <c r="Y979" s="195"/>
      <c r="Z979" s="195"/>
    </row>
    <row r="980" ht="15.75" customHeight="1" spans="1:26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8"/>
      <c r="L980" s="198"/>
      <c r="M980" s="198"/>
      <c r="N980" s="198"/>
      <c r="O980" s="198"/>
      <c r="P980" s="198"/>
      <c r="Q980" s="198"/>
      <c r="R980" s="198"/>
      <c r="S980" s="198"/>
      <c r="T980" s="195"/>
      <c r="U980" s="195"/>
      <c r="V980" s="195"/>
      <c r="W980" s="195"/>
      <c r="X980" s="195"/>
      <c r="Y980" s="195"/>
      <c r="Z980" s="195"/>
    </row>
    <row r="981" ht="15.75" customHeight="1" spans="1:26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8"/>
      <c r="L981" s="198"/>
      <c r="M981" s="198"/>
      <c r="N981" s="198"/>
      <c r="O981" s="198"/>
      <c r="P981" s="198"/>
      <c r="Q981" s="198"/>
      <c r="R981" s="198"/>
      <c r="S981" s="198"/>
      <c r="T981" s="195"/>
      <c r="U981" s="195"/>
      <c r="V981" s="195"/>
      <c r="W981" s="195"/>
      <c r="X981" s="195"/>
      <c r="Y981" s="195"/>
      <c r="Z981" s="195"/>
    </row>
    <row r="982" ht="15.75" customHeight="1" spans="1:26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8"/>
      <c r="L982" s="198"/>
      <c r="M982" s="198"/>
      <c r="N982" s="198"/>
      <c r="O982" s="198"/>
      <c r="P982" s="198"/>
      <c r="Q982" s="198"/>
      <c r="R982" s="198"/>
      <c r="S982" s="198"/>
      <c r="T982" s="195"/>
      <c r="U982" s="195"/>
      <c r="V982" s="195"/>
      <c r="W982" s="195"/>
      <c r="X982" s="195"/>
      <c r="Y982" s="195"/>
      <c r="Z982" s="195"/>
    </row>
    <row r="983" ht="15.75" customHeight="1" spans="1:26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8"/>
      <c r="L983" s="198"/>
      <c r="M983" s="198"/>
      <c r="N983" s="198"/>
      <c r="O983" s="198"/>
      <c r="P983" s="198"/>
      <c r="Q983" s="198"/>
      <c r="R983" s="198"/>
      <c r="S983" s="198"/>
      <c r="T983" s="195"/>
      <c r="U983" s="195"/>
      <c r="V983" s="195"/>
      <c r="W983" s="195"/>
      <c r="X983" s="195"/>
      <c r="Y983" s="195"/>
      <c r="Z983" s="195"/>
    </row>
    <row r="984" ht="15.75" customHeight="1" spans="1:26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8"/>
      <c r="L984" s="198"/>
      <c r="M984" s="198"/>
      <c r="N984" s="198"/>
      <c r="O984" s="198"/>
      <c r="P984" s="198"/>
      <c r="Q984" s="198"/>
      <c r="R984" s="198"/>
      <c r="S984" s="198"/>
      <c r="T984" s="195"/>
      <c r="U984" s="195"/>
      <c r="V984" s="195"/>
      <c r="W984" s="195"/>
      <c r="X984" s="195"/>
      <c r="Y984" s="195"/>
      <c r="Z984" s="195"/>
    </row>
    <row r="985" ht="15.75" customHeight="1" spans="1:26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8"/>
      <c r="L985" s="198"/>
      <c r="M985" s="198"/>
      <c r="N985" s="198"/>
      <c r="O985" s="198"/>
      <c r="P985" s="198"/>
      <c r="Q985" s="198"/>
      <c r="R985" s="198"/>
      <c r="S985" s="198"/>
      <c r="T985" s="195"/>
      <c r="U985" s="195"/>
      <c r="V985" s="195"/>
      <c r="W985" s="195"/>
      <c r="X985" s="195"/>
      <c r="Y985" s="195"/>
      <c r="Z985" s="195"/>
    </row>
    <row r="986" ht="15.75" customHeight="1" spans="1:2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8"/>
      <c r="L986" s="198"/>
      <c r="M986" s="198"/>
      <c r="N986" s="198"/>
      <c r="O986" s="198"/>
      <c r="P986" s="198"/>
      <c r="Q986" s="198"/>
      <c r="R986" s="198"/>
      <c r="S986" s="198"/>
      <c r="T986" s="195"/>
      <c r="U986" s="195"/>
      <c r="V986" s="195"/>
      <c r="W986" s="195"/>
      <c r="X986" s="195"/>
      <c r="Y986" s="195"/>
      <c r="Z986" s="195"/>
    </row>
    <row r="987" ht="15.75" customHeight="1" spans="1:26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8"/>
      <c r="L987" s="198"/>
      <c r="M987" s="198"/>
      <c r="N987" s="198"/>
      <c r="O987" s="198"/>
      <c r="P987" s="198"/>
      <c r="Q987" s="198"/>
      <c r="R987" s="198"/>
      <c r="S987" s="198"/>
      <c r="T987" s="195"/>
      <c r="U987" s="195"/>
      <c r="V987" s="195"/>
      <c r="W987" s="195"/>
      <c r="X987" s="195"/>
      <c r="Y987" s="195"/>
      <c r="Z987" s="195"/>
    </row>
    <row r="988" ht="15.75" customHeight="1" spans="1:26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8"/>
      <c r="L988" s="198"/>
      <c r="M988" s="198"/>
      <c r="N988" s="198"/>
      <c r="O988" s="198"/>
      <c r="P988" s="198"/>
      <c r="Q988" s="198"/>
      <c r="R988" s="198"/>
      <c r="S988" s="198"/>
      <c r="T988" s="195"/>
      <c r="U988" s="195"/>
      <c r="V988" s="195"/>
      <c r="W988" s="195"/>
      <c r="X988" s="195"/>
      <c r="Y988" s="195"/>
      <c r="Z988" s="195"/>
    </row>
    <row r="989" ht="15.75" customHeight="1" spans="1:26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8"/>
      <c r="L989" s="198"/>
      <c r="M989" s="198"/>
      <c r="N989" s="198"/>
      <c r="O989" s="198"/>
      <c r="P989" s="198"/>
      <c r="Q989" s="198"/>
      <c r="R989" s="198"/>
      <c r="S989" s="198"/>
      <c r="T989" s="195"/>
      <c r="U989" s="195"/>
      <c r="V989" s="195"/>
      <c r="W989" s="195"/>
      <c r="X989" s="195"/>
      <c r="Y989" s="195"/>
      <c r="Z989" s="195"/>
    </row>
    <row r="990" ht="15.75" customHeight="1" spans="1:26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8"/>
      <c r="L990" s="198"/>
      <c r="M990" s="198"/>
      <c r="N990" s="198"/>
      <c r="O990" s="198"/>
      <c r="P990" s="198"/>
      <c r="Q990" s="198"/>
      <c r="R990" s="198"/>
      <c r="S990" s="198"/>
      <c r="T990" s="195"/>
      <c r="U990" s="195"/>
      <c r="V990" s="195"/>
      <c r="W990" s="195"/>
      <c r="X990" s="195"/>
      <c r="Y990" s="195"/>
      <c r="Z990" s="195"/>
    </row>
    <row r="991" ht="15.75" customHeight="1" spans="1:26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8"/>
      <c r="L991" s="198"/>
      <c r="M991" s="198"/>
      <c r="N991" s="198"/>
      <c r="O991" s="198"/>
      <c r="P991" s="198"/>
      <c r="Q991" s="198"/>
      <c r="R991" s="198"/>
      <c r="S991" s="198"/>
      <c r="T991" s="195"/>
      <c r="U991" s="195"/>
      <c r="V991" s="195"/>
      <c r="W991" s="195"/>
      <c r="X991" s="195"/>
      <c r="Y991" s="195"/>
      <c r="Z991" s="195"/>
    </row>
    <row r="992" ht="15.75" customHeight="1" spans="1:26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8"/>
      <c r="L992" s="198"/>
      <c r="M992" s="198"/>
      <c r="N992" s="198"/>
      <c r="O992" s="198"/>
      <c r="P992" s="198"/>
      <c r="Q992" s="198"/>
      <c r="R992" s="198"/>
      <c r="S992" s="198"/>
      <c r="T992" s="195"/>
      <c r="U992" s="195"/>
      <c r="V992" s="195"/>
      <c r="W992" s="195"/>
      <c r="X992" s="195"/>
      <c r="Y992" s="195"/>
      <c r="Z992" s="195"/>
    </row>
    <row r="993" ht="15.75" customHeight="1" spans="1:26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8"/>
      <c r="L993" s="198"/>
      <c r="M993" s="198"/>
      <c r="N993" s="198"/>
      <c r="O993" s="198"/>
      <c r="P993" s="198"/>
      <c r="Q993" s="198"/>
      <c r="R993" s="198"/>
      <c r="S993" s="198"/>
      <c r="T993" s="195"/>
      <c r="U993" s="195"/>
      <c r="V993" s="195"/>
      <c r="W993" s="195"/>
      <c r="X993" s="195"/>
      <c r="Y993" s="195"/>
      <c r="Z993" s="195"/>
    </row>
    <row r="994" ht="15.75" customHeight="1" spans="1:26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8"/>
      <c r="L994" s="198"/>
      <c r="M994" s="198"/>
      <c r="N994" s="198"/>
      <c r="O994" s="198"/>
      <c r="P994" s="198"/>
      <c r="Q994" s="198"/>
      <c r="R994" s="198"/>
      <c r="S994" s="198"/>
      <c r="T994" s="195"/>
      <c r="U994" s="195"/>
      <c r="V994" s="195"/>
      <c r="W994" s="195"/>
      <c r="X994" s="195"/>
      <c r="Y994" s="195"/>
      <c r="Z994" s="195"/>
    </row>
    <row r="995" ht="15.75" customHeight="1" spans="1:26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8"/>
      <c r="L995" s="198"/>
      <c r="M995" s="198"/>
      <c r="N995" s="198"/>
      <c r="O995" s="198"/>
      <c r="P995" s="198"/>
      <c r="Q995" s="198"/>
      <c r="R995" s="198"/>
      <c r="S995" s="198"/>
      <c r="T995" s="195"/>
      <c r="U995" s="195"/>
      <c r="V995" s="195"/>
      <c r="W995" s="195"/>
      <c r="X995" s="195"/>
      <c r="Y995" s="195"/>
      <c r="Z995" s="195"/>
    </row>
    <row r="996" ht="15.75" customHeight="1" spans="1:2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8"/>
      <c r="L996" s="198"/>
      <c r="M996" s="198"/>
      <c r="N996" s="198"/>
      <c r="O996" s="198"/>
      <c r="P996" s="198"/>
      <c r="Q996" s="198"/>
      <c r="R996" s="198"/>
      <c r="S996" s="198"/>
      <c r="T996" s="195"/>
      <c r="U996" s="195"/>
      <c r="V996" s="195"/>
      <c r="W996" s="195"/>
      <c r="X996" s="195"/>
      <c r="Y996" s="195"/>
      <c r="Z996" s="195"/>
    </row>
    <row r="997" ht="15.75" customHeight="1" spans="1:26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8"/>
      <c r="L997" s="198"/>
      <c r="M997" s="198"/>
      <c r="N997" s="198"/>
      <c r="O997" s="198"/>
      <c r="P997" s="198"/>
      <c r="Q997" s="198"/>
      <c r="R997" s="198"/>
      <c r="S997" s="198"/>
      <c r="T997" s="195"/>
      <c r="U997" s="195"/>
      <c r="V997" s="195"/>
      <c r="W997" s="195"/>
      <c r="X997" s="195"/>
      <c r="Y997" s="195"/>
      <c r="Z997" s="195"/>
    </row>
    <row r="998" ht="15.75" customHeight="1" spans="1:26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8"/>
      <c r="L998" s="198"/>
      <c r="M998" s="198"/>
      <c r="N998" s="198"/>
      <c r="O998" s="198"/>
      <c r="P998" s="198"/>
      <c r="Q998" s="198"/>
      <c r="R998" s="198"/>
      <c r="S998" s="198"/>
      <c r="T998" s="195"/>
      <c r="U998" s="195"/>
      <c r="V998" s="195"/>
      <c r="W998" s="195"/>
      <c r="X998" s="195"/>
      <c r="Y998" s="195"/>
      <c r="Z998" s="195"/>
    </row>
    <row r="999" ht="15.75" customHeight="1" spans="1:26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8"/>
      <c r="L999" s="198"/>
      <c r="M999" s="198"/>
      <c r="N999" s="198"/>
      <c r="O999" s="198"/>
      <c r="P999" s="198"/>
      <c r="Q999" s="198"/>
      <c r="R999" s="198"/>
      <c r="S999" s="198"/>
      <c r="T999" s="195"/>
      <c r="U999" s="195"/>
      <c r="V999" s="195"/>
      <c r="W999" s="195"/>
      <c r="X999" s="195"/>
      <c r="Y999" s="195"/>
      <c r="Z999" s="195"/>
    </row>
    <row r="1000" ht="15.75" customHeight="1" spans="1:26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5"/>
      <c r="U1000" s="195"/>
      <c r="V1000" s="195"/>
      <c r="W1000" s="195"/>
      <c r="X1000" s="195"/>
      <c r="Y1000" s="195"/>
      <c r="Z1000" s="195"/>
    </row>
  </sheetData>
  <mergeCells count="4">
    <mergeCell ref="H30:J30"/>
    <mergeCell ref="H41:J41"/>
    <mergeCell ref="H31:I37"/>
    <mergeCell ref="H42:I48"/>
  </mergeCells>
  <pageMargins left="0.699305555555556" right="0.699305555555556" top="0.75" bottom="0.75" header="0" footer="0"/>
  <pageSetup paperSize="9" scale="63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1.2166666666667" defaultRowHeight="15" customHeight="1"/>
  <cols>
    <col min="1" max="1" width="1.66666666666667" customWidth="1"/>
    <col min="2" max="2" width="24.4416666666667" hidden="1" customWidth="1" outlineLevel="1"/>
    <col min="3" max="3" width="2.66666666666667" customWidth="1" collapsed="1"/>
    <col min="4" max="7" width="2.66666666666667" customWidth="1"/>
    <col min="8" max="8" width="23" customWidth="1"/>
    <col min="9" max="11" width="13.1083333333333" hidden="1" customWidth="1"/>
    <col min="12" max="13" width="13.1083333333333" customWidth="1"/>
    <col min="14" max="14" width="11.8916666666667" customWidth="1"/>
    <col min="15" max="15" width="10.6666666666667" customWidth="1"/>
    <col min="16" max="26" width="9" customWidth="1"/>
  </cols>
  <sheetData>
    <row r="1" customHeight="1" spans="1:26">
      <c r="A1" s="23"/>
      <c r="B1" s="23"/>
      <c r="C1" s="135"/>
      <c r="D1" s="72"/>
      <c r="E1" s="72"/>
      <c r="F1" s="72"/>
      <c r="G1" s="72"/>
      <c r="H1" s="7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Height="1" spans="1:26">
      <c r="A2" s="23"/>
      <c r="B2" s="23"/>
      <c r="C2" s="136"/>
      <c r="D2" s="25"/>
      <c r="E2" s="25"/>
      <c r="F2" s="25"/>
      <c r="G2" s="72"/>
      <c r="H2" s="7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customHeight="1" spans="1:26">
      <c r="A3" s="23"/>
      <c r="B3" s="23"/>
      <c r="C3" s="137" t="s">
        <v>165</v>
      </c>
      <c r="D3" s="138"/>
      <c r="E3" s="138"/>
      <c r="F3" s="138"/>
      <c r="G3" s="139"/>
      <c r="H3" s="139"/>
      <c r="I3" s="140"/>
      <c r="J3" s="140"/>
      <c r="K3" s="140"/>
      <c r="L3" s="140"/>
      <c r="M3" s="140"/>
      <c r="N3" s="140"/>
      <c r="O3" s="141"/>
      <c r="P3" s="142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customHeight="1" spans="1:26">
      <c r="A4" s="143"/>
      <c r="B4" s="144"/>
      <c r="C4" s="145"/>
      <c r="D4" s="146"/>
      <c r="E4" s="146"/>
      <c r="F4" s="146"/>
      <c r="G4" s="146"/>
      <c r="H4" s="146"/>
      <c r="I4" s="146" t="str">
        <f>'S&amp;C'!I4</f>
        <v>2021A</v>
      </c>
      <c r="J4" s="146" t="str">
        <f>'S&amp;C'!J4</f>
        <v>2022A</v>
      </c>
      <c r="K4" s="146" t="str">
        <f>'S&amp;C'!K4</f>
        <v>2023A</v>
      </c>
      <c r="L4" s="146" t="str">
        <f>'S&amp;C'!L4</f>
        <v>2024A</v>
      </c>
      <c r="M4" s="146" t="str">
        <f>'S&amp;C'!M4</f>
        <v>2025A</v>
      </c>
      <c r="N4" s="146" t="str">
        <f>'S&amp;C'!N4</f>
        <v>2026E</v>
      </c>
      <c r="O4" s="146" t="str">
        <f>'S&amp;C'!O4</f>
        <v>2027E</v>
      </c>
      <c r="P4" s="147" t="str">
        <f>'S&amp;C'!P4</f>
        <v>2028E</v>
      </c>
      <c r="Q4" s="146"/>
      <c r="R4" s="146"/>
      <c r="S4" s="146"/>
      <c r="T4" s="143"/>
      <c r="U4" s="143"/>
      <c r="V4" s="143"/>
      <c r="W4" s="143"/>
      <c r="X4" s="143"/>
      <c r="Y4" s="143"/>
      <c r="Z4" s="143"/>
    </row>
    <row r="5" customHeight="1" spans="1:26">
      <c r="A5" s="148"/>
      <c r="B5" s="149" t="s">
        <v>194</v>
      </c>
      <c r="C5" s="150" t="s">
        <v>48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48"/>
      <c r="O5" s="151"/>
      <c r="P5" s="152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customHeight="1" spans="1:26">
      <c r="A6" s="23"/>
      <c r="B6" s="23" t="s">
        <v>195</v>
      </c>
      <c r="C6" s="153" t="s">
        <v>11</v>
      </c>
      <c r="D6" s="154"/>
      <c r="E6" s="154"/>
      <c r="F6" s="154"/>
      <c r="G6" s="154"/>
      <c r="H6" s="154"/>
      <c r="I6" s="154">
        <f>'PL-CF-BS'!I6</f>
        <v>19628</v>
      </c>
      <c r="J6" s="154">
        <f>'PL-CF-BS'!J6</f>
        <v>20752</v>
      </c>
      <c r="K6" s="154">
        <f>'PL-CF-BS'!K6</f>
        <v>23196</v>
      </c>
      <c r="L6" s="154">
        <f>'PL-CF-BS'!L6</f>
        <v>24878</v>
      </c>
      <c r="M6" s="154">
        <f>'PL-CF-BS'!M6</f>
        <v>27450</v>
      </c>
      <c r="N6" s="154">
        <f>'PL-CF-BS'!N6</f>
        <v>29504.545</v>
      </c>
      <c r="O6" s="154">
        <f>'PL-CF-BS'!O6</f>
        <v>31735.358475</v>
      </c>
      <c r="P6" s="155">
        <f>'PL-CF-BS'!P6</f>
        <v>34158.608594875</v>
      </c>
      <c r="Q6" s="23"/>
      <c r="R6" s="23"/>
      <c r="S6" s="23"/>
      <c r="T6" s="23"/>
      <c r="U6" s="23"/>
      <c r="V6" s="23"/>
      <c r="W6" s="23"/>
      <c r="X6" s="23"/>
      <c r="Y6" s="23"/>
      <c r="Z6" s="23"/>
    </row>
    <row r="7" customHeight="1" spans="1:26">
      <c r="A7" s="23"/>
      <c r="B7" s="23" t="s">
        <v>196</v>
      </c>
      <c r="C7" s="153" t="s">
        <v>197</v>
      </c>
      <c r="D7" s="84"/>
      <c r="E7" s="84"/>
      <c r="F7" s="84"/>
      <c r="G7" s="84"/>
      <c r="H7" s="84"/>
      <c r="I7" s="84">
        <f>'PL-CF-BS'!I7</f>
        <v>13293</v>
      </c>
      <c r="J7" s="84">
        <f>'PL-CF-BS'!J7</f>
        <v>13865</v>
      </c>
      <c r="K7" s="84">
        <f>'PL-CF-BS'!K7</f>
        <v>14762</v>
      </c>
      <c r="L7" s="84">
        <f>'PL-CF-BS'!L7</f>
        <v>15375</v>
      </c>
      <c r="M7" s="84">
        <f>'PL-CF-BS'!M7</f>
        <v>17131</v>
      </c>
      <c r="N7" s="154">
        <f>'PL-CF-BS'!N7</f>
        <v>18383.6961979873</v>
      </c>
      <c r="O7" s="84">
        <f>'PL-CF-BS'!O7</f>
        <v>19741.9364245883</v>
      </c>
      <c r="P7" s="156">
        <f>'PL-CF-BS'!P7</f>
        <v>21215.23360368</v>
      </c>
      <c r="Q7" s="23"/>
      <c r="R7" s="23"/>
      <c r="S7" s="23"/>
      <c r="T7" s="23"/>
      <c r="U7" s="23"/>
      <c r="V7" s="23"/>
      <c r="W7" s="23"/>
      <c r="X7" s="23"/>
      <c r="Y7" s="23"/>
      <c r="Z7" s="23"/>
    </row>
    <row r="8" customHeight="1" spans="1:26">
      <c r="A8" s="23"/>
      <c r="B8" s="23" t="s">
        <v>198</v>
      </c>
      <c r="C8" s="153" t="s">
        <v>199</v>
      </c>
      <c r="D8" s="84"/>
      <c r="E8" s="84"/>
      <c r="F8" s="84"/>
      <c r="G8" s="84"/>
      <c r="H8" s="84"/>
      <c r="I8" s="84">
        <f>'PL-CF-BS'!I11</f>
        <v>0</v>
      </c>
      <c r="J8" s="84">
        <f>'PL-CF-BS'!J11</f>
        <v>0</v>
      </c>
      <c r="K8" s="84">
        <f>'PL-CF-BS'!K11</f>
        <v>0</v>
      </c>
      <c r="L8" s="84">
        <f>'PL-CF-BS'!L11</f>
        <v>0</v>
      </c>
      <c r="M8" s="84">
        <f>'PL-CF-BS'!M11</f>
        <v>0</v>
      </c>
      <c r="N8" s="23"/>
      <c r="O8" s="84">
        <f>'PL-CF-BS'!O11</f>
        <v>0</v>
      </c>
      <c r="P8" s="156">
        <f>'PL-CF-BS'!P11</f>
        <v>0</v>
      </c>
      <c r="Q8" s="23"/>
      <c r="R8" s="23"/>
      <c r="S8" s="23"/>
      <c r="T8" s="23"/>
      <c r="U8" s="23"/>
      <c r="V8" s="23"/>
      <c r="W8" s="23"/>
      <c r="X8" s="23"/>
      <c r="Y8" s="23"/>
      <c r="Z8" s="23"/>
    </row>
    <row r="9" customHeight="1" spans="1:26">
      <c r="A9" s="23"/>
      <c r="B9" s="23" t="s">
        <v>200</v>
      </c>
      <c r="C9" s="153" t="s">
        <v>201</v>
      </c>
      <c r="D9" s="84"/>
      <c r="E9" s="84"/>
      <c r="F9" s="84"/>
      <c r="G9" s="84"/>
      <c r="H9" s="84"/>
      <c r="I9" s="84">
        <f>'PL-CF-BS'!I13</f>
        <v>3256</v>
      </c>
      <c r="J9" s="84">
        <f>'PL-CF-BS'!J13</f>
        <v>3227</v>
      </c>
      <c r="K9" s="84">
        <f>'PL-CF-BS'!K13</f>
        <v>3795</v>
      </c>
      <c r="L9" s="84">
        <f>'PL-CF-BS'!L13</f>
        <v>4077</v>
      </c>
      <c r="M9" s="84">
        <f>'PL-CF-BS'!M13</f>
        <v>4311</v>
      </c>
      <c r="N9" s="154">
        <f>'PL-CF-BS'!N13</f>
        <v>4425.68175</v>
      </c>
      <c r="O9" s="84">
        <f>'PL-CF-BS'!O13</f>
        <v>4760.30377125</v>
      </c>
      <c r="P9" s="156">
        <f>'PL-CF-BS'!P13</f>
        <v>5123.79128923125</v>
      </c>
      <c r="Q9" s="23"/>
      <c r="R9" s="23"/>
      <c r="S9" s="23"/>
      <c r="T9" s="23"/>
      <c r="U9" s="23"/>
      <c r="V9" s="23"/>
      <c r="W9" s="23"/>
      <c r="X9" s="23"/>
      <c r="Y9" s="23"/>
      <c r="Z9" s="23"/>
    </row>
    <row r="10" customHeight="1" spans="1:26">
      <c r="A10" s="23"/>
      <c r="B10" s="23" t="s">
        <v>202</v>
      </c>
      <c r="C10" s="153" t="s">
        <v>203</v>
      </c>
      <c r="D10" s="84"/>
      <c r="E10" s="84"/>
      <c r="F10" s="84"/>
      <c r="G10" s="84"/>
      <c r="H10" s="84"/>
      <c r="I10" s="84">
        <f>'PL-CF-BS'!I16</f>
        <v>616</v>
      </c>
      <c r="J10" s="84">
        <f>'PL-CF-BS'!J16</f>
        <v>665</v>
      </c>
      <c r="K10" s="84">
        <f>'PL-CF-BS'!K16</f>
        <v>754</v>
      </c>
      <c r="L10" s="84">
        <f>'PL-CF-BS'!L16</f>
        <v>794</v>
      </c>
      <c r="M10" s="84">
        <f>'PL-CF-BS'!M16</f>
        <v>797</v>
      </c>
      <c r="N10" s="154">
        <f>'PL-CF-BS'!N16</f>
        <v>856.652909471767</v>
      </c>
      <c r="O10" s="84">
        <f>'PL-CF-BS'!O16</f>
        <v>921.423705084699</v>
      </c>
      <c r="P10" s="156">
        <f>'PL-CF-BS'!P16</f>
        <v>991.781823319322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customHeight="1" spans="1:26">
      <c r="A11" s="23"/>
      <c r="B11" s="23" t="s">
        <v>204</v>
      </c>
      <c r="C11" s="153" t="s">
        <v>205</v>
      </c>
      <c r="D11" s="84"/>
      <c r="E11" s="84"/>
      <c r="F11" s="84"/>
      <c r="G11" s="84"/>
      <c r="H11" s="84"/>
      <c r="I11" s="84">
        <f>'PL-CF-BS'!I32</f>
        <v>0</v>
      </c>
      <c r="J11" s="84">
        <f>'PL-CF-BS'!J32</f>
        <v>0</v>
      </c>
      <c r="K11" s="84">
        <f>'PL-CF-BS'!K32</f>
        <v>0</v>
      </c>
      <c r="L11" s="84">
        <f>'PL-CF-BS'!L32</f>
        <v>0</v>
      </c>
      <c r="M11" s="84">
        <f>'PL-CF-BS'!M32</f>
        <v>0</v>
      </c>
      <c r="N11" s="154">
        <f>'PL-CF-BS'!N32</f>
        <v>-140</v>
      </c>
      <c r="O11" s="84">
        <f>'PL-CF-BS'!O32</f>
        <v>-140</v>
      </c>
      <c r="P11" s="156">
        <f>'PL-CF-BS'!P32</f>
        <v>-140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customHeight="1" spans="1:26">
      <c r="A12" s="23"/>
      <c r="B12" s="23" t="s">
        <v>206</v>
      </c>
      <c r="C12" s="153" t="s">
        <v>207</v>
      </c>
      <c r="D12" s="84"/>
      <c r="E12" s="84"/>
      <c r="F12" s="84"/>
      <c r="G12" s="84"/>
      <c r="H12" s="84"/>
      <c r="I12" s="84">
        <f>'PL-CF-BS'!I34</f>
        <v>2936</v>
      </c>
      <c r="J12" s="84">
        <f>'PL-CF-BS'!J34</f>
        <v>2875</v>
      </c>
      <c r="K12" s="84">
        <f>'PL-CF-BS'!K34</f>
        <v>3827</v>
      </c>
      <c r="L12" s="84">
        <f>'PL-CF-BS'!L34</f>
        <v>4566</v>
      </c>
      <c r="M12" s="84">
        <f>'PL-CF-BS'!M34</f>
        <v>4933</v>
      </c>
      <c r="N12" s="154">
        <f>'PL-CF-BS'!N34</f>
        <v>5698.51414254098</v>
      </c>
      <c r="O12" s="84">
        <f>'PL-CF-BS'!O34</f>
        <v>6171.69457407705</v>
      </c>
      <c r="P12" s="156">
        <f>'PL-CF-BS'!P34</f>
        <v>6687.80187864444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customHeight="1" spans="1:26">
      <c r="A13" s="23"/>
      <c r="B13" s="23" t="s">
        <v>208</v>
      </c>
      <c r="C13" s="153" t="s">
        <v>71</v>
      </c>
      <c r="D13" s="84"/>
      <c r="E13" s="84"/>
      <c r="F13" s="84"/>
      <c r="G13" s="84"/>
      <c r="H13" s="84"/>
      <c r="I13" s="84">
        <f>'PL-CF-BS'!I37</f>
        <v>750</v>
      </c>
      <c r="J13" s="84">
        <f>'PL-CF-BS'!J37</f>
        <v>445</v>
      </c>
      <c r="K13" s="84">
        <f>'PL-CF-BS'!K37</f>
        <v>604</v>
      </c>
      <c r="L13" s="84">
        <f>'PL-CF-BS'!L37</f>
        <v>768</v>
      </c>
      <c r="M13" s="84">
        <f>'PL-CF-BS'!M37</f>
        <v>841</v>
      </c>
      <c r="N13" s="154">
        <f>'PL-CF-BS'!N37</f>
        <v>971.50828985951</v>
      </c>
      <c r="O13" s="84">
        <f>'PL-CF-BS'!O37</f>
        <v>1052.17821544675</v>
      </c>
      <c r="P13" s="156">
        <f>'PL-CF-BS'!P37</f>
        <v>1140.16650718426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customHeight="1" spans="1:26">
      <c r="A14" s="23"/>
      <c r="B14" s="23" t="s">
        <v>209</v>
      </c>
      <c r="C14" s="153" t="s">
        <v>13</v>
      </c>
      <c r="D14" s="154"/>
      <c r="E14" s="154"/>
      <c r="F14" s="154"/>
      <c r="G14" s="154"/>
      <c r="H14" s="154"/>
      <c r="I14" s="154">
        <f>'PL-CF-BS'!I42</f>
        <v>2184</v>
      </c>
      <c r="J14" s="154">
        <f>'PL-CF-BS'!J42</f>
        <v>2426</v>
      </c>
      <c r="K14" s="154">
        <f>'PL-CF-BS'!K42</f>
        <v>3218</v>
      </c>
      <c r="L14" s="154">
        <f>'PL-CF-BS'!L42</f>
        <v>3794</v>
      </c>
      <c r="M14" s="154">
        <f>'PL-CF-BS'!M42</f>
        <v>4089</v>
      </c>
      <c r="N14" s="154">
        <f>'PL-CF-BS'!N42</f>
        <v>4723.54030586865</v>
      </c>
      <c r="O14" s="154">
        <f>'PL-CF-BS'!O42</f>
        <v>5115.76304751694</v>
      </c>
      <c r="P14" s="155">
        <f>'PL-CF-BS'!P42</f>
        <v>5543.5681901028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customHeight="1" spans="1:26">
      <c r="A15" s="148"/>
      <c r="B15" s="149" t="s">
        <v>210</v>
      </c>
      <c r="C15" s="150" t="s">
        <v>211</v>
      </c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48"/>
      <c r="O15" s="151"/>
      <c r="P15" s="152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customHeight="1" spans="1:26">
      <c r="A16" s="23"/>
      <c r="B16" s="23" t="s">
        <v>212</v>
      </c>
      <c r="C16" s="153" t="s">
        <v>88</v>
      </c>
      <c r="D16" s="84"/>
      <c r="E16" s="84"/>
      <c r="F16" s="84"/>
      <c r="G16" s="84"/>
      <c r="H16" s="84"/>
      <c r="I16" s="84">
        <f>'PL-CF-BS'!I70</f>
        <v>2163</v>
      </c>
      <c r="J16" s="84">
        <f>'PL-CF-BS'!J70</f>
        <v>2533</v>
      </c>
      <c r="K16" s="84">
        <f>'PL-CF-BS'!K70</f>
        <v>3624</v>
      </c>
      <c r="L16" s="84">
        <f>'PL-CF-BS'!L70</f>
        <v>4327</v>
      </c>
      <c r="M16" s="84">
        <f>'PL-CF-BS'!M70</f>
        <v>4472</v>
      </c>
      <c r="N16" s="154">
        <f>'PL-CF-BS'!N70</f>
        <v>5711.99540925476</v>
      </c>
      <c r="O16" s="84">
        <f>'PL-CF-BS'!O70</f>
        <v>5022.30182592744</v>
      </c>
      <c r="P16" s="156">
        <f>'PL-CF-BS'!P70</f>
        <v>6529.54562727133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customHeight="1" spans="1:26">
      <c r="A17" s="23"/>
      <c r="B17" s="23" t="s">
        <v>213</v>
      </c>
      <c r="C17" s="153" t="s">
        <v>94</v>
      </c>
      <c r="D17" s="64"/>
      <c r="E17" s="64"/>
      <c r="F17" s="64"/>
      <c r="G17" s="64"/>
      <c r="H17" s="64"/>
      <c r="I17" s="64">
        <f>'PL-CF-BS'!I76</f>
        <v>-1764</v>
      </c>
      <c r="J17" s="64">
        <f>'PL-CF-BS'!J76</f>
        <v>-1200</v>
      </c>
      <c r="K17" s="64">
        <f>'PL-CF-BS'!K76</f>
        <v>-2575</v>
      </c>
      <c r="L17" s="64">
        <f>'PL-CF-BS'!L76</f>
        <v>-271</v>
      </c>
      <c r="M17" s="64">
        <f>'PL-CF-BS'!M76</f>
        <v>-1101</v>
      </c>
      <c r="N17" s="157">
        <f>'PL-CF-BS'!N76</f>
        <v>-1529</v>
      </c>
      <c r="O17" s="64">
        <f>'PL-CF-BS'!O76</f>
        <v>-1539</v>
      </c>
      <c r="P17" s="158">
        <f>'PL-CF-BS'!P76</f>
        <v>-1549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customHeight="1" spans="1:26">
      <c r="A18" s="23"/>
      <c r="B18" s="23" t="s">
        <v>214</v>
      </c>
      <c r="C18" s="153" t="s">
        <v>99</v>
      </c>
      <c r="D18" s="84"/>
      <c r="E18" s="84"/>
      <c r="F18" s="84"/>
      <c r="G18" s="84"/>
      <c r="H18" s="84"/>
      <c r="I18" s="84">
        <f>'PL-CF-BS'!I85</f>
        <v>-535</v>
      </c>
      <c r="J18" s="84">
        <f>'PL-CF-BS'!J85</f>
        <v>-1340</v>
      </c>
      <c r="K18" s="84">
        <f>'PL-CF-BS'!K85</f>
        <v>-871</v>
      </c>
      <c r="L18" s="84">
        <f>'PL-CF-BS'!L85</f>
        <v>-3936</v>
      </c>
      <c r="M18" s="84">
        <f>'PL-CF-BS'!M85</f>
        <v>-3173</v>
      </c>
      <c r="N18" s="154">
        <f>'PL-CF-BS'!N85</f>
        <v>-3396</v>
      </c>
      <c r="O18" s="84">
        <f>'PL-CF-BS'!O85</f>
        <v>-4048.32637254645</v>
      </c>
      <c r="P18" s="156">
        <f>'PL-CF-BS'!P85</f>
        <v>-4404.29462344401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customHeight="1" spans="1:26">
      <c r="A19" s="23"/>
      <c r="B19" s="23" t="s">
        <v>215</v>
      </c>
      <c r="C19" s="153" t="s">
        <v>216</v>
      </c>
      <c r="D19" s="159"/>
      <c r="E19" s="159"/>
      <c r="F19" s="159"/>
      <c r="G19" s="159"/>
      <c r="H19" s="159"/>
      <c r="I19" s="159">
        <f>'PL-CF-BS'!I87</f>
        <v>-136</v>
      </c>
      <c r="J19" s="159">
        <f>'PL-CF-BS'!J87</f>
        <v>-7</v>
      </c>
      <c r="K19" s="159">
        <f>'PL-CF-BS'!K87</f>
        <v>178</v>
      </c>
      <c r="L19" s="159">
        <f>'PL-CF-BS'!L87</f>
        <v>120</v>
      </c>
      <c r="M19" s="159">
        <f>'PL-CF-BS'!M87</f>
        <v>198</v>
      </c>
      <c r="N19" s="160">
        <f>'PL-CF-BS'!N87</f>
        <v>786.995409254763</v>
      </c>
      <c r="O19" s="159">
        <f>'PL-CF-BS'!O87</f>
        <v>-565.024546619014</v>
      </c>
      <c r="P19" s="161">
        <f>'PL-CF-BS'!P87</f>
        <v>576.251003827322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customHeight="1" spans="1:26">
      <c r="A20" s="23"/>
      <c r="B20" s="23" t="s">
        <v>217</v>
      </c>
      <c r="C20" s="153" t="s">
        <v>105</v>
      </c>
      <c r="D20" s="84"/>
      <c r="E20" s="84"/>
      <c r="F20" s="84"/>
      <c r="G20" s="84"/>
      <c r="H20" s="84"/>
      <c r="I20" s="84">
        <f>'PL-CF-BS'!I89</f>
        <v>438</v>
      </c>
      <c r="J20" s="84">
        <f>'PL-CF-BS'!J89</f>
        <v>297</v>
      </c>
      <c r="K20" s="84">
        <f>'PL-CF-BS'!K89</f>
        <v>294</v>
      </c>
      <c r="L20" s="84">
        <f>'PL-CF-BS'!L89</f>
        <v>488</v>
      </c>
      <c r="M20" s="84">
        <f>'PL-CF-BS'!M89</f>
        <v>556</v>
      </c>
      <c r="N20" s="154">
        <f>'PL-CF-BS'!N89</f>
        <v>623</v>
      </c>
      <c r="O20" s="84">
        <f>'PL-CF-BS'!O89</f>
        <v>1278.99540925476</v>
      </c>
      <c r="P20" s="156">
        <f>'PL-CF-BS'!P89</f>
        <v>582.97086263575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customHeight="1" spans="1:26">
      <c r="A21" s="23"/>
      <c r="B21" s="23" t="s">
        <v>218</v>
      </c>
      <c r="C21" s="153" t="s">
        <v>106</v>
      </c>
      <c r="D21" s="162"/>
      <c r="E21" s="162"/>
      <c r="F21" s="162"/>
      <c r="G21" s="162"/>
      <c r="H21" s="162"/>
      <c r="I21" s="162">
        <f>'PL-CF-BS'!I90</f>
        <v>297</v>
      </c>
      <c r="J21" s="162">
        <f>'PL-CF-BS'!J90</f>
        <v>294</v>
      </c>
      <c r="K21" s="162">
        <f>'PL-CF-BS'!K90</f>
        <v>488</v>
      </c>
      <c r="L21" s="162">
        <f>'PL-CF-BS'!L90</f>
        <v>556</v>
      </c>
      <c r="M21" s="162">
        <f>'PL-CF-BS'!M90</f>
        <v>623</v>
      </c>
      <c r="N21" s="163">
        <f>'PL-CF-BS'!N90</f>
        <v>1278.99540925476</v>
      </c>
      <c r="O21" s="162">
        <f>'PL-CF-BS'!O90</f>
        <v>582.97086263575</v>
      </c>
      <c r="P21" s="164">
        <f>'PL-CF-BS'!P90</f>
        <v>1028.22186646307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customHeight="1" spans="1:26">
      <c r="A22" s="148"/>
      <c r="B22" s="149" t="s">
        <v>219</v>
      </c>
      <c r="C22" s="150" t="s">
        <v>220</v>
      </c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48"/>
      <c r="O22" s="151"/>
      <c r="P22" s="152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customHeight="1" spans="1:26">
      <c r="A23" s="23"/>
      <c r="B23" s="34" t="s">
        <v>221</v>
      </c>
      <c r="C23" s="165" t="s">
        <v>222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23"/>
      <c r="O23" s="154"/>
      <c r="P23" s="155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customHeight="1" spans="1:26">
      <c r="A24" s="23"/>
      <c r="B24" s="80" t="s">
        <v>223</v>
      </c>
      <c r="C24" s="153" t="s">
        <v>224</v>
      </c>
      <c r="D24" s="154"/>
      <c r="E24" s="154"/>
      <c r="F24" s="154"/>
      <c r="G24" s="154"/>
      <c r="H24" s="154"/>
      <c r="I24" s="154">
        <f>'PL-CF-BS'!I94</f>
        <v>297</v>
      </c>
      <c r="J24" s="154">
        <f>'PL-CF-BS'!J94</f>
        <v>294</v>
      </c>
      <c r="K24" s="154">
        <f>'PL-CF-BS'!K94</f>
        <v>488</v>
      </c>
      <c r="L24" s="154">
        <f>'PL-CF-BS'!L94</f>
        <v>555</v>
      </c>
      <c r="M24" s="154">
        <f>'PL-CF-BS'!M94</f>
        <v>622</v>
      </c>
      <c r="N24" s="154">
        <f>'PL-CF-BS'!N94</f>
        <v>1278.99540925476</v>
      </c>
      <c r="O24" s="154">
        <f>'PL-CF-BS'!O94</f>
        <v>582.97086263575</v>
      </c>
      <c r="P24" s="155">
        <f>'PL-CF-BS'!P94</f>
        <v>1028.22186646307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customHeight="1" spans="1:26">
      <c r="A25" s="23"/>
      <c r="B25" s="23" t="s">
        <v>225</v>
      </c>
      <c r="C25" s="153" t="s">
        <v>226</v>
      </c>
      <c r="D25" s="154"/>
      <c r="E25" s="154"/>
      <c r="F25" s="154"/>
      <c r="G25" s="154"/>
      <c r="H25" s="154"/>
      <c r="I25" s="154">
        <f>'PL-CF-BS'!I95</f>
        <v>271</v>
      </c>
      <c r="J25" s="154">
        <f>'PL-CF-BS'!J95</f>
        <v>261</v>
      </c>
      <c r="K25" s="154">
        <f>'PL-CF-BS'!K95</f>
        <v>2121</v>
      </c>
      <c r="L25" s="154">
        <f>'PL-CF-BS'!L95</f>
        <v>1525</v>
      </c>
      <c r="M25" s="154">
        <f>'PL-CF-BS'!M95</f>
        <v>181</v>
      </c>
      <c r="N25" s="154">
        <f>'PL-CF-BS'!N95</f>
        <v>381</v>
      </c>
      <c r="O25" s="154">
        <f>'PL-CF-BS'!O95</f>
        <v>581</v>
      </c>
      <c r="P25" s="155">
        <f>'PL-CF-BS'!P95</f>
        <v>781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customHeight="1" spans="1:26">
      <c r="A26" s="23"/>
      <c r="B26" s="48" t="s">
        <v>227</v>
      </c>
      <c r="C26" s="166" t="s">
        <v>228</v>
      </c>
      <c r="D26" s="154"/>
      <c r="E26" s="154"/>
      <c r="F26" s="154"/>
      <c r="G26" s="154"/>
      <c r="H26" s="154"/>
      <c r="I26" s="154">
        <f>'PL-CF-BS'!I96</f>
        <v>3297</v>
      </c>
      <c r="J26" s="154">
        <f>'PL-CF-BS'!J96</f>
        <v>4076</v>
      </c>
      <c r="K26" s="154">
        <f>'PL-CF-BS'!K96</f>
        <v>4475</v>
      </c>
      <c r="L26" s="154">
        <f>'PL-CF-BS'!L96</f>
        <v>4619</v>
      </c>
      <c r="M26" s="154">
        <f>'PL-CF-BS'!M96</f>
        <v>5387</v>
      </c>
      <c r="N26" s="154">
        <f>'PL-CF-BS'!N96</f>
        <v>5362.01353424657</v>
      </c>
      <c r="O26" s="154">
        <f>'PL-CF-BS'!O96</f>
        <v>6114.88322931507</v>
      </c>
      <c r="P26" s="155">
        <f>'PL-CF-BS'!P96</f>
        <v>6238.36700225617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customHeight="1" spans="1:26">
      <c r="A27" s="23"/>
      <c r="B27" s="23" t="s">
        <v>229</v>
      </c>
      <c r="C27" s="153" t="s">
        <v>111</v>
      </c>
      <c r="D27" s="154"/>
      <c r="E27" s="154"/>
      <c r="F27" s="154"/>
      <c r="G27" s="154"/>
      <c r="H27" s="154"/>
      <c r="I27" s="154">
        <f>'PL-CF-BS'!I97</f>
        <v>2969</v>
      </c>
      <c r="J27" s="154">
        <f>'PL-CF-BS'!J97</f>
        <v>3430</v>
      </c>
      <c r="K27" s="154">
        <f>'PL-CF-BS'!K97</f>
        <v>3739</v>
      </c>
      <c r="L27" s="154">
        <f>'PL-CF-BS'!L97</f>
        <v>4228</v>
      </c>
      <c r="M27" s="154">
        <f>'PL-CF-BS'!M97</f>
        <v>4721</v>
      </c>
      <c r="N27" s="154">
        <f>'PL-CF-BS'!N97</f>
        <v>4482.59989485169</v>
      </c>
      <c r="O27" s="154">
        <f>'PL-CF-BS'!O97</f>
        <v>4813.78723777631</v>
      </c>
      <c r="P27" s="155">
        <f>'PL-CF-BS'!P97</f>
        <v>5173.02956363704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customHeight="1" spans="1:26">
      <c r="A28" s="23"/>
      <c r="B28" s="167" t="s">
        <v>230</v>
      </c>
      <c r="C28" s="168" t="s">
        <v>231</v>
      </c>
      <c r="D28" s="154"/>
      <c r="E28" s="154"/>
      <c r="F28" s="154"/>
      <c r="G28" s="154"/>
      <c r="H28" s="154"/>
      <c r="I28" s="154">
        <f>'PL-CF-BS'!I98</f>
        <v>677</v>
      </c>
      <c r="J28" s="154">
        <f>'PL-CF-BS'!J98</f>
        <v>685</v>
      </c>
      <c r="K28" s="154">
        <f>'PL-CF-BS'!K98</f>
        <v>851</v>
      </c>
      <c r="L28" s="154">
        <f>'PL-CF-BS'!L98</f>
        <v>874</v>
      </c>
      <c r="M28" s="154">
        <f>'PL-CF-BS'!M98</f>
        <v>1444</v>
      </c>
      <c r="N28" s="154">
        <f>'PL-CF-BS'!N98</f>
        <v>976.870605276772</v>
      </c>
      <c r="O28" s="154">
        <f>'PL-CF-BS'!O98</f>
        <v>1050.73095830316</v>
      </c>
      <c r="P28" s="155">
        <f>'PL-CF-BS'!P98</f>
        <v>1130.96272636937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customHeight="1" spans="1:26">
      <c r="A29" s="23"/>
      <c r="B29" s="167" t="s">
        <v>232</v>
      </c>
      <c r="C29" s="168" t="s">
        <v>113</v>
      </c>
      <c r="D29" s="154"/>
      <c r="E29" s="154"/>
      <c r="F29" s="154"/>
      <c r="G29" s="154"/>
      <c r="H29" s="154"/>
      <c r="I29" s="154">
        <f>'PL-CF-BS'!I99</f>
        <v>0</v>
      </c>
      <c r="J29" s="154">
        <f>'PL-CF-BS'!J99</f>
        <v>0</v>
      </c>
      <c r="K29" s="154">
        <f>'PL-CF-BS'!K99</f>
        <v>0</v>
      </c>
      <c r="L29" s="154">
        <f>'PL-CF-BS'!L99</f>
        <v>0</v>
      </c>
      <c r="M29" s="154">
        <f>'PL-CF-BS'!M99</f>
        <v>0</v>
      </c>
      <c r="N29" s="154">
        <f>'PL-CF-BS'!N99</f>
        <v>100</v>
      </c>
      <c r="O29" s="154">
        <f>'PL-CF-BS'!O99</f>
        <v>200</v>
      </c>
      <c r="P29" s="155">
        <f>'PL-CF-BS'!P99</f>
        <v>300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customHeight="1" spans="1:26">
      <c r="A30" s="169"/>
      <c r="B30" s="170" t="s">
        <v>233</v>
      </c>
      <c r="C30" s="171" t="s">
        <v>92</v>
      </c>
      <c r="D30" s="172"/>
      <c r="E30" s="172"/>
      <c r="F30" s="172"/>
      <c r="G30" s="172"/>
      <c r="H30" s="172"/>
      <c r="I30" s="172">
        <f>'PL-CF-BS'!I100</f>
        <v>0</v>
      </c>
      <c r="J30" s="172">
        <f>'PL-CF-BS'!J100</f>
        <v>0</v>
      </c>
      <c r="K30" s="172" t="str">
        <f ca="1">'PL-CF-BS'!K100</f>
        <v>#REF!</v>
      </c>
      <c r="L30" s="172">
        <f>'PL-CF-BS'!L100</f>
        <v>0</v>
      </c>
      <c r="M30" s="172">
        <f>'PL-CF-BS'!M100</f>
        <v>0</v>
      </c>
      <c r="N30" s="172">
        <f>'PL-CF-BS'!N100</f>
        <v>100</v>
      </c>
      <c r="O30" s="173">
        <f>'PL-CF-BS'!O100</f>
        <v>200</v>
      </c>
      <c r="P30" s="174">
        <f>'PL-CF-BS'!P100</f>
        <v>300</v>
      </c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customHeight="1" spans="1:26">
      <c r="A31" s="23"/>
      <c r="B31" s="80"/>
      <c r="C31" s="175"/>
      <c r="D31" s="63"/>
      <c r="E31" s="63"/>
      <c r="F31" s="63"/>
      <c r="G31" s="63"/>
      <c r="H31" s="63"/>
      <c r="I31" s="63">
        <f>'PL-CF-BS'!I101</f>
        <v>7511</v>
      </c>
      <c r="J31" s="63">
        <f>'PL-CF-BS'!J101</f>
        <v>8746</v>
      </c>
      <c r="K31" s="63" t="str">
        <f ca="1">'PL-CF-BS'!K101</f>
        <v>#REF!</v>
      </c>
      <c r="L31" s="63">
        <f>'PL-CF-BS'!L101</f>
        <v>11801</v>
      </c>
      <c r="M31" s="63">
        <f>'PL-CF-BS'!M101</f>
        <v>12355</v>
      </c>
      <c r="N31" s="63">
        <f>'PL-CF-BS'!N101</f>
        <v>12681.4794436298</v>
      </c>
      <c r="O31" s="63">
        <f>'PL-CF-BS'!O101</f>
        <v>13543.3722880303</v>
      </c>
      <c r="P31" s="176">
        <f>'PL-CF-BS'!P101</f>
        <v>14951.5811587257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customHeight="1" spans="1:26">
      <c r="A32" s="23"/>
      <c r="B32" s="47" t="s">
        <v>234</v>
      </c>
      <c r="C32" s="165" t="s">
        <v>235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77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customHeight="1" spans="1:26">
      <c r="A33" s="23"/>
      <c r="B33" s="80" t="s">
        <v>236</v>
      </c>
      <c r="C33" s="153" t="s">
        <v>115</v>
      </c>
      <c r="D33" s="48"/>
      <c r="E33" s="48"/>
      <c r="F33" s="48"/>
      <c r="G33" s="48"/>
      <c r="H33" s="48"/>
      <c r="I33" s="48">
        <f>'PL-CF-BS'!I103</f>
        <v>14751</v>
      </c>
      <c r="J33" s="48">
        <f>'PL-CF-BS'!J103</f>
        <v>14796</v>
      </c>
      <c r="K33" s="48">
        <f>'PL-CF-BS'!K103</f>
        <v>14977</v>
      </c>
      <c r="L33" s="48">
        <f>'PL-CF-BS'!L103</f>
        <v>14713</v>
      </c>
      <c r="M33" s="48">
        <f>'PL-CF-BS'!M103</f>
        <v>15769</v>
      </c>
      <c r="N33" s="48">
        <f>'PL-CF-BS'!N103</f>
        <v>15769</v>
      </c>
      <c r="O33" s="48">
        <f>'PL-CF-BS'!O103</f>
        <v>15769</v>
      </c>
      <c r="P33" s="178">
        <f>'PL-CF-BS'!P103</f>
        <v>15769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customHeight="1" spans="1:26">
      <c r="A34" s="23"/>
      <c r="B34" s="23" t="s">
        <v>237</v>
      </c>
      <c r="C34" s="153" t="s">
        <v>116</v>
      </c>
      <c r="D34" s="48"/>
      <c r="E34" s="48"/>
      <c r="F34" s="48"/>
      <c r="G34" s="48"/>
      <c r="H34" s="48"/>
      <c r="I34" s="48">
        <f>'PL-CF-BS'!I104</f>
        <v>3064</v>
      </c>
      <c r="J34" s="48">
        <f>'PL-CF-BS'!J104</f>
        <v>3146</v>
      </c>
      <c r="K34" s="48">
        <f>'PL-CF-BS'!K104</f>
        <v>3530</v>
      </c>
      <c r="L34" s="48">
        <f>'PL-CF-BS'!L104</f>
        <v>3729</v>
      </c>
      <c r="M34" s="48">
        <f>'PL-CF-BS'!M104</f>
        <v>4316</v>
      </c>
      <c r="N34" s="48">
        <f>'PL-CF-BS'!N104</f>
        <v>5109.04369538077</v>
      </c>
      <c r="O34" s="48">
        <f>'PL-CF-BS'!O104</f>
        <v>5675.13108614232</v>
      </c>
      <c r="P34" s="178">
        <f>'PL-CF-BS'!P104</f>
        <v>6206.26217228464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customHeight="1" spans="1:26">
      <c r="A35" s="23"/>
      <c r="B35" s="80" t="s">
        <v>238</v>
      </c>
      <c r="C35" s="153" t="s">
        <v>117</v>
      </c>
      <c r="D35" s="48"/>
      <c r="E35" s="48"/>
      <c r="F35" s="48"/>
      <c r="G35" s="48"/>
      <c r="H35" s="48"/>
      <c r="I35" s="48">
        <f>'PL-CF-BS'!I105</f>
        <v>5855</v>
      </c>
      <c r="J35" s="48">
        <f>'PL-CF-BS'!J105</f>
        <v>5485</v>
      </c>
      <c r="K35" s="48">
        <f>'PL-CF-BS'!K105</f>
        <v>5091</v>
      </c>
      <c r="L35" s="48">
        <f>'PL-CF-BS'!L105</f>
        <v>4657</v>
      </c>
      <c r="M35" s="48">
        <f>'PL-CF-BS'!M105</f>
        <v>5054</v>
      </c>
      <c r="N35" s="48">
        <f>'PL-CF-BS'!N105</f>
        <v>3518.4</v>
      </c>
      <c r="O35" s="48">
        <f>'PL-CF-BS'!O105</f>
        <v>3185.24</v>
      </c>
      <c r="P35" s="178">
        <f>'PL-CF-BS'!P105</f>
        <v>2860.12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customHeight="1" spans="1:26">
      <c r="A36" s="23"/>
      <c r="B36" s="80" t="s">
        <v>239</v>
      </c>
      <c r="C36" s="153" t="s">
        <v>118</v>
      </c>
      <c r="D36" s="48"/>
      <c r="E36" s="48"/>
      <c r="F36" s="48"/>
      <c r="G36" s="48"/>
      <c r="H36" s="48"/>
      <c r="I36" s="48">
        <f>'PL-CF-BS'!I106</f>
        <v>0</v>
      </c>
      <c r="J36" s="48">
        <f>'PL-CF-BS'!J106</f>
        <v>0</v>
      </c>
      <c r="K36" s="48">
        <f>'PL-CF-BS'!K106</f>
        <v>0</v>
      </c>
      <c r="L36" s="48">
        <f>'PL-CF-BS'!L106</f>
        <v>0</v>
      </c>
      <c r="M36" s="48">
        <f>'PL-CF-BS'!M106</f>
        <v>0</v>
      </c>
      <c r="N36" s="48">
        <f>'PL-CF-BS'!N106</f>
        <v>0</v>
      </c>
      <c r="O36" s="48">
        <f>'PL-CF-BS'!O106</f>
        <v>0</v>
      </c>
      <c r="P36" s="178">
        <f>'PL-CF-BS'!P106</f>
        <v>0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customHeight="1" spans="1:26">
      <c r="A37" s="169"/>
      <c r="B37" s="170" t="s">
        <v>240</v>
      </c>
      <c r="C37" s="153" t="s">
        <v>119</v>
      </c>
      <c r="D37" s="173"/>
      <c r="E37" s="173"/>
      <c r="F37" s="173"/>
      <c r="G37" s="173"/>
      <c r="H37" s="173"/>
      <c r="I37" s="173">
        <f>'PL-CF-BS'!I107</f>
        <v>2846</v>
      </c>
      <c r="J37" s="173">
        <f>'PL-CF-BS'!J107</f>
        <v>2841</v>
      </c>
      <c r="K37" s="173">
        <f>'PL-CF-BS'!K107</f>
        <v>3159</v>
      </c>
      <c r="L37" s="173">
        <f>'PL-CF-BS'!L107</f>
        <v>3481</v>
      </c>
      <c r="M37" s="173">
        <f>'PL-CF-BS'!M107</f>
        <v>3756</v>
      </c>
      <c r="N37" s="173">
        <f>'PL-CF-BS'!N107</f>
        <v>4056</v>
      </c>
      <c r="O37" s="173">
        <f>'PL-CF-BS'!O107</f>
        <v>4356</v>
      </c>
      <c r="P37" s="179">
        <f>'PL-CF-BS'!P107</f>
        <v>4656</v>
      </c>
      <c r="Q37" s="169"/>
      <c r="R37" s="173"/>
      <c r="S37" s="169"/>
      <c r="T37" s="169"/>
      <c r="U37" s="169"/>
      <c r="V37" s="169"/>
      <c r="W37" s="169"/>
      <c r="X37" s="169"/>
      <c r="Y37" s="169"/>
      <c r="Z37" s="169"/>
    </row>
    <row r="38" customHeight="1" spans="1:26">
      <c r="A38" s="23"/>
      <c r="B38" s="80"/>
      <c r="C38" s="175"/>
      <c r="D38" s="49"/>
      <c r="E38" s="49"/>
      <c r="F38" s="49"/>
      <c r="G38" s="49"/>
      <c r="H38" s="49"/>
      <c r="I38" s="49">
        <f>'PL-CF-BS'!I108</f>
        <v>26516</v>
      </c>
      <c r="J38" s="49">
        <f>'PL-CF-BS'!J108</f>
        <v>26268</v>
      </c>
      <c r="K38" s="49">
        <f>'PL-CF-BS'!K108</f>
        <v>26757</v>
      </c>
      <c r="L38" s="49">
        <f>'PL-CF-BS'!L108</f>
        <v>26580</v>
      </c>
      <c r="M38" s="49">
        <f>'PL-CF-BS'!M108</f>
        <v>28895</v>
      </c>
      <c r="N38" s="49">
        <f>'PL-CF-BS'!N108</f>
        <v>28452.4436953808</v>
      </c>
      <c r="O38" s="49">
        <f>'PL-CF-BS'!O108</f>
        <v>28985.3710861423</v>
      </c>
      <c r="P38" s="180">
        <f>'PL-CF-BS'!P108</f>
        <v>29491.3821722846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customHeight="1" spans="1:26">
      <c r="A39" s="23"/>
      <c r="B39" s="47" t="s">
        <v>241</v>
      </c>
      <c r="C39" s="165" t="s">
        <v>26</v>
      </c>
      <c r="D39" s="49"/>
      <c r="E39" s="49"/>
      <c r="F39" s="49"/>
      <c r="G39" s="49"/>
      <c r="H39" s="49"/>
      <c r="I39" s="49">
        <f>'PL-CF-BS'!I110</f>
        <v>34027</v>
      </c>
      <c r="J39" s="49">
        <f>'PL-CF-BS'!J110</f>
        <v>35014</v>
      </c>
      <c r="K39" s="49" t="str">
        <f ca="1">'PL-CF-BS'!K110</f>
        <v>#REF!</v>
      </c>
      <c r="L39" s="49">
        <f>'PL-CF-BS'!L110</f>
        <v>38381</v>
      </c>
      <c r="M39" s="49">
        <f>'PL-CF-BS'!M110</f>
        <v>41250</v>
      </c>
      <c r="N39" s="49">
        <f>'PL-CF-BS'!N110</f>
        <v>41133.9231390106</v>
      </c>
      <c r="O39" s="49">
        <f>'PL-CF-BS'!O110</f>
        <v>42528.7433741726</v>
      </c>
      <c r="P39" s="180">
        <f>'PL-CF-BS'!P110</f>
        <v>44442.9633310103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customHeight="1" spans="1:26">
      <c r="A40" s="23"/>
      <c r="B40" s="47" t="s">
        <v>242</v>
      </c>
      <c r="C40" s="165" t="s">
        <v>243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77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customHeight="1" spans="1:26">
      <c r="A41" s="23"/>
      <c r="B41" s="23" t="s">
        <v>244</v>
      </c>
      <c r="C41" s="153" t="s">
        <v>122</v>
      </c>
      <c r="D41" s="48"/>
      <c r="E41" s="48"/>
      <c r="F41" s="48"/>
      <c r="G41" s="48"/>
      <c r="H41" s="48"/>
      <c r="I41" s="48">
        <f>'PL-CF-BS'!I113</f>
        <v>1748</v>
      </c>
      <c r="J41" s="48">
        <f>'PL-CF-BS'!J113</f>
        <v>334</v>
      </c>
      <c r="K41" s="48">
        <f>'PL-CF-BS'!K113</f>
        <v>1025</v>
      </c>
      <c r="L41" s="48">
        <f>'PL-CF-BS'!L113</f>
        <v>674</v>
      </c>
      <c r="M41" s="48">
        <f>'PL-CF-BS'!M113</f>
        <v>1137</v>
      </c>
      <c r="N41" s="48">
        <f>'PL-CF-BS'!N113</f>
        <v>-28</v>
      </c>
      <c r="O41" s="48">
        <f>'PL-CF-BS'!O113</f>
        <v>-379</v>
      </c>
      <c r="P41" s="178">
        <f>'PL-CF-BS'!P113</f>
        <v>-730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customHeight="1" spans="1:26">
      <c r="A42" s="23"/>
      <c r="B42" s="80" t="s">
        <v>245</v>
      </c>
      <c r="C42" s="175" t="s">
        <v>246</v>
      </c>
      <c r="D42" s="48"/>
      <c r="E42" s="48"/>
      <c r="F42" s="48"/>
      <c r="G42" s="48"/>
      <c r="H42" s="48"/>
      <c r="I42" s="48">
        <f>'PL-CF-BS'!I115</f>
        <v>2797</v>
      </c>
      <c r="J42" s="48">
        <f>'PL-CF-BS'!J115</f>
        <v>3072</v>
      </c>
      <c r="K42" s="48">
        <f>'PL-CF-BS'!K115</f>
        <v>3365</v>
      </c>
      <c r="L42" s="48">
        <f>'PL-CF-BS'!L115</f>
        <v>3678</v>
      </c>
      <c r="M42" s="48">
        <f>'PL-CF-BS'!M115</f>
        <v>4168</v>
      </c>
      <c r="N42" s="48">
        <f>'PL-CF-BS'!N115</f>
        <v>4224.24071443191</v>
      </c>
      <c r="O42" s="48">
        <f>'PL-CF-BS'!O115</f>
        <v>4384.27065022562</v>
      </c>
      <c r="P42" s="178">
        <f>'PL-CF-BS'!P115</f>
        <v>4866.67493349529</v>
      </c>
      <c r="Q42" s="23"/>
      <c r="R42" s="23"/>
      <c r="S42" s="23"/>
      <c r="T42" s="23"/>
      <c r="U42" s="23"/>
      <c r="V42" s="23"/>
      <c r="W42" s="23"/>
      <c r="X42" s="23"/>
      <c r="Y42" s="173"/>
      <c r="Z42" s="23"/>
    </row>
    <row r="43" customHeight="1" spans="1:26">
      <c r="A43" s="23"/>
      <c r="B43" s="80" t="s">
        <v>247</v>
      </c>
      <c r="C43" s="175" t="s">
        <v>248</v>
      </c>
      <c r="D43" s="48"/>
      <c r="E43" s="48"/>
      <c r="F43" s="48"/>
      <c r="G43" s="48"/>
      <c r="H43" s="48"/>
      <c r="I43" s="48">
        <f>'PL-CF-BS'!I117</f>
        <v>501</v>
      </c>
      <c r="J43" s="48">
        <f>'PL-CF-BS'!J117</f>
        <v>467</v>
      </c>
      <c r="K43" s="48">
        <f>'PL-CF-BS'!K117</f>
        <v>676</v>
      </c>
      <c r="L43" s="48">
        <f>'PL-CF-BS'!L117</f>
        <v>670</v>
      </c>
      <c r="M43" s="48">
        <f>'PL-CF-BS'!M117</f>
        <v>644</v>
      </c>
      <c r="N43" s="48">
        <f>'PL-CF-BS'!N117</f>
        <v>766.994428553003</v>
      </c>
      <c r="O43" s="48">
        <f>'PL-CF-BS'!O117</f>
        <v>761.594741837485</v>
      </c>
      <c r="P43" s="178">
        <f>'PL-CF-BS'!P117</f>
        <v>881.069667389329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customHeight="1" spans="1:26">
      <c r="A44" s="23"/>
      <c r="B44" s="80" t="s">
        <v>249</v>
      </c>
      <c r="C44" s="175" t="s">
        <v>127</v>
      </c>
      <c r="D44" s="48"/>
      <c r="E44" s="48"/>
      <c r="F44" s="48"/>
      <c r="G44" s="48"/>
      <c r="H44" s="48"/>
      <c r="I44" s="48">
        <f>'PL-CF-BS'!I118</f>
        <v>0</v>
      </c>
      <c r="J44" s="48">
        <f>'PL-CF-BS'!J118</f>
        <v>0</v>
      </c>
      <c r="K44" s="48">
        <f>'PL-CF-BS'!K118</f>
        <v>0</v>
      </c>
      <c r="L44" s="48">
        <f>'PL-CF-BS'!L118</f>
        <v>0</v>
      </c>
      <c r="M44" s="48">
        <f>'PL-CF-BS'!M118</f>
        <v>0</v>
      </c>
      <c r="N44" s="48">
        <f>'PL-CF-BS'!N118</f>
        <v>0</v>
      </c>
      <c r="O44" s="48">
        <f>'PL-CF-BS'!O118</f>
        <v>0</v>
      </c>
      <c r="P44" s="178">
        <f>'PL-CF-BS'!P118</f>
        <v>0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customHeight="1" spans="1:26">
      <c r="A45" s="23"/>
      <c r="B45" s="80" t="s">
        <v>250</v>
      </c>
      <c r="C45" s="175" t="s">
        <v>251</v>
      </c>
      <c r="D45" s="48"/>
      <c r="E45" s="48"/>
      <c r="F45" s="48"/>
      <c r="G45" s="48"/>
      <c r="H45" s="48"/>
      <c r="I45" s="48">
        <f>'PL-CF-BS'!I119</f>
        <v>0</v>
      </c>
      <c r="J45" s="48">
        <f>'PL-CF-BS'!J119</f>
        <v>0</v>
      </c>
      <c r="K45" s="48">
        <f>'PL-CF-BS'!K119</f>
        <v>0</v>
      </c>
      <c r="L45" s="48">
        <f>'PL-CF-BS'!L119</f>
        <v>0</v>
      </c>
      <c r="M45" s="48">
        <f>'PL-CF-BS'!M119</f>
        <v>0</v>
      </c>
      <c r="N45" s="48">
        <f>'PL-CF-BS'!N119</f>
        <v>0</v>
      </c>
      <c r="O45" s="48">
        <f>'PL-CF-BS'!O119</f>
        <v>0</v>
      </c>
      <c r="P45" s="178">
        <f>'PL-CF-BS'!P119</f>
        <v>0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customHeight="1" spans="1:26">
      <c r="A46" s="169"/>
      <c r="B46" s="170" t="s">
        <v>252</v>
      </c>
      <c r="C46" s="171" t="s">
        <v>92</v>
      </c>
      <c r="D46" s="173"/>
      <c r="E46" s="173"/>
      <c r="F46" s="173"/>
      <c r="G46" s="173"/>
      <c r="H46" s="173"/>
      <c r="I46" s="173">
        <f>'PL-CF-BS'!I121+'PL-CF-BS'!I120</f>
        <v>2166</v>
      </c>
      <c r="J46" s="173">
        <f>'PL-CF-BS'!J121+'PL-CF-BS'!J120</f>
        <v>2487</v>
      </c>
      <c r="K46" s="173">
        <f>'PL-CF-BS'!K121+'PL-CF-BS'!K120</f>
        <v>2681</v>
      </c>
      <c r="L46" s="173">
        <f>'PL-CF-BS'!L121+'PL-CF-BS'!L120</f>
        <v>2835</v>
      </c>
      <c r="M46" s="173">
        <f>'PL-CF-BS'!M121+'PL-CF-BS'!M120</f>
        <v>3421</v>
      </c>
      <c r="N46" s="173">
        <f>'PL-CF-BS'!N121+'PL-CF-BS'!N120</f>
        <v>3621</v>
      </c>
      <c r="O46" s="173">
        <f>'PL-CF-BS'!O121+'PL-CF-BS'!O120</f>
        <v>3821</v>
      </c>
      <c r="P46" s="179">
        <f>'PL-CF-BS'!P121+'PL-CF-BS'!P120</f>
        <v>4021</v>
      </c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customHeight="1" spans="1:26">
      <c r="A47" s="23"/>
      <c r="B47" s="80"/>
      <c r="C47" s="175"/>
      <c r="D47" s="49"/>
      <c r="E47" s="49"/>
      <c r="F47" s="49"/>
      <c r="G47" s="49"/>
      <c r="H47" s="49"/>
      <c r="I47" s="49">
        <f>'PL-CF-BS'!I122</f>
        <v>7212</v>
      </c>
      <c r="J47" s="49">
        <f>'PL-CF-BS'!J122</f>
        <v>6360</v>
      </c>
      <c r="K47" s="49">
        <f>'PL-CF-BS'!K122</f>
        <v>7747</v>
      </c>
      <c r="L47" s="49">
        <f>'PL-CF-BS'!L122</f>
        <v>7857</v>
      </c>
      <c r="M47" s="49">
        <f>'PL-CF-BS'!M122</f>
        <v>9370</v>
      </c>
      <c r="N47" s="49">
        <f>'PL-CF-BS'!N122</f>
        <v>8584.23514298492</v>
      </c>
      <c r="O47" s="49">
        <f>'PL-CF-BS'!O122</f>
        <v>8587.86539206311</v>
      </c>
      <c r="P47" s="180">
        <f>'PL-CF-BS'!P122</f>
        <v>9038.74460088462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customHeight="1" spans="1:26">
      <c r="A48" s="23"/>
      <c r="B48" s="47" t="s">
        <v>253</v>
      </c>
      <c r="C48" s="165" t="s">
        <v>254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77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customHeight="1" spans="1:26">
      <c r="A49" s="23"/>
      <c r="B49" s="80" t="s">
        <v>255</v>
      </c>
      <c r="C49" s="175" t="s">
        <v>256</v>
      </c>
      <c r="D49" s="48"/>
      <c r="E49" s="48"/>
      <c r="F49" s="48"/>
      <c r="G49" s="48"/>
      <c r="H49" s="48"/>
      <c r="I49" s="48">
        <f>'PL-CF-BS'!I126</f>
        <v>2974</v>
      </c>
      <c r="J49" s="48">
        <f>'PL-CF-BS'!J126</f>
        <v>2729</v>
      </c>
      <c r="K49" s="48">
        <f>'PL-CF-BS'!K126</f>
        <v>2970</v>
      </c>
      <c r="L49" s="48">
        <f>'PL-CF-BS'!L126</f>
        <v>3241</v>
      </c>
      <c r="M49" s="48">
        <f>'PL-CF-BS'!M126</f>
        <v>3389</v>
      </c>
      <c r="N49" s="48">
        <f>'PL-CF-BS'!N126</f>
        <v>3489</v>
      </c>
      <c r="O49" s="48">
        <f>'PL-CF-BS'!O126</f>
        <v>3589</v>
      </c>
      <c r="P49" s="178">
        <f>'PL-CF-BS'!P126</f>
        <v>3689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customHeight="1" spans="1:26">
      <c r="A50" s="169"/>
      <c r="B50" s="170" t="s">
        <v>257</v>
      </c>
      <c r="C50" s="171" t="s">
        <v>258</v>
      </c>
      <c r="D50" s="173"/>
      <c r="E50" s="173"/>
      <c r="F50" s="173"/>
      <c r="G50" s="173"/>
      <c r="H50" s="173"/>
      <c r="I50" s="173">
        <f t="shared" ref="I50:P50" si="0">I51-I49</f>
        <v>7390</v>
      </c>
      <c r="J50" s="173">
        <f t="shared" si="0"/>
        <v>8851</v>
      </c>
      <c r="K50" s="173">
        <f t="shared" si="0"/>
        <v>8646</v>
      </c>
      <c r="L50" s="173">
        <f t="shared" si="0"/>
        <v>8753</v>
      </c>
      <c r="M50" s="173">
        <f t="shared" si="0"/>
        <v>9023</v>
      </c>
      <c r="N50" s="173">
        <f t="shared" si="0"/>
        <v>8843</v>
      </c>
      <c r="O50" s="173">
        <f t="shared" si="0"/>
        <v>8893</v>
      </c>
      <c r="P50" s="179">
        <f t="shared" si="0"/>
        <v>8943</v>
      </c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customHeight="1" spans="1:26">
      <c r="A51" s="23"/>
      <c r="B51" s="80"/>
      <c r="C51" s="175"/>
      <c r="D51" s="49"/>
      <c r="E51" s="49"/>
      <c r="F51" s="49"/>
      <c r="G51" s="49"/>
      <c r="H51" s="49"/>
      <c r="I51" s="49">
        <f>'PL-CF-BS'!I127</f>
        <v>10364</v>
      </c>
      <c r="J51" s="49">
        <f>'PL-CF-BS'!J127</f>
        <v>11580</v>
      </c>
      <c r="K51" s="49">
        <f>'PL-CF-BS'!K127</f>
        <v>11616</v>
      </c>
      <c r="L51" s="49">
        <f>'PL-CF-BS'!L127</f>
        <v>11994</v>
      </c>
      <c r="M51" s="49">
        <f>'PL-CF-BS'!M127</f>
        <v>12412</v>
      </c>
      <c r="N51" s="49">
        <f>'PL-CF-BS'!N127</f>
        <v>12332</v>
      </c>
      <c r="O51" s="49">
        <f>'PL-CF-BS'!O127</f>
        <v>12482</v>
      </c>
      <c r="P51" s="180">
        <f>'PL-CF-BS'!P127</f>
        <v>12632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customHeight="1" spans="1:26">
      <c r="A52" s="23"/>
      <c r="B52" s="34" t="s">
        <v>259</v>
      </c>
      <c r="C52" s="181" t="s">
        <v>27</v>
      </c>
      <c r="D52" s="49"/>
      <c r="E52" s="49"/>
      <c r="F52" s="49"/>
      <c r="G52" s="49"/>
      <c r="H52" s="49"/>
      <c r="I52" s="49">
        <f>'PL-CF-BS'!I129</f>
        <v>17576</v>
      </c>
      <c r="J52" s="49">
        <f>'PL-CF-BS'!J129</f>
        <v>17940</v>
      </c>
      <c r="K52" s="49">
        <f>'PL-CF-BS'!K129</f>
        <v>19363</v>
      </c>
      <c r="L52" s="49">
        <f>'PL-CF-BS'!L129</f>
        <v>19851</v>
      </c>
      <c r="M52" s="49">
        <f>'PL-CF-BS'!M129</f>
        <v>21782</v>
      </c>
      <c r="N52" s="49">
        <f>'PL-CF-BS'!N129</f>
        <v>20916.2351429849</v>
      </c>
      <c r="O52" s="49">
        <f>'PL-CF-BS'!O129</f>
        <v>21069.8653920631</v>
      </c>
      <c r="P52" s="180">
        <f>'PL-CF-BS'!P129</f>
        <v>21670.7446008846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customHeight="1" spans="1:26">
      <c r="A53" s="23"/>
      <c r="B53" s="34" t="s">
        <v>260</v>
      </c>
      <c r="C53" s="181" t="s">
        <v>261</v>
      </c>
      <c r="D53" s="49"/>
      <c r="E53" s="49"/>
      <c r="F53" s="49"/>
      <c r="G53" s="49"/>
      <c r="H53" s="49"/>
      <c r="I53" s="49">
        <f>'PL-CF-BS'!I138</f>
        <v>16451</v>
      </c>
      <c r="J53" s="49">
        <f>'PL-CF-BS'!J138</f>
        <v>17074</v>
      </c>
      <c r="K53" s="49">
        <f>'PL-CF-BS'!K138</f>
        <v>19069</v>
      </c>
      <c r="L53" s="49">
        <f>'PL-CF-BS'!L138</f>
        <v>18531</v>
      </c>
      <c r="M53" s="49">
        <f>'PL-CF-BS'!M138</f>
        <v>19469</v>
      </c>
      <c r="N53" s="49">
        <f>'PL-CF-BS'!N138</f>
        <v>20970.0058526815</v>
      </c>
      <c r="O53" s="49">
        <f>'PL-CF-BS'!O138</f>
        <v>22211.1958387653</v>
      </c>
      <c r="P53" s="180">
        <f>'PL-CF-BS'!P138</f>
        <v>23524.5365867815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customHeight="1" spans="1:26">
      <c r="A54" s="148"/>
      <c r="B54" s="182" t="s">
        <v>262</v>
      </c>
      <c r="C54" s="150" t="s">
        <v>263</v>
      </c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48"/>
      <c r="O54" s="151"/>
      <c r="P54" s="152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customHeight="1" spans="1:26">
      <c r="A55" s="23"/>
      <c r="B55" s="183" t="s">
        <v>264</v>
      </c>
      <c r="C55" s="184" t="s">
        <v>52</v>
      </c>
      <c r="D55" s="87"/>
      <c r="E55" s="87"/>
      <c r="F55" s="87"/>
      <c r="G55" s="87"/>
      <c r="H55" s="87"/>
      <c r="I55" s="87">
        <f>'PL-CF-BS'!I157</f>
        <v>0.322753209700428</v>
      </c>
      <c r="J55" s="87">
        <f>'PL-CF-BS'!J157</f>
        <v>0.331871626831149</v>
      </c>
      <c r="K55" s="87">
        <f>'PL-CF-BS'!K157</f>
        <v>0.363597171926194</v>
      </c>
      <c r="L55" s="87">
        <f>'PL-CF-BS'!L157</f>
        <v>0.38198408232173</v>
      </c>
      <c r="M55" s="87">
        <f>'PL-CF-BS'!M157</f>
        <v>0.37591985428051</v>
      </c>
      <c r="N55" s="87">
        <f>'PL-CF-BS'!N157</f>
        <v>0.37691985428051</v>
      </c>
      <c r="O55" s="87">
        <f>'PL-CF-BS'!O157</f>
        <v>0.37791985428051</v>
      </c>
      <c r="P55" s="185">
        <f>'PL-CF-BS'!P157</f>
        <v>0.37891985428051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customHeight="1" spans="1:26">
      <c r="A56" s="23"/>
      <c r="B56" s="183" t="s">
        <v>265</v>
      </c>
      <c r="C56" s="184" t="s">
        <v>60</v>
      </c>
      <c r="D56" s="87"/>
      <c r="E56" s="87"/>
      <c r="F56" s="87"/>
      <c r="G56" s="87"/>
      <c r="H56" s="87"/>
      <c r="I56" s="87">
        <f>'PL-CF-BS'!I22</f>
        <v>0.149582229468107</v>
      </c>
      <c r="J56" s="87">
        <f>'PL-CF-BS'!J22</f>
        <v>0.138540863531226</v>
      </c>
      <c r="K56" s="87">
        <f>'PL-CF-BS'!K22</f>
        <v>0.16097603035006</v>
      </c>
      <c r="L56" s="87">
        <f>'PL-CF-BS'!L22</f>
        <v>0.180963099927647</v>
      </c>
      <c r="M56" s="87">
        <f>'PL-CF-BS'!M22</f>
        <v>0.181056466302368</v>
      </c>
      <c r="N56" s="87">
        <f>'PL-CF-BS'!N22</f>
        <v>0.197885245901639</v>
      </c>
      <c r="O56" s="87">
        <f>'PL-CF-BS'!O22</f>
        <v>0.198885245901639</v>
      </c>
      <c r="P56" s="185">
        <f>'PL-CF-BS'!P22</f>
        <v>0.199885245901639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customHeight="1" spans="1:26">
      <c r="A57" s="23"/>
      <c r="B57" s="183" t="s">
        <v>266</v>
      </c>
      <c r="C57" s="184" t="s">
        <v>76</v>
      </c>
      <c r="D57" s="87"/>
      <c r="E57" s="87"/>
      <c r="F57" s="87"/>
      <c r="G57" s="87"/>
      <c r="H57" s="87"/>
      <c r="I57" s="87">
        <f>'PL-CF-BS'!I163</f>
        <v>0.111269614835949</v>
      </c>
      <c r="J57" s="87">
        <f>'PL-CF-BS'!J163</f>
        <v>0.116904394757132</v>
      </c>
      <c r="K57" s="87">
        <f>'PL-CF-BS'!K163</f>
        <v>0.138730815657872</v>
      </c>
      <c r="L57" s="87">
        <f>'PL-CF-BS'!L163</f>
        <v>0.152504220596511</v>
      </c>
      <c r="M57" s="87">
        <f>'PL-CF-BS'!M163</f>
        <v>0.14896174863388</v>
      </c>
      <c r="N57" s="87">
        <f>'PL-CF-BS'!N163</f>
        <v>0.160095344831403</v>
      </c>
      <c r="O57" s="87">
        <f>'PL-CF-BS'!O163</f>
        <v>0.161200732978862</v>
      </c>
      <c r="P57" s="185">
        <f>'PL-CF-BS'!P163</f>
        <v>0.16228905151993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customHeight="1" spans="1:26">
      <c r="A58" s="23"/>
      <c r="B58" s="23" t="s">
        <v>267</v>
      </c>
      <c r="C58" s="153" t="s">
        <v>154</v>
      </c>
      <c r="D58" s="87"/>
      <c r="E58" s="87"/>
      <c r="F58" s="87"/>
      <c r="G58" s="87"/>
      <c r="H58" s="87"/>
      <c r="I58" s="87">
        <f>'PL-CF-BS'!I164</f>
        <v>0.139361260887599</v>
      </c>
      <c r="J58" s="87">
        <f>'PL-CF-BS'!J164</f>
        <v>0.145056653412658</v>
      </c>
      <c r="K58" s="87">
        <f>'PL-CF-BS'!K164</f>
        <v>0.178420935905966</v>
      </c>
      <c r="L58" s="87">
        <f>'PL-CF-BS'!L164</f>
        <v>0.202217247628185</v>
      </c>
      <c r="M58" s="87">
        <f>'PL-CF-BS'!M164</f>
        <v>0.21570437580777</v>
      </c>
      <c r="N58" s="87">
        <f>'PL-CF-BS'!N164</f>
        <v>0.234142664958518</v>
      </c>
      <c r="O58" s="87">
        <f>'PL-CF-BS'!O164</f>
        <v>0.237486728710502</v>
      </c>
      <c r="P58" s="185">
        <f>'PL-CF-BS'!P164</f>
        <v>0.242983214504786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customHeight="1" spans="1:26">
      <c r="A59" s="23"/>
      <c r="B59" s="23" t="s">
        <v>268</v>
      </c>
      <c r="C59" s="153" t="s">
        <v>269</v>
      </c>
      <c r="D59" s="186"/>
      <c r="E59" s="186"/>
      <c r="F59" s="186"/>
      <c r="G59" s="186"/>
      <c r="H59" s="186"/>
      <c r="I59" s="186">
        <f>'PL-CF-BS'!I168</f>
        <v>57.6565365803953</v>
      </c>
      <c r="J59" s="186">
        <f>'PL-CF-BS'!J168</f>
        <v>64.840617771781</v>
      </c>
      <c r="K59" s="186">
        <f>'PL-CF-BS'!K168</f>
        <v>67.2770089670633</v>
      </c>
      <c r="L59" s="186">
        <f>'PL-CF-BS'!L168</f>
        <v>66</v>
      </c>
      <c r="M59" s="186">
        <f>'PL-CF-BS'!M168</f>
        <v>66</v>
      </c>
      <c r="N59" s="186">
        <f>'PL-CF-BS'!N168</f>
        <v>66</v>
      </c>
      <c r="O59" s="186">
        <f>'PL-CF-BS'!O168</f>
        <v>66</v>
      </c>
      <c r="P59" s="187">
        <f>'PL-CF-BS'!P168</f>
        <v>66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customHeight="1" spans="1:26">
      <c r="A60" s="23"/>
      <c r="B60" s="23" t="s">
        <v>270</v>
      </c>
      <c r="C60" s="153" t="s">
        <v>271</v>
      </c>
      <c r="D60" s="186"/>
      <c r="E60" s="186"/>
      <c r="F60" s="186"/>
      <c r="G60" s="186"/>
      <c r="H60" s="186"/>
      <c r="I60" s="186">
        <f>'PL-CF-BS'!I169</f>
        <v>69.7160159482434</v>
      </c>
      <c r="J60" s="186">
        <f>'PL-CF-BS'!J169</f>
        <v>84.2277316985215</v>
      </c>
      <c r="K60" s="186">
        <f>'PL-CF-BS'!K169</f>
        <v>88.6290814252811</v>
      </c>
      <c r="L60" s="186">
        <f>'PL-CF-BS'!L169</f>
        <v>89</v>
      </c>
      <c r="M60" s="186">
        <f>'PL-CF-BS'!M169</f>
        <v>89</v>
      </c>
      <c r="N60" s="186">
        <f>'PL-CF-BS'!N169</f>
        <v>89</v>
      </c>
      <c r="O60" s="186">
        <f>'PL-CF-BS'!O169</f>
        <v>89</v>
      </c>
      <c r="P60" s="187">
        <f>'PL-CF-BS'!P169</f>
        <v>89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customHeight="1" spans="1:26">
      <c r="A61" s="23"/>
      <c r="B61" s="23" t="s">
        <v>272</v>
      </c>
      <c r="C61" s="153" t="s">
        <v>273</v>
      </c>
      <c r="D61" s="87"/>
      <c r="E61" s="87"/>
      <c r="F61" s="87"/>
      <c r="G61" s="87"/>
      <c r="H61" s="87"/>
      <c r="I61" s="87">
        <f t="shared" ref="I61:P61" si="1">I52/I39</f>
        <v>0.5165309900961</v>
      </c>
      <c r="J61" s="87">
        <f t="shared" si="1"/>
        <v>0.512366481978637</v>
      </c>
      <c r="K61" s="87" t="str">
        <f ca="1" t="shared" si="1"/>
        <v>#REF!</v>
      </c>
      <c r="L61" s="87">
        <f t="shared" si="1"/>
        <v>0.517209035720799</v>
      </c>
      <c r="M61" s="87">
        <f t="shared" si="1"/>
        <v>0.528048484848485</v>
      </c>
      <c r="N61" s="87">
        <f t="shared" si="1"/>
        <v>0.508491132059037</v>
      </c>
      <c r="O61" s="87">
        <f t="shared" si="1"/>
        <v>0.495426474436079</v>
      </c>
      <c r="P61" s="185">
        <f t="shared" si="1"/>
        <v>0.487608003082093</v>
      </c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customHeight="1" spans="1:26">
      <c r="A62" s="23"/>
      <c r="B62" s="23"/>
      <c r="C62" s="153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23"/>
      <c r="O62" s="87"/>
      <c r="P62" s="185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customHeight="1" spans="1:26">
      <c r="A63" s="148"/>
      <c r="B63" s="149" t="s">
        <v>274</v>
      </c>
      <c r="C63" s="150" t="s">
        <v>275</v>
      </c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48"/>
      <c r="O63" s="151"/>
      <c r="P63" s="152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 customHeight="1" spans="1:26">
      <c r="A64" s="23"/>
      <c r="B64" s="188" t="s">
        <v>276</v>
      </c>
      <c r="C64" s="153" t="s">
        <v>38</v>
      </c>
      <c r="D64" s="23"/>
      <c r="E64" s="23"/>
      <c r="F64" s="23"/>
      <c r="G64" s="23"/>
      <c r="H64" s="23"/>
      <c r="I64" s="189">
        <f>'PL-CF-BS'!I51</f>
        <v>5.4778028592927</v>
      </c>
      <c r="J64" s="189">
        <f>'PL-CF-BS'!J51</f>
        <v>6.08477552044143</v>
      </c>
      <c r="K64" s="189">
        <f>'PL-CF-BS'!K51</f>
        <v>8.07123150238274</v>
      </c>
      <c r="L64" s="189">
        <f>'PL-CF-BS'!L51</f>
        <v>9.49924887330997</v>
      </c>
      <c r="M64" s="189">
        <f>'PL-CF-BS'!M51</f>
        <v>10.3257575757576</v>
      </c>
      <c r="N64" s="189">
        <f>'PL-CF-BS'!N51</f>
        <v>11.9281320855269</v>
      </c>
      <c r="O64" s="189">
        <f>'PL-CF-BS'!O51</f>
        <v>12.9185935543357</v>
      </c>
      <c r="P64" s="190">
        <f>'PL-CF-BS'!P51</f>
        <v>13.9989095709667</v>
      </c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customHeight="1" spans="1:26">
      <c r="A65" s="23"/>
      <c r="B65" s="188" t="s">
        <v>277</v>
      </c>
      <c r="C65" s="153" t="s">
        <v>278</v>
      </c>
      <c r="D65" s="23"/>
      <c r="E65" s="23"/>
      <c r="F65" s="23"/>
      <c r="G65" s="23"/>
      <c r="H65" s="23"/>
      <c r="I65" s="189">
        <f>'PL-CF-BS'!I135</f>
        <v>41.1662904439428</v>
      </c>
      <c r="J65" s="189">
        <f>'PL-CF-BS'!J135</f>
        <v>42.728868823677</v>
      </c>
      <c r="K65" s="189">
        <f>'PL-CF-BS'!K135</f>
        <v>47.7451718083772</v>
      </c>
      <c r="L65" s="189">
        <f>'PL-CF-BS'!L135</f>
        <v>46.2894341512268</v>
      </c>
      <c r="M65" s="189">
        <f>'PL-CF-BS'!M135</f>
        <v>49.0530303030303</v>
      </c>
      <c r="N65" s="189">
        <f>'PL-CF-BS'!N135</f>
        <v>52.8346977420926</v>
      </c>
      <c r="O65" s="189">
        <f>'PL-CF-BS'!O135</f>
        <v>55.9595378304019</v>
      </c>
      <c r="P65" s="190">
        <f>'PL-CF-BS'!P135</f>
        <v>59.2657842108534</v>
      </c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customHeight="1" spans="1:26">
      <c r="A66" s="23"/>
      <c r="B66" s="188" t="s">
        <v>279</v>
      </c>
      <c r="C66" s="153" t="s">
        <v>85</v>
      </c>
      <c r="D66" s="23"/>
      <c r="E66" s="23"/>
      <c r="F66" s="23"/>
      <c r="G66" s="23"/>
      <c r="H66" s="23"/>
      <c r="I66" s="189">
        <f>'PL-CF-BS'!I59</f>
        <v>3.10007524454477</v>
      </c>
      <c r="J66" s="189">
        <f>'PL-CF-BS'!J59</f>
        <v>3.30072736393278</v>
      </c>
      <c r="K66" s="189">
        <f>'PL-CF-BS'!K59</f>
        <v>3.45874090795084</v>
      </c>
      <c r="L66" s="189">
        <f>'PL-CF-BS'!L59</f>
        <v>3.75563345017526</v>
      </c>
      <c r="M66" s="189">
        <f>'PL-CF-BS'!M59</f>
        <v>4.10606060606061</v>
      </c>
      <c r="N66" s="189">
        <f>'PL-CF-BS'!N59</f>
        <v>4.74324841552134</v>
      </c>
      <c r="O66" s="189">
        <f>'PL-CF-BS'!O59</f>
        <v>5.13710763495961</v>
      </c>
      <c r="P66" s="190">
        <f>'PL-CF-BS'!P59</f>
        <v>5.56669771640788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customHeight="1" spans="1:26">
      <c r="A67" s="23"/>
      <c r="B67" s="188" t="s">
        <v>280</v>
      </c>
      <c r="C67" s="153" t="s">
        <v>281</v>
      </c>
      <c r="D67" s="23"/>
      <c r="E67" s="23"/>
      <c r="F67" s="23"/>
      <c r="G67" s="23"/>
      <c r="H67" s="23"/>
      <c r="I67" s="189">
        <f>'PL-CF-BS'!I20/'PL-CF-BS'!I48</f>
        <v>7.36393278154001</v>
      </c>
      <c r="J67" s="189">
        <f>'PL-CF-BS'!J20/'PL-CF-BS'!J48</f>
        <v>7.21093554050665</v>
      </c>
      <c r="K67" s="189">
        <f>'PL-CF-BS'!K20/'PL-CF-BS'!K48</f>
        <v>9.36543767243542</v>
      </c>
      <c r="L67" s="189">
        <f>'PL-CF-BS'!L20/'PL-CF-BS'!L48</f>
        <v>11.2719078617927</v>
      </c>
      <c r="M67" s="189">
        <f>'PL-CF-BS'!M20/'PL-CF-BS'!M48</f>
        <v>12.5505050505051</v>
      </c>
      <c r="N67" s="189">
        <f>'PL-CF-BS'!N20/'PL-CF-BS'!N48</f>
        <v>14.7437225821742</v>
      </c>
      <c r="O67" s="189">
        <f>'PL-CF-BS'!O20/'PL-CF-BS'!O48</f>
        <v>15.9386226618107</v>
      </c>
      <c r="P67" s="190">
        <f>'PL-CF-BS'!P20/'PL-CF-BS'!P48</f>
        <v>17.2419239359708</v>
      </c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customHeight="1" spans="1:26">
      <c r="A68" s="23"/>
      <c r="B68" s="188" t="s">
        <v>282</v>
      </c>
      <c r="C68" s="191" t="s">
        <v>283</v>
      </c>
      <c r="D68" s="192"/>
      <c r="E68" s="192"/>
      <c r="F68" s="192"/>
      <c r="G68" s="192"/>
      <c r="H68" s="192"/>
      <c r="I68" s="193">
        <f>'PL-CF-BS'!I70/'PL-CF-BS'!I48</f>
        <v>5.42513167795335</v>
      </c>
      <c r="J68" s="193">
        <f>'PL-CF-BS'!J70/'PL-CF-BS'!J48</f>
        <v>6.3531477301229</v>
      </c>
      <c r="K68" s="193">
        <f>'PL-CF-BS'!K70/'PL-CF-BS'!K48</f>
        <v>9.0895410082769</v>
      </c>
      <c r="L68" s="193">
        <f>'PL-CF-BS'!L70/'PL-CF-BS'!L48</f>
        <v>10.8337506259389</v>
      </c>
      <c r="M68" s="193">
        <f>'PL-CF-BS'!M70/'PL-CF-BS'!M48</f>
        <v>11.2929292929293</v>
      </c>
      <c r="N68" s="193">
        <f>'PL-CF-BS'!N70/'PL-CF-BS'!N48</f>
        <v>14.4242308314514</v>
      </c>
      <c r="O68" s="193">
        <f>'PL-CF-BS'!O70/'PL-CF-BS'!O48</f>
        <v>12.6825803685036</v>
      </c>
      <c r="P68" s="194">
        <f>'PL-CF-BS'!P70/'PL-CF-BS'!P48</f>
        <v>16.4887515840185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customHeight="1" spans="1:26">
      <c r="A69" s="23"/>
      <c r="B69" s="23"/>
      <c r="C69" s="23" t="s">
        <v>284</v>
      </c>
      <c r="D69" s="23"/>
      <c r="E69" s="23"/>
      <c r="F69" s="23"/>
      <c r="G69" s="23"/>
      <c r="H69" s="23"/>
      <c r="I69" s="189">
        <f>'PL-CF-BS'!I71/'PL-CF-BS'!I49</f>
        <v>0</v>
      </c>
      <c r="J69" s="189">
        <f>'PL-CF-BS'!J71/'PL-CF-BS'!J49</f>
        <v>0</v>
      </c>
      <c r="K69" s="189">
        <f>'PL-CF-BS'!K71/'PL-CF-BS'!K49</f>
        <v>0</v>
      </c>
      <c r="L69" s="189">
        <f>140520/'PL-CF-BS'!L28</f>
        <v>25.9118569057717</v>
      </c>
      <c r="M69" s="189">
        <f>140520/'PL-CF-BS'!M28</f>
        <v>23.5140562248996</v>
      </c>
      <c r="N69" s="189">
        <f>140520/'PL-CF-BS'!N28</f>
        <v>21.264906469087</v>
      </c>
      <c r="O69" s="189">
        <f>140520/'PL-CF-BS'!O28</f>
        <v>19.7421461507462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 spans="1:2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 spans="1:2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 spans="1:2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 spans="1:2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 spans="1:2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 spans="1:2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 spans="1:2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 spans="1:2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 spans="1:2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 spans="1:2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 spans="1:2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 spans="1:2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 spans="1:2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 spans="1:2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 spans="1:2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 spans="1:2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 spans="1:2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 spans="1:2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 spans="1:2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 spans="1:2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 spans="1:2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 spans="1:2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 spans="1:2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 spans="1:2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 spans="1:2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 spans="1:2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 spans="1:2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 spans="1:2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 spans="1:2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 spans="1:2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 spans="1:2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 spans="1:2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 spans="1:2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 spans="1:2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 spans="1:2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 spans="1:2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 spans="1:2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 spans="1:2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 spans="1:2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 spans="1:2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 spans="1:2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 spans="1:2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 spans="1:2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 spans="1:2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 spans="1:2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 spans="1:2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 spans="1:2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 spans="1:2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 spans="1:2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 spans="1:2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 spans="1:2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 spans="1:2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 spans="1:2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 spans="1:2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 spans="1:2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 spans="1:2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 spans="1: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 spans="1:2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 spans="1:2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 spans="1:2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 spans="1:2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 spans="1:2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 spans="1:2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 spans="1:2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 spans="1:2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 spans="1:2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 spans="1:2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 spans="1:2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 spans="1:2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 spans="1:2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 spans="1:2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 spans="1:2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 spans="1:2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 spans="1:2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 spans="1:2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 spans="1:2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 spans="1:2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 spans="1:2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 spans="1:2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 spans="1:2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 spans="1:2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 spans="1:2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 spans="1:2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 spans="1:2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 spans="1:2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 spans="1:2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 spans="1:2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 spans="1:2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 spans="1:2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 spans="1:2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 spans="1:2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 spans="1:2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 spans="1:2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 spans="1:2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 spans="1:2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 spans="1:2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 spans="1:2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 spans="1:2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 spans="1:2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 spans="1:2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 spans="1:2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 spans="1:2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 spans="1:2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 spans="1:2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 spans="1:2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 spans="1:2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 spans="1:2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 spans="1:2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 spans="1:2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 spans="1:2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 spans="1:2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 spans="1:2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 spans="1:2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 spans="1:2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 spans="1:2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 spans="1:2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 spans="1:2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 spans="1:2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 spans="1:2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 spans="1:2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 spans="1:2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 spans="1:2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 spans="1:2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 spans="1:2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 spans="1:2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 spans="1:2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 spans="1:2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 spans="1:2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 spans="1:2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 spans="1:2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 spans="1:2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 spans="1:2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 spans="1:2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 spans="1:2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 spans="1:2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 spans="1:2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 spans="1:2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 spans="1:2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 spans="1:2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 spans="1:2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 spans="1:2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 spans="1:2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 spans="1:2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 spans="1:2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 spans="1:2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 spans="1:2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 spans="1:2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 spans="1:2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 spans="1:2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 spans="1:2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 spans="1:2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 spans="1:2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 spans="1:2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 spans="1:2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 spans="1:2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 spans="1:2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 spans="1: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 spans="1:2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 spans="1:2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 spans="1:2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 spans="1:2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 spans="1:2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 spans="1:2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 spans="1:2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 spans="1:2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 spans="1:2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 spans="1:2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 spans="1:2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 spans="1:2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 spans="1:2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 spans="1:2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 spans="1:2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 spans="1:2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 spans="1:2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 spans="1:2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 spans="1:2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 spans="1:2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 spans="1:2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 spans="1:2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 spans="1:2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 spans="1:2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 spans="1:2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 spans="1:2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 spans="1:2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 spans="1:2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 spans="1:2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 spans="1:2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 spans="1:2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 spans="1:2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 spans="1:2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 spans="1:2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 spans="1:2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 spans="1:2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 spans="1:2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 spans="1:2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 spans="1:2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 spans="1:2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 spans="1:2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 spans="1:2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 spans="1:2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 spans="1:2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 spans="1:2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 spans="1:2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 spans="1:2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 spans="1:2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 spans="1:2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 spans="1:2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 spans="1:2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 spans="1:2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 spans="1:2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 spans="1:2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 spans="1:2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 spans="1:2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 spans="1:2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 spans="1:2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 spans="1:2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 spans="1:2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 spans="1:2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 spans="1:2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 spans="1:2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 spans="1:2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 spans="1:2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 spans="1:2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 spans="1:2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 spans="1:2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 spans="1:2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 spans="1:2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 spans="1:2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 spans="1:2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 spans="1:2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 spans="1:2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 spans="1:2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 spans="1:2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 spans="1:2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 spans="1:2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 spans="1:2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 spans="1:2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 spans="1:2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 spans="1:2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 spans="1:2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 spans="1:2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 spans="1:2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 spans="1:2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 spans="1:2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 spans="1:2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 spans="1:2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 spans="1:2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 spans="1:2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 spans="1:2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 spans="1:2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 spans="1:2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 spans="1:2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 spans="1:2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 spans="1:2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 spans="1:2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 spans="1:2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 spans="1: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 spans="1:2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 spans="1:2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 spans="1:2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 spans="1:2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 spans="1:2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 spans="1:2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 spans="1:2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 spans="1:2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 spans="1:2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 spans="1:2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 spans="1:2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 spans="1:2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 spans="1:2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 spans="1:2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 spans="1:2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 spans="1:2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 spans="1:2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 spans="1:2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 spans="1:2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 spans="1:2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 spans="1:2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 spans="1:2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 spans="1:2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 spans="1:2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 spans="1:2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 spans="1:2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 spans="1:2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 spans="1:2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 spans="1:2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 spans="1:2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 spans="1:2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 spans="1:2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 spans="1:2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 spans="1:2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 spans="1:2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 spans="1:2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 spans="1:2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 spans="1:2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 spans="1:2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 spans="1:2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 spans="1:2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 spans="1:2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 spans="1:2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 spans="1:2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 spans="1:2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 spans="1:2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 spans="1:2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 spans="1:2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 spans="1:2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 spans="1:2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 spans="1:2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 spans="1:2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 spans="1:2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 spans="1:2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 spans="1:2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 spans="1:2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 spans="1:2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 spans="1:2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 spans="1:2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 spans="1:2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 spans="1:2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 spans="1:2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 spans="1:2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 spans="1:2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 spans="1:2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 spans="1:2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 spans="1:2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 spans="1:2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 spans="1:2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 spans="1:2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 spans="1:2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 spans="1:2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 spans="1:2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 spans="1:2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 spans="1:2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 spans="1:2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 spans="1:2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 spans="1:2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 spans="1:2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 spans="1:2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 spans="1:2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 spans="1:2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 spans="1:2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 spans="1:2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 spans="1:2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 spans="1:2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 spans="1:2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 spans="1:2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 spans="1:2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 spans="1:2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 spans="1:2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 spans="1:2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 spans="1:2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 spans="1:2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 spans="1:2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 spans="1:2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 spans="1:2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 spans="1:2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 spans="1:2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 spans="1: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 spans="1:2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 spans="1:2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 spans="1:2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 spans="1:2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 spans="1:2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 spans="1:2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 spans="1:2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 spans="1:2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 spans="1:2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 spans="1:2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 spans="1:2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 spans="1:2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 spans="1:2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 spans="1:2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 spans="1:2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 spans="1:2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 spans="1:2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 spans="1:2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 spans="1:2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 spans="1:2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 spans="1:2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 spans="1:2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 spans="1:2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 spans="1:2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 spans="1:2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 spans="1:2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 spans="1:2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 spans="1:2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 spans="1:2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 spans="1:2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 spans="1:2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 spans="1:2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 spans="1:2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 spans="1:2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 spans="1:2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 spans="1:2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 spans="1:2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 spans="1:2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 spans="1:2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 spans="1:2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 spans="1:2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 spans="1:2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 spans="1:2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 spans="1:2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 spans="1:2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 spans="1:2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 spans="1:2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 spans="1:2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 spans="1:2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 spans="1:2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 spans="1:2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 spans="1:2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 spans="1:2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 spans="1:2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 spans="1:2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 spans="1:2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 spans="1:2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 spans="1:2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 spans="1:2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 spans="1:2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 spans="1:2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 spans="1:2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 spans="1:2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 spans="1:2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 spans="1:2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 spans="1:2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 spans="1:2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 spans="1:2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 spans="1:2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 spans="1:2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 spans="1:2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 spans="1:2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 spans="1:2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 spans="1:2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 spans="1:2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 spans="1:2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 spans="1:2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 spans="1:2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 spans="1:2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 spans="1:2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 spans="1:2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 spans="1:2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 spans="1:2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 spans="1:2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 spans="1:2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 spans="1:2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 spans="1:2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 spans="1:2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 spans="1:2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 spans="1:2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 spans="1:2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 spans="1:2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 spans="1:2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 spans="1:2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 spans="1:2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 spans="1:2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 spans="1:2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 spans="1:2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 spans="1:2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 spans="1: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 spans="1:2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 spans="1:2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 spans="1:2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 spans="1:2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 spans="1:2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 spans="1:2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 spans="1:2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 spans="1:2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 spans="1:2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 spans="1:2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 spans="1:2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 spans="1:2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 spans="1:2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 spans="1:2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 spans="1:2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 spans="1:2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 spans="1:2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 spans="1:2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 spans="1:2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 spans="1:2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 spans="1:2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 spans="1:2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 spans="1:2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 spans="1:2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 spans="1:2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 spans="1:2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 spans="1:2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 spans="1:2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 spans="1:2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 spans="1:2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 spans="1:2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 spans="1:2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 spans="1:2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 spans="1:2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 spans="1:2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 spans="1:2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 spans="1:2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 spans="1:2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 spans="1:2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 spans="1:2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 spans="1:2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 spans="1:2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 spans="1:2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 spans="1:2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 spans="1:2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 spans="1:2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 spans="1:2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 spans="1:2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 spans="1:2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 spans="1:2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 spans="1:2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 spans="1:2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 spans="1:2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 spans="1:2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 spans="1:2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 spans="1:2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 spans="1:2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 spans="1:2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 spans="1:2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 spans="1:2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 spans="1:2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 spans="1:2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 spans="1:2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 spans="1:2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 spans="1:2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 spans="1:2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 spans="1:2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 spans="1:2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 spans="1:2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 spans="1:2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 spans="1:2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 spans="1:2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 spans="1:2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 spans="1:2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 spans="1:2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 spans="1:2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 spans="1:2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 spans="1:2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 spans="1:2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 spans="1:2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 spans="1:2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 spans="1:2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 spans="1:2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 spans="1:2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 spans="1:2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 spans="1:2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 spans="1:2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 spans="1:2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 spans="1:2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 spans="1:2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 spans="1:2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 spans="1:2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 spans="1:2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 spans="1:2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 spans="1:2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 spans="1:2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 spans="1:2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 spans="1:2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 spans="1:2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 spans="1: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 spans="1:2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 spans="1:2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 spans="1:2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 spans="1:2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 spans="1:2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 spans="1:2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 spans="1:2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 spans="1:2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 spans="1:2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 spans="1:2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 spans="1:2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 spans="1:2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 spans="1:2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 spans="1:2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 spans="1:2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 spans="1:2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 spans="1:2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 spans="1:2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 spans="1:2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 spans="1:2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 spans="1:2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 spans="1:2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 spans="1:2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 spans="1:2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 spans="1:2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 spans="1:2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 spans="1:2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 spans="1:2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 spans="1:2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 spans="1:2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 spans="1:2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 spans="1:2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 spans="1:2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 spans="1:2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 spans="1:2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 spans="1:2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 spans="1:2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 spans="1:2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 spans="1:2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 spans="1:2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 spans="1:2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 spans="1:2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 spans="1:2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 spans="1:2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 spans="1:2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 spans="1:2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 spans="1:2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 spans="1:2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 spans="1:2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 spans="1:2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 spans="1:2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 spans="1:2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 spans="1:2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 spans="1:2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 spans="1:2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 spans="1:2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 spans="1:2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 spans="1:2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 spans="1:2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 spans="1:2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 spans="1:2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 spans="1:2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 spans="1:2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 spans="1:2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 spans="1:2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 spans="1:2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 spans="1:2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 spans="1:2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 spans="1:2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 spans="1:2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 spans="1:2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 spans="1:2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 spans="1:2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 spans="1:2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 spans="1:2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 spans="1:2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 spans="1:2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 spans="1:2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 spans="1:2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 spans="1:2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 spans="1:2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 spans="1:2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 spans="1:2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 spans="1:2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 spans="1:2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 spans="1:2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 spans="1:2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 spans="1:2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 spans="1:2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 spans="1:2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 spans="1:2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 spans="1:2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 spans="1:2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 spans="1:2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 spans="1:2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 spans="1:2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 spans="1:2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 spans="1:2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 spans="1:2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 spans="1: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 spans="1:2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 spans="1:2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 spans="1:2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 spans="1:2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 spans="1:2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 spans="1:2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 spans="1:2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 spans="1:2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 spans="1:2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 spans="1:2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 spans="1:2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 spans="1:2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 spans="1:2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 spans="1:2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 spans="1:2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 spans="1:2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 spans="1:2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 spans="1:2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 spans="1:2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 spans="1:2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 spans="1:2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 spans="1:2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 spans="1:2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 spans="1:2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 spans="1:2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 spans="1:2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 spans="1:2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 spans="1:2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 spans="1:2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 spans="1:2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 spans="1:2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 spans="1:2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 spans="1:2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 spans="1:2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 spans="1:2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 spans="1:2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 spans="1:2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 spans="1:2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 spans="1:2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 spans="1:2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 spans="1:2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 spans="1:2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 spans="1:2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 spans="1:2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 spans="1:2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 spans="1:2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 spans="1:2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 spans="1:2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 spans="1:2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 spans="1:2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 spans="1:2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 spans="1:2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 spans="1:2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 spans="1:2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 spans="1:2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 spans="1:2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 spans="1:2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 spans="1:2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 spans="1:2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 spans="1:2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 spans="1:2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 spans="1:2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 spans="1:2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 spans="1:2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 spans="1:2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 spans="1:2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 spans="1:2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 spans="1:2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 spans="1:2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 spans="1:2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 spans="1:2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 spans="1:2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 spans="1:2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 spans="1:2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 spans="1:2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 spans="1:2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 spans="1:2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 spans="1:2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 spans="1:2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 spans="1:2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 spans="1:2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 spans="1:2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 spans="1:2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 spans="1:2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 spans="1:2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 spans="1:2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 spans="1:2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 spans="1:2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 spans="1:2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 spans="1:2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 spans="1:2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 spans="1:2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 spans="1:2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 spans="1:2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 spans="1:2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 spans="1:2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 spans="1:2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 spans="1:2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 spans="1:2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 spans="1: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 spans="1:2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 spans="1:2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 spans="1:2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 spans="1:2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 spans="1:2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 spans="1:2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 spans="1:2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 spans="1:2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 spans="1:2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 spans="1:2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 spans="1:2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 spans="1:2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 spans="1:2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 spans="1:2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 spans="1:2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 spans="1:2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 spans="1:2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 spans="1:2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 spans="1:2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 spans="1:2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 spans="1:2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 spans="1:2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 spans="1:2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 spans="1:2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 spans="1:2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 spans="1:2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 spans="1:2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 spans="1:2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 spans="1:2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 spans="1:2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 spans="1:2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 spans="1:2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 spans="1:2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 spans="1:2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 spans="1:2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 spans="1:2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 spans="1:2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 spans="1:2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 spans="1:2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 spans="1:2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 spans="1:2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 spans="1:2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 spans="1:2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 spans="1:2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 spans="1:2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 spans="1:2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 spans="1:2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 spans="1:2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 spans="1:2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 spans="1:2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 spans="1:2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 spans="1:2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 spans="1:2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 spans="1:2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 spans="1:2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 spans="1:2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 spans="1:2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 spans="1:2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 spans="1:2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 spans="1:2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 spans="1:2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 spans="1:2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 spans="1:2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 spans="1:2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 spans="1:2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 spans="1:2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 spans="1:2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 spans="1:2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 spans="1:2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 spans="1:2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 spans="1:2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 spans="1:2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 spans="1:2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 spans="1:2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 spans="1:2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 spans="1:2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 spans="1:2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 spans="1:2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 spans="1:2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 spans="1:2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 spans="1:2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 spans="1:2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 spans="1:2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 spans="1:2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 spans="1:2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 spans="1:2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 spans="1:2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 spans="1:2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 spans="1:2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 spans="1:2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 spans="1:2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 spans="1:2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 spans="1:2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 spans="1:2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 spans="1:2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 spans="1:2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 spans="1:2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 spans="1:2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 spans="1:2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 spans="1: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 spans="1:2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 spans="1:2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 spans="1:2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 spans="1:2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 spans="1:2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 spans="1:2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 spans="1:2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 spans="1:2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 spans="1:2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 spans="1:2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 spans="1:2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 spans="1:2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 spans="1:2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 spans="1:2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 spans="1:26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 spans="1:26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 spans="1:26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 spans="1:26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 spans="1:26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 spans="1:2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 spans="1:26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 spans="1:26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 spans="1:26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 spans="1:26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 spans="1:26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 spans="1:26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 spans="1:26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 spans="1:26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 spans="1:26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 spans="1:2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 spans="1:26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 spans="1:26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 spans="1:26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 spans="1:26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 spans="1:26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 spans="1:26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 spans="1:26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 spans="1:26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 spans="1:26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 spans="1:2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 spans="1:26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 spans="1:26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 spans="1:26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 spans="1:26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 spans="1:26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 spans="1:26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 spans="1:26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 spans="1:26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 spans="1:26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 spans="1:2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 spans="1:26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 spans="1:26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 spans="1:26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 spans="1:26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 spans="1:26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 spans="1:26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 spans="1:26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 spans="1:26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 spans="1:26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 spans="1:2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 spans="1:26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 spans="1:26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 spans="1:26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 spans="1:26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 spans="1:26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 spans="1:26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 spans="1:26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 spans="1:26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 spans="1:26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 spans="1:2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 spans="1:26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 spans="1:26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 spans="1:26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 spans="1:26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5" right="0.75" top="1" bottom="1" header="0" footer="0"/>
  <pageSetup paperSize="9" scale="6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1.2166666666667" defaultRowHeight="15" customHeight="1"/>
  <cols>
    <col min="1" max="1" width="30" customWidth="1"/>
    <col min="2" max="2" width="16.6666666666667" customWidth="1"/>
    <col min="3" max="3" width="15.1083333333333" customWidth="1"/>
    <col min="4" max="4" width="14.8916666666667" customWidth="1"/>
    <col min="5" max="6" width="11" customWidth="1"/>
    <col min="7" max="7" width="26.6666666666667" customWidth="1"/>
    <col min="8" max="9" width="15.8916666666667" customWidth="1"/>
    <col min="10" max="10" width="14.3333333333333" customWidth="1"/>
    <col min="11" max="11" width="14.1083333333333" customWidth="1"/>
    <col min="12" max="12" width="14" customWidth="1"/>
    <col min="13" max="13" width="14.8916666666667" customWidth="1"/>
    <col min="14" max="15" width="13.6666666666667" customWidth="1"/>
    <col min="16" max="16" width="14.4416666666667" customWidth="1"/>
    <col min="17" max="17" width="13.6666666666667" customWidth="1"/>
    <col min="18" max="18" width="13.1083333333333" customWidth="1"/>
    <col min="19" max="19" width="14.1083333333333" customWidth="1"/>
    <col min="20" max="20" width="15.1083333333333" customWidth="1"/>
    <col min="21" max="21" width="10.8916666666667" customWidth="1"/>
    <col min="22" max="24" width="11" customWidth="1"/>
    <col min="25" max="26" width="10.8916666666667" customWidth="1"/>
  </cols>
  <sheetData>
    <row r="1" ht="14.25" customHeight="1" spans="1:26">
      <c r="A1" s="105"/>
      <c r="B1" s="106"/>
      <c r="C1" s="106"/>
      <c r="D1" s="106"/>
      <c r="G1" s="107"/>
      <c r="H1" s="108"/>
      <c r="I1" s="109"/>
      <c r="J1" s="108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Y1" s="110"/>
      <c r="Z1" s="110"/>
    </row>
    <row r="2" ht="14.25" customHeight="1" spans="1:26">
      <c r="A2" s="105"/>
      <c r="B2" s="106"/>
      <c r="C2" s="106"/>
      <c r="D2" s="106"/>
      <c r="G2" s="107"/>
      <c r="H2" s="108"/>
      <c r="I2" s="108"/>
      <c r="J2" s="108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Y2" s="110"/>
      <c r="Z2" s="110"/>
    </row>
    <row r="3" ht="14.25" customHeight="1" spans="1:26">
      <c r="A3" s="105"/>
      <c r="B3" s="106"/>
      <c r="C3" s="106"/>
      <c r="D3" s="106"/>
      <c r="G3" s="107"/>
      <c r="H3" s="108"/>
      <c r="I3" s="108"/>
      <c r="J3" s="108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Y3" s="110"/>
      <c r="Z3" s="110"/>
    </row>
    <row r="4" ht="14.25" customHeight="1" spans="1:26">
      <c r="A4" s="105"/>
      <c r="B4" s="106"/>
      <c r="C4" s="106"/>
      <c r="D4" s="106"/>
      <c r="G4" s="107"/>
      <c r="H4" s="108"/>
      <c r="I4" s="108"/>
      <c r="J4" s="108"/>
      <c r="K4" s="108"/>
      <c r="L4" s="110"/>
      <c r="M4" s="110"/>
      <c r="N4" s="110"/>
      <c r="O4" s="110"/>
      <c r="P4" s="110"/>
      <c r="Q4" s="110"/>
      <c r="R4" s="110"/>
      <c r="S4" s="110"/>
      <c r="T4" s="110"/>
      <c r="U4" s="110"/>
      <c r="Y4" s="110"/>
      <c r="Z4" s="110"/>
    </row>
    <row r="5" ht="14.25" customHeight="1" spans="1:26">
      <c r="A5" s="105"/>
      <c r="B5" s="106"/>
      <c r="C5" s="106"/>
      <c r="D5" s="106"/>
      <c r="G5" s="107"/>
      <c r="H5" s="108"/>
      <c r="I5" s="108"/>
      <c r="J5" s="108"/>
      <c r="K5" s="108"/>
      <c r="L5" s="110"/>
      <c r="M5" s="110"/>
      <c r="N5" s="110"/>
      <c r="O5" s="110"/>
      <c r="P5" s="110"/>
      <c r="Q5" s="110"/>
      <c r="R5" s="110"/>
      <c r="S5" s="110"/>
      <c r="T5" s="110"/>
      <c r="U5" s="110"/>
      <c r="Y5" s="110"/>
      <c r="Z5" s="110"/>
    </row>
    <row r="6" ht="14.25" customHeight="1" spans="1:26">
      <c r="A6" s="111"/>
      <c r="B6" s="112"/>
      <c r="C6" s="112"/>
      <c r="D6" s="112"/>
      <c r="G6" s="107"/>
      <c r="H6" s="108"/>
      <c r="I6" s="108"/>
      <c r="J6" s="108"/>
      <c r="K6" s="108"/>
      <c r="L6" s="110"/>
      <c r="M6" s="110"/>
      <c r="N6" s="110"/>
      <c r="O6" s="110"/>
      <c r="P6" s="110"/>
      <c r="Q6" s="110"/>
      <c r="R6" s="110"/>
      <c r="S6" s="110"/>
      <c r="T6" s="110"/>
      <c r="U6" s="110"/>
      <c r="Y6" s="110"/>
      <c r="Z6" s="110"/>
    </row>
    <row r="7" ht="14.25" customHeight="1" spans="1:26">
      <c r="A7" s="105"/>
      <c r="B7" s="106"/>
      <c r="C7" s="106"/>
      <c r="D7" s="106"/>
      <c r="G7" s="107"/>
      <c r="H7" s="108"/>
      <c r="I7" s="108"/>
      <c r="J7" s="108"/>
      <c r="K7" s="108"/>
      <c r="L7" s="110"/>
      <c r="M7" s="110"/>
      <c r="N7" s="110"/>
      <c r="O7" s="110"/>
      <c r="P7" s="110"/>
      <c r="Q7" s="110"/>
      <c r="R7" s="110"/>
      <c r="S7" s="110"/>
      <c r="T7" s="110"/>
      <c r="U7" s="110"/>
      <c r="Y7" s="110"/>
      <c r="Z7" s="110"/>
    </row>
    <row r="8" ht="14.25" customHeight="1" spans="1:26">
      <c r="A8" s="105"/>
      <c r="B8" s="106"/>
      <c r="C8" s="106"/>
      <c r="D8" s="106"/>
      <c r="G8" s="107"/>
      <c r="H8" s="110"/>
      <c r="I8" s="108"/>
      <c r="J8" s="108"/>
      <c r="K8" s="108"/>
      <c r="L8" s="110"/>
      <c r="M8" s="110"/>
      <c r="N8" s="110"/>
      <c r="O8" s="110"/>
      <c r="P8" s="110"/>
      <c r="Q8" s="110"/>
      <c r="R8" s="110"/>
      <c r="S8" s="110"/>
      <c r="T8" s="110"/>
      <c r="U8" s="110"/>
      <c r="Y8" s="110"/>
      <c r="Z8" s="110"/>
    </row>
    <row r="9" ht="14.25" customHeight="1" spans="1:26">
      <c r="A9" s="105"/>
      <c r="B9" s="106"/>
      <c r="C9" s="106"/>
      <c r="D9" s="106"/>
      <c r="G9" s="107"/>
      <c r="H9" s="110"/>
      <c r="I9" s="108"/>
      <c r="J9" s="108"/>
      <c r="K9" s="108"/>
      <c r="L9" s="110"/>
      <c r="M9" s="110"/>
      <c r="N9" s="110"/>
      <c r="O9" s="110"/>
      <c r="P9" s="110"/>
      <c r="Q9" s="110"/>
      <c r="R9" s="110"/>
      <c r="S9" s="110"/>
      <c r="T9" s="110"/>
      <c r="U9" s="110"/>
      <c r="Y9" s="110"/>
      <c r="Z9" s="110"/>
    </row>
    <row r="10" ht="14.25" customHeight="1" spans="1:26">
      <c r="A10" s="105"/>
      <c r="B10" s="106"/>
      <c r="C10" s="106"/>
      <c r="D10" s="106"/>
      <c r="G10" s="107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Y10" s="110"/>
      <c r="Z10" s="110"/>
    </row>
    <row r="11" ht="14.25" customHeight="1" spans="1:26">
      <c r="A11" s="105"/>
      <c r="B11" s="106"/>
      <c r="C11" s="106"/>
      <c r="D11" s="106"/>
      <c r="G11" s="107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Y11" s="110"/>
      <c r="Z11" s="110"/>
    </row>
    <row r="12" ht="14.25" customHeight="1" spans="1:26">
      <c r="A12" s="105"/>
      <c r="B12" s="106"/>
      <c r="C12" s="106"/>
      <c r="D12" s="106"/>
      <c r="G12" s="113" t="s">
        <v>285</v>
      </c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Y12" s="110"/>
      <c r="Z12" s="110"/>
    </row>
    <row r="13" ht="14.25" customHeight="1" spans="1:26">
      <c r="A13" s="105"/>
      <c r="B13" s="106"/>
      <c r="C13" s="106"/>
      <c r="D13" s="106"/>
      <c r="G13" s="114" t="s">
        <v>286</v>
      </c>
      <c r="H13" s="115" t="s">
        <v>287</v>
      </c>
      <c r="I13" s="116" t="s">
        <v>288</v>
      </c>
      <c r="J13" s="116" t="s">
        <v>289</v>
      </c>
      <c r="K13" s="114" t="s">
        <v>290</v>
      </c>
      <c r="L13" s="114" t="s">
        <v>291</v>
      </c>
      <c r="M13" s="114" t="s">
        <v>292</v>
      </c>
      <c r="N13" s="114" t="s">
        <v>293</v>
      </c>
      <c r="O13" s="114" t="s">
        <v>294</v>
      </c>
      <c r="P13" s="114" t="s">
        <v>295</v>
      </c>
      <c r="Q13" s="114" t="s">
        <v>296</v>
      </c>
      <c r="R13" s="114" t="s">
        <v>297</v>
      </c>
      <c r="S13" s="114" t="s">
        <v>298</v>
      </c>
      <c r="T13" s="114" t="s">
        <v>299</v>
      </c>
      <c r="U13" s="110"/>
      <c r="Y13" s="110"/>
      <c r="Z13" s="110"/>
    </row>
    <row r="14" ht="14.25" customHeight="1" spans="1:26">
      <c r="A14" s="105"/>
      <c r="B14" s="106"/>
      <c r="C14" s="106"/>
      <c r="D14" s="106"/>
      <c r="G14" s="117" t="s">
        <v>11</v>
      </c>
      <c r="H14" s="118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0"/>
      <c r="Y14" s="110"/>
      <c r="Z14" s="110"/>
    </row>
    <row r="15" ht="14.25" customHeight="1" spans="1:26">
      <c r="A15" s="105"/>
      <c r="B15" s="106"/>
      <c r="C15" s="106"/>
      <c r="D15" s="106"/>
      <c r="G15" s="120" t="s">
        <v>300</v>
      </c>
      <c r="H15" s="121">
        <v>6680</v>
      </c>
      <c r="I15" s="121">
        <v>7242</v>
      </c>
      <c r="J15" s="121">
        <v>8497</v>
      </c>
      <c r="K15" s="121">
        <v>10098</v>
      </c>
      <c r="L15" s="121">
        <v>11436</v>
      </c>
      <c r="M15" s="121">
        <v>13276</v>
      </c>
      <c r="N15" s="121">
        <f t="shared" ref="N15:T15" si="0">M15*(1+N16)</f>
        <v>14603.6</v>
      </c>
      <c r="O15" s="121">
        <f t="shared" si="0"/>
        <v>16063.96</v>
      </c>
      <c r="P15" s="121">
        <f t="shared" si="0"/>
        <v>17670.356</v>
      </c>
      <c r="Q15" s="121">
        <f t="shared" si="0"/>
        <v>19437.3916</v>
      </c>
      <c r="R15" s="121">
        <f t="shared" si="0"/>
        <v>21381.13076</v>
      </c>
      <c r="S15" s="121">
        <f t="shared" si="0"/>
        <v>23519.243836</v>
      </c>
      <c r="T15" s="121">
        <f t="shared" si="0"/>
        <v>25871.1682196</v>
      </c>
      <c r="U15" s="110"/>
      <c r="Y15" s="110"/>
      <c r="Z15" s="110"/>
    </row>
    <row r="16" ht="14.25" customHeight="1" spans="1:26">
      <c r="A16" s="105"/>
      <c r="B16" s="106"/>
      <c r="C16" s="106"/>
      <c r="D16" s="106"/>
      <c r="G16" s="120" t="s">
        <v>301</v>
      </c>
      <c r="H16" s="118"/>
      <c r="I16" s="122">
        <f t="shared" ref="I16:M16" si="1">I15/H15-1</f>
        <v>0.0841317365269461</v>
      </c>
      <c r="J16" s="122">
        <f t="shared" si="1"/>
        <v>0.173294669980668</v>
      </c>
      <c r="K16" s="122">
        <f t="shared" si="1"/>
        <v>0.188419442156055</v>
      </c>
      <c r="L16" s="122">
        <f t="shared" si="1"/>
        <v>0.132501485442662</v>
      </c>
      <c r="M16" s="122">
        <f t="shared" si="1"/>
        <v>0.160895417978314</v>
      </c>
      <c r="N16" s="123">
        <v>0.1</v>
      </c>
      <c r="O16" s="123">
        <v>0.1</v>
      </c>
      <c r="P16" s="123">
        <v>0.1</v>
      </c>
      <c r="Q16" s="123">
        <v>0.1</v>
      </c>
      <c r="R16" s="123">
        <v>0.1</v>
      </c>
      <c r="S16" s="123">
        <v>0.1</v>
      </c>
      <c r="T16" s="123">
        <v>0.1</v>
      </c>
      <c r="U16" s="110"/>
      <c r="Y16" s="110"/>
      <c r="Z16" s="110"/>
    </row>
    <row r="17" ht="14.25" customHeight="1" spans="1:26">
      <c r="A17" s="105"/>
      <c r="B17" s="106"/>
      <c r="C17" s="106"/>
      <c r="D17" s="106"/>
      <c r="G17" s="120" t="s">
        <v>62</v>
      </c>
      <c r="H17" s="121">
        <v>4703</v>
      </c>
      <c r="I17" s="121">
        <v>5516</v>
      </c>
      <c r="J17" s="121">
        <v>5848</v>
      </c>
      <c r="K17" s="121">
        <v>6084</v>
      </c>
      <c r="L17" s="121">
        <v>6248</v>
      </c>
      <c r="M17" s="121">
        <v>6815</v>
      </c>
      <c r="N17" s="121">
        <f t="shared" ref="N17:T17" si="2">M17*(1+N18)</f>
        <v>7121.675</v>
      </c>
      <c r="O17" s="121">
        <f t="shared" si="2"/>
        <v>7442.150375</v>
      </c>
      <c r="P17" s="121">
        <f t="shared" si="2"/>
        <v>7777.047141875</v>
      </c>
      <c r="Q17" s="121">
        <f t="shared" si="2"/>
        <v>8127.01426325937</v>
      </c>
      <c r="R17" s="121">
        <f t="shared" si="2"/>
        <v>8492.72990510604</v>
      </c>
      <c r="S17" s="121">
        <f t="shared" si="2"/>
        <v>8874.90275083582</v>
      </c>
      <c r="T17" s="121">
        <f t="shared" si="2"/>
        <v>9274.27337462343</v>
      </c>
      <c r="U17" s="110"/>
      <c r="Y17" s="110"/>
      <c r="Z17" s="110"/>
    </row>
    <row r="18" ht="14.25" customHeight="1" spans="1:26">
      <c r="A18" s="105"/>
      <c r="B18" s="106"/>
      <c r="C18" s="106"/>
      <c r="D18" s="106"/>
      <c r="G18" s="120" t="s">
        <v>301</v>
      </c>
      <c r="H18" s="118"/>
      <c r="I18" s="122">
        <f t="shared" ref="I18:M18" si="3">I17/H17-1</f>
        <v>0.172868381883904</v>
      </c>
      <c r="J18" s="122">
        <f t="shared" si="3"/>
        <v>0.060188542422045</v>
      </c>
      <c r="K18" s="122">
        <f t="shared" si="3"/>
        <v>0.0403556771545828</v>
      </c>
      <c r="L18" s="122">
        <f t="shared" si="3"/>
        <v>0.0269559500328731</v>
      </c>
      <c r="M18" s="122">
        <f t="shared" si="3"/>
        <v>0.0907490396927018</v>
      </c>
      <c r="N18" s="123">
        <v>0.045</v>
      </c>
      <c r="O18" s="123">
        <v>0.045</v>
      </c>
      <c r="P18" s="123">
        <v>0.045</v>
      </c>
      <c r="Q18" s="123">
        <v>0.045</v>
      </c>
      <c r="R18" s="123">
        <v>0.045</v>
      </c>
      <c r="S18" s="123">
        <v>0.045</v>
      </c>
      <c r="T18" s="123">
        <v>0.045</v>
      </c>
      <c r="U18" s="110"/>
      <c r="Y18" s="110"/>
      <c r="Z18" s="110"/>
    </row>
    <row r="19" ht="14.25" customHeight="1" spans="1:26">
      <c r="A19" s="105"/>
      <c r="B19" s="106"/>
      <c r="C19" s="106"/>
      <c r="D19" s="106"/>
      <c r="G19" s="120" t="s">
        <v>63</v>
      </c>
      <c r="H19" s="121">
        <v>2223</v>
      </c>
      <c r="I19" s="121">
        <v>2648</v>
      </c>
      <c r="J19" s="121">
        <v>3039</v>
      </c>
      <c r="K19" s="121">
        <v>3413</v>
      </c>
      <c r="L19" s="121">
        <v>3744</v>
      </c>
      <c r="M19" s="121">
        <v>4249</v>
      </c>
      <c r="N19" s="121">
        <f t="shared" ref="N19:T19" si="4">M19*(1+N20)</f>
        <v>4588.92</v>
      </c>
      <c r="O19" s="121">
        <f t="shared" si="4"/>
        <v>4956.0336</v>
      </c>
      <c r="P19" s="121">
        <f t="shared" si="4"/>
        <v>5352.516288</v>
      </c>
      <c r="Q19" s="121">
        <f t="shared" si="4"/>
        <v>5780.71759104</v>
      </c>
      <c r="R19" s="121">
        <f t="shared" si="4"/>
        <v>6243.1749983232</v>
      </c>
      <c r="S19" s="121">
        <f t="shared" si="4"/>
        <v>6742.62899818906</v>
      </c>
      <c r="T19" s="121">
        <f t="shared" si="4"/>
        <v>7282.03931804418</v>
      </c>
      <c r="U19" s="110"/>
      <c r="Y19" s="110"/>
      <c r="Z19" s="110"/>
    </row>
    <row r="20" ht="14.25" customHeight="1" spans="1:26">
      <c r="A20" s="105"/>
      <c r="B20" s="106"/>
      <c r="C20" s="106"/>
      <c r="D20" s="106"/>
      <c r="G20" s="120" t="s">
        <v>301</v>
      </c>
      <c r="H20" s="118"/>
      <c r="I20" s="122">
        <f t="shared" ref="I20:M20" si="5">I19/H19-1</f>
        <v>0.191183085919928</v>
      </c>
      <c r="J20" s="122">
        <f t="shared" si="5"/>
        <v>0.147658610271903</v>
      </c>
      <c r="K20" s="122">
        <f t="shared" si="5"/>
        <v>0.123066798288911</v>
      </c>
      <c r="L20" s="122">
        <f t="shared" si="5"/>
        <v>0.0969821271608555</v>
      </c>
      <c r="M20" s="122">
        <f t="shared" si="5"/>
        <v>0.134882478632479</v>
      </c>
      <c r="N20" s="123">
        <v>0.08</v>
      </c>
      <c r="O20" s="123">
        <v>0.08</v>
      </c>
      <c r="P20" s="123">
        <v>0.08</v>
      </c>
      <c r="Q20" s="123">
        <v>0.08</v>
      </c>
      <c r="R20" s="123">
        <v>0.08</v>
      </c>
      <c r="S20" s="123">
        <v>0.08</v>
      </c>
      <c r="T20" s="123">
        <v>0.08</v>
      </c>
      <c r="U20" s="110"/>
      <c r="Y20" s="110"/>
      <c r="Z20" s="110"/>
    </row>
    <row r="21" ht="14.25" customHeight="1" spans="1:26">
      <c r="A21" s="105"/>
      <c r="B21" s="106"/>
      <c r="C21" s="106"/>
      <c r="D21" s="106"/>
      <c r="G21" s="120" t="s">
        <v>64</v>
      </c>
      <c r="H21" s="121">
        <v>2118</v>
      </c>
      <c r="I21" s="121">
        <v>2579</v>
      </c>
      <c r="J21" s="121">
        <v>2830</v>
      </c>
      <c r="K21" s="121">
        <v>2965</v>
      </c>
      <c r="L21" s="121">
        <v>2790</v>
      </c>
      <c r="M21" s="121">
        <v>2505</v>
      </c>
      <c r="N21" s="121">
        <f t="shared" ref="N21:T21" si="6">M21*(1+N22)</f>
        <v>2555.1</v>
      </c>
      <c r="O21" s="121">
        <f t="shared" si="6"/>
        <v>2606.202</v>
      </c>
      <c r="P21" s="121">
        <f t="shared" si="6"/>
        <v>2658.32604</v>
      </c>
      <c r="Q21" s="121">
        <f t="shared" si="6"/>
        <v>2698.2009306</v>
      </c>
      <c r="R21" s="121">
        <f t="shared" si="6"/>
        <v>2738.673944559</v>
      </c>
      <c r="S21" s="121">
        <f t="shared" si="6"/>
        <v>2766.06068400459</v>
      </c>
      <c r="T21" s="121">
        <f t="shared" si="6"/>
        <v>2793.72129084464</v>
      </c>
      <c r="U21" s="110"/>
      <c r="Y21" s="110"/>
      <c r="Z21" s="110"/>
    </row>
    <row r="22" ht="14.25" customHeight="1" spans="1:26">
      <c r="A22" s="105"/>
      <c r="B22" s="106"/>
      <c r="C22" s="106"/>
      <c r="D22" s="106"/>
      <c r="G22" s="120" t="s">
        <v>301</v>
      </c>
      <c r="H22" s="118"/>
      <c r="I22" s="122">
        <f t="shared" ref="I22:M22" si="7">I21/H21-1</f>
        <v>0.217658168083097</v>
      </c>
      <c r="J22" s="122">
        <f t="shared" si="7"/>
        <v>0.0973245443970532</v>
      </c>
      <c r="K22" s="122">
        <f t="shared" si="7"/>
        <v>0.047703180212014</v>
      </c>
      <c r="L22" s="122">
        <f t="shared" si="7"/>
        <v>-0.0590219224283305</v>
      </c>
      <c r="M22" s="122">
        <f t="shared" si="7"/>
        <v>-0.102150537634409</v>
      </c>
      <c r="N22" s="123">
        <v>0.02</v>
      </c>
      <c r="O22" s="123">
        <v>0.02</v>
      </c>
      <c r="P22" s="123">
        <v>0.02</v>
      </c>
      <c r="Q22" s="123">
        <v>0.015</v>
      </c>
      <c r="R22" s="123">
        <v>0.015</v>
      </c>
      <c r="S22" s="123">
        <v>0.01</v>
      </c>
      <c r="T22" s="123">
        <v>0.01</v>
      </c>
      <c r="U22" s="110"/>
      <c r="Y22" s="110"/>
      <c r="Z22" s="110"/>
    </row>
    <row r="23" ht="14.25" customHeight="1" spans="1:26">
      <c r="A23" s="105"/>
      <c r="B23" s="106"/>
      <c r="C23" s="106"/>
      <c r="D23" s="106"/>
      <c r="G23" s="120" t="s">
        <v>65</v>
      </c>
      <c r="H23" s="124">
        <v>292</v>
      </c>
      <c r="I23" s="124">
        <v>343</v>
      </c>
      <c r="J23" s="124">
        <v>538</v>
      </c>
      <c r="K23" s="121">
        <v>636</v>
      </c>
      <c r="L23" s="121">
        <v>662</v>
      </c>
      <c r="M23" s="121">
        <v>605</v>
      </c>
      <c r="N23" s="121">
        <f t="shared" ref="N23:T23" si="8">M23*(1+N24)</f>
        <v>635.25</v>
      </c>
      <c r="O23" s="121">
        <f t="shared" si="8"/>
        <v>667.0125</v>
      </c>
      <c r="P23" s="121">
        <f t="shared" si="8"/>
        <v>700.363125</v>
      </c>
      <c r="Q23" s="121">
        <f t="shared" si="8"/>
        <v>735.38128125</v>
      </c>
      <c r="R23" s="121">
        <f t="shared" si="8"/>
        <v>772.1503453125</v>
      </c>
      <c r="S23" s="121">
        <f t="shared" si="8"/>
        <v>810.757862578125</v>
      </c>
      <c r="T23" s="121">
        <f t="shared" si="8"/>
        <v>851.295755707032</v>
      </c>
      <c r="U23" s="110"/>
      <c r="Y23" s="110"/>
      <c r="Z23" s="110"/>
    </row>
    <row r="24" ht="14.25" customHeight="1" spans="1:26">
      <c r="A24" s="105"/>
      <c r="B24" s="106"/>
      <c r="C24" s="106"/>
      <c r="D24" s="106"/>
      <c r="G24" s="120" t="s">
        <v>301</v>
      </c>
      <c r="H24" s="118"/>
      <c r="I24" s="122">
        <f t="shared" ref="I24:M24" si="9">I23/H23-1</f>
        <v>0.174657534246575</v>
      </c>
      <c r="J24" s="122">
        <f t="shared" si="9"/>
        <v>0.568513119533528</v>
      </c>
      <c r="K24" s="122">
        <f t="shared" si="9"/>
        <v>0.182156133828996</v>
      </c>
      <c r="L24" s="122">
        <f t="shared" si="9"/>
        <v>0.0408805031446542</v>
      </c>
      <c r="M24" s="122">
        <f t="shared" si="9"/>
        <v>-0.0861027190332326</v>
      </c>
      <c r="N24" s="125">
        <v>0.05</v>
      </c>
      <c r="O24" s="125">
        <v>0.05</v>
      </c>
      <c r="P24" s="125">
        <v>0.05</v>
      </c>
      <c r="Q24" s="125">
        <v>0.05</v>
      </c>
      <c r="R24" s="125">
        <v>0.05</v>
      </c>
      <c r="S24" s="125">
        <v>0.05</v>
      </c>
      <c r="T24" s="125">
        <v>0.05</v>
      </c>
      <c r="U24" s="110"/>
      <c r="Y24" s="110"/>
      <c r="Z24" s="110"/>
    </row>
    <row r="25" ht="14.25" customHeight="1" spans="1:26">
      <c r="A25" s="105"/>
      <c r="B25" s="106"/>
      <c r="C25" s="106"/>
      <c r="D25" s="106"/>
      <c r="G25" s="120" t="s">
        <v>302</v>
      </c>
      <c r="H25" s="124">
        <v>1842</v>
      </c>
      <c r="I25" s="124">
        <v>1300</v>
      </c>
      <c r="J25" s="124">
        <v>0</v>
      </c>
      <c r="K25" s="124">
        <v>0</v>
      </c>
      <c r="L25" s="124">
        <v>-2</v>
      </c>
      <c r="M25" s="124">
        <v>0</v>
      </c>
      <c r="N25" s="124">
        <v>0</v>
      </c>
      <c r="O25" s="124">
        <v>0</v>
      </c>
      <c r="P25" s="124">
        <v>0</v>
      </c>
      <c r="Q25" s="124">
        <v>0</v>
      </c>
      <c r="R25" s="124">
        <v>0</v>
      </c>
      <c r="S25" s="124">
        <v>0</v>
      </c>
      <c r="T25" s="124">
        <v>0</v>
      </c>
      <c r="U25" s="110"/>
      <c r="Y25" s="110"/>
      <c r="Z25" s="110"/>
    </row>
    <row r="26" ht="14.25" customHeight="1" spans="1:26">
      <c r="A26" s="105"/>
      <c r="B26" s="106"/>
      <c r="C26" s="106"/>
      <c r="D26" s="106"/>
      <c r="G26" s="120" t="s">
        <v>301</v>
      </c>
      <c r="H26" s="118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10"/>
      <c r="Y26" s="110"/>
      <c r="Z26" s="110"/>
    </row>
    <row r="27" ht="14.25" customHeight="1" spans="1:26">
      <c r="A27" s="105"/>
      <c r="B27" s="106"/>
      <c r="C27" s="106"/>
      <c r="D27" s="106"/>
      <c r="G27" s="120" t="s">
        <v>303</v>
      </c>
      <c r="H27" s="127">
        <f t="shared" ref="H27:T27" si="10">H15+H17+H19+H21+H23+H25</f>
        <v>17858</v>
      </c>
      <c r="I27" s="127">
        <f t="shared" si="10"/>
        <v>19628</v>
      </c>
      <c r="J27" s="127">
        <f t="shared" si="10"/>
        <v>20752</v>
      </c>
      <c r="K27" s="127">
        <f t="shared" si="10"/>
        <v>23196</v>
      </c>
      <c r="L27" s="127">
        <f t="shared" si="10"/>
        <v>24878</v>
      </c>
      <c r="M27" s="127">
        <f t="shared" si="10"/>
        <v>27450</v>
      </c>
      <c r="N27" s="127">
        <f t="shared" si="10"/>
        <v>29504.545</v>
      </c>
      <c r="O27" s="127">
        <f t="shared" si="10"/>
        <v>31735.358475</v>
      </c>
      <c r="P27" s="127">
        <f t="shared" si="10"/>
        <v>34158.608594875</v>
      </c>
      <c r="Q27" s="127">
        <f t="shared" si="10"/>
        <v>36778.7056661494</v>
      </c>
      <c r="R27" s="127">
        <f t="shared" si="10"/>
        <v>39627.8599533008</v>
      </c>
      <c r="S27" s="127">
        <f t="shared" si="10"/>
        <v>42713.5941316076</v>
      </c>
      <c r="T27" s="127">
        <f t="shared" si="10"/>
        <v>46072.4979588193</v>
      </c>
      <c r="U27" s="110"/>
      <c r="Y27" s="110"/>
      <c r="Z27" s="110"/>
    </row>
    <row r="28" ht="14.25" customHeight="1" spans="1:26">
      <c r="A28" s="111"/>
      <c r="B28" s="112"/>
      <c r="C28" s="112"/>
      <c r="D28" s="112"/>
      <c r="G28" s="120" t="s">
        <v>301</v>
      </c>
      <c r="H28" s="118"/>
      <c r="I28" s="122">
        <f t="shared" ref="I28:T28" si="11">I27/H27-1</f>
        <v>0.0991152424683615</v>
      </c>
      <c r="J28" s="122">
        <f t="shared" si="11"/>
        <v>0.0572651314448747</v>
      </c>
      <c r="K28" s="122">
        <f t="shared" si="11"/>
        <v>0.117771781033153</v>
      </c>
      <c r="L28" s="122">
        <f t="shared" si="11"/>
        <v>0.0725125021555442</v>
      </c>
      <c r="M28" s="122">
        <f t="shared" si="11"/>
        <v>0.103384516440228</v>
      </c>
      <c r="N28" s="122">
        <f t="shared" si="11"/>
        <v>0.0748468123861565</v>
      </c>
      <c r="O28" s="122">
        <f t="shared" si="11"/>
        <v>0.0756091468280566</v>
      </c>
      <c r="P28" s="122">
        <f t="shared" si="11"/>
        <v>0.0763580509665254</v>
      </c>
      <c r="Q28" s="122">
        <f t="shared" si="11"/>
        <v>0.0767038582381685</v>
      </c>
      <c r="R28" s="122">
        <f t="shared" si="11"/>
        <v>0.0774674974430569</v>
      </c>
      <c r="S28" s="122">
        <f t="shared" si="11"/>
        <v>0.0778677976035851</v>
      </c>
      <c r="T28" s="122">
        <f t="shared" si="11"/>
        <v>0.0786378176667213</v>
      </c>
      <c r="U28" s="110"/>
      <c r="Y28" s="110"/>
      <c r="Z28" s="110"/>
    </row>
    <row r="29" ht="14.25" customHeight="1" spans="1:26">
      <c r="A29" s="105"/>
      <c r="B29" s="106"/>
      <c r="C29" s="106"/>
      <c r="D29" s="106"/>
      <c r="G29" s="117" t="s">
        <v>304</v>
      </c>
      <c r="H29" s="118"/>
      <c r="I29" s="119"/>
      <c r="J29" s="119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10"/>
      <c r="Y29" s="110"/>
      <c r="Z29" s="110"/>
    </row>
    <row r="30" ht="14.25" customHeight="1" spans="1:26">
      <c r="A30" s="105"/>
      <c r="B30" s="106"/>
      <c r="C30" s="106"/>
      <c r="D30" s="106"/>
      <c r="G30" s="120" t="s">
        <v>303</v>
      </c>
      <c r="H30" s="127">
        <v>12408</v>
      </c>
      <c r="I30" s="127">
        <v>13293</v>
      </c>
      <c r="J30" s="127">
        <v>13865</v>
      </c>
      <c r="K30" s="127">
        <v>14762</v>
      </c>
      <c r="L30" s="127">
        <v>15375</v>
      </c>
      <c r="M30" s="127">
        <v>17131</v>
      </c>
      <c r="N30" s="127">
        <f t="shared" ref="N30:T30" si="12">N27*(1-N33)</f>
        <v>18383.6961979873</v>
      </c>
      <c r="O30" s="127">
        <f t="shared" si="12"/>
        <v>19741.9364245883</v>
      </c>
      <c r="P30" s="127">
        <f t="shared" si="12"/>
        <v>21215.23360368</v>
      </c>
      <c r="Q30" s="127">
        <f t="shared" si="12"/>
        <v>22805.7451688401</v>
      </c>
      <c r="R30" s="127">
        <f t="shared" si="12"/>
        <v>24965.5517705795</v>
      </c>
      <c r="S30" s="127">
        <f t="shared" si="12"/>
        <v>26909.5643029128</v>
      </c>
      <c r="T30" s="127">
        <f t="shared" si="12"/>
        <v>29025.6737140562</v>
      </c>
      <c r="U30" s="110"/>
      <c r="Y30" s="110"/>
      <c r="Z30" s="110"/>
    </row>
    <row r="31" ht="14.25" customHeight="1" spans="1:26">
      <c r="A31" s="105"/>
      <c r="B31" s="106"/>
      <c r="C31" s="106"/>
      <c r="D31" s="106"/>
      <c r="G31" s="120" t="s">
        <v>301</v>
      </c>
      <c r="H31" s="127"/>
      <c r="I31" s="122">
        <f t="shared" ref="I31:T31" si="13">I30/H30-1</f>
        <v>0.0713249516441006</v>
      </c>
      <c r="J31" s="122">
        <f t="shared" si="13"/>
        <v>0.0430301662529151</v>
      </c>
      <c r="K31" s="122">
        <f t="shared" si="13"/>
        <v>0.0646952758745041</v>
      </c>
      <c r="L31" s="122">
        <f t="shared" si="13"/>
        <v>0.0415255385449127</v>
      </c>
      <c r="M31" s="122">
        <f t="shared" si="13"/>
        <v>0.114211382113821</v>
      </c>
      <c r="N31" s="122">
        <f t="shared" si="13"/>
        <v>0.0731245226774415</v>
      </c>
      <c r="O31" s="122">
        <f t="shared" si="13"/>
        <v>0.0738828694715761</v>
      </c>
      <c r="P31" s="122">
        <f t="shared" si="13"/>
        <v>0.074627794731259</v>
      </c>
      <c r="Q31" s="122">
        <f t="shared" si="13"/>
        <v>0.0749702593368691</v>
      </c>
      <c r="R31" s="122">
        <f t="shared" si="13"/>
        <v>0.094704495983333</v>
      </c>
      <c r="S31" s="122">
        <f t="shared" si="13"/>
        <v>0.0778677976035851</v>
      </c>
      <c r="T31" s="122">
        <f t="shared" si="13"/>
        <v>0.0786378176667215</v>
      </c>
      <c r="U31" s="110"/>
      <c r="Y31" s="110"/>
      <c r="Z31" s="110"/>
    </row>
    <row r="32" ht="14.25" customHeight="1" spans="1:26">
      <c r="A32" s="105"/>
      <c r="B32" s="106"/>
      <c r="C32" s="106"/>
      <c r="D32" s="106"/>
      <c r="G32" s="117" t="s">
        <v>14</v>
      </c>
      <c r="H32" s="118"/>
      <c r="I32" s="119"/>
      <c r="J32" s="119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10"/>
      <c r="Y32" s="110"/>
      <c r="Z32" s="110"/>
    </row>
    <row r="33" ht="14.25" customHeight="1" spans="1:26">
      <c r="A33" s="105"/>
      <c r="B33" s="106"/>
      <c r="C33" s="106"/>
      <c r="D33" s="106"/>
      <c r="G33" s="120" t="s">
        <v>303</v>
      </c>
      <c r="H33" s="122">
        <f t="shared" ref="H33:M33" si="14">1-H30/H27</f>
        <v>0.305185351103147</v>
      </c>
      <c r="I33" s="122">
        <f t="shared" si="14"/>
        <v>0.322753209700428</v>
      </c>
      <c r="J33" s="122">
        <f t="shared" si="14"/>
        <v>0.331871626831149</v>
      </c>
      <c r="K33" s="122">
        <f t="shared" si="14"/>
        <v>0.363597171926194</v>
      </c>
      <c r="L33" s="122">
        <f t="shared" si="14"/>
        <v>0.38198408232173</v>
      </c>
      <c r="M33" s="122">
        <f t="shared" si="14"/>
        <v>0.37591985428051</v>
      </c>
      <c r="N33" s="123">
        <f t="shared" ref="N33:Q33" si="15">M33+0.001</f>
        <v>0.37691985428051</v>
      </c>
      <c r="O33" s="123">
        <f t="shared" si="15"/>
        <v>0.37791985428051</v>
      </c>
      <c r="P33" s="123">
        <f t="shared" si="15"/>
        <v>0.37891985428051</v>
      </c>
      <c r="Q33" s="123">
        <f t="shared" si="15"/>
        <v>0.37991985428051</v>
      </c>
      <c r="R33" s="123">
        <v>0.37</v>
      </c>
      <c r="S33" s="123">
        <v>0.37</v>
      </c>
      <c r="T33" s="123">
        <v>0.37</v>
      </c>
      <c r="U33" s="110"/>
      <c r="Y33" s="110"/>
      <c r="Z33" s="110"/>
    </row>
    <row r="34" ht="14.25" customHeight="1" spans="1:26">
      <c r="A34" s="105"/>
      <c r="B34" s="106"/>
      <c r="C34" s="106"/>
      <c r="D34" s="106"/>
      <c r="G34" s="107"/>
      <c r="H34" s="109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Y34" s="110"/>
      <c r="Z34" s="110"/>
    </row>
    <row r="35" ht="14.25" customHeight="1" spans="1:26">
      <c r="A35" s="105"/>
      <c r="B35" s="106"/>
      <c r="C35" s="106"/>
      <c r="D35" s="106"/>
      <c r="G35" s="129"/>
      <c r="H35" s="109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Y35" s="110"/>
      <c r="Z35" s="110"/>
    </row>
    <row r="36" ht="14.25" customHeight="1" spans="1:26">
      <c r="A36" s="105"/>
      <c r="B36" s="106"/>
      <c r="C36" s="106"/>
      <c r="D36" s="106"/>
      <c r="G36" s="107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Y36" s="110"/>
      <c r="Z36" s="110"/>
    </row>
    <row r="37" ht="14.25" customHeight="1" spans="1:26">
      <c r="A37" s="105"/>
      <c r="B37" s="106"/>
      <c r="C37" s="106"/>
      <c r="D37" s="106"/>
      <c r="G37" s="107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Y37" s="110"/>
      <c r="Z37" s="110"/>
    </row>
    <row r="38" ht="14.25" customHeight="1" spans="1:26">
      <c r="A38" s="105"/>
      <c r="B38" s="106"/>
      <c r="C38" s="106"/>
      <c r="D38" s="106"/>
      <c r="G38" s="107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Y38" s="110"/>
      <c r="Z38" s="110"/>
    </row>
    <row r="39" ht="14.25" customHeight="1" spans="1:26">
      <c r="A39" s="105"/>
      <c r="B39" s="106"/>
      <c r="C39" s="106"/>
      <c r="D39" s="106"/>
      <c r="G39" s="107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Y39" s="110"/>
      <c r="Z39" s="110"/>
    </row>
    <row r="40" ht="14.25" customHeight="1" spans="1:26">
      <c r="A40" s="105"/>
      <c r="B40" s="106"/>
      <c r="C40" s="106"/>
      <c r="D40" s="106"/>
      <c r="G40" s="107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Y40" s="110"/>
      <c r="Z40" s="110"/>
    </row>
    <row r="41" ht="14.25" customHeight="1" spans="1:26">
      <c r="A41" s="105"/>
      <c r="B41" s="106"/>
      <c r="C41" s="106"/>
      <c r="D41" s="106"/>
      <c r="G41" s="107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Y41" s="110"/>
      <c r="Z41" s="110"/>
    </row>
    <row r="42" ht="14.25" customHeight="1" spans="1:26">
      <c r="A42" s="105"/>
      <c r="B42" s="106"/>
      <c r="C42" s="106"/>
      <c r="D42" s="106"/>
      <c r="G42" s="107" t="s">
        <v>286</v>
      </c>
      <c r="H42" s="110" t="s">
        <v>287</v>
      </c>
      <c r="I42" s="110" t="s">
        <v>288</v>
      </c>
      <c r="J42" s="110" t="s">
        <v>289</v>
      </c>
      <c r="K42" s="110" t="s">
        <v>290</v>
      </c>
      <c r="L42" s="110" t="s">
        <v>305</v>
      </c>
      <c r="M42" s="110"/>
      <c r="N42" s="110"/>
      <c r="O42" s="110"/>
      <c r="P42" s="110"/>
      <c r="Q42" s="110"/>
      <c r="R42" s="110"/>
      <c r="S42" s="110"/>
      <c r="T42" s="110"/>
      <c r="U42" s="110"/>
      <c r="Y42" s="110"/>
      <c r="Z42" s="110"/>
    </row>
    <row r="43" ht="14.25" customHeight="1" spans="1:26">
      <c r="A43" s="105"/>
      <c r="B43" s="106"/>
      <c r="C43" s="106"/>
      <c r="D43" s="106"/>
      <c r="G43" s="107" t="s">
        <v>300</v>
      </c>
      <c r="H43" s="110">
        <v>6680</v>
      </c>
      <c r="I43" s="110">
        <v>7242</v>
      </c>
      <c r="J43" s="110">
        <v>8497</v>
      </c>
      <c r="K43" s="110">
        <v>10098</v>
      </c>
      <c r="L43" s="110">
        <v>11208.78</v>
      </c>
      <c r="M43" s="110"/>
      <c r="N43" s="110"/>
      <c r="O43" s="110"/>
      <c r="P43" s="110"/>
      <c r="Q43" s="110"/>
      <c r="R43" s="110"/>
      <c r="S43" s="110"/>
      <c r="T43" s="110"/>
      <c r="U43" s="110"/>
      <c r="Y43" s="110"/>
      <c r="Z43" s="110"/>
    </row>
    <row r="44" ht="14.25" customHeight="1" spans="1:26">
      <c r="A44" s="105"/>
      <c r="B44" s="106"/>
      <c r="C44" s="106"/>
      <c r="D44" s="106"/>
      <c r="G44" s="107" t="s">
        <v>62</v>
      </c>
      <c r="H44" s="110">
        <v>4703</v>
      </c>
      <c r="I44" s="110">
        <v>5516</v>
      </c>
      <c r="J44" s="110">
        <v>5848</v>
      </c>
      <c r="K44" s="110">
        <v>6084</v>
      </c>
      <c r="L44" s="110">
        <v>6357.78</v>
      </c>
      <c r="M44" s="110"/>
      <c r="N44" s="110"/>
      <c r="O44" s="110"/>
      <c r="P44" s="110"/>
      <c r="Q44" s="110"/>
      <c r="R44" s="110"/>
      <c r="S44" s="110"/>
      <c r="T44" s="110"/>
      <c r="U44" s="110"/>
      <c r="Y44" s="110"/>
      <c r="Z44" s="110"/>
    </row>
    <row r="45" ht="14.25" customHeight="1" spans="1:26">
      <c r="A45" s="105"/>
      <c r="B45" s="106"/>
      <c r="C45" s="106"/>
      <c r="D45" s="106"/>
      <c r="G45" s="107" t="s">
        <v>63</v>
      </c>
      <c r="H45" s="110">
        <v>2223</v>
      </c>
      <c r="I45" s="110">
        <v>2648</v>
      </c>
      <c r="J45" s="110">
        <v>3039</v>
      </c>
      <c r="K45" s="110">
        <v>3413</v>
      </c>
      <c r="L45" s="110">
        <v>3788.43</v>
      </c>
      <c r="M45" s="110"/>
      <c r="N45" s="110"/>
      <c r="O45" s="110"/>
      <c r="P45" s="110"/>
      <c r="Q45" s="110"/>
      <c r="R45" s="110"/>
      <c r="S45" s="110"/>
      <c r="T45" s="110"/>
      <c r="U45" s="110"/>
      <c r="Y45" s="110"/>
      <c r="Z45" s="110"/>
    </row>
    <row r="46" ht="14.25" customHeight="1" spans="1:26">
      <c r="A46" s="130"/>
      <c r="B46" s="131"/>
      <c r="C46" s="131"/>
      <c r="D46" s="131"/>
      <c r="G46" s="107" t="s">
        <v>64</v>
      </c>
      <c r="H46" s="110">
        <v>2118</v>
      </c>
      <c r="I46" s="110">
        <v>2579</v>
      </c>
      <c r="J46" s="110">
        <v>2830</v>
      </c>
      <c r="K46" s="110">
        <v>2965</v>
      </c>
      <c r="L46" s="110">
        <v>2994.65</v>
      </c>
      <c r="M46" s="110"/>
      <c r="N46" s="110"/>
      <c r="O46" s="110"/>
      <c r="P46" s="110"/>
      <c r="Q46" s="110"/>
      <c r="R46" s="110"/>
      <c r="S46" s="110"/>
      <c r="T46" s="110"/>
      <c r="U46" s="110"/>
      <c r="Y46" s="110"/>
      <c r="Z46" s="110"/>
    </row>
    <row r="47" ht="14.25" customHeight="1" spans="1:26">
      <c r="A47" s="105"/>
      <c r="B47" s="106"/>
      <c r="C47" s="106"/>
      <c r="D47" s="106"/>
      <c r="G47" s="107" t="s">
        <v>65</v>
      </c>
      <c r="H47" s="110">
        <v>292</v>
      </c>
      <c r="I47" s="110">
        <v>343</v>
      </c>
      <c r="J47" s="110">
        <v>538</v>
      </c>
      <c r="K47" s="110">
        <v>636</v>
      </c>
      <c r="L47" s="110">
        <v>826.8</v>
      </c>
      <c r="M47" s="110"/>
      <c r="N47" s="110"/>
      <c r="O47" s="110"/>
      <c r="P47" s="110"/>
      <c r="Q47" s="110"/>
      <c r="R47" s="110"/>
      <c r="S47" s="110"/>
      <c r="T47" s="110"/>
      <c r="U47" s="110"/>
      <c r="Y47" s="110"/>
      <c r="Z47" s="110"/>
    </row>
    <row r="48" ht="14.25" customHeight="1" spans="1:26">
      <c r="A48" s="105"/>
      <c r="B48" s="106"/>
      <c r="C48" s="106"/>
      <c r="D48" s="106"/>
      <c r="G48" s="107" t="s">
        <v>306</v>
      </c>
      <c r="H48" s="110">
        <v>1842</v>
      </c>
      <c r="I48" s="110">
        <v>1300</v>
      </c>
      <c r="J48" s="110">
        <v>0</v>
      </c>
      <c r="K48" s="110">
        <v>0</v>
      </c>
      <c r="L48" s="110">
        <v>0</v>
      </c>
      <c r="M48" s="110"/>
      <c r="N48" s="110"/>
      <c r="O48" s="110"/>
      <c r="P48" s="110"/>
      <c r="Q48" s="110"/>
      <c r="R48" s="110"/>
      <c r="S48" s="110"/>
      <c r="T48" s="110"/>
      <c r="U48" s="110"/>
      <c r="Y48" s="110"/>
      <c r="Z48" s="110"/>
    </row>
    <row r="49" ht="14.25" customHeight="1" spans="1:26">
      <c r="A49" s="105"/>
      <c r="B49" s="106"/>
      <c r="C49" s="106"/>
      <c r="D49" s="106"/>
      <c r="G49" s="107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Y49" s="110"/>
      <c r="Z49" s="110"/>
    </row>
    <row r="50" ht="14.25" customHeight="1" spans="1:26">
      <c r="A50" s="105"/>
      <c r="B50" s="106"/>
      <c r="C50" s="106"/>
      <c r="D50" s="106"/>
      <c r="G50" s="107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Y50" s="110"/>
      <c r="Z50" s="110"/>
    </row>
    <row r="51" ht="14.25" customHeight="1" spans="1:26">
      <c r="A51" s="105"/>
      <c r="B51" s="106"/>
      <c r="C51" s="106"/>
      <c r="D51" s="106"/>
      <c r="G51" s="107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Y51" s="110"/>
      <c r="Z51" s="110"/>
    </row>
    <row r="52" ht="14.25" customHeight="1" spans="1:26">
      <c r="A52" s="105"/>
      <c r="B52" s="106"/>
      <c r="C52" s="106"/>
      <c r="D52" s="106"/>
      <c r="G52" s="107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Y52" s="110"/>
      <c r="Z52" s="110"/>
    </row>
    <row r="53" ht="14.25" customHeight="1" spans="1:26">
      <c r="A53" s="105"/>
      <c r="B53" s="106"/>
      <c r="C53" s="106"/>
      <c r="D53" s="106"/>
      <c r="G53" s="107" t="s">
        <v>286</v>
      </c>
      <c r="H53" s="107" t="s">
        <v>300</v>
      </c>
      <c r="I53" s="107" t="s">
        <v>62</v>
      </c>
      <c r="J53" s="107" t="s">
        <v>63</v>
      </c>
      <c r="K53" s="107" t="s">
        <v>64</v>
      </c>
      <c r="L53" s="107" t="s">
        <v>65</v>
      </c>
      <c r="M53" s="107" t="s">
        <v>306</v>
      </c>
      <c r="N53" s="110"/>
      <c r="O53" s="110"/>
      <c r="P53" s="110"/>
      <c r="Q53" s="110"/>
      <c r="R53" s="110"/>
      <c r="S53" s="110"/>
      <c r="T53" s="110"/>
      <c r="U53" s="110"/>
      <c r="Y53" s="110"/>
      <c r="Z53" s="110"/>
    </row>
    <row r="54" ht="14.25" customHeight="1" spans="1:26">
      <c r="A54" s="105"/>
      <c r="B54" s="106"/>
      <c r="C54" s="106"/>
      <c r="D54" s="106"/>
      <c r="G54" s="110" t="s">
        <v>287</v>
      </c>
      <c r="H54" s="110">
        <v>6680</v>
      </c>
      <c r="I54" s="110">
        <v>4703</v>
      </c>
      <c r="J54" s="110">
        <v>2223</v>
      </c>
      <c r="K54" s="110">
        <v>2118</v>
      </c>
      <c r="L54" s="110">
        <v>292</v>
      </c>
      <c r="M54" s="110">
        <v>1842</v>
      </c>
      <c r="N54" s="110"/>
      <c r="O54" s="110"/>
      <c r="P54" s="110"/>
      <c r="Q54" s="110"/>
      <c r="R54" s="110"/>
      <c r="S54" s="110"/>
      <c r="T54" s="110"/>
      <c r="U54" s="110"/>
      <c r="Y54" s="110"/>
      <c r="Z54" s="110"/>
    </row>
    <row r="55" ht="14.25" customHeight="1" spans="1:26">
      <c r="A55" s="105"/>
      <c r="B55" s="106"/>
      <c r="C55" s="106"/>
      <c r="D55" s="106"/>
      <c r="G55" s="110" t="s">
        <v>288</v>
      </c>
      <c r="H55" s="110">
        <v>7242</v>
      </c>
      <c r="I55" s="110">
        <v>5516</v>
      </c>
      <c r="J55" s="110">
        <v>2648</v>
      </c>
      <c r="K55" s="110">
        <v>2579</v>
      </c>
      <c r="L55" s="110">
        <v>343</v>
      </c>
      <c r="M55" s="110">
        <v>1300</v>
      </c>
      <c r="N55" s="110"/>
      <c r="O55" s="110"/>
      <c r="P55" s="110"/>
      <c r="Q55" s="110"/>
      <c r="R55" s="110"/>
      <c r="S55" s="110"/>
      <c r="T55" s="110"/>
      <c r="U55" s="110"/>
      <c r="Y55" s="110"/>
      <c r="Z55" s="110"/>
    </row>
    <row r="56" ht="14.25" customHeight="1" spans="1:26">
      <c r="A56" s="105"/>
      <c r="B56" s="106"/>
      <c r="C56" s="106"/>
      <c r="D56" s="106"/>
      <c r="G56" s="110" t="s">
        <v>289</v>
      </c>
      <c r="H56" s="110">
        <v>8497</v>
      </c>
      <c r="I56" s="110">
        <v>5848</v>
      </c>
      <c r="J56" s="110">
        <v>3039</v>
      </c>
      <c r="K56" s="110">
        <v>2830</v>
      </c>
      <c r="L56" s="110">
        <v>538</v>
      </c>
      <c r="M56" s="110">
        <v>0</v>
      </c>
      <c r="N56" s="110"/>
      <c r="O56" s="110"/>
      <c r="P56" s="110"/>
      <c r="Q56" s="110"/>
      <c r="R56" s="110"/>
      <c r="S56" s="110"/>
      <c r="T56" s="110"/>
      <c r="U56" s="110"/>
      <c r="Y56" s="110"/>
      <c r="Z56" s="110"/>
    </row>
    <row r="57" ht="14.25" customHeight="1" spans="1:26">
      <c r="A57" s="105"/>
      <c r="B57" s="106"/>
      <c r="C57" s="106"/>
      <c r="D57" s="106"/>
      <c r="G57" s="110" t="s">
        <v>290</v>
      </c>
      <c r="H57" s="110">
        <v>10098</v>
      </c>
      <c r="I57" s="110">
        <v>6084</v>
      </c>
      <c r="J57" s="110">
        <v>3413</v>
      </c>
      <c r="K57" s="110">
        <v>2965</v>
      </c>
      <c r="L57" s="110">
        <v>636</v>
      </c>
      <c r="M57" s="110">
        <v>0</v>
      </c>
      <c r="N57" s="110"/>
      <c r="O57" s="110"/>
      <c r="P57" s="110"/>
      <c r="Q57" s="110"/>
      <c r="R57" s="110"/>
      <c r="S57" s="110"/>
      <c r="T57" s="110"/>
      <c r="U57" s="110"/>
      <c r="Y57" s="110"/>
      <c r="Z57" s="110"/>
    </row>
    <row r="58" ht="14.25" customHeight="1" spans="1:26">
      <c r="A58" s="105"/>
      <c r="B58" s="106"/>
      <c r="C58" s="106"/>
      <c r="D58" s="106"/>
      <c r="G58" s="110" t="s">
        <v>305</v>
      </c>
      <c r="H58" s="110">
        <v>11208.78</v>
      </c>
      <c r="I58" s="110">
        <v>6357.78</v>
      </c>
      <c r="J58" s="110">
        <v>3788.43</v>
      </c>
      <c r="K58" s="110">
        <v>2994.65</v>
      </c>
      <c r="L58" s="110">
        <v>826.8</v>
      </c>
      <c r="M58" s="110">
        <v>0</v>
      </c>
      <c r="N58" s="110"/>
      <c r="O58" s="110"/>
      <c r="P58" s="110"/>
      <c r="Q58" s="110"/>
      <c r="R58" s="110"/>
      <c r="S58" s="110"/>
      <c r="T58" s="110"/>
      <c r="U58" s="110"/>
      <c r="Y58" s="110"/>
      <c r="Z58" s="110"/>
    </row>
    <row r="59" ht="14.25" customHeight="1" spans="1:26">
      <c r="A59" s="105"/>
      <c r="B59" s="106"/>
      <c r="C59" s="106"/>
      <c r="D59" s="106"/>
      <c r="G59" s="107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Y59" s="110"/>
      <c r="Z59" s="110"/>
    </row>
    <row r="60" ht="14.25" customHeight="1" spans="1:26">
      <c r="A60" s="105"/>
      <c r="B60" s="106"/>
      <c r="C60" s="106"/>
      <c r="D60" s="106"/>
      <c r="G60" s="107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Y60" s="110"/>
      <c r="Z60" s="110"/>
    </row>
    <row r="61" ht="14.25" customHeight="1" spans="1:26">
      <c r="A61" s="105"/>
      <c r="B61" s="106"/>
      <c r="C61" s="106"/>
      <c r="D61" s="106"/>
      <c r="G61" s="107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Y61" s="110"/>
      <c r="Z61" s="110"/>
    </row>
    <row r="62" ht="14.25" customHeight="1" spans="1:26">
      <c r="A62" s="105"/>
      <c r="B62" s="106"/>
      <c r="C62" s="106"/>
      <c r="D62" s="106"/>
      <c r="G62" s="107"/>
      <c r="H62" s="110">
        <v>2020</v>
      </c>
      <c r="I62" s="110">
        <v>2021</v>
      </c>
      <c r="J62" s="110">
        <v>2022</v>
      </c>
      <c r="K62" s="110">
        <v>2023</v>
      </c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Y62" s="110"/>
      <c r="Z62" s="110"/>
    </row>
    <row r="63" ht="14.25" customHeight="1" spans="1:26">
      <c r="A63" s="105"/>
      <c r="B63" s="106"/>
      <c r="C63" s="106"/>
      <c r="D63" s="106"/>
      <c r="G63" s="107" t="s">
        <v>149</v>
      </c>
      <c r="H63" s="108">
        <v>0.305185351103147</v>
      </c>
      <c r="I63" s="108">
        <v>0.322753209700428</v>
      </c>
      <c r="J63" s="108">
        <v>0.331871626831149</v>
      </c>
      <c r="K63" s="108">
        <v>0.363597171926194</v>
      </c>
      <c r="L63" s="110"/>
      <c r="M63" s="110"/>
      <c r="N63" s="110"/>
      <c r="O63" s="110"/>
      <c r="P63" s="110"/>
      <c r="Q63" s="110"/>
      <c r="U63" s="110"/>
      <c r="V63" s="110"/>
      <c r="W63" s="110"/>
      <c r="X63" s="110"/>
      <c r="Y63" s="110"/>
      <c r="Z63" s="110"/>
    </row>
    <row r="64" ht="14.25" customHeight="1" spans="1:26">
      <c r="A64" s="105"/>
      <c r="B64" s="106"/>
      <c r="C64" s="106"/>
      <c r="D64" s="106"/>
      <c r="G64" s="107" t="s">
        <v>60</v>
      </c>
      <c r="H64" s="108">
        <v>0.106114906484489</v>
      </c>
      <c r="I64" s="108">
        <v>0.154880782555533</v>
      </c>
      <c r="J64" s="108">
        <v>0.147214726291442</v>
      </c>
      <c r="K64" s="108">
        <v>0.167485773409208</v>
      </c>
      <c r="L64" s="110"/>
      <c r="M64" s="110"/>
      <c r="N64" s="110"/>
      <c r="O64" s="110"/>
      <c r="P64" s="110"/>
      <c r="Q64" s="110"/>
      <c r="U64" s="110"/>
      <c r="V64" s="110"/>
      <c r="W64" s="110"/>
      <c r="X64" s="110"/>
      <c r="Y64" s="110"/>
      <c r="Z64" s="110"/>
    </row>
    <row r="65" ht="14.25" customHeight="1" spans="1:26">
      <c r="A65" s="105"/>
      <c r="B65" s="106"/>
      <c r="C65" s="106"/>
      <c r="D65" s="106"/>
      <c r="G65" s="107" t="s">
        <v>76</v>
      </c>
      <c r="H65" s="108">
        <v>0.0789562101019151</v>
      </c>
      <c r="I65" s="108">
        <v>0.109231709802323</v>
      </c>
      <c r="J65" s="108">
        <v>0.118639167309175</v>
      </c>
      <c r="K65" s="108">
        <v>0.138730815657872</v>
      </c>
      <c r="L65" s="110"/>
      <c r="M65" s="110"/>
      <c r="N65" s="110"/>
      <c r="O65" s="110"/>
      <c r="P65" s="110"/>
      <c r="Q65" s="110"/>
      <c r="U65" s="110"/>
      <c r="V65" s="110"/>
      <c r="W65" s="110"/>
      <c r="X65" s="110"/>
      <c r="Y65" s="110"/>
      <c r="Z65" s="110"/>
    </row>
    <row r="66" ht="14.25" customHeight="1" spans="1:26">
      <c r="A66" s="105"/>
      <c r="B66" s="106"/>
      <c r="C66" s="106"/>
      <c r="D66" s="106"/>
      <c r="G66" s="107" t="s">
        <v>16</v>
      </c>
      <c r="H66" s="108">
        <v>0.188881446751507</v>
      </c>
      <c r="I66" s="108">
        <v>0.136808856842038</v>
      </c>
      <c r="J66" s="108">
        <v>0.147209184131065</v>
      </c>
      <c r="K66" s="108">
        <v>0.178420935905966</v>
      </c>
      <c r="L66" s="110"/>
      <c r="M66" s="110"/>
      <c r="N66" s="110"/>
      <c r="O66" s="110"/>
      <c r="P66" s="110"/>
      <c r="Q66" s="110"/>
      <c r="U66" s="110"/>
      <c r="V66" s="110"/>
      <c r="W66" s="110"/>
      <c r="X66" s="110"/>
      <c r="Y66" s="110"/>
      <c r="Z66" s="110"/>
    </row>
    <row r="67" ht="14.25" customHeight="1" spans="1:26">
      <c r="A67" s="105"/>
      <c r="B67" s="106"/>
      <c r="C67" s="106"/>
      <c r="D67" s="106"/>
      <c r="G67" s="107" t="s">
        <v>307</v>
      </c>
      <c r="H67" s="108">
        <v>0.0886123680241327</v>
      </c>
      <c r="I67" s="108">
        <v>0.0651167028594858</v>
      </c>
      <c r="J67" s="108">
        <v>0.0713199403253139</v>
      </c>
      <c r="K67" s="108">
        <v>0.0876290063447975</v>
      </c>
      <c r="L67" s="110"/>
      <c r="M67" s="110"/>
      <c r="N67" s="110"/>
      <c r="O67" s="110"/>
      <c r="P67" s="110"/>
      <c r="Q67" s="110"/>
      <c r="U67" s="110"/>
      <c r="V67" s="110"/>
      <c r="W67" s="110"/>
      <c r="X67" s="110"/>
      <c r="Y67" s="110"/>
      <c r="Z67" s="110"/>
    </row>
    <row r="68" ht="14.25" customHeight="1" spans="1:26">
      <c r="A68" s="105"/>
      <c r="B68" s="106"/>
      <c r="C68" s="106"/>
      <c r="D68" s="106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Y68" s="110"/>
      <c r="Z68" s="110"/>
    </row>
    <row r="69" ht="14.25" customHeight="1" spans="1:26">
      <c r="A69" s="105"/>
      <c r="B69" s="106"/>
      <c r="C69" s="106"/>
      <c r="D69" s="106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Y69" s="110"/>
      <c r="Z69" s="110"/>
    </row>
    <row r="70" ht="14.25" customHeight="1" spans="1:26">
      <c r="A70" s="105"/>
      <c r="B70" s="106"/>
      <c r="C70" s="106"/>
      <c r="D70" s="106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Y70" s="110"/>
      <c r="Z70" s="110"/>
    </row>
    <row r="71" ht="14.25" customHeight="1" spans="1:26">
      <c r="A71" s="105"/>
      <c r="B71" s="106"/>
      <c r="C71" s="106"/>
      <c r="D71" s="106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Y71" s="110"/>
      <c r="Z71" s="110"/>
    </row>
    <row r="72" ht="14.25" customHeight="1" spans="1:26">
      <c r="A72" s="105"/>
      <c r="B72" s="106"/>
      <c r="C72" s="106"/>
      <c r="D72" s="106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Y72" s="110"/>
      <c r="Z72" s="110"/>
    </row>
    <row r="73" ht="14.25" customHeight="1" spans="1:26">
      <c r="A73" s="105"/>
      <c r="B73" s="106"/>
      <c r="C73" s="106"/>
      <c r="D73" s="106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Y73" s="110"/>
      <c r="Z73" s="110"/>
    </row>
    <row r="74" ht="14.25" customHeight="1" spans="1:26">
      <c r="A74" s="105"/>
      <c r="B74" s="106"/>
      <c r="C74" s="106"/>
      <c r="D74" s="106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Y74" s="110"/>
      <c r="Z74" s="110"/>
    </row>
    <row r="75" ht="14.25" customHeight="1" spans="1:26">
      <c r="A75" s="105"/>
      <c r="B75" s="106"/>
      <c r="C75" s="106"/>
      <c r="D75" s="106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Y75" s="110"/>
      <c r="Z75" s="110"/>
    </row>
    <row r="76" ht="14.25" customHeight="1" spans="1:26">
      <c r="A76" s="105"/>
      <c r="B76" s="106"/>
      <c r="C76" s="106"/>
      <c r="D76" s="106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Y76" s="110"/>
      <c r="Z76" s="110"/>
    </row>
    <row r="77" ht="14.25" customHeight="1" spans="1:26">
      <c r="A77" s="105"/>
      <c r="B77" s="106"/>
      <c r="C77" s="106"/>
      <c r="D77" s="106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Y77" s="110"/>
      <c r="Z77" s="110"/>
    </row>
    <row r="78" ht="14.25" customHeight="1" spans="1:26">
      <c r="A78" s="105"/>
      <c r="B78" s="106"/>
      <c r="C78" s="106"/>
      <c r="D78" s="106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Y78" s="110"/>
      <c r="Z78" s="110"/>
    </row>
    <row r="79" ht="14.25" customHeight="1" spans="1:26">
      <c r="A79" s="105"/>
      <c r="B79" s="106"/>
      <c r="C79" s="106"/>
      <c r="D79" s="106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Y79" s="110"/>
      <c r="Z79" s="110"/>
    </row>
    <row r="80" ht="14.25" customHeight="1" spans="1:26">
      <c r="A80" s="105"/>
      <c r="B80" s="106"/>
      <c r="C80" s="106"/>
      <c r="D80" s="106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Y80" s="110"/>
      <c r="Z80" s="110"/>
    </row>
    <row r="81" ht="14.25" customHeight="1" spans="1:26">
      <c r="A81" s="130"/>
      <c r="B81" s="131"/>
      <c r="C81" s="131"/>
      <c r="D81" s="131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Y81" s="110"/>
      <c r="Z81" s="110"/>
    </row>
    <row r="82" ht="14.25" customHeight="1" spans="1:26">
      <c r="A82" s="105"/>
      <c r="B82" s="106"/>
      <c r="C82" s="106"/>
      <c r="D82" s="106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Y82" s="110"/>
      <c r="Z82" s="110"/>
    </row>
    <row r="83" ht="14.25" customHeight="1" spans="1:26">
      <c r="A83" s="105"/>
      <c r="B83" s="106"/>
      <c r="C83" s="106"/>
      <c r="D83" s="106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Y83" s="110"/>
      <c r="Z83" s="110"/>
    </row>
    <row r="84" ht="14.25" customHeight="1" spans="1:26">
      <c r="A84" s="105"/>
      <c r="B84" s="106"/>
      <c r="C84" s="106"/>
      <c r="D84" s="106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Y84" s="110"/>
      <c r="Z84" s="110"/>
    </row>
    <row r="85" ht="14.25" customHeight="1" spans="1:26">
      <c r="A85" s="105"/>
      <c r="B85" s="106"/>
      <c r="C85" s="106"/>
      <c r="D85" s="106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Y85" s="110"/>
      <c r="Z85" s="110"/>
    </row>
    <row r="86" ht="14.25" customHeight="1" spans="1:26">
      <c r="A86" s="105"/>
      <c r="B86" s="106"/>
      <c r="C86" s="106"/>
      <c r="D86" s="106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Y86" s="110"/>
      <c r="Z86" s="110"/>
    </row>
    <row r="87" ht="14.25" customHeight="1" spans="1:26">
      <c r="A87" s="105"/>
      <c r="B87" s="106"/>
      <c r="C87" s="106"/>
      <c r="D87" s="106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Y87" s="110"/>
      <c r="Z87" s="110"/>
    </row>
    <row r="88" ht="14.25" customHeight="1" spans="1:26">
      <c r="A88" s="105"/>
      <c r="B88" s="106"/>
      <c r="C88" s="106"/>
      <c r="D88" s="106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Y88" s="110"/>
      <c r="Z88" s="110"/>
    </row>
    <row r="89" ht="14.25" customHeight="1" spans="1:26">
      <c r="A89" s="105"/>
      <c r="B89" s="106"/>
      <c r="C89" s="106"/>
      <c r="D89" s="106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Y89" s="110"/>
      <c r="Z89" s="110"/>
    </row>
    <row r="90" ht="14.25" customHeight="1" spans="1:26">
      <c r="A90" s="105"/>
      <c r="B90" s="106"/>
      <c r="C90" s="106"/>
      <c r="D90" s="106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Y90" s="110"/>
      <c r="Z90" s="110"/>
    </row>
    <row r="91" ht="14.25" customHeight="1" spans="1:26">
      <c r="A91" s="105"/>
      <c r="B91" s="106"/>
      <c r="C91" s="106"/>
      <c r="D91" s="106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Y91" s="110"/>
      <c r="Z91" s="110"/>
    </row>
    <row r="92" ht="14.25" customHeight="1" spans="1:26">
      <c r="A92" s="105"/>
      <c r="B92" s="106"/>
      <c r="C92" s="106"/>
      <c r="D92" s="106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Y92" s="110"/>
      <c r="Z92" s="110"/>
    </row>
    <row r="93" ht="14.25" customHeight="1" spans="1:26">
      <c r="A93" s="105"/>
      <c r="B93" s="106"/>
      <c r="C93" s="106"/>
      <c r="D93" s="106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Y93" s="110"/>
      <c r="Z93" s="110"/>
    </row>
    <row r="94" ht="14.25" customHeight="1" spans="1:26">
      <c r="A94" s="105"/>
      <c r="B94" s="106"/>
      <c r="C94" s="106"/>
      <c r="D94" s="106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Y94" s="110"/>
      <c r="Z94" s="110"/>
    </row>
    <row r="95" ht="14.25" customHeight="1" spans="1:26">
      <c r="A95" s="105"/>
      <c r="B95" s="106"/>
      <c r="C95" s="106"/>
      <c r="D95" s="106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Y95" s="110"/>
      <c r="Z95" s="110"/>
    </row>
    <row r="96" ht="14.25" customHeight="1" spans="1:26">
      <c r="A96" s="105"/>
      <c r="B96" s="106"/>
      <c r="C96" s="106"/>
      <c r="D96" s="106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Y96" s="110"/>
      <c r="Z96" s="110"/>
    </row>
    <row r="97" ht="14.25" customHeight="1" spans="1:26">
      <c r="A97" s="105"/>
      <c r="B97" s="106"/>
      <c r="C97" s="106"/>
      <c r="D97" s="106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Y97" s="110"/>
      <c r="Z97" s="110"/>
    </row>
    <row r="98" ht="14.25" customHeight="1" spans="1:26">
      <c r="A98" s="105"/>
      <c r="B98" s="106"/>
      <c r="C98" s="106"/>
      <c r="D98" s="106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Y98" s="110"/>
      <c r="Z98" s="110"/>
    </row>
    <row r="99" ht="14.25" customHeight="1" spans="1:26">
      <c r="A99" s="105"/>
      <c r="B99" s="106"/>
      <c r="C99" s="106"/>
      <c r="D99" s="106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Y99" s="110"/>
      <c r="Z99" s="110"/>
    </row>
    <row r="100" ht="14.25" customHeight="1" spans="1:26">
      <c r="A100" s="105"/>
      <c r="B100" s="106"/>
      <c r="C100" s="106"/>
      <c r="D100" s="106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Y100" s="110"/>
      <c r="Z100" s="110"/>
    </row>
    <row r="101" ht="14.25" customHeight="1" spans="1:26">
      <c r="A101" s="105"/>
      <c r="B101" s="106"/>
      <c r="C101" s="106"/>
      <c r="D101" s="106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Y101" s="110"/>
      <c r="Z101" s="110"/>
    </row>
    <row r="102" ht="14.25" customHeight="1" spans="1:26">
      <c r="A102" s="105"/>
      <c r="B102" s="106"/>
      <c r="C102" s="106"/>
      <c r="D102" s="106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Y102" s="110"/>
      <c r="Z102" s="110"/>
    </row>
    <row r="103" ht="14.25" customHeight="1" spans="1:26">
      <c r="A103" s="132"/>
      <c r="B103" s="132"/>
      <c r="C103" s="132"/>
      <c r="D103" s="132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Y103" s="110"/>
      <c r="Z103" s="110"/>
    </row>
    <row r="104" ht="14.25" customHeight="1" spans="1:26">
      <c r="A104" s="133"/>
      <c r="B104" s="132"/>
      <c r="C104" s="132"/>
      <c r="D104" s="132"/>
      <c r="G104" s="134"/>
      <c r="H104" s="134"/>
      <c r="I104" s="134"/>
      <c r="J104" s="134"/>
      <c r="K104" s="134"/>
      <c r="L104" s="134"/>
      <c r="M104" s="134"/>
      <c r="N104" s="134"/>
      <c r="O104" s="110"/>
      <c r="P104" s="110"/>
      <c r="Q104" s="110"/>
      <c r="R104" s="110"/>
      <c r="S104" s="110"/>
      <c r="T104" s="110"/>
      <c r="U104" s="110"/>
      <c r="Y104" s="110"/>
      <c r="Z104" s="110"/>
    </row>
    <row r="105" ht="14.25" customHeight="1" spans="1:26">
      <c r="A105" s="132"/>
      <c r="B105" s="132"/>
      <c r="C105" s="132"/>
      <c r="D105" s="132"/>
      <c r="G105" s="134"/>
      <c r="H105" s="134"/>
      <c r="I105" s="134"/>
      <c r="J105" s="134"/>
      <c r="K105" s="134"/>
      <c r="L105" s="134"/>
      <c r="M105" s="134"/>
      <c r="N105" s="134"/>
      <c r="O105" s="110"/>
      <c r="P105" s="110"/>
      <c r="Q105" s="110"/>
      <c r="R105" s="110"/>
      <c r="S105" s="110"/>
      <c r="T105" s="110"/>
      <c r="U105" s="110"/>
      <c r="Y105" s="110"/>
      <c r="Z105" s="110"/>
    </row>
    <row r="106" ht="14.25" customHeight="1" spans="1:26">
      <c r="A106" s="132"/>
      <c r="B106" s="132"/>
      <c r="C106" s="132"/>
      <c r="D106" s="132"/>
      <c r="G106" s="134"/>
      <c r="H106" s="134"/>
      <c r="I106" s="134"/>
      <c r="J106" s="134"/>
      <c r="K106" s="134"/>
      <c r="L106" s="134"/>
      <c r="M106" s="134"/>
      <c r="N106" s="134"/>
      <c r="O106" s="110"/>
      <c r="P106" s="110"/>
      <c r="Q106" s="110"/>
      <c r="R106" s="110"/>
      <c r="S106" s="110"/>
      <c r="T106" s="110"/>
      <c r="U106" s="110"/>
      <c r="Y106" s="110"/>
      <c r="Z106" s="110"/>
    </row>
    <row r="107" ht="14.25" customHeight="1" spans="1:26">
      <c r="A107" s="132"/>
      <c r="B107" s="132"/>
      <c r="C107" s="132"/>
      <c r="D107" s="132"/>
      <c r="G107" s="134"/>
      <c r="H107" s="134"/>
      <c r="I107" s="134"/>
      <c r="J107" s="134"/>
      <c r="K107" s="134"/>
      <c r="L107" s="134"/>
      <c r="M107" s="134"/>
      <c r="N107" s="134"/>
      <c r="O107" s="110"/>
      <c r="P107" s="110"/>
      <c r="Q107" s="110"/>
      <c r="R107" s="110"/>
      <c r="S107" s="110"/>
      <c r="T107" s="110"/>
      <c r="U107" s="110"/>
      <c r="Y107" s="110"/>
      <c r="Z107" s="110"/>
    </row>
    <row r="108" ht="14.25" customHeight="1" spans="1:26">
      <c r="A108" s="132"/>
      <c r="B108" s="132"/>
      <c r="C108" s="132"/>
      <c r="D108" s="132"/>
      <c r="G108" s="134"/>
      <c r="H108" s="134"/>
      <c r="I108" s="134"/>
      <c r="J108" s="134"/>
      <c r="K108" s="134"/>
      <c r="L108" s="134"/>
      <c r="M108" s="134"/>
      <c r="N108" s="134"/>
      <c r="O108" s="110"/>
      <c r="P108" s="110"/>
      <c r="Q108" s="110"/>
      <c r="R108" s="110"/>
      <c r="S108" s="110"/>
      <c r="T108" s="110"/>
      <c r="U108" s="110"/>
      <c r="Y108" s="110"/>
      <c r="Z108" s="110"/>
    </row>
    <row r="109" ht="14.25" customHeight="1" spans="1:26">
      <c r="A109" s="132"/>
      <c r="B109" s="132"/>
      <c r="C109" s="132"/>
      <c r="D109" s="132"/>
      <c r="G109" s="134"/>
      <c r="H109" s="134"/>
      <c r="I109" s="134"/>
      <c r="J109" s="134"/>
      <c r="K109" s="134"/>
      <c r="L109" s="134"/>
      <c r="M109" s="134"/>
      <c r="N109" s="134"/>
      <c r="O109" s="110"/>
      <c r="P109" s="110"/>
      <c r="Q109" s="110"/>
      <c r="R109" s="110"/>
      <c r="S109" s="110"/>
      <c r="T109" s="110"/>
      <c r="U109" s="110"/>
      <c r="Y109" s="110"/>
      <c r="Z109" s="110"/>
    </row>
    <row r="110" ht="14.25" customHeight="1" spans="1:26">
      <c r="A110" s="132"/>
      <c r="B110" s="132"/>
      <c r="C110" s="132"/>
      <c r="D110" s="132"/>
      <c r="G110" s="134"/>
      <c r="H110" s="134"/>
      <c r="I110" s="134"/>
      <c r="J110" s="134"/>
      <c r="K110" s="134"/>
      <c r="L110" s="134"/>
      <c r="M110" s="134"/>
      <c r="N110" s="134"/>
      <c r="O110" s="110"/>
      <c r="P110" s="110"/>
      <c r="Q110" s="110"/>
      <c r="R110" s="110"/>
      <c r="S110" s="110"/>
      <c r="T110" s="110"/>
      <c r="U110" s="110"/>
      <c r="Y110" s="110"/>
      <c r="Z110" s="110"/>
    </row>
    <row r="111" ht="14.25" customHeight="1" spans="1:26">
      <c r="A111" s="132"/>
      <c r="B111" s="132"/>
      <c r="C111" s="132"/>
      <c r="D111" s="132"/>
      <c r="G111" s="134"/>
      <c r="H111" s="134"/>
      <c r="I111" s="134"/>
      <c r="J111" s="134"/>
      <c r="K111" s="134"/>
      <c r="L111" s="134"/>
      <c r="M111" s="134"/>
      <c r="N111" s="134"/>
      <c r="O111" s="110"/>
      <c r="P111" s="110"/>
      <c r="Q111" s="110"/>
      <c r="R111" s="110"/>
      <c r="S111" s="110"/>
      <c r="T111" s="110"/>
      <c r="U111" s="110"/>
      <c r="Y111" s="110"/>
      <c r="Z111" s="110"/>
    </row>
    <row r="112" ht="14.25" customHeight="1" spans="1:26">
      <c r="A112" s="132"/>
      <c r="B112" s="132"/>
      <c r="C112" s="132"/>
      <c r="D112" s="132"/>
      <c r="G112" s="134"/>
      <c r="H112" s="134"/>
      <c r="I112" s="134"/>
      <c r="J112" s="134"/>
      <c r="K112" s="134"/>
      <c r="L112" s="134"/>
      <c r="M112" s="134"/>
      <c r="N112" s="134"/>
      <c r="O112" s="110"/>
      <c r="P112" s="110"/>
      <c r="Q112" s="110"/>
      <c r="R112" s="110"/>
      <c r="S112" s="110"/>
      <c r="T112" s="110"/>
      <c r="U112" s="110"/>
      <c r="Y112" s="110"/>
      <c r="Z112" s="110"/>
    </row>
    <row r="113" ht="14.25" customHeight="1" spans="1:26">
      <c r="A113" s="132"/>
      <c r="B113" s="132"/>
      <c r="C113" s="132"/>
      <c r="D113" s="132"/>
      <c r="G113" s="134"/>
      <c r="H113" s="134"/>
      <c r="I113" s="134"/>
      <c r="J113" s="134"/>
      <c r="K113" s="134"/>
      <c r="L113" s="134"/>
      <c r="M113" s="134"/>
      <c r="N113" s="134"/>
      <c r="O113" s="110"/>
      <c r="P113" s="110"/>
      <c r="Q113" s="110"/>
      <c r="R113" s="110"/>
      <c r="S113" s="110"/>
      <c r="T113" s="110"/>
      <c r="U113" s="110"/>
      <c r="Y113" s="110"/>
      <c r="Z113" s="110"/>
    </row>
    <row r="114" ht="14.25" customHeight="1" spans="1:26">
      <c r="A114" s="132"/>
      <c r="B114" s="132"/>
      <c r="C114" s="132"/>
      <c r="D114" s="132"/>
      <c r="G114" s="134"/>
      <c r="H114" s="134"/>
      <c r="I114" s="134"/>
      <c r="J114" s="134"/>
      <c r="K114" s="134"/>
      <c r="L114" s="134"/>
      <c r="M114" s="134"/>
      <c r="N114" s="134"/>
      <c r="O114" s="110"/>
      <c r="P114" s="110"/>
      <c r="Q114" s="110"/>
      <c r="R114" s="110"/>
      <c r="S114" s="110"/>
      <c r="T114" s="110"/>
      <c r="U114" s="110"/>
      <c r="Y114" s="110"/>
      <c r="Z114" s="110"/>
    </row>
    <row r="115" ht="14.25" customHeight="1" spans="1:26">
      <c r="A115" s="132"/>
      <c r="B115" s="132"/>
      <c r="C115" s="132"/>
      <c r="D115" s="132"/>
      <c r="G115" s="134"/>
      <c r="H115" s="134"/>
      <c r="I115" s="134"/>
      <c r="J115" s="134"/>
      <c r="K115" s="134"/>
      <c r="L115" s="134"/>
      <c r="M115" s="134"/>
      <c r="N115" s="134"/>
      <c r="O115" s="110"/>
      <c r="P115" s="110"/>
      <c r="Q115" s="110"/>
      <c r="R115" s="110"/>
      <c r="S115" s="110"/>
      <c r="T115" s="110"/>
      <c r="U115" s="110"/>
      <c r="Y115" s="110"/>
      <c r="Z115" s="110"/>
    </row>
    <row r="116" ht="14.25" customHeight="1" spans="1:26">
      <c r="A116" s="132"/>
      <c r="B116" s="132"/>
      <c r="C116" s="132"/>
      <c r="D116" s="132"/>
      <c r="G116" s="134"/>
      <c r="H116" s="134"/>
      <c r="I116" s="134"/>
      <c r="J116" s="134"/>
      <c r="K116" s="134"/>
      <c r="L116" s="134"/>
      <c r="M116" s="134"/>
      <c r="N116" s="134"/>
      <c r="O116" s="110"/>
      <c r="P116" s="110"/>
      <c r="Q116" s="110"/>
      <c r="R116" s="110"/>
      <c r="S116" s="110"/>
      <c r="T116" s="110"/>
      <c r="U116" s="110"/>
      <c r="Y116" s="110"/>
      <c r="Z116" s="110"/>
    </row>
    <row r="117" ht="14.25" customHeight="1" spans="1:26">
      <c r="A117" s="132"/>
      <c r="B117" s="132"/>
      <c r="C117" s="132"/>
      <c r="D117" s="132"/>
      <c r="G117" s="134"/>
      <c r="H117" s="134"/>
      <c r="I117" s="134"/>
      <c r="J117" s="134"/>
      <c r="K117" s="134"/>
      <c r="L117" s="134"/>
      <c r="M117" s="134"/>
      <c r="N117" s="134"/>
      <c r="O117" s="110"/>
      <c r="P117" s="110"/>
      <c r="Q117" s="110"/>
      <c r="R117" s="110"/>
      <c r="S117" s="110"/>
      <c r="T117" s="110"/>
      <c r="U117" s="110"/>
      <c r="Y117" s="110"/>
      <c r="Z117" s="110"/>
    </row>
    <row r="118" ht="14.25" customHeight="1" spans="1:26">
      <c r="A118" s="132"/>
      <c r="B118" s="132"/>
      <c r="C118" s="132"/>
      <c r="D118" s="132"/>
      <c r="G118" s="134"/>
      <c r="H118" s="134"/>
      <c r="I118" s="134"/>
      <c r="J118" s="134"/>
      <c r="K118" s="134"/>
      <c r="L118" s="134"/>
      <c r="M118" s="134"/>
      <c r="N118" s="134"/>
      <c r="O118" s="110"/>
      <c r="P118" s="110"/>
      <c r="Q118" s="110"/>
      <c r="R118" s="110"/>
      <c r="S118" s="110"/>
      <c r="T118" s="110"/>
      <c r="U118" s="110"/>
      <c r="Y118" s="110"/>
      <c r="Z118" s="110"/>
    </row>
    <row r="119" ht="14.25" customHeight="1" spans="1:26">
      <c r="A119" s="132"/>
      <c r="B119" s="132"/>
      <c r="C119" s="132"/>
      <c r="D119" s="132"/>
      <c r="G119" s="134"/>
      <c r="H119" s="134"/>
      <c r="I119" s="134"/>
      <c r="J119" s="134"/>
      <c r="K119" s="134"/>
      <c r="L119" s="134"/>
      <c r="M119" s="134"/>
      <c r="N119" s="134"/>
      <c r="O119" s="110"/>
      <c r="P119" s="110"/>
      <c r="Q119" s="110"/>
      <c r="R119" s="110"/>
      <c r="S119" s="110"/>
      <c r="T119" s="110"/>
      <c r="U119" s="110"/>
      <c r="Y119" s="110"/>
      <c r="Z119" s="110"/>
    </row>
    <row r="120" ht="14.25" customHeight="1" spans="1:26">
      <c r="A120" s="132"/>
      <c r="B120" s="132"/>
      <c r="C120" s="132"/>
      <c r="D120" s="132"/>
      <c r="G120" s="134"/>
      <c r="H120" s="134"/>
      <c r="I120" s="134"/>
      <c r="J120" s="134"/>
      <c r="K120" s="134"/>
      <c r="L120" s="134"/>
      <c r="M120" s="134"/>
      <c r="N120" s="134"/>
      <c r="O120" s="110"/>
      <c r="P120" s="110"/>
      <c r="Q120" s="110"/>
      <c r="R120" s="110"/>
      <c r="S120" s="110"/>
      <c r="T120" s="110"/>
      <c r="U120" s="110"/>
      <c r="Y120" s="110"/>
      <c r="Z120" s="110"/>
    </row>
    <row r="121" ht="14.25" customHeight="1" spans="1:26">
      <c r="A121" s="132"/>
      <c r="B121" s="132"/>
      <c r="C121" s="132"/>
      <c r="D121" s="132"/>
      <c r="G121" s="134"/>
      <c r="H121" s="134"/>
      <c r="I121" s="134"/>
      <c r="J121" s="134"/>
      <c r="K121" s="134"/>
      <c r="L121" s="134"/>
      <c r="M121" s="134"/>
      <c r="N121" s="134"/>
      <c r="O121" s="110"/>
      <c r="P121" s="110"/>
      <c r="Q121" s="110"/>
      <c r="R121" s="110"/>
      <c r="S121" s="110"/>
      <c r="T121" s="110"/>
      <c r="U121" s="110"/>
      <c r="Y121" s="110"/>
      <c r="Z121" s="110"/>
    </row>
    <row r="122" ht="14.25" customHeight="1" spans="1:26">
      <c r="A122" s="132"/>
      <c r="B122" s="132"/>
      <c r="C122" s="132"/>
      <c r="D122" s="132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Y122" s="110"/>
      <c r="Z122" s="110"/>
    </row>
    <row r="123" ht="14.25" customHeight="1" spans="1:26">
      <c r="A123" s="132"/>
      <c r="B123" s="132"/>
      <c r="C123" s="132"/>
      <c r="D123" s="132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Y123" s="110"/>
      <c r="Z123" s="110"/>
    </row>
    <row r="124" ht="14.25" customHeight="1" spans="1:26">
      <c r="A124" s="132"/>
      <c r="B124" s="132"/>
      <c r="C124" s="132"/>
      <c r="D124" s="132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Y124" s="110"/>
      <c r="Z124" s="110"/>
    </row>
    <row r="125" ht="14.25" customHeight="1" spans="1:26">
      <c r="A125" s="132"/>
      <c r="B125" s="132"/>
      <c r="C125" s="132"/>
      <c r="D125" s="132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Y125" s="110"/>
      <c r="Z125" s="110"/>
    </row>
    <row r="126" ht="14.25" customHeight="1" spans="1:26">
      <c r="A126" s="132"/>
      <c r="B126" s="132"/>
      <c r="C126" s="132"/>
      <c r="D126" s="132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Y126" s="110"/>
      <c r="Z126" s="110"/>
    </row>
    <row r="127" ht="14.25" customHeight="1" spans="1:26">
      <c r="A127" s="132"/>
      <c r="B127" s="132"/>
      <c r="C127" s="132"/>
      <c r="D127" s="132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Y127" s="110"/>
      <c r="Z127" s="110"/>
    </row>
    <row r="128" ht="14.25" customHeight="1" spans="1:26">
      <c r="A128" s="132"/>
      <c r="B128" s="132"/>
      <c r="C128" s="132"/>
      <c r="D128" s="132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Y128" s="110"/>
      <c r="Z128" s="110"/>
    </row>
    <row r="129" ht="14.25" customHeight="1" spans="1:26">
      <c r="A129" s="132"/>
      <c r="B129" s="132"/>
      <c r="C129" s="132"/>
      <c r="D129" s="132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Y129" s="110"/>
      <c r="Z129" s="110"/>
    </row>
    <row r="130" ht="14.25" customHeight="1" spans="1:26">
      <c r="A130" s="132"/>
      <c r="B130" s="132"/>
      <c r="C130" s="132"/>
      <c r="D130" s="132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Y130" s="110"/>
      <c r="Z130" s="110"/>
    </row>
    <row r="131" ht="14.25" customHeight="1" spans="1:26">
      <c r="A131" s="132"/>
      <c r="B131" s="132"/>
      <c r="C131" s="132"/>
      <c r="D131" s="132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Y131" s="110"/>
      <c r="Z131" s="110"/>
    </row>
    <row r="132" ht="14.25" customHeight="1" spans="1:26">
      <c r="A132" s="132"/>
      <c r="B132" s="132"/>
      <c r="C132" s="132"/>
      <c r="D132" s="132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Y132" s="110"/>
      <c r="Z132" s="110"/>
    </row>
    <row r="133" ht="14.25" customHeight="1" spans="1:26">
      <c r="A133" s="132"/>
      <c r="B133" s="132"/>
      <c r="C133" s="132"/>
      <c r="D133" s="132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Y133" s="110"/>
      <c r="Z133" s="110"/>
    </row>
    <row r="134" ht="14.25" customHeight="1" spans="1:26">
      <c r="A134" s="132"/>
      <c r="B134" s="132"/>
      <c r="C134" s="132"/>
      <c r="D134" s="132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Y134" s="110"/>
      <c r="Z134" s="110"/>
    </row>
    <row r="135" ht="14.25" customHeight="1" spans="1:26">
      <c r="A135" s="132"/>
      <c r="B135" s="132"/>
      <c r="C135" s="132"/>
      <c r="D135" s="132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Y135" s="110"/>
      <c r="Z135" s="110"/>
    </row>
    <row r="136" ht="14.25" customHeight="1" spans="1:26">
      <c r="A136" s="132"/>
      <c r="B136" s="132"/>
      <c r="C136" s="132"/>
      <c r="D136" s="132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Y136" s="110"/>
      <c r="Z136" s="110"/>
    </row>
    <row r="137" ht="14.25" customHeight="1" spans="1:26">
      <c r="A137" s="132"/>
      <c r="B137" s="132"/>
      <c r="C137" s="132"/>
      <c r="D137" s="132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Y137" s="110"/>
      <c r="Z137" s="110"/>
    </row>
    <row r="138" ht="14.25" customHeight="1" spans="1:26">
      <c r="A138" s="132"/>
      <c r="B138" s="132"/>
      <c r="C138" s="132"/>
      <c r="D138" s="132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Y138" s="110"/>
      <c r="Z138" s="110"/>
    </row>
    <row r="139" ht="14.25" customHeight="1" spans="1:26">
      <c r="A139" s="132"/>
      <c r="B139" s="132"/>
      <c r="C139" s="132"/>
      <c r="D139" s="132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Y139" s="110"/>
      <c r="Z139" s="110"/>
    </row>
    <row r="140" ht="14.25" customHeight="1" spans="1:26">
      <c r="A140" s="132"/>
      <c r="B140" s="132"/>
      <c r="C140" s="132"/>
      <c r="D140" s="132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Y140" s="110"/>
      <c r="Z140" s="110"/>
    </row>
    <row r="141" ht="14.25" customHeight="1" spans="1:26">
      <c r="A141" s="132"/>
      <c r="B141" s="132"/>
      <c r="C141" s="132"/>
      <c r="D141" s="132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Y141" s="110"/>
      <c r="Z141" s="110"/>
    </row>
    <row r="142" ht="14.25" customHeight="1" spans="1:26">
      <c r="A142" s="132"/>
      <c r="B142" s="132"/>
      <c r="C142" s="132"/>
      <c r="D142" s="132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Y142" s="110"/>
      <c r="Z142" s="110"/>
    </row>
    <row r="143" ht="14.25" customHeight="1" spans="1:26">
      <c r="A143" s="132"/>
      <c r="B143" s="132"/>
      <c r="C143" s="132"/>
      <c r="D143" s="132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Y143" s="110"/>
      <c r="Z143" s="110"/>
    </row>
    <row r="144" ht="14.25" customHeight="1" spans="1:26">
      <c r="A144" s="132"/>
      <c r="B144" s="132"/>
      <c r="C144" s="132"/>
      <c r="D144" s="132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Y144" s="110"/>
      <c r="Z144" s="110"/>
    </row>
    <row r="145" ht="14.25" customHeight="1" spans="1:26">
      <c r="A145" s="132"/>
      <c r="B145" s="132"/>
      <c r="C145" s="132"/>
      <c r="D145" s="132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Y145" s="110"/>
      <c r="Z145" s="110"/>
    </row>
    <row r="146" ht="14.25" customHeight="1" spans="1:26">
      <c r="A146" s="132"/>
      <c r="B146" s="132"/>
      <c r="C146" s="132"/>
      <c r="D146" s="132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Y146" s="110"/>
      <c r="Z146" s="110"/>
    </row>
    <row r="147" ht="14.25" customHeight="1" spans="1:26">
      <c r="A147" s="132"/>
      <c r="B147" s="132"/>
      <c r="C147" s="132"/>
      <c r="D147" s="132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Y147" s="110"/>
      <c r="Z147" s="110"/>
    </row>
    <row r="148" ht="14.25" customHeight="1" spans="1:26">
      <c r="A148" s="132"/>
      <c r="B148" s="132"/>
      <c r="C148" s="132"/>
      <c r="D148" s="132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Y148" s="110"/>
      <c r="Z148" s="110"/>
    </row>
    <row r="149" ht="14.25" customHeight="1" spans="1:26">
      <c r="A149" s="132"/>
      <c r="B149" s="132"/>
      <c r="C149" s="132"/>
      <c r="D149" s="132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Y149" s="110"/>
      <c r="Z149" s="110"/>
    </row>
    <row r="150" ht="14.25" customHeight="1" spans="1:26">
      <c r="A150" s="132"/>
      <c r="B150" s="132"/>
      <c r="C150" s="132"/>
      <c r="D150" s="132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Y150" s="110"/>
      <c r="Z150" s="110"/>
    </row>
    <row r="151" ht="14.25" customHeight="1" spans="1:26">
      <c r="A151" s="132"/>
      <c r="B151" s="132"/>
      <c r="C151" s="132"/>
      <c r="D151" s="132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Y151" s="110"/>
      <c r="Z151" s="110"/>
    </row>
    <row r="152" ht="14.25" customHeight="1" spans="1:26">
      <c r="A152" s="132"/>
      <c r="B152" s="132"/>
      <c r="C152" s="132"/>
      <c r="D152" s="132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Y152" s="110"/>
      <c r="Z152" s="110"/>
    </row>
    <row r="153" ht="14.25" customHeight="1" spans="1:26">
      <c r="A153" s="132"/>
      <c r="B153" s="132"/>
      <c r="C153" s="132"/>
      <c r="D153" s="132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Y153" s="110"/>
      <c r="Z153" s="110"/>
    </row>
    <row r="154" ht="14.25" customHeight="1" spans="1:26">
      <c r="A154" s="132"/>
      <c r="B154" s="132"/>
      <c r="C154" s="132"/>
      <c r="D154" s="132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Y154" s="110"/>
      <c r="Z154" s="110"/>
    </row>
    <row r="155" ht="14.25" customHeight="1" spans="1:26">
      <c r="A155" s="132"/>
      <c r="B155" s="132"/>
      <c r="C155" s="132"/>
      <c r="D155" s="132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Y155" s="110"/>
      <c r="Z155" s="110"/>
    </row>
    <row r="156" ht="14.25" customHeight="1" spans="1:26">
      <c r="A156" s="132"/>
      <c r="B156" s="132"/>
      <c r="C156" s="132"/>
      <c r="D156" s="132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Y156" s="110"/>
      <c r="Z156" s="110"/>
    </row>
    <row r="157" ht="14.25" customHeight="1" spans="1:26">
      <c r="A157" s="132"/>
      <c r="B157" s="132"/>
      <c r="C157" s="132"/>
      <c r="D157" s="132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Y157" s="110"/>
      <c r="Z157" s="110"/>
    </row>
    <row r="158" ht="14.25" customHeight="1" spans="1:26">
      <c r="A158" s="132"/>
      <c r="B158" s="132"/>
      <c r="C158" s="132"/>
      <c r="D158" s="132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Y158" s="110"/>
      <c r="Z158" s="110"/>
    </row>
    <row r="159" ht="14.25" customHeight="1" spans="1:26">
      <c r="A159" s="132"/>
      <c r="B159" s="132"/>
      <c r="C159" s="132"/>
      <c r="D159" s="132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Y159" s="110"/>
      <c r="Z159" s="110"/>
    </row>
    <row r="160" ht="14.25" customHeight="1" spans="1:26">
      <c r="A160" s="132"/>
      <c r="B160" s="132"/>
      <c r="C160" s="132"/>
      <c r="D160" s="132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Y160" s="110"/>
      <c r="Z160" s="110"/>
    </row>
    <row r="161" ht="14.25" customHeight="1" spans="1:26">
      <c r="A161" s="132"/>
      <c r="B161" s="132"/>
      <c r="C161" s="132"/>
      <c r="D161" s="132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Y161" s="110"/>
      <c r="Z161" s="110"/>
    </row>
    <row r="162" ht="14.25" customHeight="1" spans="1:26">
      <c r="A162" s="132"/>
      <c r="B162" s="132"/>
      <c r="C162" s="132"/>
      <c r="D162" s="132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Y162" s="110"/>
      <c r="Z162" s="110"/>
    </row>
    <row r="163" ht="14.25" customHeight="1" spans="1:26">
      <c r="A163" s="132"/>
      <c r="B163" s="132"/>
      <c r="C163" s="132"/>
      <c r="D163" s="132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Y163" s="110"/>
      <c r="Z163" s="110"/>
    </row>
    <row r="164" ht="14.25" customHeight="1" spans="1:26">
      <c r="A164" s="132"/>
      <c r="B164" s="132"/>
      <c r="C164" s="132"/>
      <c r="D164" s="132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Y164" s="110"/>
      <c r="Z164" s="110"/>
    </row>
    <row r="165" ht="14.25" customHeight="1" spans="1:26">
      <c r="A165" s="132"/>
      <c r="B165" s="132"/>
      <c r="C165" s="132"/>
      <c r="D165" s="132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Y165" s="110"/>
      <c r="Z165" s="110"/>
    </row>
    <row r="166" ht="14.25" customHeight="1" spans="1:26">
      <c r="A166" s="132"/>
      <c r="B166" s="132"/>
      <c r="C166" s="132"/>
      <c r="D166" s="132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Y166" s="110"/>
      <c r="Z166" s="110"/>
    </row>
    <row r="167" ht="14.25" customHeight="1" spans="1:26">
      <c r="A167" s="132"/>
      <c r="B167" s="132"/>
      <c r="C167" s="132"/>
      <c r="D167" s="132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Y167" s="110"/>
      <c r="Z167" s="110"/>
    </row>
    <row r="168" ht="14.25" customHeight="1" spans="1:26">
      <c r="A168" s="132"/>
      <c r="B168" s="132"/>
      <c r="C168" s="132"/>
      <c r="D168" s="132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Y168" s="110"/>
      <c r="Z168" s="110"/>
    </row>
    <row r="169" ht="14.25" customHeight="1" spans="1:26">
      <c r="A169" s="132"/>
      <c r="B169" s="132"/>
      <c r="C169" s="132"/>
      <c r="D169" s="132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Y169" s="110"/>
      <c r="Z169" s="110"/>
    </row>
    <row r="170" ht="14.25" customHeight="1" spans="1:26">
      <c r="A170" s="132"/>
      <c r="B170" s="132"/>
      <c r="C170" s="132"/>
      <c r="D170" s="132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Y170" s="110"/>
      <c r="Z170" s="110"/>
    </row>
    <row r="171" ht="14.25" customHeight="1" spans="1:26">
      <c r="A171" s="132"/>
      <c r="B171" s="132"/>
      <c r="C171" s="132"/>
      <c r="D171" s="132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Y171" s="110"/>
      <c r="Z171" s="110"/>
    </row>
    <row r="172" ht="14.25" customHeight="1" spans="1:26">
      <c r="A172" s="132"/>
      <c r="B172" s="132"/>
      <c r="C172" s="132"/>
      <c r="D172" s="132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Y172" s="110"/>
      <c r="Z172" s="110"/>
    </row>
    <row r="173" ht="14.25" customHeight="1" spans="1:26">
      <c r="A173" s="132"/>
      <c r="B173" s="132"/>
      <c r="C173" s="132"/>
      <c r="D173" s="132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Y173" s="110"/>
      <c r="Z173" s="110"/>
    </row>
    <row r="174" ht="14.25" customHeight="1" spans="1:26">
      <c r="A174" s="132"/>
      <c r="B174" s="132"/>
      <c r="C174" s="132"/>
      <c r="D174" s="132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Y174" s="110"/>
      <c r="Z174" s="110"/>
    </row>
    <row r="175" ht="14.25" customHeight="1" spans="1:26">
      <c r="A175" s="132"/>
      <c r="B175" s="132"/>
      <c r="C175" s="132"/>
      <c r="D175" s="132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Y175" s="110"/>
      <c r="Z175" s="110"/>
    </row>
    <row r="176" ht="14.25" customHeight="1" spans="1:26">
      <c r="A176" s="132"/>
      <c r="B176" s="132"/>
      <c r="C176" s="132"/>
      <c r="D176" s="132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Y176" s="110"/>
      <c r="Z176" s="110"/>
    </row>
    <row r="177" ht="14.25" customHeight="1" spans="1:26">
      <c r="A177" s="132"/>
      <c r="B177" s="132"/>
      <c r="C177" s="132"/>
      <c r="D177" s="132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Y177" s="110"/>
      <c r="Z177" s="110"/>
    </row>
    <row r="178" ht="14.25" customHeight="1" spans="1:26">
      <c r="A178" s="132"/>
      <c r="B178" s="132"/>
      <c r="C178" s="132"/>
      <c r="D178" s="132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Y178" s="110"/>
      <c r="Z178" s="110"/>
    </row>
    <row r="179" ht="14.25" customHeight="1" spans="1:26">
      <c r="A179" s="132"/>
      <c r="B179" s="132"/>
      <c r="C179" s="132"/>
      <c r="D179" s="132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Y179" s="110"/>
      <c r="Z179" s="110"/>
    </row>
    <row r="180" ht="14.25" customHeight="1" spans="1:26">
      <c r="A180" s="132"/>
      <c r="B180" s="132"/>
      <c r="C180" s="132"/>
      <c r="D180" s="132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Y180" s="110"/>
      <c r="Z180" s="110"/>
    </row>
    <row r="181" ht="14.25" customHeight="1" spans="1:26">
      <c r="A181" s="132"/>
      <c r="B181" s="132"/>
      <c r="C181" s="132"/>
      <c r="D181" s="132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Y181" s="110"/>
      <c r="Z181" s="110"/>
    </row>
    <row r="182" ht="14.25" customHeight="1" spans="1:26">
      <c r="A182" s="132"/>
      <c r="B182" s="132"/>
      <c r="C182" s="132"/>
      <c r="D182" s="132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Y182" s="110"/>
      <c r="Z182" s="110"/>
    </row>
    <row r="183" ht="14.25" customHeight="1" spans="1:26">
      <c r="A183" s="132"/>
      <c r="B183" s="132"/>
      <c r="C183" s="132"/>
      <c r="D183" s="132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Y183" s="110"/>
      <c r="Z183" s="110"/>
    </row>
    <row r="184" ht="14.25" customHeight="1" spans="1:26">
      <c r="A184" s="132"/>
      <c r="B184" s="132"/>
      <c r="C184" s="132"/>
      <c r="D184" s="132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Y184" s="110"/>
      <c r="Z184" s="110"/>
    </row>
    <row r="185" ht="14.25" customHeight="1" spans="1:26">
      <c r="A185" s="132"/>
      <c r="B185" s="132"/>
      <c r="C185" s="132"/>
      <c r="D185" s="132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Y185" s="110"/>
      <c r="Z185" s="110"/>
    </row>
    <row r="186" ht="14.25" customHeight="1" spans="1:26">
      <c r="A186" s="132"/>
      <c r="B186" s="132"/>
      <c r="C186" s="132"/>
      <c r="D186" s="132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Y186" s="110"/>
      <c r="Z186" s="110"/>
    </row>
    <row r="187" ht="14.25" customHeight="1" spans="1:26">
      <c r="A187" s="132"/>
      <c r="B187" s="132"/>
      <c r="C187" s="132"/>
      <c r="D187" s="132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Y187" s="110"/>
      <c r="Z187" s="110"/>
    </row>
    <row r="188" ht="14.25" customHeight="1" spans="1:26">
      <c r="A188" s="132"/>
      <c r="B188" s="132"/>
      <c r="C188" s="132"/>
      <c r="D188" s="132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Y188" s="110"/>
      <c r="Z188" s="110"/>
    </row>
    <row r="189" ht="14.25" customHeight="1" spans="1:26">
      <c r="A189" s="132"/>
      <c r="B189" s="132"/>
      <c r="C189" s="132"/>
      <c r="D189" s="132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Y189" s="110"/>
      <c r="Z189" s="110"/>
    </row>
    <row r="190" ht="14.25" customHeight="1" spans="1:26">
      <c r="A190" s="132"/>
      <c r="B190" s="132"/>
      <c r="C190" s="132"/>
      <c r="D190" s="132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Y190" s="110"/>
      <c r="Z190" s="110"/>
    </row>
    <row r="191" ht="14.25" customHeight="1" spans="1:26">
      <c r="A191" s="132"/>
      <c r="B191" s="132"/>
      <c r="C191" s="132"/>
      <c r="D191" s="132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Y191" s="110"/>
      <c r="Z191" s="110"/>
    </row>
    <row r="192" ht="14.25" customHeight="1" spans="1:26">
      <c r="A192" s="132"/>
      <c r="B192" s="132"/>
      <c r="C192" s="132"/>
      <c r="D192" s="132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Y192" s="110"/>
      <c r="Z192" s="110"/>
    </row>
    <row r="193" ht="14.25" customHeight="1" spans="1:26">
      <c r="A193" s="132"/>
      <c r="B193" s="132"/>
      <c r="C193" s="132"/>
      <c r="D193" s="132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Y193" s="110"/>
      <c r="Z193" s="110"/>
    </row>
    <row r="194" ht="14.25" customHeight="1" spans="1:26">
      <c r="A194" s="132"/>
      <c r="B194" s="132"/>
      <c r="C194" s="132"/>
      <c r="D194" s="132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Y194" s="110"/>
      <c r="Z194" s="110"/>
    </row>
    <row r="195" ht="14.25" customHeight="1" spans="1:26">
      <c r="A195" s="132"/>
      <c r="B195" s="132"/>
      <c r="C195" s="132"/>
      <c r="D195" s="132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Y195" s="110"/>
      <c r="Z195" s="110"/>
    </row>
    <row r="196" ht="14.25" customHeight="1" spans="1:26">
      <c r="A196" s="132"/>
      <c r="B196" s="132"/>
      <c r="C196" s="132"/>
      <c r="D196" s="132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Y196" s="110"/>
      <c r="Z196" s="110"/>
    </row>
    <row r="197" ht="14.25" customHeight="1" spans="1:26">
      <c r="A197" s="132"/>
      <c r="B197" s="132"/>
      <c r="C197" s="132"/>
      <c r="D197" s="132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Y197" s="110"/>
      <c r="Z197" s="110"/>
    </row>
    <row r="198" ht="14.25" customHeight="1" spans="1:26">
      <c r="A198" s="132"/>
      <c r="B198" s="132"/>
      <c r="C198" s="132"/>
      <c r="D198" s="132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Y198" s="110"/>
      <c r="Z198" s="110"/>
    </row>
    <row r="199" ht="14.25" customHeight="1" spans="1:26">
      <c r="A199" s="132"/>
      <c r="B199" s="132"/>
      <c r="C199" s="132"/>
      <c r="D199" s="132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Y199" s="110"/>
      <c r="Z199" s="110"/>
    </row>
    <row r="200" ht="14.25" customHeight="1" spans="1:26">
      <c r="A200" s="132"/>
      <c r="B200" s="132"/>
      <c r="C200" s="132"/>
      <c r="D200" s="132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Y200" s="110"/>
      <c r="Z200" s="110"/>
    </row>
    <row r="201" ht="14.25" customHeight="1" spans="1:26">
      <c r="A201" s="132"/>
      <c r="B201" s="132"/>
      <c r="C201" s="132"/>
      <c r="D201" s="132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Y201" s="110"/>
      <c r="Z201" s="110"/>
    </row>
    <row r="202" ht="14.25" customHeight="1" spans="1:26">
      <c r="A202" s="132"/>
      <c r="B202" s="132"/>
      <c r="C202" s="132"/>
      <c r="D202" s="132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Y202" s="110"/>
      <c r="Z202" s="110"/>
    </row>
    <row r="203" ht="14.25" customHeight="1" spans="1:26">
      <c r="A203" s="132"/>
      <c r="B203" s="132"/>
      <c r="C203" s="132"/>
      <c r="D203" s="132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Y203" s="110"/>
      <c r="Z203" s="110"/>
    </row>
    <row r="204" ht="14.25" customHeight="1" spans="1:26">
      <c r="A204" s="132"/>
      <c r="B204" s="132"/>
      <c r="C204" s="132"/>
      <c r="D204" s="132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Y204" s="110"/>
      <c r="Z204" s="110"/>
    </row>
    <row r="205" ht="14.25" customHeight="1" spans="1:26">
      <c r="A205" s="132"/>
      <c r="B205" s="132"/>
      <c r="C205" s="132"/>
      <c r="D205" s="132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Y205" s="110"/>
      <c r="Z205" s="110"/>
    </row>
    <row r="206" ht="14.25" customHeight="1" spans="1:26">
      <c r="A206" s="132"/>
      <c r="B206" s="132"/>
      <c r="C206" s="132"/>
      <c r="D206" s="132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Y206" s="110"/>
      <c r="Z206" s="110"/>
    </row>
    <row r="207" ht="14.25" customHeight="1" spans="1:26">
      <c r="A207" s="132"/>
      <c r="B207" s="132"/>
      <c r="C207" s="132"/>
      <c r="D207" s="132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Y207" s="110"/>
      <c r="Z207" s="110"/>
    </row>
    <row r="208" ht="14.25" customHeight="1" spans="1:26">
      <c r="A208" s="132"/>
      <c r="B208" s="132"/>
      <c r="C208" s="132"/>
      <c r="D208" s="132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Y208" s="110"/>
      <c r="Z208" s="110"/>
    </row>
    <row r="209" ht="14.25" customHeight="1" spans="1:26">
      <c r="A209" s="132"/>
      <c r="B209" s="132"/>
      <c r="C209" s="132"/>
      <c r="D209" s="132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Y209" s="110"/>
      <c r="Z209" s="110"/>
    </row>
    <row r="210" ht="14.25" customHeight="1" spans="1:26">
      <c r="A210" s="132"/>
      <c r="B210" s="132"/>
      <c r="C210" s="132"/>
      <c r="D210" s="132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Y210" s="110"/>
      <c r="Z210" s="110"/>
    </row>
    <row r="211" ht="14.25" customHeight="1" spans="1:26">
      <c r="A211" s="132"/>
      <c r="B211" s="132"/>
      <c r="C211" s="132"/>
      <c r="D211" s="132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Y211" s="110"/>
      <c r="Z211" s="110"/>
    </row>
    <row r="212" ht="14.25" customHeight="1" spans="1:26">
      <c r="A212" s="132"/>
      <c r="B212" s="132"/>
      <c r="C212" s="132"/>
      <c r="D212" s="132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Y212" s="110"/>
      <c r="Z212" s="110"/>
    </row>
    <row r="213" ht="14.25" customHeight="1" spans="1:26">
      <c r="A213" s="132"/>
      <c r="B213" s="132"/>
      <c r="C213" s="132"/>
      <c r="D213" s="132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Y213" s="110"/>
      <c r="Z213" s="110"/>
    </row>
    <row r="214" ht="14.25" customHeight="1" spans="1:26">
      <c r="A214" s="132"/>
      <c r="B214" s="132"/>
      <c r="C214" s="132"/>
      <c r="D214" s="132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Y214" s="110"/>
      <c r="Z214" s="110"/>
    </row>
    <row r="215" ht="14.25" customHeight="1" spans="1:26">
      <c r="A215" s="132"/>
      <c r="B215" s="132"/>
      <c r="C215" s="132"/>
      <c r="D215" s="132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Y215" s="110"/>
      <c r="Z215" s="110"/>
    </row>
    <row r="216" ht="14.25" customHeight="1" spans="1:26">
      <c r="A216" s="132"/>
      <c r="B216" s="132"/>
      <c r="C216" s="132"/>
      <c r="D216" s="132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Y216" s="110"/>
      <c r="Z216" s="110"/>
    </row>
    <row r="217" ht="14.25" customHeight="1" spans="1:26">
      <c r="A217" s="132"/>
      <c r="B217" s="132"/>
      <c r="C217" s="132"/>
      <c r="D217" s="132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Y217" s="110"/>
      <c r="Z217" s="110"/>
    </row>
    <row r="218" ht="14.25" customHeight="1" spans="1:26">
      <c r="A218" s="132"/>
      <c r="B218" s="132"/>
      <c r="C218" s="132"/>
      <c r="D218" s="132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Y218" s="110"/>
      <c r="Z218" s="110"/>
    </row>
    <row r="219" ht="14.25" customHeight="1" spans="1:26">
      <c r="A219" s="132"/>
      <c r="B219" s="132"/>
      <c r="C219" s="132"/>
      <c r="D219" s="132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Y219" s="110"/>
      <c r="Z219" s="110"/>
    </row>
    <row r="220" ht="14.25" customHeight="1" spans="1:26">
      <c r="A220" s="132"/>
      <c r="B220" s="132"/>
      <c r="C220" s="132"/>
      <c r="D220" s="132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Y220" s="110"/>
      <c r="Z220" s="110"/>
    </row>
    <row r="221" ht="14.25" customHeight="1" spans="1:26">
      <c r="A221" s="132"/>
      <c r="B221" s="132"/>
      <c r="C221" s="132"/>
      <c r="D221" s="132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Y221" s="110"/>
      <c r="Z221" s="110"/>
    </row>
    <row r="222" ht="14.25" customHeight="1" spans="1:26">
      <c r="A222" s="132"/>
      <c r="B222" s="132"/>
      <c r="C222" s="132"/>
      <c r="D222" s="132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Y222" s="110"/>
      <c r="Z222" s="110"/>
    </row>
    <row r="223" ht="14.25" customHeight="1" spans="1:26">
      <c r="A223" s="132"/>
      <c r="B223" s="132"/>
      <c r="C223" s="132"/>
      <c r="D223" s="132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Y223" s="110"/>
      <c r="Z223" s="110"/>
    </row>
    <row r="224" ht="14.25" customHeight="1" spans="1:26">
      <c r="A224" s="132"/>
      <c r="B224" s="132"/>
      <c r="C224" s="132"/>
      <c r="D224" s="132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Y224" s="110"/>
      <c r="Z224" s="110"/>
    </row>
    <row r="225" ht="14.25" customHeight="1" spans="1:26">
      <c r="A225" s="132"/>
      <c r="B225" s="132"/>
      <c r="C225" s="132"/>
      <c r="D225" s="132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Y225" s="110"/>
      <c r="Z225" s="110"/>
    </row>
    <row r="226" ht="14.25" customHeight="1" spans="1:26">
      <c r="A226" s="132"/>
      <c r="B226" s="132"/>
      <c r="C226" s="132"/>
      <c r="D226" s="132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Y226" s="110"/>
      <c r="Z226" s="110"/>
    </row>
    <row r="227" ht="14.25" customHeight="1" spans="1:26">
      <c r="A227" s="132"/>
      <c r="B227" s="132"/>
      <c r="C227" s="132"/>
      <c r="D227" s="132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Y227" s="110"/>
      <c r="Z227" s="110"/>
    </row>
    <row r="228" ht="14.25" customHeight="1" spans="1:26">
      <c r="A228" s="132"/>
      <c r="B228" s="132"/>
      <c r="C228" s="132"/>
      <c r="D228" s="132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Y228" s="110"/>
      <c r="Z228" s="110"/>
    </row>
    <row r="229" ht="14.25" customHeight="1" spans="1:26">
      <c r="A229" s="132"/>
      <c r="B229" s="132"/>
      <c r="C229" s="132"/>
      <c r="D229" s="132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Y229" s="110"/>
      <c r="Z229" s="110"/>
    </row>
    <row r="230" ht="14.25" customHeight="1" spans="1:26">
      <c r="A230" s="132"/>
      <c r="B230" s="132"/>
      <c r="C230" s="132"/>
      <c r="D230" s="132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Y230" s="110"/>
      <c r="Z230" s="110"/>
    </row>
    <row r="231" ht="14.25" customHeight="1" spans="1:26">
      <c r="A231" s="132"/>
      <c r="B231" s="132"/>
      <c r="C231" s="132"/>
      <c r="D231" s="132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Y231" s="110"/>
      <c r="Z231" s="110"/>
    </row>
    <row r="232" ht="14.25" customHeight="1" spans="1:26">
      <c r="A232" s="132"/>
      <c r="B232" s="132"/>
      <c r="C232" s="132"/>
      <c r="D232" s="132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Y232" s="110"/>
      <c r="Z232" s="110"/>
    </row>
    <row r="233" ht="14.25" customHeight="1" spans="1:26">
      <c r="A233" s="132"/>
      <c r="B233" s="132"/>
      <c r="C233" s="132"/>
      <c r="D233" s="132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Y233" s="110"/>
      <c r="Z233" s="110"/>
    </row>
    <row r="234" ht="14.25" customHeight="1" spans="1:26">
      <c r="A234" s="132"/>
      <c r="B234" s="132"/>
      <c r="C234" s="132"/>
      <c r="D234" s="132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Y234" s="110"/>
      <c r="Z234" s="110"/>
    </row>
    <row r="235" ht="14.25" customHeight="1" spans="1:26">
      <c r="A235" s="132"/>
      <c r="B235" s="132"/>
      <c r="C235" s="132"/>
      <c r="D235" s="132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Y235" s="110"/>
      <c r="Z235" s="110"/>
    </row>
    <row r="236" ht="14.25" customHeight="1" spans="1:26">
      <c r="A236" s="132"/>
      <c r="B236" s="132"/>
      <c r="C236" s="132"/>
      <c r="D236" s="132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Y236" s="110"/>
      <c r="Z236" s="110"/>
    </row>
    <row r="237" ht="14.25" customHeight="1" spans="1:26">
      <c r="A237" s="132"/>
      <c r="B237" s="132"/>
      <c r="C237" s="132"/>
      <c r="D237" s="132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Y237" s="110"/>
      <c r="Z237" s="110"/>
    </row>
    <row r="238" ht="14.25" customHeight="1" spans="1:26">
      <c r="A238" s="132"/>
      <c r="B238" s="132"/>
      <c r="C238" s="132"/>
      <c r="D238" s="132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Y238" s="110"/>
      <c r="Z238" s="110"/>
    </row>
    <row r="239" ht="14.25" customHeight="1" spans="1:26">
      <c r="A239" s="132"/>
      <c r="B239" s="132"/>
      <c r="C239" s="132"/>
      <c r="D239" s="132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Y239" s="110"/>
      <c r="Z239" s="110"/>
    </row>
    <row r="240" ht="14.25" customHeight="1" spans="1:26">
      <c r="A240" s="132"/>
      <c r="B240" s="132"/>
      <c r="C240" s="132"/>
      <c r="D240" s="132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Y240" s="110"/>
      <c r="Z240" s="110"/>
    </row>
    <row r="241" ht="14.25" customHeight="1" spans="1:26">
      <c r="A241" s="132"/>
      <c r="B241" s="132"/>
      <c r="C241" s="132"/>
      <c r="D241" s="132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Y241" s="110"/>
      <c r="Z241" s="110"/>
    </row>
    <row r="242" ht="14.25" customHeight="1" spans="1:26">
      <c r="A242" s="132"/>
      <c r="B242" s="132"/>
      <c r="C242" s="132"/>
      <c r="D242" s="132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Y242" s="110"/>
      <c r="Z242" s="110"/>
    </row>
    <row r="243" ht="14.25" customHeight="1" spans="1:26">
      <c r="A243" s="132"/>
      <c r="B243" s="132"/>
      <c r="C243" s="132"/>
      <c r="D243" s="132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Y243" s="110"/>
      <c r="Z243" s="110"/>
    </row>
    <row r="244" ht="14.25" customHeight="1" spans="1:26">
      <c r="A244" s="132"/>
      <c r="B244" s="132"/>
      <c r="C244" s="132"/>
      <c r="D244" s="132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Y244" s="110"/>
      <c r="Z244" s="110"/>
    </row>
    <row r="245" ht="14.25" customHeight="1" spans="1:26">
      <c r="A245" s="132"/>
      <c r="B245" s="132"/>
      <c r="C245" s="132"/>
      <c r="D245" s="132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Y245" s="110"/>
      <c r="Z245" s="110"/>
    </row>
    <row r="246" ht="14.25" customHeight="1" spans="1:26">
      <c r="A246" s="132"/>
      <c r="B246" s="132"/>
      <c r="C246" s="132"/>
      <c r="D246" s="132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Y246" s="110"/>
      <c r="Z246" s="110"/>
    </row>
    <row r="247" ht="14.25" customHeight="1" spans="1:26">
      <c r="A247" s="132"/>
      <c r="B247" s="132"/>
      <c r="C247" s="132"/>
      <c r="D247" s="132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Y247" s="110"/>
      <c r="Z247" s="110"/>
    </row>
    <row r="248" ht="14.25" customHeight="1" spans="1:26">
      <c r="A248" s="132"/>
      <c r="B248" s="132"/>
      <c r="C248" s="132"/>
      <c r="D248" s="132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Y248" s="110"/>
      <c r="Z248" s="110"/>
    </row>
    <row r="249" ht="14.25" customHeight="1" spans="1:26">
      <c r="A249" s="132"/>
      <c r="B249" s="132"/>
      <c r="C249" s="132"/>
      <c r="D249" s="132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Y249" s="110"/>
      <c r="Z249" s="110"/>
    </row>
    <row r="250" ht="14.25" customHeight="1" spans="1:26">
      <c r="A250" s="132"/>
      <c r="B250" s="132"/>
      <c r="C250" s="132"/>
      <c r="D250" s="132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Y250" s="110"/>
      <c r="Z250" s="110"/>
    </row>
    <row r="251" ht="14.25" customHeight="1" spans="1:26">
      <c r="A251" s="132"/>
      <c r="B251" s="132"/>
      <c r="C251" s="132"/>
      <c r="D251" s="132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Y251" s="110"/>
      <c r="Z251" s="110"/>
    </row>
    <row r="252" ht="14.25" customHeight="1" spans="1:26">
      <c r="A252" s="132"/>
      <c r="B252" s="132"/>
      <c r="C252" s="132"/>
      <c r="D252" s="132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Y252" s="110"/>
      <c r="Z252" s="110"/>
    </row>
    <row r="253" ht="14.25" customHeight="1" spans="1:26">
      <c r="A253" s="132"/>
      <c r="B253" s="132"/>
      <c r="C253" s="132"/>
      <c r="D253" s="132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Y253" s="110"/>
      <c r="Z253" s="110"/>
    </row>
    <row r="254" ht="14.25" customHeight="1" spans="1:26">
      <c r="A254" s="132"/>
      <c r="B254" s="132"/>
      <c r="C254" s="132"/>
      <c r="D254" s="132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Y254" s="110"/>
      <c r="Z254" s="110"/>
    </row>
    <row r="255" ht="14.25" customHeight="1" spans="1:26">
      <c r="A255" s="132"/>
      <c r="B255" s="132"/>
      <c r="C255" s="132"/>
      <c r="D255" s="132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Y255" s="110"/>
      <c r="Z255" s="110"/>
    </row>
    <row r="256" ht="14.25" customHeight="1" spans="1:26">
      <c r="A256" s="132"/>
      <c r="B256" s="132"/>
      <c r="C256" s="132"/>
      <c r="D256" s="132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Y256" s="110"/>
      <c r="Z256" s="110"/>
    </row>
    <row r="257" ht="14.25" customHeight="1" spans="1:26">
      <c r="A257" s="132"/>
      <c r="B257" s="132"/>
      <c r="C257" s="132"/>
      <c r="D257" s="132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Y257" s="110"/>
      <c r="Z257" s="110"/>
    </row>
    <row r="258" ht="14.25" customHeight="1" spans="1:26">
      <c r="A258" s="132"/>
      <c r="B258" s="132"/>
      <c r="C258" s="132"/>
      <c r="D258" s="132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Y258" s="110"/>
      <c r="Z258" s="110"/>
    </row>
    <row r="259" ht="14.25" customHeight="1" spans="1:26">
      <c r="A259" s="132"/>
      <c r="B259" s="132"/>
      <c r="C259" s="132"/>
      <c r="D259" s="132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Y259" s="110"/>
      <c r="Z259" s="110"/>
    </row>
    <row r="260" ht="14.25" customHeight="1" spans="1:26">
      <c r="A260" s="132"/>
      <c r="B260" s="132"/>
      <c r="C260" s="132"/>
      <c r="D260" s="132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Y260" s="110"/>
      <c r="Z260" s="110"/>
    </row>
    <row r="261" ht="14.25" customHeight="1" spans="1:26">
      <c r="A261" s="132"/>
      <c r="B261" s="132"/>
      <c r="C261" s="132"/>
      <c r="D261" s="132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Y261" s="110"/>
      <c r="Z261" s="110"/>
    </row>
    <row r="262" ht="14.25" customHeight="1" spans="1:26">
      <c r="A262" s="132"/>
      <c r="B262" s="132"/>
      <c r="C262" s="132"/>
      <c r="D262" s="132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Y262" s="110"/>
      <c r="Z262" s="110"/>
    </row>
    <row r="263" ht="14.25" customHeight="1" spans="1:26">
      <c r="A263" s="132"/>
      <c r="B263" s="132"/>
      <c r="C263" s="132"/>
      <c r="D263" s="132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Y263" s="110"/>
      <c r="Z263" s="110"/>
    </row>
    <row r="264" ht="14.25" customHeight="1" spans="1:26">
      <c r="A264" s="132"/>
      <c r="B264" s="132"/>
      <c r="C264" s="132"/>
      <c r="D264" s="132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Y264" s="110"/>
      <c r="Z264" s="110"/>
    </row>
    <row r="265" ht="14.25" customHeight="1" spans="1:26">
      <c r="A265" s="132"/>
      <c r="B265" s="132"/>
      <c r="C265" s="132"/>
      <c r="D265" s="132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Y265" s="110"/>
      <c r="Z265" s="110"/>
    </row>
    <row r="266" ht="14.25" customHeight="1" spans="1:26">
      <c r="A266" s="132"/>
      <c r="B266" s="132"/>
      <c r="C266" s="132"/>
      <c r="D266" s="132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Y266" s="110"/>
      <c r="Z266" s="110"/>
    </row>
    <row r="267" ht="14.25" customHeight="1" spans="1:26">
      <c r="A267" s="132"/>
      <c r="B267" s="132"/>
      <c r="C267" s="132"/>
      <c r="D267" s="132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Y267" s="110"/>
      <c r="Z267" s="110"/>
    </row>
    <row r="268" ht="14.25" customHeight="1" spans="1:26">
      <c r="A268" s="132"/>
      <c r="B268" s="132"/>
      <c r="C268" s="132"/>
      <c r="D268" s="132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Y268" s="110"/>
      <c r="Z268" s="110"/>
    </row>
    <row r="269" ht="14.25" customHeight="1" spans="1:26">
      <c r="A269" s="132"/>
      <c r="B269" s="132"/>
      <c r="C269" s="132"/>
      <c r="D269" s="132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Y269" s="110"/>
      <c r="Z269" s="110"/>
    </row>
    <row r="270" ht="14.25" customHeight="1" spans="1:26">
      <c r="A270" s="132"/>
      <c r="B270" s="132"/>
      <c r="C270" s="132"/>
      <c r="D270" s="132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Y270" s="110"/>
      <c r="Z270" s="110"/>
    </row>
    <row r="271" ht="14.25" customHeight="1" spans="1:26">
      <c r="A271" s="132"/>
      <c r="B271" s="132"/>
      <c r="C271" s="132"/>
      <c r="D271" s="132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Y271" s="110"/>
      <c r="Z271" s="110"/>
    </row>
    <row r="272" ht="14.25" customHeight="1" spans="1:26">
      <c r="A272" s="132"/>
      <c r="B272" s="132"/>
      <c r="C272" s="132"/>
      <c r="D272" s="132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Y272" s="110"/>
      <c r="Z272" s="110"/>
    </row>
    <row r="273" ht="14.25" customHeight="1" spans="1:26">
      <c r="A273" s="132"/>
      <c r="B273" s="132"/>
      <c r="C273" s="132"/>
      <c r="D273" s="132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Y273" s="110"/>
      <c r="Z273" s="110"/>
    </row>
    <row r="274" ht="14.25" customHeight="1" spans="1:26">
      <c r="A274" s="132"/>
      <c r="B274" s="132"/>
      <c r="C274" s="132"/>
      <c r="D274" s="132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Y274" s="110"/>
      <c r="Z274" s="110"/>
    </row>
    <row r="275" ht="14.25" customHeight="1" spans="1:26">
      <c r="A275" s="132"/>
      <c r="B275" s="132"/>
      <c r="C275" s="132"/>
      <c r="D275" s="132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Y275" s="110"/>
      <c r="Z275" s="110"/>
    </row>
    <row r="276" ht="14.25" customHeight="1" spans="1:26">
      <c r="A276" s="132"/>
      <c r="B276" s="132"/>
      <c r="C276" s="132"/>
      <c r="D276" s="132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Y276" s="110"/>
      <c r="Z276" s="110"/>
    </row>
    <row r="277" ht="14.25" customHeight="1" spans="1:26">
      <c r="A277" s="132"/>
      <c r="B277" s="132"/>
      <c r="C277" s="132"/>
      <c r="D277" s="132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Y277" s="110"/>
      <c r="Z277" s="110"/>
    </row>
    <row r="278" ht="14.25" customHeight="1" spans="1:26">
      <c r="A278" s="132"/>
      <c r="B278" s="132"/>
      <c r="C278" s="132"/>
      <c r="D278" s="132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Y278" s="110"/>
      <c r="Z278" s="110"/>
    </row>
    <row r="279" ht="14.25" customHeight="1" spans="1:26">
      <c r="A279" s="132"/>
      <c r="B279" s="132"/>
      <c r="C279" s="132"/>
      <c r="D279" s="132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Y279" s="110"/>
      <c r="Z279" s="110"/>
    </row>
    <row r="280" ht="14.25" customHeight="1" spans="1:26">
      <c r="A280" s="132"/>
      <c r="B280" s="132"/>
      <c r="C280" s="132"/>
      <c r="D280" s="132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Y280" s="110"/>
      <c r="Z280" s="110"/>
    </row>
    <row r="281" ht="14.25" customHeight="1" spans="1:26">
      <c r="A281" s="132"/>
      <c r="B281" s="132"/>
      <c r="C281" s="132"/>
      <c r="D281" s="132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Y281" s="110"/>
      <c r="Z281" s="110"/>
    </row>
    <row r="282" ht="14.25" customHeight="1" spans="1:26">
      <c r="A282" s="132"/>
      <c r="B282" s="132"/>
      <c r="C282" s="132"/>
      <c r="D282" s="132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Y282" s="110"/>
      <c r="Z282" s="110"/>
    </row>
    <row r="283" ht="14.25" customHeight="1" spans="1:26">
      <c r="A283" s="132"/>
      <c r="B283" s="132"/>
      <c r="C283" s="132"/>
      <c r="D283" s="132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Y283" s="110"/>
      <c r="Z283" s="110"/>
    </row>
    <row r="284" ht="14.25" customHeight="1" spans="1:26">
      <c r="A284" s="132"/>
      <c r="B284" s="132"/>
      <c r="C284" s="132"/>
      <c r="D284" s="132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Y284" s="110"/>
      <c r="Z284" s="110"/>
    </row>
    <row r="285" ht="14.25" customHeight="1" spans="1:26">
      <c r="A285" s="132"/>
      <c r="B285" s="132"/>
      <c r="C285" s="132"/>
      <c r="D285" s="132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Y285" s="110"/>
      <c r="Z285" s="110"/>
    </row>
    <row r="286" ht="14.25" customHeight="1" spans="1:26">
      <c r="A286" s="132"/>
      <c r="B286" s="132"/>
      <c r="C286" s="132"/>
      <c r="D286" s="132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Y286" s="110"/>
      <c r="Z286" s="110"/>
    </row>
    <row r="287" ht="14.25" customHeight="1" spans="1:26">
      <c r="A287" s="132"/>
      <c r="B287" s="132"/>
      <c r="C287" s="132"/>
      <c r="D287" s="132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Y287" s="110"/>
      <c r="Z287" s="110"/>
    </row>
    <row r="288" ht="14.25" customHeight="1" spans="1:26">
      <c r="A288" s="132"/>
      <c r="B288" s="132"/>
      <c r="C288" s="132"/>
      <c r="D288" s="132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Y288" s="110"/>
      <c r="Z288" s="110"/>
    </row>
    <row r="289" ht="14.25" customHeight="1" spans="1:26">
      <c r="A289" s="132"/>
      <c r="B289" s="132"/>
      <c r="C289" s="132"/>
      <c r="D289" s="132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Y289" s="110"/>
      <c r="Z289" s="110"/>
    </row>
    <row r="290" ht="14.25" customHeight="1" spans="1:26">
      <c r="A290" s="132"/>
      <c r="B290" s="132"/>
      <c r="C290" s="132"/>
      <c r="D290" s="132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Y290" s="110"/>
      <c r="Z290" s="110"/>
    </row>
    <row r="291" ht="14.25" customHeight="1" spans="1:26">
      <c r="A291" s="132"/>
      <c r="B291" s="132"/>
      <c r="C291" s="132"/>
      <c r="D291" s="132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Y291" s="110"/>
      <c r="Z291" s="110"/>
    </row>
    <row r="292" ht="14.25" customHeight="1" spans="1:26">
      <c r="A292" s="132"/>
      <c r="B292" s="132"/>
      <c r="C292" s="132"/>
      <c r="D292" s="132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Y292" s="110"/>
      <c r="Z292" s="110"/>
    </row>
    <row r="293" ht="14.25" customHeight="1" spans="1:26">
      <c r="A293" s="132"/>
      <c r="B293" s="132"/>
      <c r="C293" s="132"/>
      <c r="D293" s="132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Y293" s="110"/>
      <c r="Z293" s="110"/>
    </row>
    <row r="294" ht="14.25" customHeight="1" spans="1:26">
      <c r="A294" s="132"/>
      <c r="B294" s="132"/>
      <c r="C294" s="132"/>
      <c r="D294" s="132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Y294" s="110"/>
      <c r="Z294" s="110"/>
    </row>
    <row r="295" ht="14.25" customHeight="1" spans="1:26">
      <c r="A295" s="132"/>
      <c r="B295" s="132"/>
      <c r="C295" s="132"/>
      <c r="D295" s="132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Y295" s="110"/>
      <c r="Z295" s="110"/>
    </row>
    <row r="296" ht="14.25" customHeight="1" spans="1:26">
      <c r="A296" s="132"/>
      <c r="B296" s="132"/>
      <c r="C296" s="132"/>
      <c r="D296" s="132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Y296" s="110"/>
      <c r="Z296" s="110"/>
    </row>
    <row r="297" ht="14.25" customHeight="1" spans="1:26">
      <c r="A297" s="132"/>
      <c r="B297" s="132"/>
      <c r="C297" s="132"/>
      <c r="D297" s="132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Y297" s="110"/>
      <c r="Z297" s="110"/>
    </row>
    <row r="298" ht="14.25" customHeight="1" spans="1:26">
      <c r="A298" s="132"/>
      <c r="B298" s="132"/>
      <c r="C298" s="132"/>
      <c r="D298" s="132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Y298" s="110"/>
      <c r="Z298" s="110"/>
    </row>
    <row r="299" ht="14.25" customHeight="1" spans="1:26">
      <c r="A299" s="132"/>
      <c r="B299" s="132"/>
      <c r="C299" s="132"/>
      <c r="D299" s="132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Y299" s="110"/>
      <c r="Z299" s="110"/>
    </row>
    <row r="300" ht="14.25" customHeight="1" spans="1:26">
      <c r="A300" s="132"/>
      <c r="B300" s="132"/>
      <c r="C300" s="132"/>
      <c r="D300" s="132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Y300" s="110"/>
      <c r="Z300" s="110"/>
    </row>
    <row r="301" ht="14.25" customHeight="1" spans="1:26">
      <c r="A301" s="132"/>
      <c r="B301" s="132"/>
      <c r="C301" s="132"/>
      <c r="D301" s="132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Y301" s="110"/>
      <c r="Z301" s="110"/>
    </row>
    <row r="302" ht="14.25" customHeight="1" spans="1:26">
      <c r="A302" s="132"/>
      <c r="B302" s="132"/>
      <c r="C302" s="132"/>
      <c r="D302" s="132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Y302" s="110"/>
      <c r="Z302" s="110"/>
    </row>
    <row r="303" ht="14.25" customHeight="1" spans="1:26">
      <c r="A303" s="132"/>
      <c r="B303" s="132"/>
      <c r="C303" s="132"/>
      <c r="D303" s="132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Y303" s="110"/>
      <c r="Z303" s="110"/>
    </row>
    <row r="304" ht="14.25" customHeight="1" spans="1:26">
      <c r="A304" s="132"/>
      <c r="B304" s="132"/>
      <c r="C304" s="132"/>
      <c r="D304" s="132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Y304" s="110"/>
      <c r="Z304" s="110"/>
    </row>
    <row r="305" ht="14.25" customHeight="1" spans="1:26">
      <c r="A305" s="132"/>
      <c r="B305" s="132"/>
      <c r="C305" s="132"/>
      <c r="D305" s="132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Y305" s="110"/>
      <c r="Z305" s="110"/>
    </row>
    <row r="306" ht="14.25" customHeight="1" spans="1:26">
      <c r="A306" s="132"/>
      <c r="B306" s="132"/>
      <c r="C306" s="132"/>
      <c r="D306" s="132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Y306" s="110"/>
      <c r="Z306" s="110"/>
    </row>
    <row r="307" ht="14.25" customHeight="1" spans="1:26">
      <c r="A307" s="132"/>
      <c r="B307" s="132"/>
      <c r="C307" s="132"/>
      <c r="D307" s="132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Y307" s="110"/>
      <c r="Z307" s="110"/>
    </row>
    <row r="308" ht="14.25" customHeight="1" spans="1:26">
      <c r="A308" s="132"/>
      <c r="B308" s="132"/>
      <c r="C308" s="132"/>
      <c r="D308" s="132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Y308" s="110"/>
      <c r="Z308" s="110"/>
    </row>
    <row r="309" ht="14.25" customHeight="1" spans="1:26">
      <c r="A309" s="132"/>
      <c r="B309" s="132"/>
      <c r="C309" s="132"/>
      <c r="D309" s="132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Y309" s="110"/>
      <c r="Z309" s="110"/>
    </row>
    <row r="310" ht="14.25" customHeight="1" spans="1:26">
      <c r="A310" s="132"/>
      <c r="B310" s="132"/>
      <c r="C310" s="132"/>
      <c r="D310" s="132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Y310" s="110"/>
      <c r="Z310" s="110"/>
    </row>
    <row r="311" ht="14.25" customHeight="1" spans="1:26">
      <c r="A311" s="132"/>
      <c r="B311" s="132"/>
      <c r="C311" s="132"/>
      <c r="D311" s="132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Y311" s="110"/>
      <c r="Z311" s="110"/>
    </row>
    <row r="312" ht="14.25" customHeight="1" spans="1:26">
      <c r="A312" s="132"/>
      <c r="B312" s="132"/>
      <c r="C312" s="132"/>
      <c r="D312" s="132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Y312" s="110"/>
      <c r="Z312" s="110"/>
    </row>
    <row r="313" ht="14.25" customHeight="1" spans="1:26">
      <c r="A313" s="132"/>
      <c r="B313" s="132"/>
      <c r="C313" s="132"/>
      <c r="D313" s="132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Y313" s="110"/>
      <c r="Z313" s="110"/>
    </row>
    <row r="314" ht="14.25" customHeight="1" spans="1:26">
      <c r="A314" s="132"/>
      <c r="B314" s="132"/>
      <c r="C314" s="132"/>
      <c r="D314" s="132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Y314" s="110"/>
      <c r="Z314" s="110"/>
    </row>
    <row r="315" ht="14.25" customHeight="1" spans="1:26">
      <c r="A315" s="132"/>
      <c r="B315" s="132"/>
      <c r="C315" s="132"/>
      <c r="D315" s="132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Y315" s="110"/>
      <c r="Z315" s="110"/>
    </row>
    <row r="316" ht="14.25" customHeight="1" spans="1:26">
      <c r="A316" s="132"/>
      <c r="B316" s="132"/>
      <c r="C316" s="132"/>
      <c r="D316" s="132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Y316" s="110"/>
      <c r="Z316" s="110"/>
    </row>
    <row r="317" ht="14.25" customHeight="1" spans="1:26">
      <c r="A317" s="132"/>
      <c r="B317" s="132"/>
      <c r="C317" s="132"/>
      <c r="D317" s="132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Y317" s="110"/>
      <c r="Z317" s="110"/>
    </row>
    <row r="318" ht="14.25" customHeight="1" spans="1:26">
      <c r="A318" s="132"/>
      <c r="B318" s="132"/>
      <c r="C318" s="132"/>
      <c r="D318" s="132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Y318" s="110"/>
      <c r="Z318" s="110"/>
    </row>
    <row r="319" ht="14.25" customHeight="1" spans="1:26">
      <c r="A319" s="132"/>
      <c r="B319" s="132"/>
      <c r="C319" s="132"/>
      <c r="D319" s="132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Y319" s="110"/>
      <c r="Z319" s="110"/>
    </row>
    <row r="320" ht="14.25" customHeight="1" spans="1:26">
      <c r="A320" s="132"/>
      <c r="B320" s="132"/>
      <c r="C320" s="132"/>
      <c r="D320" s="132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Y320" s="110"/>
      <c r="Z320" s="110"/>
    </row>
    <row r="321" ht="14.25" customHeight="1" spans="1:26">
      <c r="A321" s="132"/>
      <c r="B321" s="132"/>
      <c r="C321" s="132"/>
      <c r="D321" s="132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Y321" s="110"/>
      <c r="Z321" s="110"/>
    </row>
    <row r="322" ht="14.25" customHeight="1" spans="1:26">
      <c r="A322" s="132"/>
      <c r="B322" s="132"/>
      <c r="C322" s="132"/>
      <c r="D322" s="132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Y322" s="110"/>
      <c r="Z322" s="110"/>
    </row>
    <row r="323" ht="14.25" customHeight="1" spans="1:26">
      <c r="A323" s="132"/>
      <c r="B323" s="132"/>
      <c r="C323" s="132"/>
      <c r="D323" s="132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Y323" s="110"/>
      <c r="Z323" s="110"/>
    </row>
    <row r="324" ht="14.25" customHeight="1" spans="1:26">
      <c r="A324" s="132"/>
      <c r="B324" s="132"/>
      <c r="C324" s="132"/>
      <c r="D324" s="132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Y324" s="110"/>
      <c r="Z324" s="110"/>
    </row>
    <row r="325" ht="14.25" customHeight="1" spans="1:26">
      <c r="A325" s="132"/>
      <c r="B325" s="132"/>
      <c r="C325" s="132"/>
      <c r="D325" s="132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Y325" s="110"/>
      <c r="Z325" s="110"/>
    </row>
    <row r="326" ht="14.25" customHeight="1" spans="1:26">
      <c r="A326" s="132"/>
      <c r="B326" s="132"/>
      <c r="C326" s="132"/>
      <c r="D326" s="132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Y326" s="110"/>
      <c r="Z326" s="110"/>
    </row>
    <row r="327" ht="14.25" customHeight="1" spans="1:26">
      <c r="A327" s="132"/>
      <c r="B327" s="132"/>
      <c r="C327" s="132"/>
      <c r="D327" s="132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Y327" s="110"/>
      <c r="Z327" s="110"/>
    </row>
    <row r="328" ht="14.25" customHeight="1" spans="1:26">
      <c r="A328" s="132"/>
      <c r="B328" s="132"/>
      <c r="C328" s="132"/>
      <c r="D328" s="132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Y328" s="110"/>
      <c r="Z328" s="110"/>
    </row>
    <row r="329" ht="14.25" customHeight="1" spans="1:26">
      <c r="A329" s="132"/>
      <c r="B329" s="132"/>
      <c r="C329" s="132"/>
      <c r="D329" s="132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Y329" s="110"/>
      <c r="Z329" s="110"/>
    </row>
    <row r="330" ht="14.25" customHeight="1" spans="1:26">
      <c r="A330" s="132"/>
      <c r="B330" s="132"/>
      <c r="C330" s="132"/>
      <c r="D330" s="132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Y330" s="110"/>
      <c r="Z330" s="110"/>
    </row>
    <row r="331" ht="14.25" customHeight="1" spans="1:26">
      <c r="A331" s="132"/>
      <c r="B331" s="132"/>
      <c r="C331" s="132"/>
      <c r="D331" s="132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Y331" s="110"/>
      <c r="Z331" s="110"/>
    </row>
    <row r="332" ht="14.25" customHeight="1" spans="1:26">
      <c r="A332" s="132"/>
      <c r="B332" s="132"/>
      <c r="C332" s="132"/>
      <c r="D332" s="132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Y332" s="110"/>
      <c r="Z332" s="110"/>
    </row>
    <row r="333" ht="14.25" customHeight="1" spans="1:26">
      <c r="A333" s="132"/>
      <c r="B333" s="132"/>
      <c r="C333" s="132"/>
      <c r="D333" s="132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Y333" s="110"/>
      <c r="Z333" s="110"/>
    </row>
    <row r="334" ht="14.25" customHeight="1" spans="1:26">
      <c r="A334" s="132"/>
      <c r="B334" s="132"/>
      <c r="C334" s="132"/>
      <c r="D334" s="132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Y334" s="110"/>
      <c r="Z334" s="110"/>
    </row>
    <row r="335" ht="14.25" customHeight="1" spans="1:26">
      <c r="A335" s="132"/>
      <c r="B335" s="132"/>
      <c r="C335" s="132"/>
      <c r="D335" s="132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Y335" s="110"/>
      <c r="Z335" s="110"/>
    </row>
    <row r="336" ht="14.25" customHeight="1" spans="1:26">
      <c r="A336" s="132"/>
      <c r="B336" s="132"/>
      <c r="C336" s="132"/>
      <c r="D336" s="132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Y336" s="110"/>
      <c r="Z336" s="110"/>
    </row>
    <row r="337" ht="14.25" customHeight="1" spans="1:26">
      <c r="A337" s="132"/>
      <c r="B337" s="132"/>
      <c r="C337" s="132"/>
      <c r="D337" s="132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Y337" s="110"/>
      <c r="Z337" s="110"/>
    </row>
    <row r="338" ht="14.25" customHeight="1" spans="1:26">
      <c r="A338" s="132"/>
      <c r="B338" s="132"/>
      <c r="C338" s="132"/>
      <c r="D338" s="132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Y338" s="110"/>
      <c r="Z338" s="110"/>
    </row>
    <row r="339" ht="14.25" customHeight="1" spans="1:26">
      <c r="A339" s="132"/>
      <c r="B339" s="132"/>
      <c r="C339" s="132"/>
      <c r="D339" s="132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Y339" s="110"/>
      <c r="Z339" s="110"/>
    </row>
    <row r="340" ht="14.25" customHeight="1" spans="1:26">
      <c r="A340" s="132"/>
      <c r="B340" s="132"/>
      <c r="C340" s="132"/>
      <c r="D340" s="132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Y340" s="110"/>
      <c r="Z340" s="110"/>
    </row>
    <row r="341" ht="14.25" customHeight="1" spans="1:26">
      <c r="A341" s="132"/>
      <c r="B341" s="132"/>
      <c r="C341" s="132"/>
      <c r="D341" s="132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Y341" s="110"/>
      <c r="Z341" s="110"/>
    </row>
    <row r="342" ht="14.25" customHeight="1" spans="1:26">
      <c r="A342" s="132"/>
      <c r="B342" s="132"/>
      <c r="C342" s="132"/>
      <c r="D342" s="132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Y342" s="110"/>
      <c r="Z342" s="110"/>
    </row>
    <row r="343" ht="14.25" customHeight="1" spans="1:26">
      <c r="A343" s="132"/>
      <c r="B343" s="132"/>
      <c r="C343" s="132"/>
      <c r="D343" s="132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Y343" s="110"/>
      <c r="Z343" s="110"/>
    </row>
    <row r="344" ht="14.25" customHeight="1" spans="1:26">
      <c r="A344" s="132"/>
      <c r="B344" s="132"/>
      <c r="C344" s="132"/>
      <c r="D344" s="132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Y344" s="110"/>
      <c r="Z344" s="110"/>
    </row>
    <row r="345" ht="14.25" customHeight="1" spans="1:26">
      <c r="A345" s="132"/>
      <c r="B345" s="132"/>
      <c r="C345" s="132"/>
      <c r="D345" s="132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Y345" s="110"/>
      <c r="Z345" s="110"/>
    </row>
    <row r="346" ht="14.25" customHeight="1" spans="1:26">
      <c r="A346" s="132"/>
      <c r="B346" s="132"/>
      <c r="C346" s="132"/>
      <c r="D346" s="132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Y346" s="110"/>
      <c r="Z346" s="110"/>
    </row>
    <row r="347" ht="14.25" customHeight="1" spans="1:26">
      <c r="A347" s="132"/>
      <c r="B347" s="132"/>
      <c r="C347" s="132"/>
      <c r="D347" s="132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Y347" s="110"/>
      <c r="Z347" s="110"/>
    </row>
    <row r="348" ht="14.25" customHeight="1" spans="1:26">
      <c r="A348" s="132"/>
      <c r="B348" s="132"/>
      <c r="C348" s="132"/>
      <c r="D348" s="132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Y348" s="110"/>
      <c r="Z348" s="110"/>
    </row>
    <row r="349" ht="14.25" customHeight="1" spans="1:26">
      <c r="A349" s="132"/>
      <c r="B349" s="132"/>
      <c r="C349" s="132"/>
      <c r="D349" s="132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Y349" s="110"/>
      <c r="Z349" s="110"/>
    </row>
    <row r="350" ht="14.25" customHeight="1" spans="1:26">
      <c r="A350" s="132"/>
      <c r="B350" s="132"/>
      <c r="C350" s="132"/>
      <c r="D350" s="132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Y350" s="110"/>
      <c r="Z350" s="110"/>
    </row>
    <row r="351" ht="14.25" customHeight="1" spans="1:26">
      <c r="A351" s="132"/>
      <c r="B351" s="132"/>
      <c r="C351" s="132"/>
      <c r="D351" s="132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Y351" s="110"/>
      <c r="Z351" s="110"/>
    </row>
    <row r="352" ht="14.25" customHeight="1" spans="1:26">
      <c r="A352" s="132"/>
      <c r="B352" s="132"/>
      <c r="C352" s="132"/>
      <c r="D352" s="132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Y352" s="110"/>
      <c r="Z352" s="110"/>
    </row>
    <row r="353" ht="14.25" customHeight="1" spans="1:26">
      <c r="A353" s="132"/>
      <c r="B353" s="132"/>
      <c r="C353" s="132"/>
      <c r="D353" s="132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Y353" s="110"/>
      <c r="Z353" s="110"/>
    </row>
    <row r="354" ht="14.25" customHeight="1" spans="1:26">
      <c r="A354" s="132"/>
      <c r="B354" s="132"/>
      <c r="C354" s="132"/>
      <c r="D354" s="132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Y354" s="110"/>
      <c r="Z354" s="110"/>
    </row>
    <row r="355" ht="14.25" customHeight="1" spans="1:26">
      <c r="A355" s="132"/>
      <c r="B355" s="132"/>
      <c r="C355" s="132"/>
      <c r="D355" s="132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Y355" s="110"/>
      <c r="Z355" s="110"/>
    </row>
    <row r="356" ht="14.25" customHeight="1" spans="1:26">
      <c r="A356" s="132"/>
      <c r="B356" s="132"/>
      <c r="C356" s="132"/>
      <c r="D356" s="132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Y356" s="110"/>
      <c r="Z356" s="110"/>
    </row>
    <row r="357" ht="14.25" customHeight="1" spans="1:26">
      <c r="A357" s="132"/>
      <c r="B357" s="132"/>
      <c r="C357" s="132"/>
      <c r="D357" s="132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Y357" s="110"/>
      <c r="Z357" s="110"/>
    </row>
    <row r="358" ht="14.25" customHeight="1" spans="1:26">
      <c r="A358" s="132"/>
      <c r="B358" s="132"/>
      <c r="C358" s="132"/>
      <c r="D358" s="132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Y358" s="110"/>
      <c r="Z358" s="110"/>
    </row>
    <row r="359" ht="14.25" customHeight="1" spans="1:26">
      <c r="A359" s="132"/>
      <c r="B359" s="132"/>
      <c r="C359" s="132"/>
      <c r="D359" s="132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Y359" s="110"/>
      <c r="Z359" s="110"/>
    </row>
    <row r="360" ht="14.25" customHeight="1" spans="1:26">
      <c r="A360" s="132"/>
      <c r="B360" s="132"/>
      <c r="C360" s="132"/>
      <c r="D360" s="132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Y360" s="110"/>
      <c r="Z360" s="110"/>
    </row>
    <row r="361" ht="14.25" customHeight="1" spans="1:26">
      <c r="A361" s="132"/>
      <c r="B361" s="132"/>
      <c r="C361" s="132"/>
      <c r="D361" s="132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Y361" s="110"/>
      <c r="Z361" s="110"/>
    </row>
    <row r="362" ht="14.25" customHeight="1" spans="1:26">
      <c r="A362" s="132"/>
      <c r="B362" s="132"/>
      <c r="C362" s="132"/>
      <c r="D362" s="132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Y362" s="110"/>
      <c r="Z362" s="110"/>
    </row>
    <row r="363" ht="14.25" customHeight="1" spans="1:26">
      <c r="A363" s="132"/>
      <c r="B363" s="132"/>
      <c r="C363" s="132"/>
      <c r="D363" s="132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Y363" s="110"/>
      <c r="Z363" s="110"/>
    </row>
    <row r="364" ht="14.25" customHeight="1" spans="1:26">
      <c r="A364" s="132"/>
      <c r="B364" s="132"/>
      <c r="C364" s="132"/>
      <c r="D364" s="132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Y364" s="110"/>
      <c r="Z364" s="110"/>
    </row>
    <row r="365" ht="14.25" customHeight="1" spans="1:26">
      <c r="A365" s="132"/>
      <c r="B365" s="132"/>
      <c r="C365" s="132"/>
      <c r="D365" s="132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Y365" s="110"/>
      <c r="Z365" s="110"/>
    </row>
    <row r="366" ht="14.25" customHeight="1" spans="1:26">
      <c r="A366" s="132"/>
      <c r="B366" s="132"/>
      <c r="C366" s="132"/>
      <c r="D366" s="132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Y366" s="110"/>
      <c r="Z366" s="110"/>
    </row>
    <row r="367" ht="14.25" customHeight="1" spans="1:26">
      <c r="A367" s="132"/>
      <c r="B367" s="132"/>
      <c r="C367" s="132"/>
      <c r="D367" s="132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Y367" s="110"/>
      <c r="Z367" s="110"/>
    </row>
    <row r="368" ht="14.25" customHeight="1" spans="1:26">
      <c r="A368" s="132"/>
      <c r="B368" s="132"/>
      <c r="C368" s="132"/>
      <c r="D368" s="132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Y368" s="110"/>
      <c r="Z368" s="110"/>
    </row>
    <row r="369" ht="14.25" customHeight="1" spans="1:26">
      <c r="A369" s="132"/>
      <c r="B369" s="132"/>
      <c r="C369" s="132"/>
      <c r="D369" s="132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Y369" s="110"/>
      <c r="Z369" s="110"/>
    </row>
    <row r="370" ht="14.25" customHeight="1" spans="1:26">
      <c r="A370" s="132"/>
      <c r="B370" s="132"/>
      <c r="C370" s="132"/>
      <c r="D370" s="132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Y370" s="110"/>
      <c r="Z370" s="110"/>
    </row>
    <row r="371" ht="14.25" customHeight="1" spans="1:26">
      <c r="A371" s="132"/>
      <c r="B371" s="132"/>
      <c r="C371" s="132"/>
      <c r="D371" s="132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Y371" s="110"/>
      <c r="Z371" s="110"/>
    </row>
    <row r="372" ht="14.25" customHeight="1" spans="1:26">
      <c r="A372" s="132"/>
      <c r="B372" s="132"/>
      <c r="C372" s="132"/>
      <c r="D372" s="132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Y372" s="110"/>
      <c r="Z372" s="110"/>
    </row>
    <row r="373" ht="14.25" customHeight="1" spans="1:26">
      <c r="A373" s="132"/>
      <c r="B373" s="132"/>
      <c r="C373" s="132"/>
      <c r="D373" s="132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Y373" s="110"/>
      <c r="Z373" s="110"/>
    </row>
    <row r="374" ht="14.25" customHeight="1" spans="1:26">
      <c r="A374" s="132"/>
      <c r="B374" s="132"/>
      <c r="C374" s="132"/>
      <c r="D374" s="132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Y374" s="110"/>
      <c r="Z374" s="110"/>
    </row>
    <row r="375" ht="14.25" customHeight="1" spans="1:26">
      <c r="A375" s="132"/>
      <c r="B375" s="132"/>
      <c r="C375" s="132"/>
      <c r="D375" s="132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Y375" s="110"/>
      <c r="Z375" s="110"/>
    </row>
    <row r="376" ht="14.25" customHeight="1" spans="1:26">
      <c r="A376" s="132"/>
      <c r="B376" s="132"/>
      <c r="C376" s="132"/>
      <c r="D376" s="132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Y376" s="110"/>
      <c r="Z376" s="110"/>
    </row>
    <row r="377" ht="14.25" customHeight="1" spans="1:26">
      <c r="A377" s="132"/>
      <c r="B377" s="132"/>
      <c r="C377" s="132"/>
      <c r="D377" s="132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Y377" s="110"/>
      <c r="Z377" s="110"/>
    </row>
    <row r="378" ht="14.25" customHeight="1" spans="1:26">
      <c r="A378" s="132"/>
      <c r="B378" s="132"/>
      <c r="C378" s="132"/>
      <c r="D378" s="132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Y378" s="110"/>
      <c r="Z378" s="110"/>
    </row>
    <row r="379" ht="14.25" customHeight="1" spans="1:26">
      <c r="A379" s="132"/>
      <c r="B379" s="132"/>
      <c r="C379" s="132"/>
      <c r="D379" s="132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Y379" s="110"/>
      <c r="Z379" s="110"/>
    </row>
    <row r="380" ht="14.25" customHeight="1" spans="1:26">
      <c r="A380" s="132"/>
      <c r="B380" s="132"/>
      <c r="C380" s="132"/>
      <c r="D380" s="132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Y380" s="110"/>
      <c r="Z380" s="110"/>
    </row>
    <row r="381" ht="14.25" customHeight="1" spans="1:26">
      <c r="A381" s="132"/>
      <c r="B381" s="132"/>
      <c r="C381" s="132"/>
      <c r="D381" s="132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Y381" s="110"/>
      <c r="Z381" s="110"/>
    </row>
    <row r="382" ht="14.25" customHeight="1" spans="1:26">
      <c r="A382" s="132"/>
      <c r="B382" s="132"/>
      <c r="C382" s="132"/>
      <c r="D382" s="132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Y382" s="110"/>
      <c r="Z382" s="110"/>
    </row>
    <row r="383" ht="14.25" customHeight="1" spans="1:26">
      <c r="A383" s="132"/>
      <c r="B383" s="132"/>
      <c r="C383" s="132"/>
      <c r="D383" s="132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Y383" s="110"/>
      <c r="Z383" s="110"/>
    </row>
    <row r="384" ht="14.25" customHeight="1" spans="1:26">
      <c r="A384" s="132"/>
      <c r="B384" s="132"/>
      <c r="C384" s="132"/>
      <c r="D384" s="132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Y384" s="110"/>
      <c r="Z384" s="110"/>
    </row>
    <row r="385" ht="14.25" customHeight="1" spans="1:26">
      <c r="A385" s="132"/>
      <c r="B385" s="132"/>
      <c r="C385" s="132"/>
      <c r="D385" s="132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Y385" s="110"/>
      <c r="Z385" s="110"/>
    </row>
    <row r="386" ht="14.25" customHeight="1" spans="1:26">
      <c r="A386" s="132"/>
      <c r="B386" s="132"/>
      <c r="C386" s="132"/>
      <c r="D386" s="132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Y386" s="110"/>
      <c r="Z386" s="110"/>
    </row>
    <row r="387" ht="14.25" customHeight="1" spans="1:26">
      <c r="A387" s="132"/>
      <c r="B387" s="132"/>
      <c r="C387" s="132"/>
      <c r="D387" s="132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Y387" s="110"/>
      <c r="Z387" s="110"/>
    </row>
    <row r="388" ht="14.25" customHeight="1" spans="1:26">
      <c r="A388" s="132"/>
      <c r="B388" s="132"/>
      <c r="C388" s="132"/>
      <c r="D388" s="132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Y388" s="110"/>
      <c r="Z388" s="110"/>
    </row>
    <row r="389" ht="14.25" customHeight="1" spans="1:26">
      <c r="A389" s="132"/>
      <c r="B389" s="132"/>
      <c r="C389" s="132"/>
      <c r="D389" s="132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Y389" s="110"/>
      <c r="Z389" s="110"/>
    </row>
    <row r="390" ht="14.25" customHeight="1" spans="1:26">
      <c r="A390" s="132"/>
      <c r="B390" s="132"/>
      <c r="C390" s="132"/>
      <c r="D390" s="132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Y390" s="110"/>
      <c r="Z390" s="110"/>
    </row>
    <row r="391" ht="14.25" customHeight="1" spans="1:26">
      <c r="A391" s="132"/>
      <c r="B391" s="132"/>
      <c r="C391" s="132"/>
      <c r="D391" s="132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Y391" s="110"/>
      <c r="Z391" s="110"/>
    </row>
    <row r="392" ht="14.25" customHeight="1" spans="1:26">
      <c r="A392" s="132"/>
      <c r="B392" s="132"/>
      <c r="C392" s="132"/>
      <c r="D392" s="132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Y392" s="110"/>
      <c r="Z392" s="110"/>
    </row>
    <row r="393" ht="14.25" customHeight="1" spans="1:26">
      <c r="A393" s="132"/>
      <c r="B393" s="132"/>
      <c r="C393" s="132"/>
      <c r="D393" s="132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Y393" s="110"/>
      <c r="Z393" s="110"/>
    </row>
    <row r="394" ht="14.25" customHeight="1" spans="1:26">
      <c r="A394" s="132"/>
      <c r="B394" s="132"/>
      <c r="C394" s="132"/>
      <c r="D394" s="132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Y394" s="110"/>
      <c r="Z394" s="110"/>
    </row>
    <row r="395" ht="14.25" customHeight="1" spans="1:26">
      <c r="A395" s="132"/>
      <c r="B395" s="132"/>
      <c r="C395" s="132"/>
      <c r="D395" s="132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Y395" s="110"/>
      <c r="Z395" s="110"/>
    </row>
    <row r="396" ht="14.25" customHeight="1" spans="1:26">
      <c r="A396" s="132"/>
      <c r="B396" s="132"/>
      <c r="C396" s="132"/>
      <c r="D396" s="132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Y396" s="110"/>
      <c r="Z396" s="110"/>
    </row>
    <row r="397" ht="14.25" customHeight="1" spans="1:26">
      <c r="A397" s="132"/>
      <c r="B397" s="132"/>
      <c r="C397" s="132"/>
      <c r="D397" s="132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Y397" s="110"/>
      <c r="Z397" s="110"/>
    </row>
    <row r="398" ht="14.25" customHeight="1" spans="1:26">
      <c r="A398" s="132"/>
      <c r="B398" s="132"/>
      <c r="C398" s="132"/>
      <c r="D398" s="132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Y398" s="110"/>
      <c r="Z398" s="110"/>
    </row>
    <row r="399" ht="14.25" customHeight="1" spans="1:26">
      <c r="A399" s="132"/>
      <c r="B399" s="132"/>
      <c r="C399" s="132"/>
      <c r="D399" s="132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Y399" s="110"/>
      <c r="Z399" s="110"/>
    </row>
    <row r="400" ht="14.25" customHeight="1" spans="1:26">
      <c r="A400" s="132"/>
      <c r="B400" s="132"/>
      <c r="C400" s="132"/>
      <c r="D400" s="132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Y400" s="110"/>
      <c r="Z400" s="110"/>
    </row>
    <row r="401" ht="14.25" customHeight="1" spans="1:26">
      <c r="A401" s="132"/>
      <c r="B401" s="132"/>
      <c r="C401" s="132"/>
      <c r="D401" s="132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Y401" s="110"/>
      <c r="Z401" s="110"/>
    </row>
    <row r="402" ht="14.25" customHeight="1" spans="1:26">
      <c r="A402" s="132"/>
      <c r="B402" s="132"/>
      <c r="C402" s="132"/>
      <c r="D402" s="132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Y402" s="110"/>
      <c r="Z402" s="110"/>
    </row>
    <row r="403" ht="14.25" customHeight="1" spans="1:26">
      <c r="A403" s="132"/>
      <c r="B403" s="132"/>
      <c r="C403" s="132"/>
      <c r="D403" s="132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Y403" s="110"/>
      <c r="Z403" s="110"/>
    </row>
    <row r="404" ht="14.25" customHeight="1" spans="1:26">
      <c r="A404" s="132"/>
      <c r="B404" s="132"/>
      <c r="C404" s="132"/>
      <c r="D404" s="132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Y404" s="110"/>
      <c r="Z404" s="110"/>
    </row>
    <row r="405" ht="14.25" customHeight="1" spans="1:26">
      <c r="A405" s="132"/>
      <c r="B405" s="132"/>
      <c r="C405" s="132"/>
      <c r="D405" s="132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Y405" s="110"/>
      <c r="Z405" s="110"/>
    </row>
    <row r="406" ht="14.25" customHeight="1" spans="1:26">
      <c r="A406" s="132"/>
      <c r="B406" s="132"/>
      <c r="C406" s="132"/>
      <c r="D406" s="132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Y406" s="110"/>
      <c r="Z406" s="110"/>
    </row>
    <row r="407" ht="14.25" customHeight="1" spans="1:26">
      <c r="A407" s="132"/>
      <c r="B407" s="132"/>
      <c r="C407" s="132"/>
      <c r="D407" s="132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Y407" s="110"/>
      <c r="Z407" s="110"/>
    </row>
    <row r="408" ht="14.25" customHeight="1" spans="1:26">
      <c r="A408" s="132"/>
      <c r="B408" s="132"/>
      <c r="C408" s="132"/>
      <c r="D408" s="132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Y408" s="110"/>
      <c r="Z408" s="110"/>
    </row>
    <row r="409" ht="14.25" customHeight="1" spans="1:26">
      <c r="A409" s="132"/>
      <c r="B409" s="132"/>
      <c r="C409" s="132"/>
      <c r="D409" s="132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Y409" s="110"/>
      <c r="Z409" s="110"/>
    </row>
    <row r="410" ht="14.25" customHeight="1" spans="1:26">
      <c r="A410" s="132"/>
      <c r="B410" s="132"/>
      <c r="C410" s="132"/>
      <c r="D410" s="132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Y410" s="110"/>
      <c r="Z410" s="110"/>
    </row>
    <row r="411" ht="14.25" customHeight="1" spans="1:26">
      <c r="A411" s="132"/>
      <c r="B411" s="132"/>
      <c r="C411" s="132"/>
      <c r="D411" s="132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Y411" s="110"/>
      <c r="Z411" s="110"/>
    </row>
    <row r="412" ht="14.25" customHeight="1" spans="1:26">
      <c r="A412" s="132"/>
      <c r="B412" s="132"/>
      <c r="C412" s="132"/>
      <c r="D412" s="132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Y412" s="110"/>
      <c r="Z412" s="110"/>
    </row>
    <row r="413" ht="14.25" customHeight="1" spans="1:26">
      <c r="A413" s="132"/>
      <c r="B413" s="132"/>
      <c r="C413" s="132"/>
      <c r="D413" s="132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Y413" s="110"/>
      <c r="Z413" s="110"/>
    </row>
    <row r="414" ht="14.25" customHeight="1" spans="1:26">
      <c r="A414" s="132"/>
      <c r="B414" s="132"/>
      <c r="C414" s="132"/>
      <c r="D414" s="132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Y414" s="110"/>
      <c r="Z414" s="110"/>
    </row>
    <row r="415" ht="14.25" customHeight="1" spans="1:26">
      <c r="A415" s="132"/>
      <c r="B415" s="132"/>
      <c r="C415" s="132"/>
      <c r="D415" s="132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Y415" s="110"/>
      <c r="Z415" s="110"/>
    </row>
    <row r="416" ht="14.25" customHeight="1" spans="1:26">
      <c r="A416" s="132"/>
      <c r="B416" s="132"/>
      <c r="C416" s="132"/>
      <c r="D416" s="132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Y416" s="110"/>
      <c r="Z416" s="110"/>
    </row>
    <row r="417" ht="14.25" customHeight="1" spans="1:26">
      <c r="A417" s="132"/>
      <c r="B417" s="132"/>
      <c r="C417" s="132"/>
      <c r="D417" s="132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Y417" s="110"/>
      <c r="Z417" s="110"/>
    </row>
    <row r="418" ht="14.25" customHeight="1" spans="1:26">
      <c r="A418" s="132"/>
      <c r="B418" s="132"/>
      <c r="C418" s="132"/>
      <c r="D418" s="132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Y418" s="110"/>
      <c r="Z418" s="110"/>
    </row>
    <row r="419" ht="14.25" customHeight="1" spans="1:26">
      <c r="A419" s="132"/>
      <c r="B419" s="132"/>
      <c r="C419" s="132"/>
      <c r="D419" s="132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Y419" s="110"/>
      <c r="Z419" s="110"/>
    </row>
    <row r="420" ht="14.25" customHeight="1" spans="1:26">
      <c r="A420" s="132"/>
      <c r="B420" s="132"/>
      <c r="C420" s="132"/>
      <c r="D420" s="132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Y420" s="110"/>
      <c r="Z420" s="110"/>
    </row>
    <row r="421" ht="14.25" customHeight="1" spans="1:26">
      <c r="A421" s="132"/>
      <c r="B421" s="132"/>
      <c r="C421" s="132"/>
      <c r="D421" s="132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Y421" s="110"/>
      <c r="Z421" s="110"/>
    </row>
    <row r="422" ht="14.25" customHeight="1" spans="1:26">
      <c r="A422" s="132"/>
      <c r="B422" s="132"/>
      <c r="C422" s="132"/>
      <c r="D422" s="132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Y422" s="110"/>
      <c r="Z422" s="110"/>
    </row>
    <row r="423" ht="14.25" customHeight="1" spans="1:26">
      <c r="A423" s="132"/>
      <c r="B423" s="132"/>
      <c r="C423" s="132"/>
      <c r="D423" s="132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Y423" s="110"/>
      <c r="Z423" s="110"/>
    </row>
    <row r="424" ht="14.25" customHeight="1" spans="1:26">
      <c r="A424" s="132"/>
      <c r="B424" s="132"/>
      <c r="C424" s="132"/>
      <c r="D424" s="132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Y424" s="110"/>
      <c r="Z424" s="110"/>
    </row>
    <row r="425" ht="14.25" customHeight="1" spans="1:26">
      <c r="A425" s="132"/>
      <c r="B425" s="132"/>
      <c r="C425" s="132"/>
      <c r="D425" s="132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Y425" s="110"/>
      <c r="Z425" s="110"/>
    </row>
    <row r="426" ht="14.25" customHeight="1" spans="1:26">
      <c r="A426" s="132"/>
      <c r="B426" s="132"/>
      <c r="C426" s="132"/>
      <c r="D426" s="132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Y426" s="110"/>
      <c r="Z426" s="110"/>
    </row>
    <row r="427" ht="14.25" customHeight="1" spans="1:26">
      <c r="A427" s="132"/>
      <c r="B427" s="132"/>
      <c r="C427" s="132"/>
      <c r="D427" s="132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Y427" s="110"/>
      <c r="Z427" s="110"/>
    </row>
    <row r="428" ht="14.25" customHeight="1" spans="1:26">
      <c r="A428" s="132"/>
      <c r="B428" s="132"/>
      <c r="C428" s="132"/>
      <c r="D428" s="132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Y428" s="110"/>
      <c r="Z428" s="110"/>
    </row>
    <row r="429" ht="14.25" customHeight="1" spans="1:26">
      <c r="A429" s="132"/>
      <c r="B429" s="132"/>
      <c r="C429" s="132"/>
      <c r="D429" s="132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Y429" s="110"/>
      <c r="Z429" s="110"/>
    </row>
    <row r="430" ht="14.25" customHeight="1" spans="1:26">
      <c r="A430" s="132"/>
      <c r="B430" s="132"/>
      <c r="C430" s="132"/>
      <c r="D430" s="132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Y430" s="110"/>
      <c r="Z430" s="110"/>
    </row>
    <row r="431" ht="14.25" customHeight="1" spans="1:26">
      <c r="A431" s="132"/>
      <c r="B431" s="132"/>
      <c r="C431" s="132"/>
      <c r="D431" s="132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Y431" s="110"/>
      <c r="Z431" s="110"/>
    </row>
    <row r="432" ht="14.25" customHeight="1" spans="1:26">
      <c r="A432" s="132"/>
      <c r="B432" s="132"/>
      <c r="C432" s="132"/>
      <c r="D432" s="132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Y432" s="110"/>
      <c r="Z432" s="110"/>
    </row>
    <row r="433" ht="14.25" customHeight="1" spans="1:26">
      <c r="A433" s="132"/>
      <c r="B433" s="132"/>
      <c r="C433" s="132"/>
      <c r="D433" s="132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Y433" s="110"/>
      <c r="Z433" s="110"/>
    </row>
    <row r="434" ht="14.25" customHeight="1" spans="1:26">
      <c r="A434" s="132"/>
      <c r="B434" s="132"/>
      <c r="C434" s="132"/>
      <c r="D434" s="132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Y434" s="110"/>
      <c r="Z434" s="110"/>
    </row>
    <row r="435" ht="14.25" customHeight="1" spans="1:26">
      <c r="A435" s="132"/>
      <c r="B435" s="132"/>
      <c r="C435" s="132"/>
      <c r="D435" s="132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Y435" s="110"/>
      <c r="Z435" s="110"/>
    </row>
    <row r="436" ht="14.25" customHeight="1" spans="1:26">
      <c r="A436" s="132"/>
      <c r="B436" s="132"/>
      <c r="C436" s="132"/>
      <c r="D436" s="132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Y436" s="110"/>
      <c r="Z436" s="110"/>
    </row>
    <row r="437" ht="14.25" customHeight="1" spans="1:26">
      <c r="A437" s="132"/>
      <c r="B437" s="132"/>
      <c r="C437" s="132"/>
      <c r="D437" s="132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Y437" s="110"/>
      <c r="Z437" s="110"/>
    </row>
    <row r="438" ht="14.25" customHeight="1" spans="1:26">
      <c r="A438" s="132"/>
      <c r="B438" s="132"/>
      <c r="C438" s="132"/>
      <c r="D438" s="132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Y438" s="110"/>
      <c r="Z438" s="110"/>
    </row>
    <row r="439" ht="14.25" customHeight="1" spans="1:26">
      <c r="A439" s="132"/>
      <c r="B439" s="132"/>
      <c r="C439" s="132"/>
      <c r="D439" s="132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Y439" s="110"/>
      <c r="Z439" s="110"/>
    </row>
    <row r="440" ht="14.25" customHeight="1" spans="1:26">
      <c r="A440" s="132"/>
      <c r="B440" s="132"/>
      <c r="C440" s="132"/>
      <c r="D440" s="132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Y440" s="110"/>
      <c r="Z440" s="110"/>
    </row>
    <row r="441" ht="14.25" customHeight="1" spans="1:26">
      <c r="A441" s="132"/>
      <c r="B441" s="132"/>
      <c r="C441" s="132"/>
      <c r="D441" s="132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Y441" s="110"/>
      <c r="Z441" s="110"/>
    </row>
    <row r="442" ht="14.25" customHeight="1" spans="1:26">
      <c r="A442" s="132"/>
      <c r="B442" s="132"/>
      <c r="C442" s="132"/>
      <c r="D442" s="132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Y442" s="110"/>
      <c r="Z442" s="110"/>
    </row>
    <row r="443" ht="14.25" customHeight="1" spans="1:26">
      <c r="A443" s="132"/>
      <c r="B443" s="132"/>
      <c r="C443" s="132"/>
      <c r="D443" s="132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Y443" s="110"/>
      <c r="Z443" s="110"/>
    </row>
    <row r="444" ht="14.25" customHeight="1" spans="1:26">
      <c r="A444" s="132"/>
      <c r="B444" s="132"/>
      <c r="C444" s="132"/>
      <c r="D444" s="132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Y444" s="110"/>
      <c r="Z444" s="110"/>
    </row>
    <row r="445" ht="14.25" customHeight="1" spans="1:26">
      <c r="A445" s="132"/>
      <c r="B445" s="132"/>
      <c r="C445" s="132"/>
      <c r="D445" s="132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Y445" s="110"/>
      <c r="Z445" s="110"/>
    </row>
    <row r="446" ht="14.25" customHeight="1" spans="1:26">
      <c r="A446" s="132"/>
      <c r="B446" s="132"/>
      <c r="C446" s="132"/>
      <c r="D446" s="132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Y446" s="110"/>
      <c r="Z446" s="110"/>
    </row>
    <row r="447" ht="14.25" customHeight="1" spans="1:26">
      <c r="A447" s="132"/>
      <c r="B447" s="132"/>
      <c r="C447" s="132"/>
      <c r="D447" s="132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Y447" s="110"/>
      <c r="Z447" s="110"/>
    </row>
    <row r="448" ht="14.25" customHeight="1" spans="1:26">
      <c r="A448" s="132"/>
      <c r="B448" s="132"/>
      <c r="C448" s="132"/>
      <c r="D448" s="132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Y448" s="110"/>
      <c r="Z448" s="110"/>
    </row>
    <row r="449" ht="14.25" customHeight="1" spans="1:26">
      <c r="A449" s="132"/>
      <c r="B449" s="132"/>
      <c r="C449" s="132"/>
      <c r="D449" s="132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Y449" s="110"/>
      <c r="Z449" s="110"/>
    </row>
    <row r="450" ht="14.25" customHeight="1" spans="1:26">
      <c r="A450" s="132"/>
      <c r="B450" s="132"/>
      <c r="C450" s="132"/>
      <c r="D450" s="132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Y450" s="110"/>
      <c r="Z450" s="110"/>
    </row>
    <row r="451" ht="14.25" customHeight="1" spans="1:26">
      <c r="A451" s="132"/>
      <c r="B451" s="132"/>
      <c r="C451" s="132"/>
      <c r="D451" s="132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Y451" s="110"/>
      <c r="Z451" s="110"/>
    </row>
    <row r="452" ht="14.25" customHeight="1" spans="1:26">
      <c r="A452" s="132"/>
      <c r="B452" s="132"/>
      <c r="C452" s="132"/>
      <c r="D452" s="132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Y452" s="110"/>
      <c r="Z452" s="110"/>
    </row>
    <row r="453" ht="14.25" customHeight="1" spans="1:26">
      <c r="A453" s="132"/>
      <c r="B453" s="132"/>
      <c r="C453" s="132"/>
      <c r="D453" s="132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Y453" s="110"/>
      <c r="Z453" s="110"/>
    </row>
    <row r="454" ht="14.25" customHeight="1" spans="1:26">
      <c r="A454" s="132"/>
      <c r="B454" s="132"/>
      <c r="C454" s="132"/>
      <c r="D454" s="132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Y454" s="110"/>
      <c r="Z454" s="110"/>
    </row>
    <row r="455" ht="14.25" customHeight="1" spans="1:26">
      <c r="A455" s="132"/>
      <c r="B455" s="132"/>
      <c r="C455" s="132"/>
      <c r="D455" s="132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Y455" s="110"/>
      <c r="Z455" s="110"/>
    </row>
    <row r="456" ht="14.25" customHeight="1" spans="1:26">
      <c r="A456" s="132"/>
      <c r="B456" s="132"/>
      <c r="C456" s="132"/>
      <c r="D456" s="132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Y456" s="110"/>
      <c r="Z456" s="110"/>
    </row>
    <row r="457" ht="14.25" customHeight="1" spans="1:26">
      <c r="A457" s="132"/>
      <c r="B457" s="132"/>
      <c r="C457" s="132"/>
      <c r="D457" s="132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Y457" s="110"/>
      <c r="Z457" s="110"/>
    </row>
    <row r="458" ht="14.25" customHeight="1" spans="1:26">
      <c r="A458" s="132"/>
      <c r="B458" s="132"/>
      <c r="C458" s="132"/>
      <c r="D458" s="132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Y458" s="110"/>
      <c r="Z458" s="110"/>
    </row>
    <row r="459" ht="14.25" customHeight="1" spans="1:26">
      <c r="A459" s="132"/>
      <c r="B459" s="132"/>
      <c r="C459" s="132"/>
      <c r="D459" s="132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Y459" s="110"/>
      <c r="Z459" s="110"/>
    </row>
    <row r="460" ht="14.25" customHeight="1" spans="1:26">
      <c r="A460" s="132"/>
      <c r="B460" s="132"/>
      <c r="C460" s="132"/>
      <c r="D460" s="132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Y460" s="110"/>
      <c r="Z460" s="110"/>
    </row>
    <row r="461" ht="14.25" customHeight="1" spans="1:26">
      <c r="A461" s="132"/>
      <c r="B461" s="132"/>
      <c r="C461" s="132"/>
      <c r="D461" s="132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Y461" s="110"/>
      <c r="Z461" s="110"/>
    </row>
    <row r="462" ht="14.25" customHeight="1" spans="1:26">
      <c r="A462" s="132"/>
      <c r="B462" s="132"/>
      <c r="C462" s="132"/>
      <c r="D462" s="132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Y462" s="110"/>
      <c r="Z462" s="110"/>
    </row>
    <row r="463" ht="14.25" customHeight="1" spans="1:26">
      <c r="A463" s="132"/>
      <c r="B463" s="132"/>
      <c r="C463" s="132"/>
      <c r="D463" s="132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Y463" s="110"/>
      <c r="Z463" s="110"/>
    </row>
    <row r="464" ht="14.25" customHeight="1" spans="1:26">
      <c r="A464" s="132"/>
      <c r="B464" s="132"/>
      <c r="C464" s="132"/>
      <c r="D464" s="132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Y464" s="110"/>
      <c r="Z464" s="110"/>
    </row>
    <row r="465" ht="14.25" customHeight="1" spans="1:26">
      <c r="A465" s="132"/>
      <c r="B465" s="132"/>
      <c r="C465" s="132"/>
      <c r="D465" s="132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Y465" s="110"/>
      <c r="Z465" s="110"/>
    </row>
    <row r="466" ht="14.25" customHeight="1" spans="1:26">
      <c r="A466" s="132"/>
      <c r="B466" s="132"/>
      <c r="C466" s="132"/>
      <c r="D466" s="132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Y466" s="110"/>
      <c r="Z466" s="110"/>
    </row>
    <row r="467" ht="14.25" customHeight="1" spans="1:26">
      <c r="A467" s="132"/>
      <c r="B467" s="132"/>
      <c r="C467" s="132"/>
      <c r="D467" s="132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Y467" s="110"/>
      <c r="Z467" s="110"/>
    </row>
    <row r="468" ht="14.25" customHeight="1" spans="1:26">
      <c r="A468" s="132"/>
      <c r="B468" s="132"/>
      <c r="C468" s="132"/>
      <c r="D468" s="132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Y468" s="110"/>
      <c r="Z468" s="110"/>
    </row>
    <row r="469" ht="14.25" customHeight="1" spans="1:26">
      <c r="A469" s="132"/>
      <c r="B469" s="132"/>
      <c r="C469" s="132"/>
      <c r="D469" s="132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Y469" s="110"/>
      <c r="Z469" s="110"/>
    </row>
    <row r="470" ht="14.25" customHeight="1" spans="1:26">
      <c r="A470" s="132"/>
      <c r="B470" s="132"/>
      <c r="C470" s="132"/>
      <c r="D470" s="132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Y470" s="110"/>
      <c r="Z470" s="110"/>
    </row>
    <row r="471" ht="14.25" customHeight="1" spans="1:26">
      <c r="A471" s="132"/>
      <c r="B471" s="132"/>
      <c r="C471" s="132"/>
      <c r="D471" s="132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Y471" s="110"/>
      <c r="Z471" s="110"/>
    </row>
    <row r="472" ht="14.25" customHeight="1" spans="1:26">
      <c r="A472" s="132"/>
      <c r="B472" s="132"/>
      <c r="C472" s="132"/>
      <c r="D472" s="132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Y472" s="110"/>
      <c r="Z472" s="110"/>
    </row>
    <row r="473" ht="14.25" customHeight="1" spans="1:26">
      <c r="A473" s="132"/>
      <c r="B473" s="132"/>
      <c r="C473" s="132"/>
      <c r="D473" s="132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Y473" s="110"/>
      <c r="Z473" s="110"/>
    </row>
    <row r="474" ht="14.25" customHeight="1" spans="1:26">
      <c r="A474" s="132"/>
      <c r="B474" s="132"/>
      <c r="C474" s="132"/>
      <c r="D474" s="132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Y474" s="110"/>
      <c r="Z474" s="110"/>
    </row>
    <row r="475" ht="14.25" customHeight="1" spans="1:26">
      <c r="A475" s="132"/>
      <c r="B475" s="132"/>
      <c r="C475" s="132"/>
      <c r="D475" s="132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Y475" s="110"/>
      <c r="Z475" s="110"/>
    </row>
    <row r="476" ht="14.25" customHeight="1" spans="1:26">
      <c r="A476" s="132"/>
      <c r="B476" s="132"/>
      <c r="C476" s="132"/>
      <c r="D476" s="132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Y476" s="110"/>
      <c r="Z476" s="110"/>
    </row>
    <row r="477" ht="14.25" customHeight="1" spans="1:26">
      <c r="A477" s="132"/>
      <c r="B477" s="132"/>
      <c r="C477" s="132"/>
      <c r="D477" s="132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Y477" s="110"/>
      <c r="Z477" s="110"/>
    </row>
    <row r="478" ht="14.25" customHeight="1" spans="1:26">
      <c r="A478" s="132"/>
      <c r="B478" s="132"/>
      <c r="C478" s="132"/>
      <c r="D478" s="132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Y478" s="110"/>
      <c r="Z478" s="110"/>
    </row>
    <row r="479" ht="14.25" customHeight="1" spans="1:26">
      <c r="A479" s="132"/>
      <c r="B479" s="132"/>
      <c r="C479" s="132"/>
      <c r="D479" s="132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Y479" s="110"/>
      <c r="Z479" s="110"/>
    </row>
    <row r="480" ht="14.25" customHeight="1" spans="1:26">
      <c r="A480" s="132"/>
      <c r="B480" s="132"/>
      <c r="C480" s="132"/>
      <c r="D480" s="132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Y480" s="110"/>
      <c r="Z480" s="110"/>
    </row>
    <row r="481" ht="14.25" customHeight="1" spans="1:26">
      <c r="A481" s="132"/>
      <c r="B481" s="132"/>
      <c r="C481" s="132"/>
      <c r="D481" s="132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Y481" s="110"/>
      <c r="Z481" s="110"/>
    </row>
    <row r="482" ht="14.25" customHeight="1" spans="1:26">
      <c r="A482" s="132"/>
      <c r="B482" s="132"/>
      <c r="C482" s="132"/>
      <c r="D482" s="132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Y482" s="110"/>
      <c r="Z482" s="110"/>
    </row>
    <row r="483" ht="14.25" customHeight="1" spans="1:26">
      <c r="A483" s="132"/>
      <c r="B483" s="132"/>
      <c r="C483" s="132"/>
      <c r="D483" s="132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Y483" s="110"/>
      <c r="Z483" s="110"/>
    </row>
    <row r="484" ht="14.25" customHeight="1" spans="1:26">
      <c r="A484" s="132"/>
      <c r="B484" s="132"/>
      <c r="C484" s="132"/>
      <c r="D484" s="132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Y484" s="110"/>
      <c r="Z484" s="110"/>
    </row>
    <row r="485" ht="14.25" customHeight="1" spans="1:26">
      <c r="A485" s="132"/>
      <c r="B485" s="132"/>
      <c r="C485" s="132"/>
      <c r="D485" s="132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Y485" s="110"/>
      <c r="Z485" s="110"/>
    </row>
    <row r="486" ht="14.25" customHeight="1" spans="1:26">
      <c r="A486" s="132"/>
      <c r="B486" s="132"/>
      <c r="C486" s="132"/>
      <c r="D486" s="132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Y486" s="110"/>
      <c r="Z486" s="110"/>
    </row>
    <row r="487" ht="14.25" customHeight="1" spans="1:26">
      <c r="A487" s="132"/>
      <c r="B487" s="132"/>
      <c r="C487" s="132"/>
      <c r="D487" s="132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Y487" s="110"/>
      <c r="Z487" s="110"/>
    </row>
    <row r="488" ht="14.25" customHeight="1" spans="1:26">
      <c r="A488" s="132"/>
      <c r="B488" s="132"/>
      <c r="C488" s="132"/>
      <c r="D488" s="132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Y488" s="110"/>
      <c r="Z488" s="110"/>
    </row>
    <row r="489" ht="14.25" customHeight="1" spans="1:26">
      <c r="A489" s="132"/>
      <c r="B489" s="132"/>
      <c r="C489" s="132"/>
      <c r="D489" s="132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Y489" s="110"/>
      <c r="Z489" s="110"/>
    </row>
    <row r="490" ht="14.25" customHeight="1" spans="1:26">
      <c r="A490" s="132"/>
      <c r="B490" s="132"/>
      <c r="C490" s="132"/>
      <c r="D490" s="132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Y490" s="110"/>
      <c r="Z490" s="110"/>
    </row>
    <row r="491" ht="14.25" customHeight="1" spans="1:26">
      <c r="A491" s="132"/>
      <c r="B491" s="132"/>
      <c r="C491" s="132"/>
      <c r="D491" s="132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Y491" s="110"/>
      <c r="Z491" s="110"/>
    </row>
    <row r="492" ht="14.25" customHeight="1" spans="1:26">
      <c r="A492" s="132"/>
      <c r="B492" s="132"/>
      <c r="C492" s="132"/>
      <c r="D492" s="132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Y492" s="110"/>
      <c r="Z492" s="110"/>
    </row>
    <row r="493" ht="14.25" customHeight="1" spans="1:26">
      <c r="A493" s="132"/>
      <c r="B493" s="132"/>
      <c r="C493" s="132"/>
      <c r="D493" s="132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Y493" s="110"/>
      <c r="Z493" s="110"/>
    </row>
    <row r="494" ht="14.25" customHeight="1" spans="1:26">
      <c r="A494" s="132"/>
      <c r="B494" s="132"/>
      <c r="C494" s="132"/>
      <c r="D494" s="132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Y494" s="110"/>
      <c r="Z494" s="110"/>
    </row>
    <row r="495" ht="14.25" customHeight="1" spans="1:26">
      <c r="A495" s="132"/>
      <c r="B495" s="132"/>
      <c r="C495" s="132"/>
      <c r="D495" s="132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Y495" s="110"/>
      <c r="Z495" s="110"/>
    </row>
    <row r="496" ht="14.25" customHeight="1" spans="1:26">
      <c r="A496" s="132"/>
      <c r="B496" s="132"/>
      <c r="C496" s="132"/>
      <c r="D496" s="132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Y496" s="110"/>
      <c r="Z496" s="110"/>
    </row>
    <row r="497" ht="14.25" customHeight="1" spans="1:26">
      <c r="A497" s="132"/>
      <c r="B497" s="132"/>
      <c r="C497" s="132"/>
      <c r="D497" s="132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Y497" s="110"/>
      <c r="Z497" s="110"/>
    </row>
    <row r="498" ht="14.25" customHeight="1" spans="1:26">
      <c r="A498" s="132"/>
      <c r="B498" s="132"/>
      <c r="C498" s="132"/>
      <c r="D498" s="132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Y498" s="110"/>
      <c r="Z498" s="110"/>
    </row>
    <row r="499" ht="14.25" customHeight="1" spans="1:26">
      <c r="A499" s="132"/>
      <c r="B499" s="132"/>
      <c r="C499" s="132"/>
      <c r="D499" s="132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Y499" s="110"/>
      <c r="Z499" s="110"/>
    </row>
    <row r="500" ht="14.25" customHeight="1" spans="1:26">
      <c r="A500" s="132"/>
      <c r="B500" s="132"/>
      <c r="C500" s="132"/>
      <c r="D500" s="132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Y500" s="110"/>
      <c r="Z500" s="110"/>
    </row>
    <row r="501" ht="14.25" customHeight="1" spans="1:26">
      <c r="A501" s="132"/>
      <c r="B501" s="132"/>
      <c r="C501" s="132"/>
      <c r="D501" s="132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Y501" s="110"/>
      <c r="Z501" s="110"/>
    </row>
    <row r="502" ht="14.25" customHeight="1" spans="1:26">
      <c r="A502" s="132"/>
      <c r="B502" s="132"/>
      <c r="C502" s="132"/>
      <c r="D502" s="132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Y502" s="110"/>
      <c r="Z502" s="110"/>
    </row>
    <row r="503" ht="14.25" customHeight="1" spans="1:26">
      <c r="A503" s="132"/>
      <c r="B503" s="132"/>
      <c r="C503" s="132"/>
      <c r="D503" s="132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Y503" s="110"/>
      <c r="Z503" s="110"/>
    </row>
    <row r="504" ht="14.25" customHeight="1" spans="1:26">
      <c r="A504" s="132"/>
      <c r="B504" s="132"/>
      <c r="C504" s="132"/>
      <c r="D504" s="132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Y504" s="110"/>
      <c r="Z504" s="110"/>
    </row>
    <row r="505" ht="14.25" customHeight="1" spans="1:26">
      <c r="A505" s="132"/>
      <c r="B505" s="132"/>
      <c r="C505" s="132"/>
      <c r="D505" s="132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Y505" s="110"/>
      <c r="Z505" s="110"/>
    </row>
    <row r="506" ht="14.25" customHeight="1" spans="1:26">
      <c r="A506" s="132"/>
      <c r="B506" s="132"/>
      <c r="C506" s="132"/>
      <c r="D506" s="132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Y506" s="110"/>
      <c r="Z506" s="110"/>
    </row>
    <row r="507" ht="14.25" customHeight="1" spans="1:26">
      <c r="A507" s="132"/>
      <c r="B507" s="132"/>
      <c r="C507" s="132"/>
      <c r="D507" s="132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Y507" s="110"/>
      <c r="Z507" s="110"/>
    </row>
    <row r="508" ht="14.25" customHeight="1" spans="1:26">
      <c r="A508" s="132"/>
      <c r="B508" s="132"/>
      <c r="C508" s="132"/>
      <c r="D508" s="132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Y508" s="110"/>
      <c r="Z508" s="110"/>
    </row>
    <row r="509" ht="14.25" customHeight="1" spans="1:26">
      <c r="A509" s="132"/>
      <c r="B509" s="132"/>
      <c r="C509" s="132"/>
      <c r="D509" s="132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Y509" s="110"/>
      <c r="Z509" s="110"/>
    </row>
    <row r="510" ht="14.25" customHeight="1" spans="1:26">
      <c r="A510" s="132"/>
      <c r="B510" s="132"/>
      <c r="C510" s="132"/>
      <c r="D510" s="132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Y510" s="110"/>
      <c r="Z510" s="110"/>
    </row>
    <row r="511" ht="14.25" customHeight="1" spans="1:26">
      <c r="A511" s="132"/>
      <c r="B511" s="132"/>
      <c r="C511" s="132"/>
      <c r="D511" s="132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Y511" s="110"/>
      <c r="Z511" s="110"/>
    </row>
    <row r="512" ht="14.25" customHeight="1" spans="1:26">
      <c r="A512" s="132"/>
      <c r="B512" s="132"/>
      <c r="C512" s="132"/>
      <c r="D512" s="132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Y512" s="110"/>
      <c r="Z512" s="110"/>
    </row>
    <row r="513" ht="14.25" customHeight="1" spans="1:26">
      <c r="A513" s="132"/>
      <c r="B513" s="132"/>
      <c r="C513" s="132"/>
      <c r="D513" s="132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Y513" s="110"/>
      <c r="Z513" s="110"/>
    </row>
    <row r="514" ht="14.25" customHeight="1" spans="1:26">
      <c r="A514" s="132"/>
      <c r="B514" s="132"/>
      <c r="C514" s="132"/>
      <c r="D514" s="132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Y514" s="110"/>
      <c r="Z514" s="110"/>
    </row>
    <row r="515" ht="14.25" customHeight="1" spans="1:26">
      <c r="A515" s="132"/>
      <c r="B515" s="132"/>
      <c r="C515" s="132"/>
      <c r="D515" s="132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Y515" s="110"/>
      <c r="Z515" s="110"/>
    </row>
    <row r="516" ht="14.25" customHeight="1" spans="1:26">
      <c r="A516" s="132"/>
      <c r="B516" s="132"/>
      <c r="C516" s="132"/>
      <c r="D516" s="132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Y516" s="110"/>
      <c r="Z516" s="110"/>
    </row>
    <row r="517" ht="14.25" customHeight="1" spans="1:26">
      <c r="A517" s="132"/>
      <c r="B517" s="132"/>
      <c r="C517" s="132"/>
      <c r="D517" s="132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Y517" s="110"/>
      <c r="Z517" s="110"/>
    </row>
    <row r="518" ht="14.25" customHeight="1" spans="1:26">
      <c r="A518" s="132"/>
      <c r="B518" s="132"/>
      <c r="C518" s="132"/>
      <c r="D518" s="132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Y518" s="110"/>
      <c r="Z518" s="110"/>
    </row>
    <row r="519" ht="14.25" customHeight="1" spans="1:26">
      <c r="A519" s="132"/>
      <c r="B519" s="132"/>
      <c r="C519" s="132"/>
      <c r="D519" s="132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Y519" s="110"/>
      <c r="Z519" s="110"/>
    </row>
    <row r="520" ht="14.25" customHeight="1" spans="1:26">
      <c r="A520" s="132"/>
      <c r="B520" s="132"/>
      <c r="C520" s="132"/>
      <c r="D520" s="132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Y520" s="110"/>
      <c r="Z520" s="110"/>
    </row>
    <row r="521" ht="14.25" customHeight="1" spans="1:26">
      <c r="A521" s="132"/>
      <c r="B521" s="132"/>
      <c r="C521" s="132"/>
      <c r="D521" s="132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Y521" s="110"/>
      <c r="Z521" s="110"/>
    </row>
    <row r="522" ht="14.25" customHeight="1" spans="1:26">
      <c r="A522" s="132"/>
      <c r="B522" s="132"/>
      <c r="C522" s="132"/>
      <c r="D522" s="132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Y522" s="110"/>
      <c r="Z522" s="110"/>
    </row>
    <row r="523" ht="14.25" customHeight="1" spans="1:26">
      <c r="A523" s="132"/>
      <c r="B523" s="132"/>
      <c r="C523" s="132"/>
      <c r="D523" s="132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Y523" s="110"/>
      <c r="Z523" s="110"/>
    </row>
    <row r="524" ht="14.25" customHeight="1" spans="1:26">
      <c r="A524" s="132"/>
      <c r="B524" s="132"/>
      <c r="C524" s="132"/>
      <c r="D524" s="132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Y524" s="110"/>
      <c r="Z524" s="110"/>
    </row>
    <row r="525" ht="14.25" customHeight="1" spans="1:26">
      <c r="A525" s="132"/>
      <c r="B525" s="132"/>
      <c r="C525" s="132"/>
      <c r="D525" s="132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Y525" s="110"/>
      <c r="Z525" s="110"/>
    </row>
    <row r="526" ht="14.25" customHeight="1" spans="1:26">
      <c r="A526" s="132"/>
      <c r="B526" s="132"/>
      <c r="C526" s="132"/>
      <c r="D526" s="132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Y526" s="110"/>
      <c r="Z526" s="110"/>
    </row>
    <row r="527" ht="14.25" customHeight="1" spans="1:26">
      <c r="A527" s="132"/>
      <c r="B527" s="132"/>
      <c r="C527" s="132"/>
      <c r="D527" s="132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Y527" s="110"/>
      <c r="Z527" s="110"/>
    </row>
    <row r="528" ht="14.25" customHeight="1" spans="1:26">
      <c r="A528" s="132"/>
      <c r="B528" s="132"/>
      <c r="C528" s="132"/>
      <c r="D528" s="132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Y528" s="110"/>
      <c r="Z528" s="110"/>
    </row>
    <row r="529" ht="14.25" customHeight="1" spans="1:26">
      <c r="A529" s="132"/>
      <c r="B529" s="132"/>
      <c r="C529" s="132"/>
      <c r="D529" s="132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Y529" s="110"/>
      <c r="Z529" s="110"/>
    </row>
    <row r="530" ht="14.25" customHeight="1" spans="1:26">
      <c r="A530" s="132"/>
      <c r="B530" s="132"/>
      <c r="C530" s="132"/>
      <c r="D530" s="132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Y530" s="110"/>
      <c r="Z530" s="110"/>
    </row>
    <row r="531" ht="14.25" customHeight="1" spans="1:26">
      <c r="A531" s="132"/>
      <c r="B531" s="132"/>
      <c r="C531" s="132"/>
      <c r="D531" s="132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Y531" s="110"/>
      <c r="Z531" s="110"/>
    </row>
    <row r="532" ht="14.25" customHeight="1" spans="1:26">
      <c r="A532" s="132"/>
      <c r="B532" s="132"/>
      <c r="C532" s="132"/>
      <c r="D532" s="132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Y532" s="110"/>
      <c r="Z532" s="110"/>
    </row>
    <row r="533" ht="14.25" customHeight="1" spans="1:26">
      <c r="A533" s="132"/>
      <c r="B533" s="132"/>
      <c r="C533" s="132"/>
      <c r="D533" s="132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Y533" s="110"/>
      <c r="Z533" s="110"/>
    </row>
    <row r="534" ht="14.25" customHeight="1" spans="1:26">
      <c r="A534" s="132"/>
      <c r="B534" s="132"/>
      <c r="C534" s="132"/>
      <c r="D534" s="132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Y534" s="110"/>
      <c r="Z534" s="110"/>
    </row>
    <row r="535" ht="14.25" customHeight="1" spans="1:26">
      <c r="A535" s="132"/>
      <c r="B535" s="132"/>
      <c r="C535" s="132"/>
      <c r="D535" s="132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Y535" s="110"/>
      <c r="Z535" s="110"/>
    </row>
    <row r="536" ht="14.25" customHeight="1" spans="1:26">
      <c r="A536" s="132"/>
      <c r="B536" s="132"/>
      <c r="C536" s="132"/>
      <c r="D536" s="132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Y536" s="110"/>
      <c r="Z536" s="110"/>
    </row>
    <row r="537" ht="14.25" customHeight="1" spans="1:26">
      <c r="A537" s="132"/>
      <c r="B537" s="132"/>
      <c r="C537" s="132"/>
      <c r="D537" s="132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Y537" s="110"/>
      <c r="Z537" s="110"/>
    </row>
    <row r="538" ht="14.25" customHeight="1" spans="1:26">
      <c r="A538" s="132"/>
      <c r="B538" s="132"/>
      <c r="C538" s="132"/>
      <c r="D538" s="132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Y538" s="110"/>
      <c r="Z538" s="110"/>
    </row>
    <row r="539" ht="14.25" customHeight="1" spans="1:26">
      <c r="A539" s="132"/>
      <c r="B539" s="132"/>
      <c r="C539" s="132"/>
      <c r="D539" s="132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Y539" s="110"/>
      <c r="Z539" s="110"/>
    </row>
    <row r="540" ht="14.25" customHeight="1" spans="1:26">
      <c r="A540" s="132"/>
      <c r="B540" s="132"/>
      <c r="C540" s="132"/>
      <c r="D540" s="132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Y540" s="110"/>
      <c r="Z540" s="110"/>
    </row>
    <row r="541" ht="14.25" customHeight="1" spans="1:26">
      <c r="A541" s="132"/>
      <c r="B541" s="132"/>
      <c r="C541" s="132"/>
      <c r="D541" s="132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Y541" s="110"/>
      <c r="Z541" s="110"/>
    </row>
    <row r="542" ht="14.25" customHeight="1" spans="1:26">
      <c r="A542" s="132"/>
      <c r="B542" s="132"/>
      <c r="C542" s="132"/>
      <c r="D542" s="132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Y542" s="110"/>
      <c r="Z542" s="110"/>
    </row>
    <row r="543" ht="14.25" customHeight="1" spans="1:26">
      <c r="A543" s="132"/>
      <c r="B543" s="132"/>
      <c r="C543" s="132"/>
      <c r="D543" s="132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Y543" s="110"/>
      <c r="Z543" s="110"/>
    </row>
    <row r="544" ht="14.25" customHeight="1" spans="1:26">
      <c r="A544" s="132"/>
      <c r="B544" s="132"/>
      <c r="C544" s="132"/>
      <c r="D544" s="132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Y544" s="110"/>
      <c r="Z544" s="110"/>
    </row>
    <row r="545" ht="14.25" customHeight="1" spans="1:26">
      <c r="A545" s="132"/>
      <c r="B545" s="132"/>
      <c r="C545" s="132"/>
      <c r="D545" s="132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Y545" s="110"/>
      <c r="Z545" s="110"/>
    </row>
    <row r="546" ht="14.25" customHeight="1" spans="1:26">
      <c r="A546" s="132"/>
      <c r="B546" s="132"/>
      <c r="C546" s="132"/>
      <c r="D546" s="132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Y546" s="110"/>
      <c r="Z546" s="110"/>
    </row>
    <row r="547" ht="14.25" customHeight="1" spans="1:26">
      <c r="A547" s="132"/>
      <c r="B547" s="132"/>
      <c r="C547" s="132"/>
      <c r="D547" s="132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Y547" s="110"/>
      <c r="Z547" s="110"/>
    </row>
    <row r="548" ht="14.25" customHeight="1" spans="1:26">
      <c r="A548" s="132"/>
      <c r="B548" s="132"/>
      <c r="C548" s="132"/>
      <c r="D548" s="132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Y548" s="110"/>
      <c r="Z548" s="110"/>
    </row>
    <row r="549" ht="14.25" customHeight="1" spans="1:26">
      <c r="A549" s="132"/>
      <c r="B549" s="132"/>
      <c r="C549" s="132"/>
      <c r="D549" s="132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Y549" s="110"/>
      <c r="Z549" s="110"/>
    </row>
    <row r="550" ht="14.25" customHeight="1" spans="1:26">
      <c r="A550" s="132"/>
      <c r="B550" s="132"/>
      <c r="C550" s="132"/>
      <c r="D550" s="132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Y550" s="110"/>
      <c r="Z550" s="110"/>
    </row>
    <row r="551" ht="14.25" customHeight="1" spans="1:26">
      <c r="A551" s="132"/>
      <c r="B551" s="132"/>
      <c r="C551" s="132"/>
      <c r="D551" s="132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Y551" s="110"/>
      <c r="Z551" s="110"/>
    </row>
    <row r="552" ht="14.25" customHeight="1" spans="1:26">
      <c r="A552" s="132"/>
      <c r="B552" s="132"/>
      <c r="C552" s="132"/>
      <c r="D552" s="132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Y552" s="110"/>
      <c r="Z552" s="110"/>
    </row>
    <row r="553" ht="14.25" customHeight="1" spans="1:26">
      <c r="A553" s="132"/>
      <c r="B553" s="132"/>
      <c r="C553" s="132"/>
      <c r="D553" s="132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Y553" s="110"/>
      <c r="Z553" s="110"/>
    </row>
    <row r="554" ht="14.25" customHeight="1" spans="1:26">
      <c r="A554" s="132"/>
      <c r="B554" s="132"/>
      <c r="C554" s="132"/>
      <c r="D554" s="132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Y554" s="110"/>
      <c r="Z554" s="110"/>
    </row>
    <row r="555" ht="14.25" customHeight="1" spans="1:26">
      <c r="A555" s="132"/>
      <c r="B555" s="132"/>
      <c r="C555" s="132"/>
      <c r="D555" s="132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Y555" s="110"/>
      <c r="Z555" s="110"/>
    </row>
    <row r="556" ht="14.25" customHeight="1" spans="1:26">
      <c r="A556" s="132"/>
      <c r="B556" s="132"/>
      <c r="C556" s="132"/>
      <c r="D556" s="132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Y556" s="110"/>
      <c r="Z556" s="110"/>
    </row>
    <row r="557" ht="14.25" customHeight="1" spans="1:26">
      <c r="A557" s="132"/>
      <c r="B557" s="132"/>
      <c r="C557" s="132"/>
      <c r="D557" s="132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Y557" s="110"/>
      <c r="Z557" s="110"/>
    </row>
    <row r="558" ht="14.25" customHeight="1" spans="1:26">
      <c r="A558" s="132"/>
      <c r="B558" s="132"/>
      <c r="C558" s="132"/>
      <c r="D558" s="132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Y558" s="110"/>
      <c r="Z558" s="110"/>
    </row>
    <row r="559" ht="14.25" customHeight="1" spans="1:26">
      <c r="A559" s="132"/>
      <c r="B559" s="132"/>
      <c r="C559" s="132"/>
      <c r="D559" s="132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Y559" s="110"/>
      <c r="Z559" s="110"/>
    </row>
    <row r="560" ht="14.25" customHeight="1" spans="1:26">
      <c r="A560" s="132"/>
      <c r="B560" s="132"/>
      <c r="C560" s="132"/>
      <c r="D560" s="132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Y560" s="110"/>
      <c r="Z560" s="110"/>
    </row>
    <row r="561" ht="14.25" customHeight="1" spans="1:26">
      <c r="A561" s="132"/>
      <c r="B561" s="132"/>
      <c r="C561" s="132"/>
      <c r="D561" s="132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Y561" s="110"/>
      <c r="Z561" s="110"/>
    </row>
    <row r="562" ht="14.25" customHeight="1" spans="1:26">
      <c r="A562" s="132"/>
      <c r="B562" s="132"/>
      <c r="C562" s="132"/>
      <c r="D562" s="132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Y562" s="110"/>
      <c r="Z562" s="110"/>
    </row>
    <row r="563" ht="14.25" customHeight="1" spans="1:26">
      <c r="A563" s="132"/>
      <c r="B563" s="132"/>
      <c r="C563" s="132"/>
      <c r="D563" s="132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Y563" s="110"/>
      <c r="Z563" s="110"/>
    </row>
    <row r="564" ht="14.25" customHeight="1" spans="1:26">
      <c r="A564" s="132"/>
      <c r="B564" s="132"/>
      <c r="C564" s="132"/>
      <c r="D564" s="132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Y564" s="110"/>
      <c r="Z564" s="110"/>
    </row>
    <row r="565" ht="14.25" customHeight="1" spans="1:26">
      <c r="A565" s="132"/>
      <c r="B565" s="132"/>
      <c r="C565" s="132"/>
      <c r="D565" s="132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Y565" s="110"/>
      <c r="Z565" s="110"/>
    </row>
    <row r="566" ht="14.25" customHeight="1" spans="1:26">
      <c r="A566" s="132"/>
      <c r="B566" s="132"/>
      <c r="C566" s="132"/>
      <c r="D566" s="132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Y566" s="110"/>
      <c r="Z566" s="110"/>
    </row>
    <row r="567" ht="14.25" customHeight="1" spans="1:26">
      <c r="A567" s="132"/>
      <c r="B567" s="132"/>
      <c r="C567" s="132"/>
      <c r="D567" s="132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Y567" s="110"/>
      <c r="Z567" s="110"/>
    </row>
    <row r="568" ht="14.25" customHeight="1" spans="1:26">
      <c r="A568" s="132"/>
      <c r="B568" s="132"/>
      <c r="C568" s="132"/>
      <c r="D568" s="132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Y568" s="110"/>
      <c r="Z568" s="110"/>
    </row>
    <row r="569" ht="14.25" customHeight="1" spans="1:26">
      <c r="A569" s="132"/>
      <c r="B569" s="132"/>
      <c r="C569" s="132"/>
      <c r="D569" s="132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Y569" s="110"/>
      <c r="Z569" s="110"/>
    </row>
    <row r="570" ht="14.25" customHeight="1" spans="1:26">
      <c r="A570" s="132"/>
      <c r="B570" s="132"/>
      <c r="C570" s="132"/>
      <c r="D570" s="132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Y570" s="110"/>
      <c r="Z570" s="110"/>
    </row>
    <row r="571" ht="14.25" customHeight="1" spans="1:26">
      <c r="A571" s="132"/>
      <c r="B571" s="132"/>
      <c r="C571" s="132"/>
      <c r="D571" s="132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Y571" s="110"/>
      <c r="Z571" s="110"/>
    </row>
    <row r="572" ht="14.25" customHeight="1" spans="1:26">
      <c r="A572" s="132"/>
      <c r="B572" s="132"/>
      <c r="C572" s="132"/>
      <c r="D572" s="132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Y572" s="110"/>
      <c r="Z572" s="110"/>
    </row>
    <row r="573" ht="14.25" customHeight="1" spans="1:26">
      <c r="A573" s="132"/>
      <c r="B573" s="132"/>
      <c r="C573" s="132"/>
      <c r="D573" s="132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Y573" s="110"/>
      <c r="Z573" s="110"/>
    </row>
    <row r="574" ht="14.25" customHeight="1" spans="1:26">
      <c r="A574" s="132"/>
      <c r="B574" s="132"/>
      <c r="C574" s="132"/>
      <c r="D574" s="132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Y574" s="110"/>
      <c r="Z574" s="110"/>
    </row>
    <row r="575" ht="14.25" customHeight="1" spans="1:26">
      <c r="A575" s="132"/>
      <c r="B575" s="132"/>
      <c r="C575" s="132"/>
      <c r="D575" s="132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Y575" s="110"/>
      <c r="Z575" s="110"/>
    </row>
    <row r="576" ht="14.25" customHeight="1" spans="1:26">
      <c r="A576" s="132"/>
      <c r="B576" s="132"/>
      <c r="C576" s="132"/>
      <c r="D576" s="132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Y576" s="110"/>
      <c r="Z576" s="110"/>
    </row>
    <row r="577" ht="14.25" customHeight="1" spans="1:26">
      <c r="A577" s="132"/>
      <c r="B577" s="132"/>
      <c r="C577" s="132"/>
      <c r="D577" s="132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Y577" s="110"/>
      <c r="Z577" s="110"/>
    </row>
    <row r="578" ht="14.25" customHeight="1" spans="1:26">
      <c r="A578" s="132"/>
      <c r="B578" s="132"/>
      <c r="C578" s="132"/>
      <c r="D578" s="132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Y578" s="110"/>
      <c r="Z578" s="110"/>
    </row>
    <row r="579" ht="14.25" customHeight="1" spans="1:26">
      <c r="A579" s="132"/>
      <c r="B579" s="132"/>
      <c r="C579" s="132"/>
      <c r="D579" s="132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Y579" s="110"/>
      <c r="Z579" s="110"/>
    </row>
    <row r="580" ht="14.25" customHeight="1" spans="1:26">
      <c r="A580" s="132"/>
      <c r="B580" s="132"/>
      <c r="C580" s="132"/>
      <c r="D580" s="132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Y580" s="110"/>
      <c r="Z580" s="110"/>
    </row>
    <row r="581" ht="14.25" customHeight="1" spans="1:26">
      <c r="A581" s="132"/>
      <c r="B581" s="132"/>
      <c r="C581" s="132"/>
      <c r="D581" s="132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Y581" s="110"/>
      <c r="Z581" s="110"/>
    </row>
    <row r="582" ht="14.25" customHeight="1" spans="1:26">
      <c r="A582" s="132"/>
      <c r="B582" s="132"/>
      <c r="C582" s="132"/>
      <c r="D582" s="132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Y582" s="110"/>
      <c r="Z582" s="110"/>
    </row>
    <row r="583" ht="14.25" customHeight="1" spans="1:26">
      <c r="A583" s="132"/>
      <c r="B583" s="132"/>
      <c r="C583" s="132"/>
      <c r="D583" s="132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Y583" s="110"/>
      <c r="Z583" s="110"/>
    </row>
    <row r="584" ht="14.25" customHeight="1" spans="1:26">
      <c r="A584" s="132"/>
      <c r="B584" s="132"/>
      <c r="C584" s="132"/>
      <c r="D584" s="132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Y584" s="110"/>
      <c r="Z584" s="110"/>
    </row>
    <row r="585" ht="14.25" customHeight="1" spans="1:26">
      <c r="A585" s="132"/>
      <c r="B585" s="132"/>
      <c r="C585" s="132"/>
      <c r="D585" s="132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Y585" s="110"/>
      <c r="Z585" s="110"/>
    </row>
    <row r="586" ht="14.25" customHeight="1" spans="1:26">
      <c r="A586" s="132"/>
      <c r="B586" s="132"/>
      <c r="C586" s="132"/>
      <c r="D586" s="132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Y586" s="110"/>
      <c r="Z586" s="110"/>
    </row>
    <row r="587" ht="14.25" customHeight="1" spans="1:26">
      <c r="A587" s="132"/>
      <c r="B587" s="132"/>
      <c r="C587" s="132"/>
      <c r="D587" s="132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Y587" s="110"/>
      <c r="Z587" s="110"/>
    </row>
    <row r="588" ht="14.25" customHeight="1" spans="1:26">
      <c r="A588" s="132"/>
      <c r="B588" s="132"/>
      <c r="C588" s="132"/>
      <c r="D588" s="132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Y588" s="110"/>
      <c r="Z588" s="110"/>
    </row>
    <row r="589" ht="14.25" customHeight="1" spans="1:26">
      <c r="A589" s="132"/>
      <c r="B589" s="132"/>
      <c r="C589" s="132"/>
      <c r="D589" s="132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Y589" s="110"/>
      <c r="Z589" s="110"/>
    </row>
    <row r="590" ht="14.25" customHeight="1" spans="1:26">
      <c r="A590" s="132"/>
      <c r="B590" s="132"/>
      <c r="C590" s="132"/>
      <c r="D590" s="132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Y590" s="110"/>
      <c r="Z590" s="110"/>
    </row>
    <row r="591" ht="14.25" customHeight="1" spans="1:26">
      <c r="A591" s="132"/>
      <c r="B591" s="132"/>
      <c r="C591" s="132"/>
      <c r="D591" s="132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Y591" s="110"/>
      <c r="Z591" s="110"/>
    </row>
    <row r="592" ht="14.25" customHeight="1" spans="1:26">
      <c r="A592" s="132"/>
      <c r="B592" s="132"/>
      <c r="C592" s="132"/>
      <c r="D592" s="132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Y592" s="110"/>
      <c r="Z592" s="110"/>
    </row>
    <row r="593" ht="14.25" customHeight="1" spans="1:26">
      <c r="A593" s="132"/>
      <c r="B593" s="132"/>
      <c r="C593" s="132"/>
      <c r="D593" s="132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Y593" s="110"/>
      <c r="Z593" s="110"/>
    </row>
    <row r="594" ht="14.25" customHeight="1" spans="1:26">
      <c r="A594" s="132"/>
      <c r="B594" s="132"/>
      <c r="C594" s="132"/>
      <c r="D594" s="132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Y594" s="110"/>
      <c r="Z594" s="110"/>
    </row>
    <row r="595" ht="14.25" customHeight="1" spans="1:26">
      <c r="A595" s="132"/>
      <c r="B595" s="132"/>
      <c r="C595" s="132"/>
      <c r="D595" s="132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Y595" s="110"/>
      <c r="Z595" s="110"/>
    </row>
    <row r="596" ht="14.25" customHeight="1" spans="1:26">
      <c r="A596" s="132"/>
      <c r="B596" s="132"/>
      <c r="C596" s="132"/>
      <c r="D596" s="132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Y596" s="110"/>
      <c r="Z596" s="110"/>
    </row>
    <row r="597" ht="14.25" customHeight="1" spans="1:26">
      <c r="A597" s="132"/>
      <c r="B597" s="132"/>
      <c r="C597" s="132"/>
      <c r="D597" s="132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Y597" s="110"/>
      <c r="Z597" s="110"/>
    </row>
    <row r="598" ht="14.25" customHeight="1" spans="1:26">
      <c r="A598" s="132"/>
      <c r="B598" s="132"/>
      <c r="C598" s="132"/>
      <c r="D598" s="132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Y598" s="110"/>
      <c r="Z598" s="110"/>
    </row>
    <row r="599" ht="14.25" customHeight="1" spans="1:26">
      <c r="A599" s="132"/>
      <c r="B599" s="132"/>
      <c r="C599" s="132"/>
      <c r="D599" s="132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Y599" s="110"/>
      <c r="Z599" s="110"/>
    </row>
    <row r="600" ht="14.25" customHeight="1" spans="1:26">
      <c r="A600" s="132"/>
      <c r="B600" s="132"/>
      <c r="C600" s="132"/>
      <c r="D600" s="132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Y600" s="110"/>
      <c r="Z600" s="110"/>
    </row>
    <row r="601" ht="14.25" customHeight="1" spans="1:26">
      <c r="A601" s="132"/>
      <c r="B601" s="132"/>
      <c r="C601" s="132"/>
      <c r="D601" s="132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Y601" s="110"/>
      <c r="Z601" s="110"/>
    </row>
    <row r="602" ht="14.25" customHeight="1" spans="1:26">
      <c r="A602" s="132"/>
      <c r="B602" s="132"/>
      <c r="C602" s="132"/>
      <c r="D602" s="132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Y602" s="110"/>
      <c r="Z602" s="110"/>
    </row>
    <row r="603" ht="14.25" customHeight="1" spans="1:26">
      <c r="A603" s="132"/>
      <c r="B603" s="132"/>
      <c r="C603" s="132"/>
      <c r="D603" s="132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Y603" s="110"/>
      <c r="Z603" s="110"/>
    </row>
    <row r="604" ht="14.25" customHeight="1" spans="1:26">
      <c r="A604" s="132"/>
      <c r="B604" s="132"/>
      <c r="C604" s="132"/>
      <c r="D604" s="132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Y604" s="110"/>
      <c r="Z604" s="110"/>
    </row>
    <row r="605" ht="14.25" customHeight="1" spans="1:26">
      <c r="A605" s="132"/>
      <c r="B605" s="132"/>
      <c r="C605" s="132"/>
      <c r="D605" s="132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Y605" s="110"/>
      <c r="Z605" s="110"/>
    </row>
    <row r="606" ht="14.25" customHeight="1" spans="1:26">
      <c r="A606" s="132"/>
      <c r="B606" s="132"/>
      <c r="C606" s="132"/>
      <c r="D606" s="132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Y606" s="110"/>
      <c r="Z606" s="110"/>
    </row>
    <row r="607" ht="14.25" customHeight="1" spans="1:26">
      <c r="A607" s="132"/>
      <c r="B607" s="132"/>
      <c r="C607" s="132"/>
      <c r="D607" s="132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Y607" s="110"/>
      <c r="Z607" s="110"/>
    </row>
    <row r="608" ht="14.25" customHeight="1" spans="1:26">
      <c r="A608" s="132"/>
      <c r="B608" s="132"/>
      <c r="C608" s="132"/>
      <c r="D608" s="132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Y608" s="110"/>
      <c r="Z608" s="110"/>
    </row>
    <row r="609" ht="14.25" customHeight="1" spans="1:26">
      <c r="A609" s="132"/>
      <c r="B609" s="132"/>
      <c r="C609" s="132"/>
      <c r="D609" s="132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Y609" s="110"/>
      <c r="Z609" s="110"/>
    </row>
    <row r="610" ht="14.25" customHeight="1" spans="1:26">
      <c r="A610" s="132"/>
      <c r="B610" s="132"/>
      <c r="C610" s="132"/>
      <c r="D610" s="132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Y610" s="110"/>
      <c r="Z610" s="110"/>
    </row>
    <row r="611" ht="14.25" customHeight="1" spans="1:26">
      <c r="A611" s="132"/>
      <c r="B611" s="132"/>
      <c r="C611" s="132"/>
      <c r="D611" s="132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Y611" s="110"/>
      <c r="Z611" s="110"/>
    </row>
    <row r="612" ht="14.25" customHeight="1" spans="1:26">
      <c r="A612" s="132"/>
      <c r="B612" s="132"/>
      <c r="C612" s="132"/>
      <c r="D612" s="132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Y612" s="110"/>
      <c r="Z612" s="110"/>
    </row>
    <row r="613" ht="14.25" customHeight="1" spans="1:26">
      <c r="A613" s="132"/>
      <c r="B613" s="132"/>
      <c r="C613" s="132"/>
      <c r="D613" s="132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Y613" s="110"/>
      <c r="Z613" s="110"/>
    </row>
    <row r="614" ht="14.25" customHeight="1" spans="1:26">
      <c r="A614" s="132"/>
      <c r="B614" s="132"/>
      <c r="C614" s="132"/>
      <c r="D614" s="132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Y614" s="110"/>
      <c r="Z614" s="110"/>
    </row>
    <row r="615" ht="14.25" customHeight="1" spans="1:26">
      <c r="A615" s="132"/>
      <c r="B615" s="132"/>
      <c r="C615" s="132"/>
      <c r="D615" s="132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Y615" s="110"/>
      <c r="Z615" s="110"/>
    </row>
    <row r="616" ht="14.25" customHeight="1" spans="1:26">
      <c r="A616" s="132"/>
      <c r="B616" s="132"/>
      <c r="C616" s="132"/>
      <c r="D616" s="132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Y616" s="110"/>
      <c r="Z616" s="110"/>
    </row>
    <row r="617" ht="14.25" customHeight="1" spans="1:26">
      <c r="A617" s="132"/>
      <c r="B617" s="132"/>
      <c r="C617" s="132"/>
      <c r="D617" s="132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Y617" s="110"/>
      <c r="Z617" s="110"/>
    </row>
    <row r="618" ht="14.25" customHeight="1" spans="1:26">
      <c r="A618" s="132"/>
      <c r="B618" s="132"/>
      <c r="C618" s="132"/>
      <c r="D618" s="132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Y618" s="110"/>
      <c r="Z618" s="110"/>
    </row>
    <row r="619" ht="14.25" customHeight="1" spans="1:26">
      <c r="A619" s="132"/>
      <c r="B619" s="132"/>
      <c r="C619" s="132"/>
      <c r="D619" s="132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Y619" s="110"/>
      <c r="Z619" s="110"/>
    </row>
    <row r="620" ht="14.25" customHeight="1" spans="1:26">
      <c r="A620" s="132"/>
      <c r="B620" s="132"/>
      <c r="C620" s="132"/>
      <c r="D620" s="132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Y620" s="110"/>
      <c r="Z620" s="110"/>
    </row>
    <row r="621" ht="14.25" customHeight="1" spans="1:26">
      <c r="A621" s="132"/>
      <c r="B621" s="132"/>
      <c r="C621" s="132"/>
      <c r="D621" s="132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Y621" s="110"/>
      <c r="Z621" s="110"/>
    </row>
    <row r="622" ht="14.25" customHeight="1" spans="1:26">
      <c r="A622" s="132"/>
      <c r="B622" s="132"/>
      <c r="C622" s="132"/>
      <c r="D622" s="132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Y622" s="110"/>
      <c r="Z622" s="110"/>
    </row>
    <row r="623" ht="14.25" customHeight="1" spans="1:26">
      <c r="A623" s="132"/>
      <c r="B623" s="132"/>
      <c r="C623" s="132"/>
      <c r="D623" s="132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Y623" s="110"/>
      <c r="Z623" s="110"/>
    </row>
    <row r="624" ht="14.25" customHeight="1" spans="1:26">
      <c r="A624" s="132"/>
      <c r="B624" s="132"/>
      <c r="C624" s="132"/>
      <c r="D624" s="132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Y624" s="110"/>
      <c r="Z624" s="110"/>
    </row>
    <row r="625" ht="14.25" customHeight="1" spans="1:26">
      <c r="A625" s="132"/>
      <c r="B625" s="132"/>
      <c r="C625" s="132"/>
      <c r="D625" s="132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Y625" s="110"/>
      <c r="Z625" s="110"/>
    </row>
    <row r="626" ht="14.25" customHeight="1" spans="1:26">
      <c r="A626" s="132"/>
      <c r="B626" s="132"/>
      <c r="C626" s="132"/>
      <c r="D626" s="132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Y626" s="110"/>
      <c r="Z626" s="110"/>
    </row>
    <row r="627" ht="14.25" customHeight="1" spans="1:26">
      <c r="A627" s="132"/>
      <c r="B627" s="132"/>
      <c r="C627" s="132"/>
      <c r="D627" s="132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Y627" s="110"/>
      <c r="Z627" s="110"/>
    </row>
    <row r="628" ht="14.25" customHeight="1" spans="1:26">
      <c r="A628" s="132"/>
      <c r="B628" s="132"/>
      <c r="C628" s="132"/>
      <c r="D628" s="132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Y628" s="110"/>
      <c r="Z628" s="110"/>
    </row>
    <row r="629" ht="14.25" customHeight="1" spans="1:26">
      <c r="A629" s="132"/>
      <c r="B629" s="132"/>
      <c r="C629" s="132"/>
      <c r="D629" s="132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Y629" s="110"/>
      <c r="Z629" s="110"/>
    </row>
    <row r="630" ht="14.25" customHeight="1" spans="1:26">
      <c r="A630" s="132"/>
      <c r="B630" s="132"/>
      <c r="C630" s="132"/>
      <c r="D630" s="132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Y630" s="110"/>
      <c r="Z630" s="110"/>
    </row>
    <row r="631" ht="14.25" customHeight="1" spans="1:26">
      <c r="A631" s="132"/>
      <c r="B631" s="132"/>
      <c r="C631" s="132"/>
      <c r="D631" s="132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Y631" s="110"/>
      <c r="Z631" s="110"/>
    </row>
    <row r="632" ht="14.25" customHeight="1" spans="1:26">
      <c r="A632" s="132"/>
      <c r="B632" s="132"/>
      <c r="C632" s="132"/>
      <c r="D632" s="132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Y632" s="110"/>
      <c r="Z632" s="110"/>
    </row>
    <row r="633" ht="14.25" customHeight="1" spans="1:26">
      <c r="A633" s="132"/>
      <c r="B633" s="132"/>
      <c r="C633" s="132"/>
      <c r="D633" s="132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Y633" s="110"/>
      <c r="Z633" s="110"/>
    </row>
    <row r="634" ht="14.25" customHeight="1" spans="1:26">
      <c r="A634" s="132"/>
      <c r="B634" s="132"/>
      <c r="C634" s="132"/>
      <c r="D634" s="132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Y634" s="110"/>
      <c r="Z634" s="110"/>
    </row>
    <row r="635" ht="14.25" customHeight="1" spans="1:26">
      <c r="A635" s="132"/>
      <c r="B635" s="132"/>
      <c r="C635" s="132"/>
      <c r="D635" s="132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Y635" s="110"/>
      <c r="Z635" s="110"/>
    </row>
    <row r="636" ht="14.25" customHeight="1" spans="1:26">
      <c r="A636" s="132"/>
      <c r="B636" s="132"/>
      <c r="C636" s="132"/>
      <c r="D636" s="132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Y636" s="110"/>
      <c r="Z636" s="110"/>
    </row>
    <row r="637" ht="14.25" customHeight="1" spans="1:26">
      <c r="A637" s="132"/>
      <c r="B637" s="132"/>
      <c r="C637" s="132"/>
      <c r="D637" s="132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Y637" s="110"/>
      <c r="Z637" s="110"/>
    </row>
    <row r="638" ht="14.25" customHeight="1" spans="1:26">
      <c r="A638" s="132"/>
      <c r="B638" s="132"/>
      <c r="C638" s="132"/>
      <c r="D638" s="132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Y638" s="110"/>
      <c r="Z638" s="110"/>
    </row>
    <row r="639" ht="14.25" customHeight="1" spans="1:26">
      <c r="A639" s="132"/>
      <c r="B639" s="132"/>
      <c r="C639" s="132"/>
      <c r="D639" s="132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Y639" s="110"/>
      <c r="Z639" s="110"/>
    </row>
    <row r="640" ht="14.25" customHeight="1" spans="1:26">
      <c r="A640" s="132"/>
      <c r="B640" s="132"/>
      <c r="C640" s="132"/>
      <c r="D640" s="132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Y640" s="110"/>
      <c r="Z640" s="110"/>
    </row>
    <row r="641" ht="14.25" customHeight="1" spans="1:26">
      <c r="A641" s="132"/>
      <c r="B641" s="132"/>
      <c r="C641" s="132"/>
      <c r="D641" s="132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Y641" s="110"/>
      <c r="Z641" s="110"/>
    </row>
    <row r="642" ht="14.25" customHeight="1" spans="1:26">
      <c r="A642" s="132"/>
      <c r="B642" s="132"/>
      <c r="C642" s="132"/>
      <c r="D642" s="132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Y642" s="110"/>
      <c r="Z642" s="110"/>
    </row>
    <row r="643" ht="14.25" customHeight="1" spans="1:26">
      <c r="A643" s="132"/>
      <c r="B643" s="132"/>
      <c r="C643" s="132"/>
      <c r="D643" s="132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Y643" s="110"/>
      <c r="Z643" s="110"/>
    </row>
    <row r="644" ht="14.25" customHeight="1" spans="1:26">
      <c r="A644" s="132"/>
      <c r="B644" s="132"/>
      <c r="C644" s="132"/>
      <c r="D644" s="132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Y644" s="110"/>
      <c r="Z644" s="110"/>
    </row>
    <row r="645" ht="14.25" customHeight="1" spans="1:26">
      <c r="A645" s="132"/>
      <c r="B645" s="132"/>
      <c r="C645" s="132"/>
      <c r="D645" s="132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Y645" s="110"/>
      <c r="Z645" s="110"/>
    </row>
    <row r="646" ht="14.25" customHeight="1" spans="1:26">
      <c r="A646" s="132"/>
      <c r="B646" s="132"/>
      <c r="C646" s="132"/>
      <c r="D646" s="132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Y646" s="110"/>
      <c r="Z646" s="110"/>
    </row>
    <row r="647" ht="14.25" customHeight="1" spans="1:26">
      <c r="A647" s="132"/>
      <c r="B647" s="132"/>
      <c r="C647" s="132"/>
      <c r="D647" s="132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Y647" s="110"/>
      <c r="Z647" s="110"/>
    </row>
    <row r="648" ht="14.25" customHeight="1" spans="1:26">
      <c r="A648" s="132"/>
      <c r="B648" s="132"/>
      <c r="C648" s="132"/>
      <c r="D648" s="132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Y648" s="110"/>
      <c r="Z648" s="110"/>
    </row>
    <row r="649" ht="14.25" customHeight="1" spans="1:26">
      <c r="A649" s="132"/>
      <c r="B649" s="132"/>
      <c r="C649" s="132"/>
      <c r="D649" s="132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Y649" s="110"/>
      <c r="Z649" s="110"/>
    </row>
    <row r="650" ht="14.25" customHeight="1" spans="1:26">
      <c r="A650" s="132"/>
      <c r="B650" s="132"/>
      <c r="C650" s="132"/>
      <c r="D650" s="132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Y650" s="110"/>
      <c r="Z650" s="110"/>
    </row>
    <row r="651" ht="14.25" customHeight="1" spans="1:26">
      <c r="A651" s="132"/>
      <c r="B651" s="132"/>
      <c r="C651" s="132"/>
      <c r="D651" s="132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Y651" s="110"/>
      <c r="Z651" s="110"/>
    </row>
    <row r="652" ht="14.25" customHeight="1" spans="1:26">
      <c r="A652" s="132"/>
      <c r="B652" s="132"/>
      <c r="C652" s="132"/>
      <c r="D652" s="132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Y652" s="110"/>
      <c r="Z652" s="110"/>
    </row>
    <row r="653" ht="14.25" customHeight="1" spans="1:26">
      <c r="A653" s="132"/>
      <c r="B653" s="132"/>
      <c r="C653" s="132"/>
      <c r="D653" s="132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Y653" s="110"/>
      <c r="Z653" s="110"/>
    </row>
    <row r="654" ht="14.25" customHeight="1" spans="1:26">
      <c r="A654" s="132"/>
      <c r="B654" s="132"/>
      <c r="C654" s="132"/>
      <c r="D654" s="132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Y654" s="110"/>
      <c r="Z654" s="110"/>
    </row>
    <row r="655" ht="14.25" customHeight="1" spans="1:26">
      <c r="A655" s="132"/>
      <c r="B655" s="132"/>
      <c r="C655" s="132"/>
      <c r="D655" s="132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Y655" s="110"/>
      <c r="Z655" s="110"/>
    </row>
    <row r="656" ht="14.25" customHeight="1" spans="1:26">
      <c r="A656" s="132"/>
      <c r="B656" s="132"/>
      <c r="C656" s="132"/>
      <c r="D656" s="132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Y656" s="110"/>
      <c r="Z656" s="110"/>
    </row>
    <row r="657" ht="14.25" customHeight="1" spans="1:26">
      <c r="A657" s="132"/>
      <c r="B657" s="132"/>
      <c r="C657" s="132"/>
      <c r="D657" s="132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Y657" s="110"/>
      <c r="Z657" s="110"/>
    </row>
    <row r="658" ht="14.25" customHeight="1" spans="1:26">
      <c r="A658" s="132"/>
      <c r="B658" s="132"/>
      <c r="C658" s="132"/>
      <c r="D658" s="132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Y658" s="110"/>
      <c r="Z658" s="110"/>
    </row>
    <row r="659" ht="14.25" customHeight="1" spans="1:26">
      <c r="A659" s="132"/>
      <c r="B659" s="132"/>
      <c r="C659" s="132"/>
      <c r="D659" s="132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Y659" s="110"/>
      <c r="Z659" s="110"/>
    </row>
    <row r="660" ht="14.25" customHeight="1" spans="1:26">
      <c r="A660" s="132"/>
      <c r="B660" s="132"/>
      <c r="C660" s="132"/>
      <c r="D660" s="132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Y660" s="110"/>
      <c r="Z660" s="110"/>
    </row>
    <row r="661" ht="14.25" customHeight="1" spans="1:26">
      <c r="A661" s="132"/>
      <c r="B661" s="132"/>
      <c r="C661" s="132"/>
      <c r="D661" s="132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Y661" s="110"/>
      <c r="Z661" s="110"/>
    </row>
    <row r="662" ht="14.25" customHeight="1" spans="1:26">
      <c r="A662" s="132"/>
      <c r="B662" s="132"/>
      <c r="C662" s="132"/>
      <c r="D662" s="132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Y662" s="110"/>
      <c r="Z662" s="110"/>
    </row>
    <row r="663" ht="14.25" customHeight="1" spans="1:26">
      <c r="A663" s="132"/>
      <c r="B663" s="132"/>
      <c r="C663" s="132"/>
      <c r="D663" s="132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Y663" s="110"/>
      <c r="Z663" s="110"/>
    </row>
    <row r="664" ht="14.25" customHeight="1" spans="1:26">
      <c r="A664" s="132"/>
      <c r="B664" s="132"/>
      <c r="C664" s="132"/>
      <c r="D664" s="132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Y664" s="110"/>
      <c r="Z664" s="110"/>
    </row>
    <row r="665" ht="14.25" customHeight="1" spans="1:26">
      <c r="A665" s="132"/>
      <c r="B665" s="132"/>
      <c r="C665" s="132"/>
      <c r="D665" s="132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Y665" s="110"/>
      <c r="Z665" s="110"/>
    </row>
    <row r="666" ht="14.25" customHeight="1" spans="1:26">
      <c r="A666" s="132"/>
      <c r="B666" s="132"/>
      <c r="C666" s="132"/>
      <c r="D666" s="132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Y666" s="110"/>
      <c r="Z666" s="110"/>
    </row>
    <row r="667" ht="14.25" customHeight="1" spans="1:26">
      <c r="A667" s="132"/>
      <c r="B667" s="132"/>
      <c r="C667" s="132"/>
      <c r="D667" s="132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Y667" s="110"/>
      <c r="Z667" s="110"/>
    </row>
    <row r="668" ht="14.25" customHeight="1" spans="1:26">
      <c r="A668" s="132"/>
      <c r="B668" s="132"/>
      <c r="C668" s="132"/>
      <c r="D668" s="132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Y668" s="110"/>
      <c r="Z668" s="110"/>
    </row>
    <row r="669" ht="14.25" customHeight="1" spans="1:26">
      <c r="A669" s="132"/>
      <c r="B669" s="132"/>
      <c r="C669" s="132"/>
      <c r="D669" s="132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Y669" s="110"/>
      <c r="Z669" s="110"/>
    </row>
    <row r="670" ht="14.25" customHeight="1" spans="1:26">
      <c r="A670" s="132"/>
      <c r="B670" s="132"/>
      <c r="C670" s="132"/>
      <c r="D670" s="132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Y670" s="110"/>
      <c r="Z670" s="110"/>
    </row>
    <row r="671" ht="14.25" customHeight="1" spans="1:26">
      <c r="A671" s="132"/>
      <c r="B671" s="132"/>
      <c r="C671" s="132"/>
      <c r="D671" s="132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Y671" s="110"/>
      <c r="Z671" s="110"/>
    </row>
    <row r="672" ht="14.25" customHeight="1" spans="1:26">
      <c r="A672" s="132"/>
      <c r="B672" s="132"/>
      <c r="C672" s="132"/>
      <c r="D672" s="132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Y672" s="110"/>
      <c r="Z672" s="110"/>
    </row>
    <row r="673" ht="14.25" customHeight="1" spans="1:26">
      <c r="A673" s="132"/>
      <c r="B673" s="132"/>
      <c r="C673" s="132"/>
      <c r="D673" s="132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Y673" s="110"/>
      <c r="Z673" s="110"/>
    </row>
    <row r="674" ht="14.25" customHeight="1" spans="1:26">
      <c r="A674" s="132"/>
      <c r="B674" s="132"/>
      <c r="C674" s="132"/>
      <c r="D674" s="132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Y674" s="110"/>
      <c r="Z674" s="110"/>
    </row>
    <row r="675" ht="14.25" customHeight="1" spans="1:26">
      <c r="A675" s="132"/>
      <c r="B675" s="132"/>
      <c r="C675" s="132"/>
      <c r="D675" s="132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Y675" s="110"/>
      <c r="Z675" s="110"/>
    </row>
    <row r="676" ht="14.25" customHeight="1" spans="1:26">
      <c r="A676" s="132"/>
      <c r="B676" s="132"/>
      <c r="C676" s="132"/>
      <c r="D676" s="132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Y676" s="110"/>
      <c r="Z676" s="110"/>
    </row>
    <row r="677" ht="14.25" customHeight="1" spans="1:26">
      <c r="A677" s="132"/>
      <c r="B677" s="132"/>
      <c r="C677" s="132"/>
      <c r="D677" s="132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Y677" s="110"/>
      <c r="Z677" s="110"/>
    </row>
    <row r="678" ht="14.25" customHeight="1" spans="1:26">
      <c r="A678" s="132"/>
      <c r="B678" s="132"/>
      <c r="C678" s="132"/>
      <c r="D678" s="132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Y678" s="110"/>
      <c r="Z678" s="110"/>
    </row>
    <row r="679" ht="14.25" customHeight="1" spans="1:26">
      <c r="A679" s="132"/>
      <c r="B679" s="132"/>
      <c r="C679" s="132"/>
      <c r="D679" s="132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Y679" s="110"/>
      <c r="Z679" s="110"/>
    </row>
    <row r="680" ht="14.25" customHeight="1" spans="1:26">
      <c r="A680" s="132"/>
      <c r="B680" s="132"/>
      <c r="C680" s="132"/>
      <c r="D680" s="132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Y680" s="110"/>
      <c r="Z680" s="110"/>
    </row>
    <row r="681" ht="14.25" customHeight="1" spans="1:26">
      <c r="A681" s="132"/>
      <c r="B681" s="132"/>
      <c r="C681" s="132"/>
      <c r="D681" s="132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Y681" s="110"/>
      <c r="Z681" s="110"/>
    </row>
    <row r="682" ht="14.25" customHeight="1" spans="1:26">
      <c r="A682" s="132"/>
      <c r="B682" s="132"/>
      <c r="C682" s="132"/>
      <c r="D682" s="132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Y682" s="110"/>
      <c r="Z682" s="110"/>
    </row>
    <row r="683" ht="14.25" customHeight="1" spans="1:26">
      <c r="A683" s="132"/>
      <c r="B683" s="132"/>
      <c r="C683" s="132"/>
      <c r="D683" s="132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Y683" s="110"/>
      <c r="Z683" s="110"/>
    </row>
    <row r="684" ht="14.25" customHeight="1" spans="1:26">
      <c r="A684" s="132"/>
      <c r="B684" s="132"/>
      <c r="C684" s="132"/>
      <c r="D684" s="132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Y684" s="110"/>
      <c r="Z684" s="110"/>
    </row>
    <row r="685" ht="14.25" customHeight="1" spans="1:26">
      <c r="A685" s="132"/>
      <c r="B685" s="132"/>
      <c r="C685" s="132"/>
      <c r="D685" s="132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Y685" s="110"/>
      <c r="Z685" s="110"/>
    </row>
    <row r="686" ht="14.25" customHeight="1" spans="1:26">
      <c r="A686" s="132"/>
      <c r="B686" s="132"/>
      <c r="C686" s="132"/>
      <c r="D686" s="132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Y686" s="110"/>
      <c r="Z686" s="110"/>
    </row>
    <row r="687" ht="14.25" customHeight="1" spans="1:26">
      <c r="A687" s="132"/>
      <c r="B687" s="132"/>
      <c r="C687" s="132"/>
      <c r="D687" s="132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Y687" s="110"/>
      <c r="Z687" s="110"/>
    </row>
    <row r="688" ht="14.25" customHeight="1" spans="1:26">
      <c r="A688" s="132"/>
      <c r="B688" s="132"/>
      <c r="C688" s="132"/>
      <c r="D688" s="132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Y688" s="110"/>
      <c r="Z688" s="110"/>
    </row>
    <row r="689" ht="14.25" customHeight="1" spans="1:26">
      <c r="A689" s="132"/>
      <c r="B689" s="132"/>
      <c r="C689" s="132"/>
      <c r="D689" s="132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Y689" s="110"/>
      <c r="Z689" s="110"/>
    </row>
    <row r="690" ht="14.25" customHeight="1" spans="1:26">
      <c r="A690" s="132"/>
      <c r="B690" s="132"/>
      <c r="C690" s="132"/>
      <c r="D690" s="132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Y690" s="110"/>
      <c r="Z690" s="110"/>
    </row>
    <row r="691" ht="14.25" customHeight="1" spans="1:26">
      <c r="A691" s="132"/>
      <c r="B691" s="132"/>
      <c r="C691" s="132"/>
      <c r="D691" s="132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Y691" s="110"/>
      <c r="Z691" s="110"/>
    </row>
    <row r="692" ht="14.25" customHeight="1" spans="1:26">
      <c r="A692" s="132"/>
      <c r="B692" s="132"/>
      <c r="C692" s="132"/>
      <c r="D692" s="132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Y692" s="110"/>
      <c r="Z692" s="110"/>
    </row>
    <row r="693" ht="14.25" customHeight="1" spans="1:26">
      <c r="A693" s="132"/>
      <c r="B693" s="132"/>
      <c r="C693" s="132"/>
      <c r="D693" s="132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Y693" s="110"/>
      <c r="Z693" s="110"/>
    </row>
    <row r="694" ht="14.25" customHeight="1" spans="1:26">
      <c r="A694" s="132"/>
      <c r="B694" s="132"/>
      <c r="C694" s="132"/>
      <c r="D694" s="132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Y694" s="110"/>
      <c r="Z694" s="110"/>
    </row>
    <row r="695" ht="14.25" customHeight="1" spans="1:26">
      <c r="A695" s="132"/>
      <c r="B695" s="132"/>
      <c r="C695" s="132"/>
      <c r="D695" s="132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Y695" s="110"/>
      <c r="Z695" s="110"/>
    </row>
    <row r="696" ht="14.25" customHeight="1" spans="1:26">
      <c r="A696" s="132"/>
      <c r="B696" s="132"/>
      <c r="C696" s="132"/>
      <c r="D696" s="132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Y696" s="110"/>
      <c r="Z696" s="110"/>
    </row>
    <row r="697" ht="14.25" customHeight="1" spans="1:26">
      <c r="A697" s="132"/>
      <c r="B697" s="132"/>
      <c r="C697" s="132"/>
      <c r="D697" s="132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Y697" s="110"/>
      <c r="Z697" s="110"/>
    </row>
    <row r="698" ht="14.25" customHeight="1" spans="1:26">
      <c r="A698" s="132"/>
      <c r="B698" s="132"/>
      <c r="C698" s="132"/>
      <c r="D698" s="132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Y698" s="110"/>
      <c r="Z698" s="110"/>
    </row>
    <row r="699" ht="14.25" customHeight="1" spans="1:26">
      <c r="A699" s="132"/>
      <c r="B699" s="132"/>
      <c r="C699" s="132"/>
      <c r="D699" s="132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Y699" s="110"/>
      <c r="Z699" s="110"/>
    </row>
    <row r="700" ht="14.25" customHeight="1" spans="1:26">
      <c r="A700" s="132"/>
      <c r="B700" s="132"/>
      <c r="C700" s="132"/>
      <c r="D700" s="132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Y700" s="110"/>
      <c r="Z700" s="110"/>
    </row>
    <row r="701" ht="14.25" customHeight="1" spans="1:26">
      <c r="A701" s="132"/>
      <c r="B701" s="132"/>
      <c r="C701" s="132"/>
      <c r="D701" s="132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Y701" s="110"/>
      <c r="Z701" s="110"/>
    </row>
    <row r="702" ht="14.25" customHeight="1" spans="1:26">
      <c r="A702" s="132"/>
      <c r="B702" s="132"/>
      <c r="C702" s="132"/>
      <c r="D702" s="132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Y702" s="110"/>
      <c r="Z702" s="110"/>
    </row>
    <row r="703" ht="14.25" customHeight="1" spans="1:26">
      <c r="A703" s="132"/>
      <c r="B703" s="132"/>
      <c r="C703" s="132"/>
      <c r="D703" s="132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Y703" s="110"/>
      <c r="Z703" s="110"/>
    </row>
    <row r="704" ht="14.25" customHeight="1" spans="1:26">
      <c r="A704" s="132"/>
      <c r="B704" s="132"/>
      <c r="C704" s="132"/>
      <c r="D704" s="132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Y704" s="110"/>
      <c r="Z704" s="110"/>
    </row>
    <row r="705" ht="14.25" customHeight="1" spans="1:26">
      <c r="A705" s="132"/>
      <c r="B705" s="132"/>
      <c r="C705" s="132"/>
      <c r="D705" s="132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Y705" s="110"/>
      <c r="Z705" s="110"/>
    </row>
    <row r="706" ht="14.25" customHeight="1" spans="1:26">
      <c r="A706" s="132"/>
      <c r="B706" s="132"/>
      <c r="C706" s="132"/>
      <c r="D706" s="132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Y706" s="110"/>
      <c r="Z706" s="110"/>
    </row>
    <row r="707" ht="14.25" customHeight="1" spans="1:26">
      <c r="A707" s="132"/>
      <c r="B707" s="132"/>
      <c r="C707" s="132"/>
      <c r="D707" s="132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Y707" s="110"/>
      <c r="Z707" s="110"/>
    </row>
    <row r="708" ht="14.25" customHeight="1" spans="1:26">
      <c r="A708" s="132"/>
      <c r="B708" s="132"/>
      <c r="C708" s="132"/>
      <c r="D708" s="132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Y708" s="110"/>
      <c r="Z708" s="110"/>
    </row>
    <row r="709" ht="14.25" customHeight="1" spans="1:26">
      <c r="A709" s="132"/>
      <c r="B709" s="132"/>
      <c r="C709" s="132"/>
      <c r="D709" s="132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Y709" s="110"/>
      <c r="Z709" s="110"/>
    </row>
    <row r="710" ht="14.25" customHeight="1" spans="1:26">
      <c r="A710" s="132"/>
      <c r="B710" s="132"/>
      <c r="C710" s="132"/>
      <c r="D710" s="132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Y710" s="110"/>
      <c r="Z710" s="110"/>
    </row>
    <row r="711" ht="14.25" customHeight="1" spans="1:26">
      <c r="A711" s="132"/>
      <c r="B711" s="132"/>
      <c r="C711" s="132"/>
      <c r="D711" s="132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Y711" s="110"/>
      <c r="Z711" s="110"/>
    </row>
    <row r="712" ht="14.25" customHeight="1" spans="1:26">
      <c r="A712" s="132"/>
      <c r="B712" s="132"/>
      <c r="C712" s="132"/>
      <c r="D712" s="132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Y712" s="110"/>
      <c r="Z712" s="110"/>
    </row>
    <row r="713" ht="14.25" customHeight="1" spans="1:26">
      <c r="A713" s="132"/>
      <c r="B713" s="132"/>
      <c r="C713" s="132"/>
      <c r="D713" s="132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Y713" s="110"/>
      <c r="Z713" s="110"/>
    </row>
    <row r="714" ht="14.25" customHeight="1" spans="1:26">
      <c r="A714" s="132"/>
      <c r="B714" s="132"/>
      <c r="C714" s="132"/>
      <c r="D714" s="132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Y714" s="110"/>
      <c r="Z714" s="110"/>
    </row>
    <row r="715" ht="14.25" customHeight="1" spans="1:26">
      <c r="A715" s="132"/>
      <c r="B715" s="132"/>
      <c r="C715" s="132"/>
      <c r="D715" s="132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Y715" s="110"/>
      <c r="Z715" s="110"/>
    </row>
    <row r="716" ht="14.25" customHeight="1" spans="1:26">
      <c r="A716" s="132"/>
      <c r="B716" s="132"/>
      <c r="C716" s="132"/>
      <c r="D716" s="132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Y716" s="110"/>
      <c r="Z716" s="110"/>
    </row>
    <row r="717" ht="14.25" customHeight="1" spans="1:26">
      <c r="A717" s="132"/>
      <c r="B717" s="132"/>
      <c r="C717" s="132"/>
      <c r="D717" s="132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Y717" s="110"/>
      <c r="Z717" s="110"/>
    </row>
    <row r="718" ht="14.25" customHeight="1" spans="1:26">
      <c r="A718" s="132"/>
      <c r="B718" s="132"/>
      <c r="C718" s="132"/>
      <c r="D718" s="132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Y718" s="110"/>
      <c r="Z718" s="110"/>
    </row>
    <row r="719" ht="14.25" customHeight="1" spans="1:26">
      <c r="A719" s="132"/>
      <c r="B719" s="132"/>
      <c r="C719" s="132"/>
      <c r="D719" s="132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Y719" s="110"/>
      <c r="Z719" s="110"/>
    </row>
    <row r="720" ht="14.25" customHeight="1" spans="1:26">
      <c r="A720" s="132"/>
      <c r="B720" s="132"/>
      <c r="C720" s="132"/>
      <c r="D720" s="132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Y720" s="110"/>
      <c r="Z720" s="110"/>
    </row>
    <row r="721" ht="14.25" customHeight="1" spans="1:26">
      <c r="A721" s="132"/>
      <c r="B721" s="132"/>
      <c r="C721" s="132"/>
      <c r="D721" s="132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Y721" s="110"/>
      <c r="Z721" s="110"/>
    </row>
    <row r="722" ht="14.25" customHeight="1" spans="1:26">
      <c r="A722" s="132"/>
      <c r="B722" s="132"/>
      <c r="C722" s="132"/>
      <c r="D722" s="132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Y722" s="110"/>
      <c r="Z722" s="110"/>
    </row>
    <row r="723" ht="14.25" customHeight="1" spans="1:26">
      <c r="A723" s="132"/>
      <c r="B723" s="132"/>
      <c r="C723" s="132"/>
      <c r="D723" s="132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Y723" s="110"/>
      <c r="Z723" s="110"/>
    </row>
    <row r="724" ht="14.25" customHeight="1" spans="1:26">
      <c r="A724" s="132"/>
      <c r="B724" s="132"/>
      <c r="C724" s="132"/>
      <c r="D724" s="132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Y724" s="110"/>
      <c r="Z724" s="110"/>
    </row>
    <row r="725" ht="14.25" customHeight="1" spans="1:26">
      <c r="A725" s="132"/>
      <c r="B725" s="132"/>
      <c r="C725" s="132"/>
      <c r="D725" s="132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Y725" s="110"/>
      <c r="Z725" s="110"/>
    </row>
    <row r="726" ht="14.25" customHeight="1" spans="1:26">
      <c r="A726" s="132"/>
      <c r="B726" s="132"/>
      <c r="C726" s="132"/>
      <c r="D726" s="132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Y726" s="110"/>
      <c r="Z726" s="110"/>
    </row>
    <row r="727" ht="14.25" customHeight="1" spans="1:26">
      <c r="A727" s="132"/>
      <c r="B727" s="132"/>
      <c r="C727" s="132"/>
      <c r="D727" s="132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Y727" s="110"/>
      <c r="Z727" s="110"/>
    </row>
    <row r="728" ht="14.25" customHeight="1" spans="1:26">
      <c r="A728" s="132"/>
      <c r="B728" s="132"/>
      <c r="C728" s="132"/>
      <c r="D728" s="132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Y728" s="110"/>
      <c r="Z728" s="110"/>
    </row>
    <row r="729" ht="14.25" customHeight="1" spans="1:26">
      <c r="A729" s="132"/>
      <c r="B729" s="132"/>
      <c r="C729" s="132"/>
      <c r="D729" s="132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Y729" s="110"/>
      <c r="Z729" s="110"/>
    </row>
    <row r="730" ht="14.25" customHeight="1" spans="1:26">
      <c r="A730" s="132"/>
      <c r="B730" s="132"/>
      <c r="C730" s="132"/>
      <c r="D730" s="132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Y730" s="110"/>
      <c r="Z730" s="110"/>
    </row>
    <row r="731" ht="14.25" customHeight="1" spans="1:26">
      <c r="A731" s="132"/>
      <c r="B731" s="132"/>
      <c r="C731" s="132"/>
      <c r="D731" s="132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Y731" s="110"/>
      <c r="Z731" s="110"/>
    </row>
    <row r="732" ht="14.25" customHeight="1" spans="1:26">
      <c r="A732" s="132"/>
      <c r="B732" s="132"/>
      <c r="C732" s="132"/>
      <c r="D732" s="132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Y732" s="110"/>
      <c r="Z732" s="110"/>
    </row>
    <row r="733" ht="14.25" customHeight="1" spans="1:26">
      <c r="A733" s="132"/>
      <c r="B733" s="132"/>
      <c r="C733" s="132"/>
      <c r="D733" s="132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Y733" s="110"/>
      <c r="Z733" s="110"/>
    </row>
    <row r="734" ht="14.25" customHeight="1" spans="1:26">
      <c r="A734" s="132"/>
      <c r="B734" s="132"/>
      <c r="C734" s="132"/>
      <c r="D734" s="132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Y734" s="110"/>
      <c r="Z734" s="110"/>
    </row>
    <row r="735" ht="14.25" customHeight="1" spans="1:26">
      <c r="A735" s="132"/>
      <c r="B735" s="132"/>
      <c r="C735" s="132"/>
      <c r="D735" s="132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Y735" s="110"/>
      <c r="Z735" s="110"/>
    </row>
    <row r="736" ht="14.25" customHeight="1" spans="1:26">
      <c r="A736" s="132"/>
      <c r="B736" s="132"/>
      <c r="C736" s="132"/>
      <c r="D736" s="132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Y736" s="110"/>
      <c r="Z736" s="110"/>
    </row>
    <row r="737" ht="14.25" customHeight="1" spans="1:26">
      <c r="A737" s="132"/>
      <c r="B737" s="132"/>
      <c r="C737" s="132"/>
      <c r="D737" s="132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Y737" s="110"/>
      <c r="Z737" s="110"/>
    </row>
    <row r="738" ht="14.25" customHeight="1" spans="1:26">
      <c r="A738" s="132"/>
      <c r="B738" s="132"/>
      <c r="C738" s="132"/>
      <c r="D738" s="132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Y738" s="110"/>
      <c r="Z738" s="110"/>
    </row>
    <row r="739" ht="14.25" customHeight="1" spans="1:26">
      <c r="A739" s="132"/>
      <c r="B739" s="132"/>
      <c r="C739" s="132"/>
      <c r="D739" s="132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Y739" s="110"/>
      <c r="Z739" s="110"/>
    </row>
    <row r="740" ht="14.25" customHeight="1" spans="1:26">
      <c r="A740" s="132"/>
      <c r="B740" s="132"/>
      <c r="C740" s="132"/>
      <c r="D740" s="132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Y740" s="110"/>
      <c r="Z740" s="110"/>
    </row>
    <row r="741" ht="14.25" customHeight="1" spans="1:26">
      <c r="A741" s="132"/>
      <c r="B741" s="132"/>
      <c r="C741" s="132"/>
      <c r="D741" s="132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Y741" s="110"/>
      <c r="Z741" s="110"/>
    </row>
    <row r="742" ht="14.25" customHeight="1" spans="1:26">
      <c r="A742" s="132"/>
      <c r="B742" s="132"/>
      <c r="C742" s="132"/>
      <c r="D742" s="132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Y742" s="110"/>
      <c r="Z742" s="110"/>
    </row>
    <row r="743" ht="14.25" customHeight="1" spans="1:26">
      <c r="A743" s="132"/>
      <c r="B743" s="132"/>
      <c r="C743" s="132"/>
      <c r="D743" s="132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Y743" s="110"/>
      <c r="Z743" s="110"/>
    </row>
    <row r="744" ht="14.25" customHeight="1" spans="1:26">
      <c r="A744" s="132"/>
      <c r="B744" s="132"/>
      <c r="C744" s="132"/>
      <c r="D744" s="132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Y744" s="110"/>
      <c r="Z744" s="110"/>
    </row>
    <row r="745" ht="14.25" customHeight="1" spans="1:26">
      <c r="A745" s="132"/>
      <c r="B745" s="132"/>
      <c r="C745" s="132"/>
      <c r="D745" s="132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Y745" s="110"/>
      <c r="Z745" s="110"/>
    </row>
    <row r="746" ht="14.25" customHeight="1" spans="1:26">
      <c r="A746" s="132"/>
      <c r="B746" s="132"/>
      <c r="C746" s="132"/>
      <c r="D746" s="132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Y746" s="110"/>
      <c r="Z746" s="110"/>
    </row>
    <row r="747" ht="14.25" customHeight="1" spans="1:26">
      <c r="A747" s="132"/>
      <c r="B747" s="132"/>
      <c r="C747" s="132"/>
      <c r="D747" s="132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Y747" s="110"/>
      <c r="Z747" s="110"/>
    </row>
    <row r="748" ht="14.25" customHeight="1" spans="1:26">
      <c r="A748" s="132"/>
      <c r="B748" s="132"/>
      <c r="C748" s="132"/>
      <c r="D748" s="132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Y748" s="110"/>
      <c r="Z748" s="110"/>
    </row>
    <row r="749" ht="14.25" customHeight="1" spans="1:26">
      <c r="A749" s="132"/>
      <c r="B749" s="132"/>
      <c r="C749" s="132"/>
      <c r="D749" s="132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Y749" s="110"/>
      <c r="Z749" s="110"/>
    </row>
    <row r="750" ht="14.25" customHeight="1" spans="1:26">
      <c r="A750" s="132"/>
      <c r="B750" s="132"/>
      <c r="C750" s="132"/>
      <c r="D750" s="132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Y750" s="110"/>
      <c r="Z750" s="110"/>
    </row>
    <row r="751" ht="14.25" customHeight="1" spans="1:26">
      <c r="A751" s="132"/>
      <c r="B751" s="132"/>
      <c r="C751" s="132"/>
      <c r="D751" s="132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Y751" s="110"/>
      <c r="Z751" s="110"/>
    </row>
    <row r="752" ht="14.25" customHeight="1" spans="1:26">
      <c r="A752" s="132"/>
      <c r="B752" s="132"/>
      <c r="C752" s="132"/>
      <c r="D752" s="132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Y752" s="110"/>
      <c r="Z752" s="110"/>
    </row>
    <row r="753" ht="14.25" customHeight="1" spans="1:26">
      <c r="A753" s="132"/>
      <c r="B753" s="132"/>
      <c r="C753" s="132"/>
      <c r="D753" s="132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Y753" s="110"/>
      <c r="Z753" s="110"/>
    </row>
    <row r="754" ht="14.25" customHeight="1" spans="1:26">
      <c r="A754" s="132"/>
      <c r="B754" s="132"/>
      <c r="C754" s="132"/>
      <c r="D754" s="132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Y754" s="110"/>
      <c r="Z754" s="110"/>
    </row>
    <row r="755" ht="14.25" customHeight="1" spans="1:26">
      <c r="A755" s="132"/>
      <c r="B755" s="132"/>
      <c r="C755" s="132"/>
      <c r="D755" s="132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Y755" s="110"/>
      <c r="Z755" s="110"/>
    </row>
    <row r="756" ht="14.25" customHeight="1" spans="1:26">
      <c r="A756" s="132"/>
      <c r="B756" s="132"/>
      <c r="C756" s="132"/>
      <c r="D756" s="132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Y756" s="110"/>
      <c r="Z756" s="110"/>
    </row>
    <row r="757" ht="14.25" customHeight="1" spans="1:26">
      <c r="A757" s="132"/>
      <c r="B757" s="132"/>
      <c r="C757" s="132"/>
      <c r="D757" s="132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Y757" s="110"/>
      <c r="Z757" s="110"/>
    </row>
    <row r="758" ht="14.25" customHeight="1" spans="1:26">
      <c r="A758" s="132"/>
      <c r="B758" s="132"/>
      <c r="C758" s="132"/>
      <c r="D758" s="132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Y758" s="110"/>
      <c r="Z758" s="110"/>
    </row>
    <row r="759" ht="14.25" customHeight="1" spans="1:26">
      <c r="A759" s="132"/>
      <c r="B759" s="132"/>
      <c r="C759" s="132"/>
      <c r="D759" s="132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Y759" s="110"/>
      <c r="Z759" s="110"/>
    </row>
    <row r="760" ht="14.25" customHeight="1" spans="1:26">
      <c r="A760" s="132"/>
      <c r="B760" s="132"/>
      <c r="C760" s="132"/>
      <c r="D760" s="132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Y760" s="110"/>
      <c r="Z760" s="110"/>
    </row>
    <row r="761" ht="14.25" customHeight="1" spans="1:26">
      <c r="A761" s="132"/>
      <c r="B761" s="132"/>
      <c r="C761" s="132"/>
      <c r="D761" s="132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Y761" s="110"/>
      <c r="Z761" s="110"/>
    </row>
    <row r="762" ht="14.25" customHeight="1" spans="1:26">
      <c r="A762" s="132"/>
      <c r="B762" s="132"/>
      <c r="C762" s="132"/>
      <c r="D762" s="132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Y762" s="110"/>
      <c r="Z762" s="110"/>
    </row>
    <row r="763" ht="14.25" customHeight="1" spans="1:26">
      <c r="A763" s="132"/>
      <c r="B763" s="132"/>
      <c r="C763" s="132"/>
      <c r="D763" s="132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Y763" s="110"/>
      <c r="Z763" s="110"/>
    </row>
    <row r="764" ht="14.25" customHeight="1" spans="1:26">
      <c r="A764" s="132"/>
      <c r="B764" s="132"/>
      <c r="C764" s="132"/>
      <c r="D764" s="132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Y764" s="110"/>
      <c r="Z764" s="110"/>
    </row>
    <row r="765" ht="14.25" customHeight="1" spans="1:26">
      <c r="A765" s="132"/>
      <c r="B765" s="132"/>
      <c r="C765" s="132"/>
      <c r="D765" s="132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Y765" s="110"/>
      <c r="Z765" s="110"/>
    </row>
    <row r="766" ht="14.25" customHeight="1" spans="1:26">
      <c r="A766" s="132"/>
      <c r="B766" s="132"/>
      <c r="C766" s="132"/>
      <c r="D766" s="132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Y766" s="110"/>
      <c r="Z766" s="110"/>
    </row>
    <row r="767" ht="14.25" customHeight="1" spans="1:26">
      <c r="A767" s="132"/>
      <c r="B767" s="132"/>
      <c r="C767" s="132"/>
      <c r="D767" s="132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Y767" s="110"/>
      <c r="Z767" s="110"/>
    </row>
    <row r="768" ht="14.25" customHeight="1" spans="1:26">
      <c r="A768" s="132"/>
      <c r="B768" s="132"/>
      <c r="C768" s="132"/>
      <c r="D768" s="132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Y768" s="110"/>
      <c r="Z768" s="110"/>
    </row>
    <row r="769" ht="14.25" customHeight="1" spans="1:26">
      <c r="A769" s="132"/>
      <c r="B769" s="132"/>
      <c r="C769" s="132"/>
      <c r="D769" s="132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Y769" s="110"/>
      <c r="Z769" s="110"/>
    </row>
    <row r="770" ht="14.25" customHeight="1" spans="1:26">
      <c r="A770" s="132"/>
      <c r="B770" s="132"/>
      <c r="C770" s="132"/>
      <c r="D770" s="132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Y770" s="110"/>
      <c r="Z770" s="110"/>
    </row>
    <row r="771" ht="14.25" customHeight="1" spans="1:26">
      <c r="A771" s="132"/>
      <c r="B771" s="132"/>
      <c r="C771" s="132"/>
      <c r="D771" s="132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Y771" s="110"/>
      <c r="Z771" s="110"/>
    </row>
    <row r="772" ht="14.25" customHeight="1" spans="1:26">
      <c r="A772" s="132"/>
      <c r="B772" s="132"/>
      <c r="C772" s="132"/>
      <c r="D772" s="132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Y772" s="110"/>
      <c r="Z772" s="110"/>
    </row>
    <row r="773" ht="14.25" customHeight="1" spans="1:26">
      <c r="A773" s="132"/>
      <c r="B773" s="132"/>
      <c r="C773" s="132"/>
      <c r="D773" s="132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Y773" s="110"/>
      <c r="Z773" s="110"/>
    </row>
    <row r="774" ht="14.25" customHeight="1" spans="1:26">
      <c r="A774" s="132"/>
      <c r="B774" s="132"/>
      <c r="C774" s="132"/>
      <c r="D774" s="132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Y774" s="110"/>
      <c r="Z774" s="110"/>
    </row>
    <row r="775" ht="14.25" customHeight="1" spans="1:26">
      <c r="A775" s="132"/>
      <c r="B775" s="132"/>
      <c r="C775" s="132"/>
      <c r="D775" s="132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Y775" s="110"/>
      <c r="Z775" s="110"/>
    </row>
    <row r="776" ht="14.25" customHeight="1" spans="1:26">
      <c r="A776" s="132"/>
      <c r="B776" s="132"/>
      <c r="C776" s="132"/>
      <c r="D776" s="132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Y776" s="110"/>
      <c r="Z776" s="110"/>
    </row>
    <row r="777" ht="14.25" customHeight="1" spans="1:26">
      <c r="A777" s="132"/>
      <c r="B777" s="132"/>
      <c r="C777" s="132"/>
      <c r="D777" s="132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Y777" s="110"/>
      <c r="Z777" s="110"/>
    </row>
    <row r="778" ht="14.25" customHeight="1" spans="1:26">
      <c r="A778" s="132"/>
      <c r="B778" s="132"/>
      <c r="C778" s="132"/>
      <c r="D778" s="132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Y778" s="110"/>
      <c r="Z778" s="110"/>
    </row>
    <row r="779" ht="14.25" customHeight="1" spans="1:26">
      <c r="A779" s="132"/>
      <c r="B779" s="132"/>
      <c r="C779" s="132"/>
      <c r="D779" s="132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Y779" s="110"/>
      <c r="Z779" s="110"/>
    </row>
    <row r="780" ht="14.25" customHeight="1" spans="1:26">
      <c r="A780" s="132"/>
      <c r="B780" s="132"/>
      <c r="C780" s="132"/>
      <c r="D780" s="132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Y780" s="110"/>
      <c r="Z780" s="110"/>
    </row>
    <row r="781" ht="14.25" customHeight="1" spans="1:26">
      <c r="A781" s="132"/>
      <c r="B781" s="132"/>
      <c r="C781" s="132"/>
      <c r="D781" s="132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Y781" s="110"/>
      <c r="Z781" s="110"/>
    </row>
    <row r="782" ht="14.25" customHeight="1" spans="1:26">
      <c r="A782" s="132"/>
      <c r="B782" s="132"/>
      <c r="C782" s="132"/>
      <c r="D782" s="132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Y782" s="110"/>
      <c r="Z782" s="110"/>
    </row>
    <row r="783" ht="14.25" customHeight="1" spans="1:26">
      <c r="A783" s="132"/>
      <c r="B783" s="132"/>
      <c r="C783" s="132"/>
      <c r="D783" s="132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Y783" s="110"/>
      <c r="Z783" s="110"/>
    </row>
    <row r="784" ht="14.25" customHeight="1" spans="1:26">
      <c r="A784" s="132"/>
      <c r="B784" s="132"/>
      <c r="C784" s="132"/>
      <c r="D784" s="132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Y784" s="110"/>
      <c r="Z784" s="110"/>
    </row>
    <row r="785" ht="14.25" customHeight="1" spans="1:26">
      <c r="A785" s="132"/>
      <c r="B785" s="132"/>
      <c r="C785" s="132"/>
      <c r="D785" s="132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Y785" s="110"/>
      <c r="Z785" s="110"/>
    </row>
    <row r="786" ht="14.25" customHeight="1" spans="1:26">
      <c r="A786" s="132"/>
      <c r="B786" s="132"/>
      <c r="C786" s="132"/>
      <c r="D786" s="132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Y786" s="110"/>
      <c r="Z786" s="110"/>
    </row>
    <row r="787" ht="14.25" customHeight="1" spans="1:26">
      <c r="A787" s="132"/>
      <c r="B787" s="132"/>
      <c r="C787" s="132"/>
      <c r="D787" s="132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Y787" s="110"/>
      <c r="Z787" s="110"/>
    </row>
    <row r="788" ht="14.25" customHeight="1" spans="1:26">
      <c r="A788" s="132"/>
      <c r="B788" s="132"/>
      <c r="C788" s="132"/>
      <c r="D788" s="132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Y788" s="110"/>
      <c r="Z788" s="110"/>
    </row>
    <row r="789" ht="14.25" customHeight="1" spans="1:26">
      <c r="A789" s="132"/>
      <c r="B789" s="132"/>
      <c r="C789" s="132"/>
      <c r="D789" s="132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Y789" s="110"/>
      <c r="Z789" s="110"/>
    </row>
    <row r="790" ht="14.25" customHeight="1" spans="1:26">
      <c r="A790" s="132"/>
      <c r="B790" s="132"/>
      <c r="C790" s="132"/>
      <c r="D790" s="132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Y790" s="110"/>
      <c r="Z790" s="110"/>
    </row>
    <row r="791" ht="14.25" customHeight="1" spans="1:26">
      <c r="A791" s="132"/>
      <c r="B791" s="132"/>
      <c r="C791" s="132"/>
      <c r="D791" s="132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Y791" s="110"/>
      <c r="Z791" s="110"/>
    </row>
    <row r="792" ht="14.25" customHeight="1" spans="1:26">
      <c r="A792" s="132"/>
      <c r="B792" s="132"/>
      <c r="C792" s="132"/>
      <c r="D792" s="132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Y792" s="110"/>
      <c r="Z792" s="110"/>
    </row>
    <row r="793" ht="14.25" customHeight="1" spans="1:26">
      <c r="A793" s="132"/>
      <c r="B793" s="132"/>
      <c r="C793" s="132"/>
      <c r="D793" s="132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Y793" s="110"/>
      <c r="Z793" s="110"/>
    </row>
    <row r="794" ht="14.25" customHeight="1" spans="1:26">
      <c r="A794" s="132"/>
      <c r="B794" s="132"/>
      <c r="C794" s="132"/>
      <c r="D794" s="132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Y794" s="110"/>
      <c r="Z794" s="110"/>
    </row>
    <row r="795" ht="14.25" customHeight="1" spans="1:26">
      <c r="A795" s="132"/>
      <c r="B795" s="132"/>
      <c r="C795" s="132"/>
      <c r="D795" s="132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Y795" s="110"/>
      <c r="Z795" s="110"/>
    </row>
    <row r="796" ht="14.25" customHeight="1" spans="1:26">
      <c r="A796" s="132"/>
      <c r="B796" s="132"/>
      <c r="C796" s="132"/>
      <c r="D796" s="132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Y796" s="110"/>
      <c r="Z796" s="110"/>
    </row>
    <row r="797" ht="14.25" customHeight="1" spans="1:26">
      <c r="A797" s="132"/>
      <c r="B797" s="132"/>
      <c r="C797" s="132"/>
      <c r="D797" s="132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Y797" s="110"/>
      <c r="Z797" s="110"/>
    </row>
    <row r="798" ht="14.25" customHeight="1" spans="1:26">
      <c r="A798" s="132"/>
      <c r="B798" s="132"/>
      <c r="C798" s="132"/>
      <c r="D798" s="132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Y798" s="110"/>
      <c r="Z798" s="110"/>
    </row>
    <row r="799" ht="14.25" customHeight="1" spans="1:26">
      <c r="A799" s="132"/>
      <c r="B799" s="132"/>
      <c r="C799" s="132"/>
      <c r="D799" s="132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Y799" s="110"/>
      <c r="Z799" s="110"/>
    </row>
    <row r="800" ht="14.25" customHeight="1" spans="1:26">
      <c r="A800" s="132"/>
      <c r="B800" s="132"/>
      <c r="C800" s="132"/>
      <c r="D800" s="132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Y800" s="110"/>
      <c r="Z800" s="110"/>
    </row>
    <row r="801" ht="14.25" customHeight="1" spans="1:26">
      <c r="A801" s="132"/>
      <c r="B801" s="132"/>
      <c r="C801" s="132"/>
      <c r="D801" s="132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Y801" s="110"/>
      <c r="Z801" s="110"/>
    </row>
    <row r="802" ht="14.25" customHeight="1" spans="1:26">
      <c r="A802" s="132"/>
      <c r="B802" s="132"/>
      <c r="C802" s="132"/>
      <c r="D802" s="132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Y802" s="110"/>
      <c r="Z802" s="110"/>
    </row>
    <row r="803" ht="14.25" customHeight="1" spans="1:26">
      <c r="A803" s="132"/>
      <c r="B803" s="132"/>
      <c r="C803" s="132"/>
      <c r="D803" s="132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Y803" s="110"/>
      <c r="Z803" s="110"/>
    </row>
    <row r="804" ht="14.25" customHeight="1" spans="1:26">
      <c r="A804" s="132"/>
      <c r="B804" s="132"/>
      <c r="C804" s="132"/>
      <c r="D804" s="132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Y804" s="110"/>
      <c r="Z804" s="110"/>
    </row>
    <row r="805" ht="14.25" customHeight="1" spans="1:26">
      <c r="A805" s="132"/>
      <c r="B805" s="132"/>
      <c r="C805" s="132"/>
      <c r="D805" s="132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Y805" s="110"/>
      <c r="Z805" s="110"/>
    </row>
    <row r="806" ht="14.25" customHeight="1" spans="1:26">
      <c r="A806" s="132"/>
      <c r="B806" s="132"/>
      <c r="C806" s="132"/>
      <c r="D806" s="132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Y806" s="110"/>
      <c r="Z806" s="110"/>
    </row>
    <row r="807" ht="14.25" customHeight="1" spans="1:26">
      <c r="A807" s="132"/>
      <c r="B807" s="132"/>
      <c r="C807" s="132"/>
      <c r="D807" s="132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Y807" s="110"/>
      <c r="Z807" s="110"/>
    </row>
    <row r="808" ht="14.25" customHeight="1" spans="1:26">
      <c r="A808" s="132"/>
      <c r="B808" s="132"/>
      <c r="C808" s="132"/>
      <c r="D808" s="132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Y808" s="110"/>
      <c r="Z808" s="110"/>
    </row>
    <row r="809" ht="14.25" customHeight="1" spans="1:26">
      <c r="A809" s="132"/>
      <c r="B809" s="132"/>
      <c r="C809" s="132"/>
      <c r="D809" s="132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Y809" s="110"/>
      <c r="Z809" s="110"/>
    </row>
    <row r="810" ht="14.25" customHeight="1" spans="1:26">
      <c r="A810" s="132"/>
      <c r="B810" s="132"/>
      <c r="C810" s="132"/>
      <c r="D810" s="132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Y810" s="110"/>
      <c r="Z810" s="110"/>
    </row>
    <row r="811" ht="14.25" customHeight="1" spans="1:26">
      <c r="A811" s="132"/>
      <c r="B811" s="132"/>
      <c r="C811" s="132"/>
      <c r="D811" s="132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Y811" s="110"/>
      <c r="Z811" s="110"/>
    </row>
    <row r="812" ht="14.25" customHeight="1" spans="1:26">
      <c r="A812" s="132"/>
      <c r="B812" s="132"/>
      <c r="C812" s="132"/>
      <c r="D812" s="132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Y812" s="110"/>
      <c r="Z812" s="110"/>
    </row>
    <row r="813" ht="14.25" customHeight="1" spans="1:26">
      <c r="A813" s="132"/>
      <c r="B813" s="132"/>
      <c r="C813" s="132"/>
      <c r="D813" s="132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Y813" s="110"/>
      <c r="Z813" s="110"/>
    </row>
    <row r="814" ht="14.25" customHeight="1" spans="1:26">
      <c r="A814" s="132"/>
      <c r="B814" s="132"/>
      <c r="C814" s="132"/>
      <c r="D814" s="132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Y814" s="110"/>
      <c r="Z814" s="110"/>
    </row>
    <row r="815" ht="14.25" customHeight="1" spans="1:26">
      <c r="A815" s="132"/>
      <c r="B815" s="132"/>
      <c r="C815" s="132"/>
      <c r="D815" s="132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Y815" s="110"/>
      <c r="Z815" s="110"/>
    </row>
    <row r="816" ht="14.25" customHeight="1" spans="1:26">
      <c r="A816" s="132"/>
      <c r="B816" s="132"/>
      <c r="C816" s="132"/>
      <c r="D816" s="132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Y816" s="110"/>
      <c r="Z816" s="110"/>
    </row>
    <row r="817" ht="14.25" customHeight="1" spans="1:26">
      <c r="A817" s="132"/>
      <c r="B817" s="132"/>
      <c r="C817" s="132"/>
      <c r="D817" s="132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Y817" s="110"/>
      <c r="Z817" s="110"/>
    </row>
    <row r="818" ht="14.25" customHeight="1" spans="1:26">
      <c r="A818" s="132"/>
      <c r="B818" s="132"/>
      <c r="C818" s="132"/>
      <c r="D818" s="132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Y818" s="110"/>
      <c r="Z818" s="110"/>
    </row>
    <row r="819" ht="14.25" customHeight="1" spans="1:26">
      <c r="A819" s="132"/>
      <c r="B819" s="132"/>
      <c r="C819" s="132"/>
      <c r="D819" s="132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Y819" s="110"/>
      <c r="Z819" s="110"/>
    </row>
    <row r="820" ht="14.25" customHeight="1" spans="1:26">
      <c r="A820" s="132"/>
      <c r="B820" s="132"/>
      <c r="C820" s="132"/>
      <c r="D820" s="132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Y820" s="110"/>
      <c r="Z820" s="110"/>
    </row>
    <row r="821" ht="14.25" customHeight="1" spans="1:26">
      <c r="A821" s="132"/>
      <c r="B821" s="132"/>
      <c r="C821" s="132"/>
      <c r="D821" s="132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Y821" s="110"/>
      <c r="Z821" s="110"/>
    </row>
    <row r="822" ht="14.25" customHeight="1" spans="1:26">
      <c r="A822" s="132"/>
      <c r="B822" s="132"/>
      <c r="C822" s="132"/>
      <c r="D822" s="132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Y822" s="110"/>
      <c r="Z822" s="110"/>
    </row>
    <row r="823" ht="14.25" customHeight="1" spans="1:26">
      <c r="A823" s="132"/>
      <c r="B823" s="132"/>
      <c r="C823" s="132"/>
      <c r="D823" s="132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Y823" s="110"/>
      <c r="Z823" s="110"/>
    </row>
    <row r="824" ht="14.25" customHeight="1" spans="1:26">
      <c r="A824" s="132"/>
      <c r="B824" s="132"/>
      <c r="C824" s="132"/>
      <c r="D824" s="132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Y824" s="110"/>
      <c r="Z824" s="110"/>
    </row>
    <row r="825" ht="14.25" customHeight="1" spans="1:26">
      <c r="A825" s="132"/>
      <c r="B825" s="132"/>
      <c r="C825" s="132"/>
      <c r="D825" s="132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Y825" s="110"/>
      <c r="Z825" s="110"/>
    </row>
    <row r="826" ht="14.25" customHeight="1" spans="1:26">
      <c r="A826" s="132"/>
      <c r="B826" s="132"/>
      <c r="C826" s="132"/>
      <c r="D826" s="132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Y826" s="110"/>
      <c r="Z826" s="110"/>
    </row>
    <row r="827" ht="14.25" customHeight="1" spans="1:26">
      <c r="A827" s="132"/>
      <c r="B827" s="132"/>
      <c r="C827" s="132"/>
      <c r="D827" s="132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Y827" s="110"/>
      <c r="Z827" s="110"/>
    </row>
    <row r="828" ht="14.25" customHeight="1" spans="1:26">
      <c r="A828" s="132"/>
      <c r="B828" s="132"/>
      <c r="C828" s="132"/>
      <c r="D828" s="132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Y828" s="110"/>
      <c r="Z828" s="110"/>
    </row>
    <row r="829" ht="14.25" customHeight="1" spans="1:26">
      <c r="A829" s="132"/>
      <c r="B829" s="132"/>
      <c r="C829" s="132"/>
      <c r="D829" s="132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Y829" s="110"/>
      <c r="Z829" s="110"/>
    </row>
    <row r="830" ht="14.25" customHeight="1" spans="1:26">
      <c r="A830" s="132"/>
      <c r="B830" s="132"/>
      <c r="C830" s="132"/>
      <c r="D830" s="132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Y830" s="110"/>
      <c r="Z830" s="110"/>
    </row>
    <row r="831" ht="14.25" customHeight="1" spans="1:26">
      <c r="A831" s="132"/>
      <c r="B831" s="132"/>
      <c r="C831" s="132"/>
      <c r="D831" s="132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Y831" s="110"/>
      <c r="Z831" s="110"/>
    </row>
    <row r="832" ht="14.25" customHeight="1" spans="1:26">
      <c r="A832" s="132"/>
      <c r="B832" s="132"/>
      <c r="C832" s="132"/>
      <c r="D832" s="132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Y832" s="110"/>
      <c r="Z832" s="110"/>
    </row>
    <row r="833" ht="14.25" customHeight="1" spans="1:26">
      <c r="A833" s="132"/>
      <c r="B833" s="132"/>
      <c r="C833" s="132"/>
      <c r="D833" s="132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Y833" s="110"/>
      <c r="Z833" s="110"/>
    </row>
    <row r="834" ht="14.25" customHeight="1" spans="1:26">
      <c r="A834" s="132"/>
      <c r="B834" s="132"/>
      <c r="C834" s="132"/>
      <c r="D834" s="132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Y834" s="110"/>
      <c r="Z834" s="110"/>
    </row>
    <row r="835" ht="14.25" customHeight="1" spans="1:26">
      <c r="A835" s="132"/>
      <c r="B835" s="132"/>
      <c r="C835" s="132"/>
      <c r="D835" s="132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Y835" s="110"/>
      <c r="Z835" s="110"/>
    </row>
    <row r="836" ht="14.25" customHeight="1" spans="1:26">
      <c r="A836" s="132"/>
      <c r="B836" s="132"/>
      <c r="C836" s="132"/>
      <c r="D836" s="132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Y836" s="110"/>
      <c r="Z836" s="110"/>
    </row>
    <row r="837" ht="14.25" customHeight="1" spans="1:26">
      <c r="A837" s="132"/>
      <c r="B837" s="132"/>
      <c r="C837" s="132"/>
      <c r="D837" s="132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Y837" s="110"/>
      <c r="Z837" s="110"/>
    </row>
    <row r="838" ht="14.25" customHeight="1" spans="1:26">
      <c r="A838" s="132"/>
      <c r="B838" s="132"/>
      <c r="C838" s="132"/>
      <c r="D838" s="132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Y838" s="110"/>
      <c r="Z838" s="110"/>
    </row>
    <row r="839" ht="14.25" customHeight="1" spans="1:26">
      <c r="A839" s="132"/>
      <c r="B839" s="132"/>
      <c r="C839" s="132"/>
      <c r="D839" s="132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Y839" s="110"/>
      <c r="Z839" s="110"/>
    </row>
    <row r="840" ht="14.25" customHeight="1" spans="1:26">
      <c r="A840" s="132"/>
      <c r="B840" s="132"/>
      <c r="C840" s="132"/>
      <c r="D840" s="132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Y840" s="110"/>
      <c r="Z840" s="110"/>
    </row>
    <row r="841" ht="14.25" customHeight="1" spans="1:26">
      <c r="A841" s="132"/>
      <c r="B841" s="132"/>
      <c r="C841" s="132"/>
      <c r="D841" s="132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Y841" s="110"/>
      <c r="Z841" s="110"/>
    </row>
    <row r="842" ht="14.25" customHeight="1" spans="1:26">
      <c r="A842" s="132"/>
      <c r="B842" s="132"/>
      <c r="C842" s="132"/>
      <c r="D842" s="132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Y842" s="110"/>
      <c r="Z842" s="110"/>
    </row>
    <row r="843" ht="14.25" customHeight="1" spans="1:26">
      <c r="A843" s="132"/>
      <c r="B843" s="132"/>
      <c r="C843" s="132"/>
      <c r="D843" s="132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Y843" s="110"/>
      <c r="Z843" s="110"/>
    </row>
    <row r="844" ht="14.25" customHeight="1" spans="1:26">
      <c r="A844" s="132"/>
      <c r="B844" s="132"/>
      <c r="C844" s="132"/>
      <c r="D844" s="132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Y844" s="110"/>
      <c r="Z844" s="110"/>
    </row>
    <row r="845" ht="14.25" customHeight="1" spans="1:26">
      <c r="A845" s="132"/>
      <c r="B845" s="132"/>
      <c r="C845" s="132"/>
      <c r="D845" s="132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Y845" s="110"/>
      <c r="Z845" s="110"/>
    </row>
    <row r="846" ht="14.25" customHeight="1" spans="1:26">
      <c r="A846" s="132"/>
      <c r="B846" s="132"/>
      <c r="C846" s="132"/>
      <c r="D846" s="132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Y846" s="110"/>
      <c r="Z846" s="110"/>
    </row>
    <row r="847" ht="14.25" customHeight="1" spans="1:26">
      <c r="A847" s="132"/>
      <c r="B847" s="132"/>
      <c r="C847" s="132"/>
      <c r="D847" s="132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Y847" s="110"/>
      <c r="Z847" s="110"/>
    </row>
    <row r="848" ht="14.25" customHeight="1" spans="1:26">
      <c r="A848" s="132"/>
      <c r="B848" s="132"/>
      <c r="C848" s="132"/>
      <c r="D848" s="132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Y848" s="110"/>
      <c r="Z848" s="110"/>
    </row>
    <row r="849" ht="14.25" customHeight="1" spans="1:26">
      <c r="A849" s="132"/>
      <c r="B849" s="132"/>
      <c r="C849" s="132"/>
      <c r="D849" s="132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Y849" s="110"/>
      <c r="Z849" s="110"/>
    </row>
    <row r="850" ht="14.25" customHeight="1" spans="1:26">
      <c r="A850" s="132"/>
      <c r="B850" s="132"/>
      <c r="C850" s="132"/>
      <c r="D850" s="132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Y850" s="110"/>
      <c r="Z850" s="110"/>
    </row>
    <row r="851" ht="14.25" customHeight="1" spans="1:26">
      <c r="A851" s="132"/>
      <c r="B851" s="132"/>
      <c r="C851" s="132"/>
      <c r="D851" s="132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Y851" s="110"/>
      <c r="Z851" s="110"/>
    </row>
    <row r="852" ht="14.25" customHeight="1" spans="1:26">
      <c r="A852" s="132"/>
      <c r="B852" s="132"/>
      <c r="C852" s="132"/>
      <c r="D852" s="132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Y852" s="110"/>
      <c r="Z852" s="110"/>
    </row>
    <row r="853" ht="14.25" customHeight="1" spans="1:26">
      <c r="A853" s="132"/>
      <c r="B853" s="132"/>
      <c r="C853" s="132"/>
      <c r="D853" s="132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Y853" s="110"/>
      <c r="Z853" s="110"/>
    </row>
    <row r="854" ht="14.25" customHeight="1" spans="1:26">
      <c r="A854" s="132"/>
      <c r="B854" s="132"/>
      <c r="C854" s="132"/>
      <c r="D854" s="132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Y854" s="110"/>
      <c r="Z854" s="110"/>
    </row>
    <row r="855" ht="14.25" customHeight="1" spans="1:26">
      <c r="A855" s="132"/>
      <c r="B855" s="132"/>
      <c r="C855" s="132"/>
      <c r="D855" s="132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Y855" s="110"/>
      <c r="Z855" s="110"/>
    </row>
    <row r="856" ht="14.25" customHeight="1" spans="1:26">
      <c r="A856" s="132"/>
      <c r="B856" s="132"/>
      <c r="C856" s="132"/>
      <c r="D856" s="132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Y856" s="110"/>
      <c r="Z856" s="110"/>
    </row>
    <row r="857" ht="14.25" customHeight="1" spans="1:26">
      <c r="A857" s="132"/>
      <c r="B857" s="132"/>
      <c r="C857" s="132"/>
      <c r="D857" s="132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Y857" s="110"/>
      <c r="Z857" s="110"/>
    </row>
    <row r="858" ht="14.25" customHeight="1" spans="1:26">
      <c r="A858" s="132"/>
      <c r="B858" s="132"/>
      <c r="C858" s="132"/>
      <c r="D858" s="132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Y858" s="110"/>
      <c r="Z858" s="110"/>
    </row>
    <row r="859" ht="14.25" customHeight="1" spans="1:26">
      <c r="A859" s="132"/>
      <c r="B859" s="132"/>
      <c r="C859" s="132"/>
      <c r="D859" s="132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Y859" s="110"/>
      <c r="Z859" s="110"/>
    </row>
    <row r="860" ht="14.25" customHeight="1" spans="1:26">
      <c r="A860" s="132"/>
      <c r="B860" s="132"/>
      <c r="C860" s="132"/>
      <c r="D860" s="132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Y860" s="110"/>
      <c r="Z860" s="110"/>
    </row>
    <row r="861" ht="14.25" customHeight="1" spans="1:26">
      <c r="A861" s="132"/>
      <c r="B861" s="132"/>
      <c r="C861" s="132"/>
      <c r="D861" s="132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Y861" s="110"/>
      <c r="Z861" s="110"/>
    </row>
    <row r="862" ht="14.25" customHeight="1" spans="1:26">
      <c r="A862" s="132"/>
      <c r="B862" s="132"/>
      <c r="C862" s="132"/>
      <c r="D862" s="132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Y862" s="110"/>
      <c r="Z862" s="110"/>
    </row>
    <row r="863" ht="14.25" customHeight="1" spans="1:26">
      <c r="A863" s="132"/>
      <c r="B863" s="132"/>
      <c r="C863" s="132"/>
      <c r="D863" s="132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Y863" s="110"/>
      <c r="Z863" s="110"/>
    </row>
    <row r="864" ht="14.25" customHeight="1" spans="1:26">
      <c r="A864" s="132"/>
      <c r="B864" s="132"/>
      <c r="C864" s="132"/>
      <c r="D864" s="132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Y864" s="110"/>
      <c r="Z864" s="110"/>
    </row>
    <row r="865" ht="14.25" customHeight="1" spans="1:26">
      <c r="A865" s="132"/>
      <c r="B865" s="132"/>
      <c r="C865" s="132"/>
      <c r="D865" s="132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Y865" s="110"/>
      <c r="Z865" s="110"/>
    </row>
    <row r="866" ht="14.25" customHeight="1" spans="1:26">
      <c r="A866" s="132"/>
      <c r="B866" s="132"/>
      <c r="C866" s="132"/>
      <c r="D866" s="132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Y866" s="110"/>
      <c r="Z866" s="110"/>
    </row>
    <row r="867" ht="14.25" customHeight="1" spans="1:26">
      <c r="A867" s="132"/>
      <c r="B867" s="132"/>
      <c r="C867" s="132"/>
      <c r="D867" s="132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Y867" s="110"/>
      <c r="Z867" s="110"/>
    </row>
    <row r="868" ht="14.25" customHeight="1" spans="1:26">
      <c r="A868" s="132"/>
      <c r="B868" s="132"/>
      <c r="C868" s="132"/>
      <c r="D868" s="132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Y868" s="110"/>
      <c r="Z868" s="110"/>
    </row>
    <row r="869" ht="14.25" customHeight="1" spans="1:26">
      <c r="A869" s="132"/>
      <c r="B869" s="132"/>
      <c r="C869" s="132"/>
      <c r="D869" s="132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Y869" s="110"/>
      <c r="Z869" s="110"/>
    </row>
    <row r="870" ht="14.25" customHeight="1" spans="1:26">
      <c r="A870" s="132"/>
      <c r="B870" s="132"/>
      <c r="C870" s="132"/>
      <c r="D870" s="132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Y870" s="110"/>
      <c r="Z870" s="110"/>
    </row>
    <row r="871" ht="14.25" customHeight="1" spans="1:26">
      <c r="A871" s="132"/>
      <c r="B871" s="132"/>
      <c r="C871" s="132"/>
      <c r="D871" s="132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Y871" s="110"/>
      <c r="Z871" s="110"/>
    </row>
    <row r="872" ht="14.25" customHeight="1" spans="1:26">
      <c r="A872" s="132"/>
      <c r="B872" s="132"/>
      <c r="C872" s="132"/>
      <c r="D872" s="132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Y872" s="110"/>
      <c r="Z872" s="110"/>
    </row>
    <row r="873" ht="14.25" customHeight="1" spans="1:26">
      <c r="A873" s="132"/>
      <c r="B873" s="132"/>
      <c r="C873" s="132"/>
      <c r="D873" s="132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Y873" s="110"/>
      <c r="Z873" s="110"/>
    </row>
    <row r="874" ht="14.25" customHeight="1" spans="1:26">
      <c r="A874" s="132"/>
      <c r="B874" s="132"/>
      <c r="C874" s="132"/>
      <c r="D874" s="132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Y874" s="110"/>
      <c r="Z874" s="110"/>
    </row>
    <row r="875" ht="14.25" customHeight="1" spans="1:26">
      <c r="A875" s="132"/>
      <c r="B875" s="132"/>
      <c r="C875" s="132"/>
      <c r="D875" s="132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Y875" s="110"/>
      <c r="Z875" s="110"/>
    </row>
    <row r="876" ht="14.25" customHeight="1" spans="1:26">
      <c r="A876" s="132"/>
      <c r="B876" s="132"/>
      <c r="C876" s="132"/>
      <c r="D876" s="132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Y876" s="110"/>
      <c r="Z876" s="110"/>
    </row>
    <row r="877" ht="14.25" customHeight="1" spans="1:26">
      <c r="A877" s="132"/>
      <c r="B877" s="132"/>
      <c r="C877" s="132"/>
      <c r="D877" s="132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Y877" s="110"/>
      <c r="Z877" s="110"/>
    </row>
    <row r="878" ht="14.25" customHeight="1" spans="1:26">
      <c r="A878" s="132"/>
      <c r="B878" s="132"/>
      <c r="C878" s="132"/>
      <c r="D878" s="132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Y878" s="110"/>
      <c r="Z878" s="110"/>
    </row>
    <row r="879" ht="14.25" customHeight="1" spans="1:26">
      <c r="A879" s="132"/>
      <c r="B879" s="132"/>
      <c r="C879" s="132"/>
      <c r="D879" s="132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Y879" s="110"/>
      <c r="Z879" s="110"/>
    </row>
    <row r="880" ht="14.25" customHeight="1" spans="1:26">
      <c r="A880" s="132"/>
      <c r="B880" s="132"/>
      <c r="C880" s="132"/>
      <c r="D880" s="132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Y880" s="110"/>
      <c r="Z880" s="110"/>
    </row>
    <row r="881" ht="14.25" customHeight="1" spans="1:26">
      <c r="A881" s="132"/>
      <c r="B881" s="132"/>
      <c r="C881" s="132"/>
      <c r="D881" s="132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Y881" s="110"/>
      <c r="Z881" s="110"/>
    </row>
    <row r="882" ht="14.25" customHeight="1" spans="1:26">
      <c r="A882" s="132"/>
      <c r="B882" s="132"/>
      <c r="C882" s="132"/>
      <c r="D882" s="132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Y882" s="110"/>
      <c r="Z882" s="110"/>
    </row>
    <row r="883" ht="14.25" customHeight="1" spans="1:26">
      <c r="A883" s="132"/>
      <c r="B883" s="132"/>
      <c r="C883" s="132"/>
      <c r="D883" s="132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Y883" s="110"/>
      <c r="Z883" s="110"/>
    </row>
    <row r="884" ht="14.25" customHeight="1" spans="1:26">
      <c r="A884" s="132"/>
      <c r="B884" s="132"/>
      <c r="C884" s="132"/>
      <c r="D884" s="132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Y884" s="110"/>
      <c r="Z884" s="110"/>
    </row>
    <row r="885" ht="14.25" customHeight="1" spans="1:26">
      <c r="A885" s="132"/>
      <c r="B885" s="132"/>
      <c r="C885" s="132"/>
      <c r="D885" s="132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Y885" s="110"/>
      <c r="Z885" s="110"/>
    </row>
    <row r="886" ht="14.25" customHeight="1" spans="1:26">
      <c r="A886" s="132"/>
      <c r="B886" s="132"/>
      <c r="C886" s="132"/>
      <c r="D886" s="132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Y886" s="110"/>
      <c r="Z886" s="110"/>
    </row>
    <row r="887" ht="14.25" customHeight="1" spans="1:26">
      <c r="A887" s="132"/>
      <c r="B887" s="132"/>
      <c r="C887" s="132"/>
      <c r="D887" s="132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Y887" s="110"/>
      <c r="Z887" s="110"/>
    </row>
    <row r="888" ht="14.25" customHeight="1" spans="1:26">
      <c r="A888" s="132"/>
      <c r="B888" s="132"/>
      <c r="C888" s="132"/>
      <c r="D888" s="132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Y888" s="110"/>
      <c r="Z888" s="110"/>
    </row>
    <row r="889" ht="14.25" customHeight="1" spans="1:26">
      <c r="A889" s="132"/>
      <c r="B889" s="132"/>
      <c r="C889" s="132"/>
      <c r="D889" s="132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Y889" s="110"/>
      <c r="Z889" s="110"/>
    </row>
    <row r="890" ht="14.25" customHeight="1" spans="1:26">
      <c r="A890" s="132"/>
      <c r="B890" s="132"/>
      <c r="C890" s="132"/>
      <c r="D890" s="132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Y890" s="110"/>
      <c r="Z890" s="110"/>
    </row>
    <row r="891" ht="14.25" customHeight="1" spans="1:26">
      <c r="A891" s="132"/>
      <c r="B891" s="132"/>
      <c r="C891" s="132"/>
      <c r="D891" s="132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Y891" s="110"/>
      <c r="Z891" s="110"/>
    </row>
    <row r="892" ht="14.25" customHeight="1" spans="1:26">
      <c r="A892" s="132"/>
      <c r="B892" s="132"/>
      <c r="C892" s="132"/>
      <c r="D892" s="132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Y892" s="110"/>
      <c r="Z892" s="110"/>
    </row>
    <row r="893" ht="14.25" customHeight="1" spans="1:26">
      <c r="A893" s="132"/>
      <c r="B893" s="132"/>
      <c r="C893" s="132"/>
      <c r="D893" s="132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Y893" s="110"/>
      <c r="Z893" s="110"/>
    </row>
    <row r="894" ht="14.25" customHeight="1" spans="1:26">
      <c r="A894" s="132"/>
      <c r="B894" s="132"/>
      <c r="C894" s="132"/>
      <c r="D894" s="132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Y894" s="110"/>
      <c r="Z894" s="110"/>
    </row>
    <row r="895" ht="14.25" customHeight="1" spans="1:26">
      <c r="A895" s="132"/>
      <c r="B895" s="132"/>
      <c r="C895" s="132"/>
      <c r="D895" s="132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Y895" s="110"/>
      <c r="Z895" s="110"/>
    </row>
    <row r="896" ht="14.25" customHeight="1" spans="1:26">
      <c r="A896" s="132"/>
      <c r="B896" s="132"/>
      <c r="C896" s="132"/>
      <c r="D896" s="132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Y896" s="110"/>
      <c r="Z896" s="110"/>
    </row>
    <row r="897" ht="14.25" customHeight="1" spans="1:26">
      <c r="A897" s="132"/>
      <c r="B897" s="132"/>
      <c r="C897" s="132"/>
      <c r="D897" s="132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Y897" s="110"/>
      <c r="Z897" s="110"/>
    </row>
    <row r="898" ht="14.25" customHeight="1" spans="1:26">
      <c r="A898" s="132"/>
      <c r="B898" s="132"/>
      <c r="C898" s="132"/>
      <c r="D898" s="132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Y898" s="110"/>
      <c r="Z898" s="110"/>
    </row>
    <row r="899" ht="14.25" customHeight="1" spans="1:26">
      <c r="A899" s="132"/>
      <c r="B899" s="132"/>
      <c r="C899" s="132"/>
      <c r="D899" s="132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Y899" s="110"/>
      <c r="Z899" s="110"/>
    </row>
    <row r="900" ht="14.25" customHeight="1" spans="1:26">
      <c r="A900" s="132"/>
      <c r="B900" s="132"/>
      <c r="C900" s="132"/>
      <c r="D900" s="132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Y900" s="110"/>
      <c r="Z900" s="110"/>
    </row>
    <row r="901" ht="14.25" customHeight="1" spans="1:26">
      <c r="A901" s="132"/>
      <c r="B901" s="132"/>
      <c r="C901" s="132"/>
      <c r="D901" s="132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Y901" s="110"/>
      <c r="Z901" s="110"/>
    </row>
    <row r="902" ht="14.25" customHeight="1" spans="1:26">
      <c r="A902" s="132"/>
      <c r="B902" s="132"/>
      <c r="C902" s="132"/>
      <c r="D902" s="132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Y902" s="110"/>
      <c r="Z902" s="110"/>
    </row>
    <row r="903" ht="14.25" customHeight="1" spans="1:26">
      <c r="A903" s="132"/>
      <c r="B903" s="132"/>
      <c r="C903" s="132"/>
      <c r="D903" s="132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Y903" s="110"/>
      <c r="Z903" s="110"/>
    </row>
    <row r="904" ht="14.25" customHeight="1" spans="1:26">
      <c r="A904" s="132"/>
      <c r="B904" s="132"/>
      <c r="C904" s="132"/>
      <c r="D904" s="132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Y904" s="110"/>
      <c r="Z904" s="110"/>
    </row>
    <row r="905" ht="14.25" customHeight="1" spans="1:26">
      <c r="A905" s="132"/>
      <c r="B905" s="132"/>
      <c r="C905" s="132"/>
      <c r="D905" s="132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Y905" s="110"/>
      <c r="Z905" s="110"/>
    </row>
    <row r="906" ht="14.25" customHeight="1" spans="1:26">
      <c r="A906" s="132"/>
      <c r="B906" s="132"/>
      <c r="C906" s="132"/>
      <c r="D906" s="132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Y906" s="110"/>
      <c r="Z906" s="110"/>
    </row>
    <row r="907" ht="14.25" customHeight="1" spans="1:26">
      <c r="A907" s="132"/>
      <c r="B907" s="132"/>
      <c r="C907" s="132"/>
      <c r="D907" s="132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Y907" s="110"/>
      <c r="Z907" s="110"/>
    </row>
    <row r="908" ht="14.25" customHeight="1" spans="1:26">
      <c r="A908" s="132"/>
      <c r="B908" s="132"/>
      <c r="C908" s="132"/>
      <c r="D908" s="132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Y908" s="110"/>
      <c r="Z908" s="110"/>
    </row>
    <row r="909" ht="14.25" customHeight="1" spans="1:26">
      <c r="A909" s="132"/>
      <c r="B909" s="132"/>
      <c r="C909" s="132"/>
      <c r="D909" s="132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Y909" s="110"/>
      <c r="Z909" s="110"/>
    </row>
    <row r="910" ht="14.25" customHeight="1" spans="1:26">
      <c r="A910" s="132"/>
      <c r="B910" s="132"/>
      <c r="C910" s="132"/>
      <c r="D910" s="132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Y910" s="110"/>
      <c r="Z910" s="110"/>
    </row>
    <row r="911" ht="14.25" customHeight="1" spans="1:26">
      <c r="A911" s="132"/>
      <c r="B911" s="132"/>
      <c r="C911" s="132"/>
      <c r="D911" s="132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Y911" s="110"/>
      <c r="Z911" s="110"/>
    </row>
    <row r="912" ht="14.25" customHeight="1" spans="1:26">
      <c r="A912" s="132"/>
      <c r="B912" s="132"/>
      <c r="C912" s="132"/>
      <c r="D912" s="132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Y912" s="110"/>
      <c r="Z912" s="110"/>
    </row>
    <row r="913" ht="14.25" customHeight="1" spans="1:26">
      <c r="A913" s="132"/>
      <c r="B913" s="132"/>
      <c r="C913" s="132"/>
      <c r="D913" s="132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Y913" s="110"/>
      <c r="Z913" s="110"/>
    </row>
    <row r="914" ht="14.25" customHeight="1" spans="1:26">
      <c r="A914" s="132"/>
      <c r="B914" s="132"/>
      <c r="C914" s="132"/>
      <c r="D914" s="132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Y914" s="110"/>
      <c r="Z914" s="110"/>
    </row>
    <row r="915" ht="14.25" customHeight="1" spans="1:26">
      <c r="A915" s="132"/>
      <c r="B915" s="132"/>
      <c r="C915" s="132"/>
      <c r="D915" s="132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Y915" s="110"/>
      <c r="Z915" s="110"/>
    </row>
    <row r="916" ht="14.25" customHeight="1" spans="1:26">
      <c r="A916" s="132"/>
      <c r="B916" s="132"/>
      <c r="C916" s="132"/>
      <c r="D916" s="132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Y916" s="110"/>
      <c r="Z916" s="110"/>
    </row>
    <row r="917" ht="14.25" customHeight="1" spans="1:26">
      <c r="A917" s="132"/>
      <c r="B917" s="132"/>
      <c r="C917" s="132"/>
      <c r="D917" s="132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Y917" s="110"/>
      <c r="Z917" s="110"/>
    </row>
    <row r="918" ht="14.25" customHeight="1" spans="1:26">
      <c r="A918" s="132"/>
      <c r="B918" s="132"/>
      <c r="C918" s="132"/>
      <c r="D918" s="132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Y918" s="110"/>
      <c r="Z918" s="110"/>
    </row>
    <row r="919" ht="14.25" customHeight="1" spans="1:26">
      <c r="A919" s="132"/>
      <c r="B919" s="132"/>
      <c r="C919" s="132"/>
      <c r="D919" s="132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Y919" s="110"/>
      <c r="Z919" s="110"/>
    </row>
    <row r="920" ht="14.25" customHeight="1" spans="1:26">
      <c r="A920" s="132"/>
      <c r="B920" s="132"/>
      <c r="C920" s="132"/>
      <c r="D920" s="132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Y920" s="110"/>
      <c r="Z920" s="110"/>
    </row>
    <row r="921" ht="14.25" customHeight="1" spans="1:26">
      <c r="A921" s="132"/>
      <c r="B921" s="132"/>
      <c r="C921" s="132"/>
      <c r="D921" s="132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Y921" s="110"/>
      <c r="Z921" s="110"/>
    </row>
    <row r="922" ht="14.25" customHeight="1" spans="1:26">
      <c r="A922" s="132"/>
      <c r="B922" s="132"/>
      <c r="C922" s="132"/>
      <c r="D922" s="132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Y922" s="110"/>
      <c r="Z922" s="110"/>
    </row>
    <row r="923" ht="14.25" customHeight="1" spans="1:26">
      <c r="A923" s="132"/>
      <c r="B923" s="132"/>
      <c r="C923" s="132"/>
      <c r="D923" s="132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Y923" s="110"/>
      <c r="Z923" s="110"/>
    </row>
    <row r="924" ht="14.25" customHeight="1" spans="1:26">
      <c r="A924" s="132"/>
      <c r="B924" s="132"/>
      <c r="C924" s="132"/>
      <c r="D924" s="132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Y924" s="110"/>
      <c r="Z924" s="110"/>
    </row>
    <row r="925" ht="14.25" customHeight="1" spans="1:26">
      <c r="A925" s="132"/>
      <c r="B925" s="132"/>
      <c r="C925" s="132"/>
      <c r="D925" s="132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Y925" s="110"/>
      <c r="Z925" s="110"/>
    </row>
    <row r="926" ht="14.25" customHeight="1" spans="1:26">
      <c r="A926" s="132"/>
      <c r="B926" s="132"/>
      <c r="C926" s="132"/>
      <c r="D926" s="132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Y926" s="110"/>
      <c r="Z926" s="110"/>
    </row>
    <row r="927" ht="14.25" customHeight="1" spans="1:26">
      <c r="A927" s="132"/>
      <c r="B927" s="132"/>
      <c r="C927" s="132"/>
      <c r="D927" s="132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Y927" s="110"/>
      <c r="Z927" s="110"/>
    </row>
    <row r="928" ht="14.25" customHeight="1" spans="1:26">
      <c r="A928" s="132"/>
      <c r="B928" s="132"/>
      <c r="C928" s="132"/>
      <c r="D928" s="132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Y928" s="110"/>
      <c r="Z928" s="110"/>
    </row>
    <row r="929" ht="14.25" customHeight="1" spans="1:26">
      <c r="A929" s="132"/>
      <c r="B929" s="132"/>
      <c r="C929" s="132"/>
      <c r="D929" s="132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Y929" s="110"/>
      <c r="Z929" s="110"/>
    </row>
    <row r="930" ht="14.25" customHeight="1" spans="1:26">
      <c r="A930" s="132"/>
      <c r="B930" s="132"/>
      <c r="C930" s="132"/>
      <c r="D930" s="132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Y930" s="110"/>
      <c r="Z930" s="110"/>
    </row>
    <row r="931" ht="14.25" customHeight="1" spans="1:26">
      <c r="A931" s="132"/>
      <c r="B931" s="132"/>
      <c r="C931" s="132"/>
      <c r="D931" s="132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Y931" s="110"/>
      <c r="Z931" s="110"/>
    </row>
    <row r="932" ht="14.25" customHeight="1" spans="1:26">
      <c r="A932" s="132"/>
      <c r="B932" s="132"/>
      <c r="C932" s="132"/>
      <c r="D932" s="132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Y932" s="110"/>
      <c r="Z932" s="110"/>
    </row>
    <row r="933" ht="14.25" customHeight="1" spans="1:26">
      <c r="A933" s="132"/>
      <c r="B933" s="132"/>
      <c r="C933" s="132"/>
      <c r="D933" s="132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Y933" s="110"/>
      <c r="Z933" s="110"/>
    </row>
    <row r="934" ht="14.25" customHeight="1" spans="1:26">
      <c r="A934" s="132"/>
      <c r="B934" s="132"/>
      <c r="C934" s="132"/>
      <c r="D934" s="132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Y934" s="110"/>
      <c r="Z934" s="110"/>
    </row>
    <row r="935" ht="14.25" customHeight="1" spans="1:26">
      <c r="A935" s="132"/>
      <c r="B935" s="132"/>
      <c r="C935" s="132"/>
      <c r="D935" s="132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Y935" s="110"/>
      <c r="Z935" s="110"/>
    </row>
    <row r="936" ht="14.25" customHeight="1" spans="1:26">
      <c r="A936" s="132"/>
      <c r="B936" s="132"/>
      <c r="C936" s="132"/>
      <c r="D936" s="132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Y936" s="110"/>
      <c r="Z936" s="110"/>
    </row>
    <row r="937" ht="14.25" customHeight="1" spans="1:26">
      <c r="A937" s="132"/>
      <c r="B937" s="132"/>
      <c r="C937" s="132"/>
      <c r="D937" s="132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Y937" s="110"/>
      <c r="Z937" s="110"/>
    </row>
    <row r="938" ht="14.25" customHeight="1" spans="1:26">
      <c r="A938" s="132"/>
      <c r="B938" s="132"/>
      <c r="C938" s="132"/>
      <c r="D938" s="132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Y938" s="110"/>
      <c r="Z938" s="110"/>
    </row>
    <row r="939" ht="14.25" customHeight="1" spans="1:26">
      <c r="A939" s="132"/>
      <c r="B939" s="132"/>
      <c r="C939" s="132"/>
      <c r="D939" s="132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Y939" s="110"/>
      <c r="Z939" s="110"/>
    </row>
    <row r="940" ht="14.25" customHeight="1" spans="1:26">
      <c r="A940" s="132"/>
      <c r="B940" s="132"/>
      <c r="C940" s="132"/>
      <c r="D940" s="132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Y940" s="110"/>
      <c r="Z940" s="110"/>
    </row>
    <row r="941" ht="14.25" customHeight="1" spans="1:26">
      <c r="A941" s="132"/>
      <c r="B941" s="132"/>
      <c r="C941" s="132"/>
      <c r="D941" s="132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Y941" s="110"/>
      <c r="Z941" s="110"/>
    </row>
    <row r="942" ht="14.25" customHeight="1" spans="1:26">
      <c r="A942" s="132"/>
      <c r="B942" s="132"/>
      <c r="C942" s="132"/>
      <c r="D942" s="132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Y942" s="110"/>
      <c r="Z942" s="110"/>
    </row>
    <row r="943" ht="14.25" customHeight="1" spans="1:26">
      <c r="A943" s="132"/>
      <c r="B943" s="132"/>
      <c r="C943" s="132"/>
      <c r="D943" s="132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Y943" s="110"/>
      <c r="Z943" s="110"/>
    </row>
    <row r="944" ht="14.25" customHeight="1" spans="1:26">
      <c r="A944" s="132"/>
      <c r="B944" s="132"/>
      <c r="C944" s="132"/>
      <c r="D944" s="132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Y944" s="110"/>
      <c r="Z944" s="110"/>
    </row>
    <row r="945" ht="14.25" customHeight="1" spans="1:26">
      <c r="A945" s="132"/>
      <c r="B945" s="132"/>
      <c r="C945" s="132"/>
      <c r="D945" s="132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Y945" s="110"/>
      <c r="Z945" s="110"/>
    </row>
    <row r="946" ht="14.25" customHeight="1" spans="1:26">
      <c r="A946" s="132"/>
      <c r="B946" s="132"/>
      <c r="C946" s="132"/>
      <c r="D946" s="132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Y946" s="110"/>
      <c r="Z946" s="110"/>
    </row>
    <row r="947" ht="14.25" customHeight="1" spans="1:26">
      <c r="A947" s="132"/>
      <c r="B947" s="132"/>
      <c r="C947" s="132"/>
      <c r="D947" s="132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Y947" s="110"/>
      <c r="Z947" s="110"/>
    </row>
    <row r="948" ht="14.25" customHeight="1" spans="1:26">
      <c r="A948" s="132"/>
      <c r="B948" s="132"/>
      <c r="C948" s="132"/>
      <c r="D948" s="132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Y948" s="110"/>
      <c r="Z948" s="110"/>
    </row>
    <row r="949" ht="14.25" customHeight="1" spans="1:26">
      <c r="A949" s="132"/>
      <c r="B949" s="132"/>
      <c r="C949" s="132"/>
      <c r="D949" s="132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Y949" s="110"/>
      <c r="Z949" s="110"/>
    </row>
    <row r="950" ht="14.25" customHeight="1" spans="1:26">
      <c r="A950" s="132"/>
      <c r="B950" s="132"/>
      <c r="C950" s="132"/>
      <c r="D950" s="132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Y950" s="110"/>
      <c r="Z950" s="110"/>
    </row>
    <row r="951" ht="14.25" customHeight="1" spans="1:26">
      <c r="A951" s="132"/>
      <c r="B951" s="132"/>
      <c r="C951" s="132"/>
      <c r="D951" s="132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Y951" s="110"/>
      <c r="Z951" s="110"/>
    </row>
    <row r="952" ht="14.25" customHeight="1" spans="1:26">
      <c r="A952" s="132"/>
      <c r="B952" s="132"/>
      <c r="C952" s="132"/>
      <c r="D952" s="132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Y952" s="110"/>
      <c r="Z952" s="110"/>
    </row>
    <row r="953" ht="14.25" customHeight="1" spans="1:26">
      <c r="A953" s="132"/>
      <c r="B953" s="132"/>
      <c r="C953" s="132"/>
      <c r="D953" s="132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Y953" s="110"/>
      <c r="Z953" s="110"/>
    </row>
    <row r="954" ht="14.25" customHeight="1" spans="1:26">
      <c r="A954" s="132"/>
      <c r="B954" s="132"/>
      <c r="C954" s="132"/>
      <c r="D954" s="132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Y954" s="110"/>
      <c r="Z954" s="110"/>
    </row>
    <row r="955" ht="14.25" customHeight="1" spans="1:26">
      <c r="A955" s="132"/>
      <c r="B955" s="132"/>
      <c r="C955" s="132"/>
      <c r="D955" s="132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Y955" s="110"/>
      <c r="Z955" s="110"/>
    </row>
    <row r="956" ht="14.25" customHeight="1" spans="1:26">
      <c r="A956" s="132"/>
      <c r="B956" s="132"/>
      <c r="C956" s="132"/>
      <c r="D956" s="132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Y956" s="110"/>
      <c r="Z956" s="110"/>
    </row>
    <row r="957" ht="14.25" customHeight="1" spans="1:26">
      <c r="A957" s="132"/>
      <c r="B957" s="132"/>
      <c r="C957" s="132"/>
      <c r="D957" s="132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Y957" s="110"/>
      <c r="Z957" s="110"/>
    </row>
    <row r="958" ht="14.25" customHeight="1" spans="1:26">
      <c r="A958" s="132"/>
      <c r="B958" s="132"/>
      <c r="C958" s="132"/>
      <c r="D958" s="132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Y958" s="110"/>
      <c r="Z958" s="110"/>
    </row>
    <row r="959" ht="14.25" customHeight="1" spans="1:26">
      <c r="A959" s="132"/>
      <c r="B959" s="132"/>
      <c r="C959" s="132"/>
      <c r="D959" s="132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Y959" s="110"/>
      <c r="Z959" s="110"/>
    </row>
    <row r="960" ht="14.25" customHeight="1" spans="1:26">
      <c r="A960" s="132"/>
      <c r="B960" s="132"/>
      <c r="C960" s="132"/>
      <c r="D960" s="132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Y960" s="110"/>
      <c r="Z960" s="110"/>
    </row>
    <row r="961" ht="14.25" customHeight="1" spans="1:26">
      <c r="A961" s="132"/>
      <c r="B961" s="132"/>
      <c r="C961" s="132"/>
      <c r="D961" s="132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Y961" s="110"/>
      <c r="Z961" s="110"/>
    </row>
    <row r="962" ht="14.25" customHeight="1" spans="1:26">
      <c r="A962" s="132"/>
      <c r="B962" s="132"/>
      <c r="C962" s="132"/>
      <c r="D962" s="132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Y962" s="110"/>
      <c r="Z962" s="110"/>
    </row>
    <row r="963" ht="14.25" customHeight="1" spans="1:26">
      <c r="A963" s="132"/>
      <c r="B963" s="132"/>
      <c r="C963" s="132"/>
      <c r="D963" s="132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Y963" s="110"/>
      <c r="Z963" s="110"/>
    </row>
    <row r="964" ht="14.25" customHeight="1" spans="1:26">
      <c r="A964" s="132"/>
      <c r="B964" s="132"/>
      <c r="C964" s="132"/>
      <c r="D964" s="132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Y964" s="110"/>
      <c r="Z964" s="110"/>
    </row>
    <row r="965" ht="14.25" customHeight="1" spans="1:26">
      <c r="A965" s="132"/>
      <c r="B965" s="132"/>
      <c r="C965" s="132"/>
      <c r="D965" s="132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Y965" s="110"/>
      <c r="Z965" s="110"/>
    </row>
    <row r="966" ht="14.25" customHeight="1" spans="1:26">
      <c r="A966" s="132"/>
      <c r="B966" s="132"/>
      <c r="C966" s="132"/>
      <c r="D966" s="132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Y966" s="110"/>
      <c r="Z966" s="110"/>
    </row>
    <row r="967" ht="14.25" customHeight="1" spans="1:26">
      <c r="A967" s="132"/>
      <c r="B967" s="132"/>
      <c r="C967" s="132"/>
      <c r="D967" s="132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Y967" s="110"/>
      <c r="Z967" s="110"/>
    </row>
    <row r="968" ht="14.25" customHeight="1" spans="1:26">
      <c r="A968" s="132"/>
      <c r="B968" s="132"/>
      <c r="C968" s="132"/>
      <c r="D968" s="132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Y968" s="110"/>
      <c r="Z968" s="110"/>
    </row>
    <row r="969" ht="14.25" customHeight="1" spans="1:26">
      <c r="A969" s="132"/>
      <c r="B969" s="132"/>
      <c r="C969" s="132"/>
      <c r="D969" s="132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Y969" s="110"/>
      <c r="Z969" s="110"/>
    </row>
    <row r="970" ht="14.25" customHeight="1" spans="1:26">
      <c r="A970" s="132"/>
      <c r="B970" s="132"/>
      <c r="C970" s="132"/>
      <c r="D970" s="132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Y970" s="110"/>
      <c r="Z970" s="110"/>
    </row>
    <row r="971" ht="14.25" customHeight="1" spans="1:26">
      <c r="A971" s="132"/>
      <c r="B971" s="132"/>
      <c r="C971" s="132"/>
      <c r="D971" s="132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Y971" s="110"/>
      <c r="Z971" s="110"/>
    </row>
    <row r="972" ht="14.25" customHeight="1" spans="1:26">
      <c r="A972" s="132"/>
      <c r="B972" s="132"/>
      <c r="C972" s="132"/>
      <c r="D972" s="132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Y972" s="110"/>
      <c r="Z972" s="110"/>
    </row>
    <row r="973" ht="14.25" customHeight="1" spans="1:26">
      <c r="A973" s="132"/>
      <c r="B973" s="132"/>
      <c r="C973" s="132"/>
      <c r="D973" s="132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Y973" s="110"/>
      <c r="Z973" s="110"/>
    </row>
    <row r="974" ht="14.25" customHeight="1" spans="1:26">
      <c r="A974" s="132"/>
      <c r="B974" s="132"/>
      <c r="C974" s="132"/>
      <c r="D974" s="132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Y974" s="110"/>
      <c r="Z974" s="110"/>
    </row>
    <row r="975" ht="14.25" customHeight="1" spans="1:26">
      <c r="A975" s="132"/>
      <c r="B975" s="132"/>
      <c r="C975" s="132"/>
      <c r="D975" s="132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Y975" s="110"/>
      <c r="Z975" s="110"/>
    </row>
    <row r="976" ht="14.25" customHeight="1" spans="1:26">
      <c r="A976" s="132"/>
      <c r="B976" s="132"/>
      <c r="C976" s="132"/>
      <c r="D976" s="132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Y976" s="110"/>
      <c r="Z976" s="110"/>
    </row>
    <row r="977" ht="14.25" customHeight="1" spans="1:26">
      <c r="A977" s="132"/>
      <c r="B977" s="132"/>
      <c r="C977" s="132"/>
      <c r="D977" s="132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Y977" s="110"/>
      <c r="Z977" s="110"/>
    </row>
    <row r="978" ht="14.25" customHeight="1" spans="1:26">
      <c r="A978" s="132"/>
      <c r="B978" s="132"/>
      <c r="C978" s="132"/>
      <c r="D978" s="132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Y978" s="110"/>
      <c r="Z978" s="110"/>
    </row>
    <row r="979" ht="14.25" customHeight="1" spans="1:26">
      <c r="A979" s="132"/>
      <c r="B979" s="132"/>
      <c r="C979" s="132"/>
      <c r="D979" s="132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Y979" s="110"/>
      <c r="Z979" s="110"/>
    </row>
    <row r="980" ht="14.25" customHeight="1" spans="1:26">
      <c r="A980" s="132"/>
      <c r="B980" s="132"/>
      <c r="C980" s="132"/>
      <c r="D980" s="132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Y980" s="110"/>
      <c r="Z980" s="110"/>
    </row>
    <row r="981" ht="14.25" customHeight="1" spans="1:26">
      <c r="A981" s="132"/>
      <c r="B981" s="132"/>
      <c r="C981" s="132"/>
      <c r="D981" s="132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Y981" s="110"/>
      <c r="Z981" s="110"/>
    </row>
    <row r="982" ht="14.25" customHeight="1" spans="1:26">
      <c r="A982" s="132"/>
      <c r="B982" s="132"/>
      <c r="C982" s="132"/>
      <c r="D982" s="132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Y982" s="110"/>
      <c r="Z982" s="110"/>
    </row>
    <row r="983" ht="14.25" customHeight="1" spans="1:26">
      <c r="A983" s="132"/>
      <c r="B983" s="132"/>
      <c r="C983" s="132"/>
      <c r="D983" s="132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Y983" s="110"/>
      <c r="Z983" s="110"/>
    </row>
    <row r="984" ht="14.25" customHeight="1" spans="1:26">
      <c r="A984" s="132"/>
      <c r="B984" s="132"/>
      <c r="C984" s="132"/>
      <c r="D984" s="132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Y984" s="110"/>
      <c r="Z984" s="110"/>
    </row>
    <row r="985" ht="14.25" customHeight="1" spans="1:26">
      <c r="A985" s="132"/>
      <c r="B985" s="132"/>
      <c r="C985" s="132"/>
      <c r="D985" s="132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Y985" s="110"/>
      <c r="Z985" s="110"/>
    </row>
    <row r="986" ht="14.25" customHeight="1" spans="1:26">
      <c r="A986" s="132"/>
      <c r="B986" s="132"/>
      <c r="C986" s="132"/>
      <c r="D986" s="132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Y986" s="110"/>
      <c r="Z986" s="110"/>
    </row>
    <row r="987" ht="14.25" customHeight="1" spans="1:26">
      <c r="A987" s="132"/>
      <c r="B987" s="132"/>
      <c r="C987" s="132"/>
      <c r="D987" s="132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Y987" s="110"/>
      <c r="Z987" s="110"/>
    </row>
    <row r="988" ht="14.25" customHeight="1" spans="1:26">
      <c r="A988" s="132"/>
      <c r="B988" s="132"/>
      <c r="C988" s="132"/>
      <c r="D988" s="132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Y988" s="110"/>
      <c r="Z988" s="110"/>
    </row>
    <row r="989" ht="14.25" customHeight="1" spans="1:26">
      <c r="A989" s="132"/>
      <c r="B989" s="132"/>
      <c r="C989" s="132"/>
      <c r="D989" s="132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Y989" s="110"/>
      <c r="Z989" s="110"/>
    </row>
    <row r="990" ht="14.25" customHeight="1" spans="1:26">
      <c r="A990" s="132"/>
      <c r="B990" s="132"/>
      <c r="C990" s="132"/>
      <c r="D990" s="132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Y990" s="110"/>
      <c r="Z990" s="110"/>
    </row>
    <row r="991" ht="14.25" customHeight="1" spans="1:26">
      <c r="A991" s="132"/>
      <c r="B991" s="132"/>
      <c r="C991" s="132"/>
      <c r="D991" s="132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Y991" s="110"/>
      <c r="Z991" s="110"/>
    </row>
    <row r="992" ht="14.25" customHeight="1" spans="1:26">
      <c r="A992" s="132"/>
      <c r="B992" s="132"/>
      <c r="C992" s="132"/>
      <c r="D992" s="132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Y992" s="110"/>
      <c r="Z992" s="110"/>
    </row>
    <row r="993" ht="14.25" customHeight="1" spans="1:26">
      <c r="A993" s="132"/>
      <c r="B993" s="132"/>
      <c r="C993" s="132"/>
      <c r="D993" s="132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Y993" s="110"/>
      <c r="Z993" s="110"/>
    </row>
    <row r="994" ht="14.25" customHeight="1" spans="1:26">
      <c r="A994" s="132"/>
      <c r="B994" s="132"/>
      <c r="C994" s="132"/>
      <c r="D994" s="132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Y994" s="110"/>
      <c r="Z994" s="110"/>
    </row>
    <row r="995" ht="14.25" customHeight="1" spans="1:26">
      <c r="A995" s="132"/>
      <c r="B995" s="132"/>
      <c r="C995" s="132"/>
      <c r="D995" s="132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Y995" s="110"/>
      <c r="Z995" s="110"/>
    </row>
    <row r="996" ht="14.25" customHeight="1" spans="1:26">
      <c r="A996" s="132"/>
      <c r="B996" s="132"/>
      <c r="C996" s="132"/>
      <c r="D996" s="132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Y996" s="110"/>
      <c r="Z996" s="110"/>
    </row>
    <row r="997" ht="14.25" customHeight="1" spans="1:26">
      <c r="A997" s="132"/>
      <c r="B997" s="132"/>
      <c r="C997" s="132"/>
      <c r="D997" s="132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Y997" s="110"/>
      <c r="Z997" s="110"/>
    </row>
    <row r="998" ht="14.25" customHeight="1" spans="1:26">
      <c r="A998" s="132"/>
      <c r="B998" s="132"/>
      <c r="C998" s="132"/>
      <c r="D998" s="132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Y998" s="110"/>
      <c r="Z998" s="110"/>
    </row>
    <row r="999" ht="14.25" customHeight="1" spans="1:26">
      <c r="A999" s="132"/>
      <c r="B999" s="132"/>
      <c r="C999" s="132"/>
      <c r="D999" s="132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Y999" s="110"/>
      <c r="Z999" s="110"/>
    </row>
    <row r="1000" ht="14.25" customHeight="1" spans="1:26">
      <c r="A1000" s="132"/>
      <c r="B1000" s="132"/>
      <c r="C1000" s="132"/>
      <c r="D1000" s="132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Y1000" s="110"/>
      <c r="Z1000" s="110"/>
    </row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1.2166666666667" defaultRowHeight="15" customHeight="1"/>
  <cols>
    <col min="1" max="4" width="3.10833333333333" customWidth="1"/>
    <col min="5" max="5" width="20.6666666666667" customWidth="1"/>
    <col min="6" max="20" width="10.6666666666667" customWidth="1"/>
    <col min="21" max="21" width="3.10833333333333" customWidth="1"/>
    <col min="22" max="26" width="9" customWidth="1"/>
  </cols>
  <sheetData>
    <row r="1" customHeight="1" spans="1:26">
      <c r="A1" s="23"/>
      <c r="B1" s="71" t="s">
        <v>46</v>
      </c>
      <c r="C1" s="72"/>
      <c r="D1" s="72"/>
      <c r="E1" s="72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3"/>
      <c r="W1" s="23"/>
      <c r="X1" s="23"/>
      <c r="Y1" s="23"/>
      <c r="Z1" s="23"/>
    </row>
    <row r="2" customHeight="1" spans="1:26">
      <c r="A2" s="23"/>
      <c r="B2" s="73" t="s">
        <v>308</v>
      </c>
      <c r="C2" s="72"/>
      <c r="D2" s="72"/>
      <c r="E2" s="72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3"/>
      <c r="W2" s="23"/>
      <c r="X2" s="23"/>
      <c r="Y2" s="23"/>
      <c r="Z2" s="23"/>
    </row>
    <row r="3" customHeight="1" spans="1:26">
      <c r="A3" s="23"/>
      <c r="B3" s="74" t="s">
        <v>309</v>
      </c>
      <c r="C3" s="73"/>
      <c r="D3" s="72"/>
      <c r="E3" s="72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27"/>
      <c r="V3" s="23"/>
      <c r="W3" s="23"/>
      <c r="X3" s="23"/>
      <c r="Y3" s="23"/>
      <c r="Z3" s="23"/>
    </row>
    <row r="4" customHeight="1" spans="1:26">
      <c r="A4" s="75"/>
      <c r="B4" s="76"/>
      <c r="C4" s="76"/>
      <c r="D4" s="76"/>
      <c r="E4" s="76"/>
      <c r="F4" s="77" t="s">
        <v>310</v>
      </c>
      <c r="G4" s="77" t="s">
        <v>311</v>
      </c>
      <c r="H4" s="77" t="s">
        <v>287</v>
      </c>
      <c r="I4" s="77" t="s">
        <v>288</v>
      </c>
      <c r="J4" s="77" t="s">
        <v>289</v>
      </c>
      <c r="K4" s="77" t="s">
        <v>290</v>
      </c>
      <c r="L4" s="77" t="s">
        <v>291</v>
      </c>
      <c r="M4" s="77" t="s">
        <v>292</v>
      </c>
      <c r="N4" s="77" t="s">
        <v>293</v>
      </c>
      <c r="O4" s="77" t="s">
        <v>294</v>
      </c>
      <c r="P4" s="77" t="s">
        <v>295</v>
      </c>
      <c r="Q4" s="77" t="s">
        <v>296</v>
      </c>
      <c r="R4" s="77" t="s">
        <v>297</v>
      </c>
      <c r="S4" s="77" t="s">
        <v>298</v>
      </c>
      <c r="T4" s="77" t="s">
        <v>299</v>
      </c>
      <c r="U4" s="77"/>
      <c r="V4" s="75"/>
      <c r="W4" s="75"/>
      <c r="X4" s="75"/>
      <c r="Y4" s="75"/>
      <c r="Z4" s="75"/>
    </row>
    <row r="5" customHeight="1" spans="1:26">
      <c r="A5" s="34"/>
      <c r="B5" s="47" t="s">
        <v>11</v>
      </c>
      <c r="C5" s="47"/>
      <c r="D5" s="47"/>
      <c r="E5" s="47"/>
      <c r="F5" s="78"/>
      <c r="G5" s="78"/>
      <c r="H5" s="78">
        <f>营收预测!H27</f>
        <v>17858</v>
      </c>
      <c r="I5" s="78">
        <f>营收预测!I27</f>
        <v>19628</v>
      </c>
      <c r="J5" s="78">
        <f>营收预测!J27</f>
        <v>20752</v>
      </c>
      <c r="K5" s="78">
        <f>营收预测!K27</f>
        <v>23196</v>
      </c>
      <c r="L5" s="78">
        <f>营收预测!L27</f>
        <v>24878</v>
      </c>
      <c r="M5" s="78">
        <f>营收预测!M27</f>
        <v>27450</v>
      </c>
      <c r="N5" s="78">
        <f>营收预测!N27</f>
        <v>29504.545</v>
      </c>
      <c r="O5" s="78">
        <f>营收预测!O27</f>
        <v>31735.358475</v>
      </c>
      <c r="P5" s="78">
        <f>营收预测!P27</f>
        <v>34158.608594875</v>
      </c>
      <c r="Q5" s="78">
        <f>营收预测!Q27</f>
        <v>36778.7056661494</v>
      </c>
      <c r="R5" s="78">
        <f>营收预测!R27</f>
        <v>39627.8599533008</v>
      </c>
      <c r="S5" s="78">
        <f>营收预测!S27</f>
        <v>42713.5941316076</v>
      </c>
      <c r="T5" s="78">
        <f>营收预测!T27</f>
        <v>46072.4979588193</v>
      </c>
      <c r="U5" s="78"/>
      <c r="V5" s="79"/>
      <c r="W5" s="79"/>
      <c r="X5" s="79"/>
      <c r="Y5" s="34"/>
      <c r="Z5" s="34"/>
    </row>
    <row r="6" customHeight="1" spans="1:26">
      <c r="A6" s="80"/>
      <c r="B6" s="80"/>
      <c r="C6" s="285" t="s">
        <v>312</v>
      </c>
      <c r="D6" s="81"/>
      <c r="E6" s="81"/>
      <c r="F6" s="82"/>
      <c r="G6" s="82"/>
      <c r="H6" s="82" t="e">
        <f t="shared" ref="H6:T6" si="0">H5/G5-1</f>
        <v>#DIV/0!</v>
      </c>
      <c r="I6" s="82">
        <f t="shared" si="0"/>
        <v>0.0991152424683615</v>
      </c>
      <c r="J6" s="82">
        <f t="shared" si="0"/>
        <v>0.0572651314448747</v>
      </c>
      <c r="K6" s="82">
        <f t="shared" si="0"/>
        <v>0.117771781033153</v>
      </c>
      <c r="L6" s="82">
        <f t="shared" si="0"/>
        <v>0.0725125021555442</v>
      </c>
      <c r="M6" s="82">
        <f t="shared" si="0"/>
        <v>0.103384516440228</v>
      </c>
      <c r="N6" s="82">
        <f t="shared" si="0"/>
        <v>0.0748468123861565</v>
      </c>
      <c r="O6" s="82">
        <f t="shared" si="0"/>
        <v>0.0756091468280566</v>
      </c>
      <c r="P6" s="82">
        <f t="shared" si="0"/>
        <v>0.0763580509665254</v>
      </c>
      <c r="Q6" s="82">
        <f t="shared" si="0"/>
        <v>0.0767038582381685</v>
      </c>
      <c r="R6" s="82">
        <f t="shared" si="0"/>
        <v>0.0774674974430569</v>
      </c>
      <c r="S6" s="82">
        <f t="shared" si="0"/>
        <v>0.0778677976035851</v>
      </c>
      <c r="T6" s="82">
        <f t="shared" si="0"/>
        <v>0.0786378176667213</v>
      </c>
      <c r="U6" s="82"/>
      <c r="V6" s="83"/>
      <c r="W6" s="83"/>
      <c r="X6" s="80"/>
      <c r="Y6" s="80"/>
      <c r="Z6" s="80"/>
    </row>
    <row r="7" customHeight="1" spans="1:26">
      <c r="A7" s="34"/>
      <c r="B7" s="47" t="s">
        <v>49</v>
      </c>
      <c r="C7" s="47"/>
      <c r="D7" s="47"/>
      <c r="E7" s="47"/>
      <c r="F7" s="84"/>
      <c r="G7" s="84"/>
      <c r="H7" s="84">
        <f>营收预测!H30</f>
        <v>12408</v>
      </c>
      <c r="I7" s="84">
        <f>营收预测!I30</f>
        <v>13293</v>
      </c>
      <c r="J7" s="84">
        <f>营收预测!J30</f>
        <v>13865</v>
      </c>
      <c r="K7" s="84">
        <f>营收预测!K30</f>
        <v>14762</v>
      </c>
      <c r="L7" s="84">
        <f>营收预测!L30</f>
        <v>15375</v>
      </c>
      <c r="M7" s="84">
        <f>营收预测!M30</f>
        <v>17131</v>
      </c>
      <c r="N7" s="84">
        <f>营收预测!N30</f>
        <v>18383.6961979873</v>
      </c>
      <c r="O7" s="84">
        <f>营收预测!O30</f>
        <v>19741.9364245883</v>
      </c>
      <c r="P7" s="84">
        <f>营收预测!P30</f>
        <v>21215.23360368</v>
      </c>
      <c r="Q7" s="84">
        <f>营收预测!Q30</f>
        <v>22805.7451688401</v>
      </c>
      <c r="R7" s="84">
        <f>营收预测!R30</f>
        <v>24965.5517705795</v>
      </c>
      <c r="S7" s="84">
        <f>营收预测!S30</f>
        <v>26909.5643029128</v>
      </c>
      <c r="T7" s="84">
        <f>营收预测!T30</f>
        <v>29025.6737140562</v>
      </c>
      <c r="U7" s="78"/>
      <c r="V7" s="79"/>
      <c r="W7" s="79"/>
      <c r="X7" s="79"/>
      <c r="Y7" s="34"/>
      <c r="Z7" s="34"/>
    </row>
    <row r="8" customHeight="1" spans="1:26">
      <c r="A8" s="80"/>
      <c r="B8" s="80"/>
      <c r="C8" s="285" t="s">
        <v>312</v>
      </c>
      <c r="D8" s="81"/>
      <c r="E8" s="81"/>
      <c r="F8" s="82"/>
      <c r="G8" s="82"/>
      <c r="H8" s="82" t="e">
        <f t="shared" ref="H8:T8" si="1">H7/G7-1</f>
        <v>#DIV/0!</v>
      </c>
      <c r="I8" s="82">
        <f t="shared" si="1"/>
        <v>0.0713249516441006</v>
      </c>
      <c r="J8" s="82">
        <f t="shared" si="1"/>
        <v>0.0430301662529151</v>
      </c>
      <c r="K8" s="82">
        <f t="shared" si="1"/>
        <v>0.0646952758745041</v>
      </c>
      <c r="L8" s="82">
        <f t="shared" si="1"/>
        <v>0.0415255385449127</v>
      </c>
      <c r="M8" s="82">
        <f t="shared" si="1"/>
        <v>0.114211382113821</v>
      </c>
      <c r="N8" s="82">
        <f t="shared" si="1"/>
        <v>0.0731245226774415</v>
      </c>
      <c r="O8" s="82">
        <f t="shared" si="1"/>
        <v>0.0738828694715761</v>
      </c>
      <c r="P8" s="82">
        <f t="shared" si="1"/>
        <v>0.074627794731259</v>
      </c>
      <c r="Q8" s="82">
        <f t="shared" si="1"/>
        <v>0.0749702593368691</v>
      </c>
      <c r="R8" s="82">
        <f t="shared" si="1"/>
        <v>0.094704495983333</v>
      </c>
      <c r="S8" s="82">
        <f t="shared" si="1"/>
        <v>0.0778677976035851</v>
      </c>
      <c r="T8" s="82">
        <f t="shared" si="1"/>
        <v>0.0786378176667215</v>
      </c>
      <c r="U8" s="82"/>
      <c r="V8" s="83"/>
      <c r="W8" s="83"/>
      <c r="X8" s="80"/>
      <c r="Y8" s="80"/>
      <c r="Z8" s="80"/>
    </row>
    <row r="9" customHeight="1" spans="1:26">
      <c r="A9" s="23"/>
      <c r="B9" s="27"/>
      <c r="C9" s="85"/>
      <c r="D9" s="23"/>
      <c r="E9" s="86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 t="s">
        <v>313</v>
      </c>
      <c r="R9" s="67">
        <f>(R5/M5)^(1/5)-1</f>
        <v>0.076196695371348</v>
      </c>
      <c r="S9" s="84"/>
      <c r="T9" s="84"/>
      <c r="U9" s="84"/>
      <c r="V9" s="87"/>
      <c r="W9" s="87"/>
      <c r="X9" s="87"/>
      <c r="Y9" s="23"/>
      <c r="Z9" s="23"/>
    </row>
    <row r="10" customHeight="1" spans="1:26">
      <c r="A10" s="34"/>
      <c r="B10" s="34" t="s">
        <v>11</v>
      </c>
      <c r="C10" s="34"/>
      <c r="D10" s="34"/>
      <c r="E10" s="34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79"/>
      <c r="W10" s="79"/>
      <c r="X10" s="79"/>
      <c r="Y10" s="34"/>
      <c r="Z10" s="34"/>
    </row>
    <row r="11" customHeight="1" spans="1:26">
      <c r="A11" s="89"/>
      <c r="B11" s="90"/>
      <c r="C11" s="86" t="s">
        <v>314</v>
      </c>
      <c r="D11" s="91"/>
      <c r="E11" s="92"/>
      <c r="F11" s="93"/>
      <c r="G11" s="93"/>
      <c r="H11" s="93"/>
      <c r="I11" s="93"/>
      <c r="J11" s="93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5"/>
      <c r="V11" s="96"/>
      <c r="W11" s="96"/>
      <c r="X11" s="96"/>
      <c r="Y11" s="89"/>
      <c r="Z11" s="89"/>
    </row>
    <row r="12" customHeight="1" spans="1:26">
      <c r="A12" s="89"/>
      <c r="B12" s="90"/>
      <c r="C12" s="86" t="s">
        <v>315</v>
      </c>
      <c r="D12" s="91"/>
      <c r="E12" s="92"/>
      <c r="F12" s="93"/>
      <c r="G12" s="93"/>
      <c r="H12" s="93"/>
      <c r="I12" s="93"/>
      <c r="J12" s="93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5"/>
      <c r="V12" s="96"/>
      <c r="W12" s="96"/>
      <c r="X12" s="96"/>
      <c r="Y12" s="89"/>
      <c r="Z12" s="89"/>
    </row>
    <row r="13" customHeight="1" spans="1:26">
      <c r="A13" s="89"/>
      <c r="B13" s="90"/>
      <c r="C13" s="86" t="s">
        <v>316</v>
      </c>
      <c r="D13" s="91"/>
      <c r="E13" s="92"/>
      <c r="F13" s="93"/>
      <c r="G13" s="93"/>
      <c r="H13" s="93"/>
      <c r="I13" s="93"/>
      <c r="J13" s="93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96"/>
      <c r="W13" s="96"/>
      <c r="X13" s="96"/>
      <c r="Y13" s="89"/>
      <c r="Z13" s="89"/>
    </row>
    <row r="14" customHeight="1" spans="1:26">
      <c r="A14" s="23"/>
      <c r="B14" s="27"/>
      <c r="C14" s="85"/>
      <c r="D14" s="23"/>
      <c r="E14" s="86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84"/>
      <c r="V14" s="87"/>
      <c r="W14" s="87"/>
      <c r="X14" s="87"/>
      <c r="Y14" s="23"/>
      <c r="Z14" s="23"/>
    </row>
    <row r="15" customHeight="1" spans="1:26">
      <c r="A15" s="89"/>
      <c r="B15" s="90"/>
      <c r="C15" s="86" t="str">
        <f t="shared" ref="C15:C17" si="2">C11</f>
        <v>Category A</v>
      </c>
      <c r="D15" s="23"/>
      <c r="E15" s="86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5"/>
      <c r="V15" s="96"/>
      <c r="W15" s="96"/>
      <c r="X15" s="96"/>
      <c r="Y15" s="89"/>
      <c r="Z15" s="89"/>
    </row>
    <row r="16" customHeight="1" spans="1:26">
      <c r="A16" s="89"/>
      <c r="B16" s="90"/>
      <c r="C16" s="86" t="str">
        <f t="shared" si="2"/>
        <v>Category B</v>
      </c>
      <c r="D16" s="23"/>
      <c r="E16" s="86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5"/>
      <c r="V16" s="96"/>
      <c r="W16" s="96"/>
      <c r="X16" s="96"/>
      <c r="Y16" s="89"/>
      <c r="Z16" s="89"/>
    </row>
    <row r="17" customHeight="1" spans="1:26">
      <c r="A17" s="89"/>
      <c r="B17" s="90"/>
      <c r="C17" s="86" t="str">
        <f t="shared" si="2"/>
        <v>Category C</v>
      </c>
      <c r="D17" s="23"/>
      <c r="E17" s="86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5"/>
      <c r="V17" s="96"/>
      <c r="W17" s="96"/>
      <c r="X17" s="96"/>
      <c r="Y17" s="89"/>
      <c r="Z17" s="89"/>
    </row>
    <row r="18" customHeight="1" spans="1:26">
      <c r="A18" s="23"/>
      <c r="B18" s="27"/>
      <c r="C18" s="85"/>
      <c r="D18" s="23"/>
      <c r="E18" s="86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84"/>
      <c r="V18" s="87"/>
      <c r="W18" s="87"/>
      <c r="X18" s="87"/>
      <c r="Y18" s="23"/>
      <c r="Z18" s="23"/>
    </row>
    <row r="19" customHeight="1" spans="1:26">
      <c r="A19" s="34"/>
      <c r="B19" s="47" t="s">
        <v>317</v>
      </c>
      <c r="C19" s="47"/>
      <c r="D19" s="47"/>
      <c r="E19" s="47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78"/>
      <c r="V19" s="79"/>
      <c r="W19" s="79"/>
      <c r="X19" s="79"/>
      <c r="Y19" s="34"/>
      <c r="Z19" s="34"/>
    </row>
    <row r="20" customHeight="1" spans="1:26">
      <c r="A20" s="89"/>
      <c r="B20" s="90"/>
      <c r="C20" s="86" t="str">
        <f t="shared" ref="C20:C22" si="3">C11</f>
        <v>Category A</v>
      </c>
      <c r="D20" s="23"/>
      <c r="E20" s="86"/>
      <c r="F20" s="93"/>
      <c r="G20" s="93"/>
      <c r="H20" s="93"/>
      <c r="I20" s="93"/>
      <c r="J20" s="93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5"/>
      <c r="V20" s="96"/>
      <c r="W20" s="96"/>
      <c r="X20" s="96"/>
      <c r="Y20" s="89"/>
      <c r="Z20" s="89"/>
    </row>
    <row r="21" customHeight="1" spans="1:26">
      <c r="A21" s="89"/>
      <c r="B21" s="90"/>
      <c r="C21" s="86" t="str">
        <f t="shared" si="3"/>
        <v>Category B</v>
      </c>
      <c r="D21" s="23"/>
      <c r="E21" s="86"/>
      <c r="F21" s="93"/>
      <c r="G21" s="93"/>
      <c r="H21" s="93"/>
      <c r="I21" s="93"/>
      <c r="J21" s="93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96"/>
      <c r="W21" s="96"/>
      <c r="X21" s="96"/>
      <c r="Y21" s="89"/>
      <c r="Z21" s="89"/>
    </row>
    <row r="22" customHeight="1" spans="1:26">
      <c r="A22" s="89"/>
      <c r="B22" s="90"/>
      <c r="C22" s="86" t="str">
        <f t="shared" si="3"/>
        <v>Category C</v>
      </c>
      <c r="D22" s="23"/>
      <c r="E22" s="86"/>
      <c r="F22" s="93"/>
      <c r="G22" s="93"/>
      <c r="H22" s="93"/>
      <c r="I22" s="93"/>
      <c r="J22" s="93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5"/>
      <c r="V22" s="96"/>
      <c r="W22" s="96"/>
      <c r="X22" s="96"/>
      <c r="Y22" s="89"/>
      <c r="Z22" s="89"/>
    </row>
    <row r="23" customHeight="1" spans="1:26">
      <c r="A23" s="23"/>
      <c r="B23" s="27"/>
      <c r="C23" s="85"/>
      <c r="D23" s="23"/>
      <c r="E23" s="86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84"/>
      <c r="V23" s="87"/>
      <c r="W23" s="87"/>
      <c r="X23" s="87"/>
      <c r="Y23" s="23"/>
      <c r="Z23" s="23"/>
    </row>
    <row r="24" customHeight="1" spans="1:26">
      <c r="A24" s="34"/>
      <c r="B24" s="47" t="s">
        <v>318</v>
      </c>
      <c r="C24" s="47"/>
      <c r="D24" s="47"/>
      <c r="E24" s="47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78"/>
      <c r="V24" s="79"/>
      <c r="W24" s="79"/>
      <c r="X24" s="79"/>
      <c r="Y24" s="34"/>
      <c r="Z24" s="34"/>
    </row>
    <row r="25" customHeight="1" spans="1:26">
      <c r="A25" s="89"/>
      <c r="B25" s="90"/>
      <c r="C25" s="86" t="str">
        <f t="shared" ref="C25:C27" si="4">C11</f>
        <v>Category A</v>
      </c>
      <c r="D25" s="23"/>
      <c r="E25" s="86"/>
      <c r="F25" s="93"/>
      <c r="G25" s="99"/>
      <c r="H25" s="99"/>
      <c r="I25" s="99"/>
      <c r="J25" s="99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95"/>
      <c r="V25" s="96"/>
      <c r="W25" s="96"/>
      <c r="X25" s="96"/>
      <c r="Y25" s="89"/>
      <c r="Z25" s="89"/>
    </row>
    <row r="26" customHeight="1" spans="1:26">
      <c r="A26" s="89"/>
      <c r="B26" s="90"/>
      <c r="C26" s="86" t="str">
        <f t="shared" si="4"/>
        <v>Category B</v>
      </c>
      <c r="D26" s="23"/>
      <c r="E26" s="86"/>
      <c r="F26" s="93"/>
      <c r="G26" s="99"/>
      <c r="H26" s="99"/>
      <c r="I26" s="99"/>
      <c r="J26" s="99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95"/>
      <c r="V26" s="96"/>
      <c r="W26" s="96"/>
      <c r="X26" s="96"/>
      <c r="Y26" s="89"/>
      <c r="Z26" s="89"/>
    </row>
    <row r="27" customHeight="1" spans="1:26">
      <c r="A27" s="89"/>
      <c r="B27" s="90"/>
      <c r="C27" s="86" t="str">
        <f t="shared" si="4"/>
        <v>Category C</v>
      </c>
      <c r="D27" s="23"/>
      <c r="E27" s="86"/>
      <c r="F27" s="93"/>
      <c r="G27" s="99"/>
      <c r="H27" s="99"/>
      <c r="I27" s="99"/>
      <c r="J27" s="99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95"/>
      <c r="V27" s="96"/>
      <c r="W27" s="96"/>
      <c r="X27" s="96"/>
      <c r="Y27" s="89"/>
      <c r="Z27" s="89"/>
    </row>
    <row r="28" customHeight="1" spans="1:26">
      <c r="A28" s="23"/>
      <c r="B28" s="27"/>
      <c r="C28" s="85"/>
      <c r="D28" s="23"/>
      <c r="E28" s="86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84"/>
      <c r="V28" s="87"/>
      <c r="W28" s="87"/>
      <c r="X28" s="87"/>
      <c r="Y28" s="23"/>
      <c r="Z28" s="23"/>
    </row>
    <row r="29" customHeight="1" spans="1:26">
      <c r="A29" s="34"/>
      <c r="B29" s="47" t="s">
        <v>319</v>
      </c>
      <c r="C29" s="47"/>
      <c r="D29" s="47"/>
      <c r="E29" s="47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78"/>
      <c r="V29" s="79"/>
      <c r="W29" s="79"/>
      <c r="X29" s="79"/>
      <c r="Y29" s="34"/>
      <c r="Z29" s="34"/>
    </row>
    <row r="30" customHeight="1" spans="1:26">
      <c r="A30" s="89"/>
      <c r="B30" s="90"/>
      <c r="C30" s="86" t="str">
        <f t="shared" ref="C30:C32" si="5">C11</f>
        <v>Category A</v>
      </c>
      <c r="D30" s="23"/>
      <c r="E30" s="86"/>
      <c r="F30" s="101"/>
      <c r="G30" s="101"/>
      <c r="H30" s="101"/>
      <c r="I30" s="101"/>
      <c r="J30" s="101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95"/>
      <c r="V30" s="96"/>
      <c r="W30" s="96"/>
      <c r="X30" s="96"/>
      <c r="Y30" s="89"/>
      <c r="Z30" s="89"/>
    </row>
    <row r="31" customHeight="1" spans="1:26">
      <c r="A31" s="89"/>
      <c r="B31" s="90"/>
      <c r="C31" s="86" t="str">
        <f t="shared" si="5"/>
        <v>Category B</v>
      </c>
      <c r="D31" s="23"/>
      <c r="E31" s="86"/>
      <c r="F31" s="101"/>
      <c r="G31" s="101"/>
      <c r="H31" s="101"/>
      <c r="I31" s="101"/>
      <c r="J31" s="101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95"/>
      <c r="V31" s="96"/>
      <c r="W31" s="96"/>
      <c r="X31" s="96"/>
      <c r="Y31" s="89"/>
      <c r="Z31" s="89"/>
    </row>
    <row r="32" customHeight="1" spans="1:26">
      <c r="A32" s="89"/>
      <c r="B32" s="90"/>
      <c r="C32" s="86" t="str">
        <f t="shared" si="5"/>
        <v>Category C</v>
      </c>
      <c r="D32" s="23"/>
      <c r="E32" s="86"/>
      <c r="F32" s="101"/>
      <c r="G32" s="101"/>
      <c r="H32" s="101"/>
      <c r="I32" s="101"/>
      <c r="J32" s="101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95"/>
      <c r="V32" s="96"/>
      <c r="W32" s="96"/>
      <c r="X32" s="96"/>
      <c r="Y32" s="89"/>
      <c r="Z32" s="89"/>
    </row>
    <row r="33" customHeight="1" spans="1:26">
      <c r="A33" s="23"/>
      <c r="B33" s="27"/>
      <c r="C33" s="85"/>
      <c r="D33" s="23"/>
      <c r="E33" s="86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84"/>
      <c r="V33" s="87"/>
      <c r="W33" s="87"/>
      <c r="X33" s="87"/>
      <c r="Y33" s="23"/>
      <c r="Z33" s="23"/>
    </row>
    <row r="34" customHeight="1" spans="1:26">
      <c r="A34" s="34"/>
      <c r="B34" s="47" t="s">
        <v>52</v>
      </c>
      <c r="C34" s="47"/>
      <c r="D34" s="47"/>
      <c r="E34" s="47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78"/>
      <c r="V34" s="79"/>
      <c r="W34" s="79"/>
      <c r="X34" s="79"/>
      <c r="Y34" s="34"/>
      <c r="Z34" s="34"/>
    </row>
    <row r="35" customHeight="1" spans="1:26">
      <c r="A35" s="89"/>
      <c r="B35" s="90"/>
      <c r="C35" s="86" t="str">
        <f t="shared" ref="C35:C37" si="6">C11</f>
        <v>Category A</v>
      </c>
      <c r="D35" s="23"/>
      <c r="E35" s="86"/>
      <c r="F35" s="99"/>
      <c r="G35" s="99"/>
      <c r="H35" s="99"/>
      <c r="I35" s="99"/>
      <c r="J35" s="99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95"/>
      <c r="V35" s="96"/>
      <c r="W35" s="96"/>
      <c r="X35" s="96"/>
      <c r="Y35" s="89"/>
      <c r="Z35" s="89"/>
    </row>
    <row r="36" customHeight="1" spans="1:26">
      <c r="A36" s="89"/>
      <c r="B36" s="90"/>
      <c r="C36" s="86" t="str">
        <f t="shared" si="6"/>
        <v>Category B</v>
      </c>
      <c r="D36" s="23"/>
      <c r="E36" s="86"/>
      <c r="F36" s="99"/>
      <c r="G36" s="99"/>
      <c r="H36" s="99"/>
      <c r="I36" s="99"/>
      <c r="J36" s="99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95"/>
      <c r="V36" s="96"/>
      <c r="W36" s="96"/>
      <c r="X36" s="96"/>
      <c r="Y36" s="89"/>
      <c r="Z36" s="89"/>
    </row>
    <row r="37" customHeight="1" spans="1:26">
      <c r="A37" s="89"/>
      <c r="B37" s="90"/>
      <c r="C37" s="86" t="str">
        <f t="shared" si="6"/>
        <v>Category C</v>
      </c>
      <c r="D37" s="23"/>
      <c r="E37" s="86"/>
      <c r="F37" s="99"/>
      <c r="G37" s="99"/>
      <c r="H37" s="99"/>
      <c r="I37" s="99"/>
      <c r="J37" s="99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95"/>
      <c r="V37" s="96"/>
      <c r="W37" s="96"/>
      <c r="X37" s="96"/>
      <c r="Y37" s="89"/>
      <c r="Z37" s="89"/>
    </row>
    <row r="38" customHeight="1" spans="1:26">
      <c r="A38" s="23"/>
      <c r="B38" s="27"/>
      <c r="C38" s="85"/>
      <c r="D38" s="23"/>
      <c r="E38" s="86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84"/>
      <c r="V38" s="87"/>
      <c r="W38" s="87"/>
      <c r="X38" s="87"/>
      <c r="Y38" s="23"/>
      <c r="Z38" s="23"/>
    </row>
    <row r="39" customHeight="1" spans="1:26">
      <c r="A39" s="34"/>
      <c r="B39" s="47" t="s">
        <v>50</v>
      </c>
      <c r="C39" s="47"/>
      <c r="D39" s="47"/>
      <c r="E39" s="4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78"/>
      <c r="V39" s="79"/>
      <c r="W39" s="79"/>
      <c r="X39" s="79"/>
      <c r="Y39" s="34"/>
      <c r="Z39" s="34"/>
    </row>
    <row r="40" customHeight="1" spans="1:26">
      <c r="A40" s="23"/>
      <c r="B40" s="80"/>
      <c r="C40" s="80" t="str">
        <f t="shared" ref="C40:C42" si="7">C11</f>
        <v>Category A</v>
      </c>
      <c r="D40" s="80"/>
      <c r="E40" s="80"/>
      <c r="F40" s="102"/>
      <c r="G40" s="102"/>
      <c r="H40" s="102"/>
      <c r="I40" s="102"/>
      <c r="J40" s="102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/>
      <c r="V40" s="87"/>
      <c r="W40" s="87"/>
      <c r="X40" s="87"/>
      <c r="Y40" s="23"/>
      <c r="Z40" s="23"/>
    </row>
    <row r="41" customHeight="1" spans="1:26">
      <c r="A41" s="23"/>
      <c r="B41" s="80"/>
      <c r="C41" s="80" t="str">
        <f t="shared" si="7"/>
        <v>Category B</v>
      </c>
      <c r="D41" s="80"/>
      <c r="E41" s="80"/>
      <c r="F41" s="102"/>
      <c r="G41" s="102"/>
      <c r="H41" s="102"/>
      <c r="I41" s="102"/>
      <c r="J41" s="102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/>
      <c r="V41" s="87"/>
      <c r="W41" s="87"/>
      <c r="X41" s="87"/>
      <c r="Y41" s="23"/>
      <c r="Z41" s="23"/>
    </row>
    <row r="42" customHeight="1" spans="1:26">
      <c r="A42" s="23"/>
      <c r="B42" s="80"/>
      <c r="C42" s="80" t="str">
        <f t="shared" si="7"/>
        <v>Category C</v>
      </c>
      <c r="D42" s="80"/>
      <c r="E42" s="80"/>
      <c r="F42" s="102"/>
      <c r="G42" s="102"/>
      <c r="H42" s="102"/>
      <c r="I42" s="102"/>
      <c r="J42" s="102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/>
      <c r="V42" s="87"/>
      <c r="W42" s="87"/>
      <c r="X42" s="87"/>
      <c r="Y42" s="23"/>
      <c r="Z42" s="23"/>
    </row>
    <row r="43" customHeight="1" spans="1:26">
      <c r="A43" s="34"/>
      <c r="B43" s="34"/>
      <c r="C43" s="34"/>
      <c r="D43" s="34"/>
      <c r="E43" s="34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79"/>
      <c r="W43" s="79"/>
      <c r="X43" s="79"/>
      <c r="Y43" s="34"/>
      <c r="Z43" s="34"/>
    </row>
    <row r="44" customHeight="1" spans="1:26">
      <c r="A44" s="23"/>
      <c r="B44" s="23"/>
      <c r="C44" s="23"/>
      <c r="D44" s="70"/>
      <c r="E44" s="7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3"/>
      <c r="W44" s="23"/>
      <c r="X44" s="23"/>
      <c r="Y44" s="23"/>
      <c r="Z44" s="23"/>
    </row>
    <row r="45" customHeight="1" spans="1:26">
      <c r="A45" s="23"/>
      <c r="B45" s="23"/>
      <c r="C45" s="23"/>
      <c r="D45" s="70"/>
      <c r="E45" s="70"/>
      <c r="F45" s="27"/>
      <c r="G45" s="23"/>
      <c r="H45" s="84"/>
      <c r="I45" s="84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3"/>
      <c r="W45" s="23"/>
      <c r="X45" s="23"/>
      <c r="Y45" s="23"/>
      <c r="Z45" s="23"/>
    </row>
    <row r="46" customHeight="1" spans="1:26">
      <c r="A46" s="23"/>
      <c r="B46" s="23"/>
      <c r="C46" s="23"/>
      <c r="D46" s="70"/>
      <c r="E46" s="70"/>
      <c r="F46" s="27"/>
      <c r="G46" s="23"/>
      <c r="H46" s="84"/>
      <c r="I46" s="84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3"/>
      <c r="W46" s="23"/>
      <c r="X46" s="23"/>
      <c r="Y46" s="23"/>
      <c r="Z46" s="23"/>
    </row>
    <row r="47" customHeight="1" spans="1:26">
      <c r="A47" s="23"/>
      <c r="B47" s="23"/>
      <c r="C47" s="23"/>
      <c r="D47" s="70"/>
      <c r="E47" s="70"/>
      <c r="F47" s="27"/>
      <c r="G47" s="23"/>
      <c r="H47" s="84"/>
      <c r="I47" s="84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3"/>
      <c r="W47" s="23"/>
      <c r="X47" s="23"/>
      <c r="Y47" s="23"/>
      <c r="Z47" s="23"/>
    </row>
    <row r="48" customHeight="1" spans="1:26">
      <c r="A48" s="23"/>
      <c r="B48" s="23"/>
      <c r="C48" s="23"/>
      <c r="D48" s="70"/>
      <c r="E48" s="23"/>
      <c r="F48" s="27"/>
      <c r="G48" s="23"/>
      <c r="H48" s="84"/>
      <c r="I48" s="84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3"/>
      <c r="W48" s="23"/>
      <c r="X48" s="23"/>
      <c r="Y48" s="23"/>
      <c r="Z48" s="23"/>
    </row>
    <row r="49" customHeight="1" spans="1:26">
      <c r="A49" s="23"/>
      <c r="B49" s="23"/>
      <c r="C49" s="23"/>
      <c r="D49" s="70"/>
      <c r="E49" s="70"/>
      <c r="F49" s="27"/>
      <c r="G49" s="23"/>
      <c r="H49" s="84"/>
      <c r="I49" s="84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3"/>
      <c r="W49" s="23"/>
      <c r="X49" s="23"/>
      <c r="Y49" s="23"/>
      <c r="Z49" s="23"/>
    </row>
    <row r="50" customHeight="1" spans="1:26">
      <c r="A50" s="23"/>
      <c r="B50" s="23"/>
      <c r="C50" s="23"/>
      <c r="D50" s="23"/>
      <c r="E50" s="70"/>
      <c r="F50" s="27"/>
      <c r="G50" s="23"/>
      <c r="H50" s="84"/>
      <c r="I50" s="84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3"/>
      <c r="W50" s="23"/>
      <c r="X50" s="23"/>
      <c r="Y50" s="23"/>
      <c r="Z50" s="23"/>
    </row>
    <row r="51" customHeight="1" spans="1:26">
      <c r="A51" s="23"/>
      <c r="B51" s="23"/>
      <c r="C51" s="23"/>
      <c r="D51" s="70"/>
      <c r="E51" s="70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3"/>
      <c r="W51" s="23"/>
      <c r="X51" s="23"/>
      <c r="Y51" s="23"/>
      <c r="Z51" s="23"/>
    </row>
    <row r="52" customHeight="1" spans="1:26">
      <c r="A52" s="23"/>
      <c r="B52" s="23"/>
      <c r="C52" s="23"/>
      <c r="D52" s="23"/>
      <c r="E52" s="23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3"/>
      <c r="W52" s="23"/>
      <c r="X52" s="23"/>
      <c r="Y52" s="23"/>
      <c r="Z52" s="23"/>
    </row>
    <row r="53" ht="15.75" customHeight="1" spans="1:26">
      <c r="A53" s="23"/>
      <c r="B53" s="23"/>
      <c r="C53" s="23"/>
      <c r="D53" s="23"/>
      <c r="E53" s="23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3"/>
      <c r="W53" s="23"/>
      <c r="X53" s="23"/>
      <c r="Y53" s="23"/>
      <c r="Z53" s="23"/>
    </row>
    <row r="54" ht="15.75" customHeight="1" spans="1:26">
      <c r="A54" s="23"/>
      <c r="B54" s="23"/>
      <c r="C54" s="23"/>
      <c r="D54" s="23"/>
      <c r="E54" s="23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3"/>
      <c r="W54" s="23"/>
      <c r="X54" s="23"/>
      <c r="Y54" s="23"/>
      <c r="Z54" s="23"/>
    </row>
    <row r="55" ht="15.75" customHeight="1" spans="1:26">
      <c r="A55" s="23"/>
      <c r="B55" s="23"/>
      <c r="C55" s="23"/>
      <c r="D55" s="23"/>
      <c r="E55" s="23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3"/>
      <c r="W55" s="23"/>
      <c r="X55" s="23"/>
      <c r="Y55" s="23"/>
      <c r="Z55" s="23"/>
    </row>
    <row r="56" ht="15.75" customHeight="1" spans="1:26">
      <c r="A56" s="23"/>
      <c r="B56" s="23"/>
      <c r="C56" s="23"/>
      <c r="D56" s="23"/>
      <c r="E56" s="23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3"/>
      <c r="W56" s="23"/>
      <c r="X56" s="23"/>
      <c r="Y56" s="23"/>
      <c r="Z56" s="23"/>
    </row>
    <row r="57" ht="15.75" customHeight="1" spans="1:26">
      <c r="A57" s="23"/>
      <c r="B57" s="23"/>
      <c r="C57" s="23"/>
      <c r="D57" s="23"/>
      <c r="E57" s="23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3"/>
      <c r="W57" s="23"/>
      <c r="X57" s="23"/>
      <c r="Y57" s="23"/>
      <c r="Z57" s="23"/>
    </row>
    <row r="58" ht="15.75" customHeight="1" spans="1:26">
      <c r="A58" s="23"/>
      <c r="B58" s="23"/>
      <c r="C58" s="23"/>
      <c r="D58" s="23"/>
      <c r="E58" s="23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3"/>
      <c r="W58" s="23"/>
      <c r="X58" s="23"/>
      <c r="Y58" s="23"/>
      <c r="Z58" s="23"/>
    </row>
    <row r="59" ht="15.75" customHeight="1" spans="1:26">
      <c r="A59" s="23"/>
      <c r="B59" s="23"/>
      <c r="C59" s="23"/>
      <c r="D59" s="23"/>
      <c r="E59" s="23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3"/>
      <c r="W59" s="23"/>
      <c r="X59" s="23"/>
      <c r="Y59" s="23"/>
      <c r="Z59" s="23"/>
    </row>
    <row r="60" ht="15.75" customHeight="1" spans="1:26">
      <c r="A60" s="23"/>
      <c r="B60" s="23"/>
      <c r="C60" s="23"/>
      <c r="D60" s="23"/>
      <c r="E60" s="23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3"/>
      <c r="W60" s="23"/>
      <c r="X60" s="23"/>
      <c r="Y60" s="23"/>
      <c r="Z60" s="23"/>
    </row>
    <row r="61" ht="15.75" customHeight="1" spans="1:26">
      <c r="A61" s="23"/>
      <c r="B61" s="23"/>
      <c r="C61" s="23"/>
      <c r="D61" s="23"/>
      <c r="E61" s="23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3"/>
      <c r="W61" s="23"/>
      <c r="X61" s="23"/>
      <c r="Y61" s="23"/>
      <c r="Z61" s="23"/>
    </row>
    <row r="62" ht="15.75" customHeight="1" spans="1:26">
      <c r="A62" s="23"/>
      <c r="B62" s="23"/>
      <c r="C62" s="23"/>
      <c r="D62" s="23"/>
      <c r="E62" s="23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3"/>
      <c r="W62" s="23"/>
      <c r="X62" s="23"/>
      <c r="Y62" s="23"/>
      <c r="Z62" s="23"/>
    </row>
    <row r="63" ht="15.75" customHeight="1" spans="1:26">
      <c r="A63" s="23"/>
      <c r="B63" s="23"/>
      <c r="C63" s="23"/>
      <c r="D63" s="23"/>
      <c r="E63" s="23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3"/>
      <c r="W63" s="23"/>
      <c r="X63" s="23"/>
      <c r="Y63" s="23"/>
      <c r="Z63" s="23"/>
    </row>
    <row r="64" ht="15.75" customHeight="1" spans="1:26">
      <c r="A64" s="23"/>
      <c r="B64" s="23"/>
      <c r="C64" s="23"/>
      <c r="D64" s="23"/>
      <c r="E64" s="23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3"/>
      <c r="W64" s="23"/>
      <c r="X64" s="23"/>
      <c r="Y64" s="23"/>
      <c r="Z64" s="23"/>
    </row>
    <row r="65" ht="15.75" customHeight="1" spans="1:26">
      <c r="A65" s="23"/>
      <c r="B65" s="23"/>
      <c r="C65" s="23"/>
      <c r="D65" s="23"/>
      <c r="E65" s="23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3"/>
      <c r="W65" s="23"/>
      <c r="X65" s="23"/>
      <c r="Y65" s="23"/>
      <c r="Z65" s="23"/>
    </row>
    <row r="66" ht="15.75" customHeight="1" spans="1:26">
      <c r="A66" s="23"/>
      <c r="B66" s="23"/>
      <c r="C66" s="23"/>
      <c r="D66" s="23"/>
      <c r="E66" s="23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3"/>
      <c r="W66" s="23"/>
      <c r="X66" s="23"/>
      <c r="Y66" s="23"/>
      <c r="Z66" s="23"/>
    </row>
    <row r="67" ht="15.75" customHeight="1" spans="1:26">
      <c r="A67" s="23"/>
      <c r="B67" s="23"/>
      <c r="C67" s="23"/>
      <c r="D67" s="23"/>
      <c r="E67" s="23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3"/>
      <c r="W67" s="23"/>
      <c r="X67" s="23"/>
      <c r="Y67" s="23"/>
      <c r="Z67" s="23"/>
    </row>
    <row r="68" ht="15.75" customHeight="1" spans="1:26">
      <c r="A68" s="23"/>
      <c r="B68" s="23"/>
      <c r="C68" s="23"/>
      <c r="D68" s="23"/>
      <c r="E68" s="23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3"/>
      <c r="W68" s="23"/>
      <c r="X68" s="23"/>
      <c r="Y68" s="23"/>
      <c r="Z68" s="23"/>
    </row>
    <row r="69" ht="15.75" customHeight="1" spans="1:26">
      <c r="A69" s="23"/>
      <c r="B69" s="23"/>
      <c r="C69" s="23"/>
      <c r="D69" s="23"/>
      <c r="E69" s="23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3"/>
      <c r="W69" s="23"/>
      <c r="X69" s="23"/>
      <c r="Y69" s="23"/>
      <c r="Z69" s="23"/>
    </row>
    <row r="70" ht="15.75" customHeight="1" spans="1:26">
      <c r="A70" s="23"/>
      <c r="B70" s="23"/>
      <c r="C70" s="23"/>
      <c r="D70" s="23"/>
      <c r="E70" s="23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3"/>
      <c r="W70" s="23"/>
      <c r="X70" s="23"/>
      <c r="Y70" s="23"/>
      <c r="Z70" s="23"/>
    </row>
    <row r="71" ht="15.75" customHeight="1" spans="1:26">
      <c r="A71" s="23"/>
      <c r="B71" s="23"/>
      <c r="C71" s="23"/>
      <c r="D71" s="23"/>
      <c r="E71" s="23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3"/>
      <c r="W71" s="23"/>
      <c r="X71" s="23"/>
      <c r="Y71" s="23"/>
      <c r="Z71" s="23"/>
    </row>
    <row r="72" ht="15.75" customHeight="1" spans="1:26">
      <c r="A72" s="23"/>
      <c r="B72" s="23"/>
      <c r="C72" s="23"/>
      <c r="D72" s="23"/>
      <c r="E72" s="23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3"/>
      <c r="W72" s="23"/>
      <c r="X72" s="23"/>
      <c r="Y72" s="23"/>
      <c r="Z72" s="23"/>
    </row>
    <row r="73" ht="15.75" customHeight="1" spans="1:26">
      <c r="A73" s="23"/>
      <c r="B73" s="23"/>
      <c r="C73" s="23"/>
      <c r="D73" s="23"/>
      <c r="E73" s="23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3"/>
      <c r="W73" s="23"/>
      <c r="X73" s="23"/>
      <c r="Y73" s="23"/>
      <c r="Z73" s="23"/>
    </row>
    <row r="74" ht="15.75" customHeight="1" spans="1:26">
      <c r="A74" s="23"/>
      <c r="B74" s="23"/>
      <c r="C74" s="23"/>
      <c r="D74" s="23"/>
      <c r="E74" s="23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3"/>
      <c r="W74" s="23"/>
      <c r="X74" s="23"/>
      <c r="Y74" s="23"/>
      <c r="Z74" s="23"/>
    </row>
    <row r="75" ht="15.75" customHeight="1" spans="1:26">
      <c r="A75" s="23"/>
      <c r="B75" s="23"/>
      <c r="C75" s="23"/>
      <c r="D75" s="23"/>
      <c r="E75" s="23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3"/>
      <c r="W75" s="23"/>
      <c r="X75" s="23"/>
      <c r="Y75" s="23"/>
      <c r="Z75" s="23"/>
    </row>
    <row r="76" ht="15.75" customHeight="1" spans="1:26">
      <c r="A76" s="23"/>
      <c r="B76" s="23"/>
      <c r="C76" s="23"/>
      <c r="D76" s="23"/>
      <c r="E76" s="23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3"/>
      <c r="W76" s="23"/>
      <c r="X76" s="23"/>
      <c r="Y76" s="23"/>
      <c r="Z76" s="23"/>
    </row>
    <row r="77" ht="15.75" customHeight="1" spans="1:26">
      <c r="A77" s="23"/>
      <c r="B77" s="23"/>
      <c r="C77" s="23"/>
      <c r="D77" s="23"/>
      <c r="E77" s="23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3"/>
      <c r="W77" s="23"/>
      <c r="X77" s="23"/>
      <c r="Y77" s="23"/>
      <c r="Z77" s="23"/>
    </row>
    <row r="78" ht="15.75" customHeight="1" spans="1:26">
      <c r="A78" s="23"/>
      <c r="B78" s="23"/>
      <c r="C78" s="23"/>
      <c r="D78" s="23"/>
      <c r="E78" s="23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3"/>
      <c r="W78" s="23"/>
      <c r="X78" s="23"/>
      <c r="Y78" s="23"/>
      <c r="Z78" s="23"/>
    </row>
    <row r="79" ht="15.75" customHeight="1" spans="1:26">
      <c r="A79" s="23"/>
      <c r="B79" s="23"/>
      <c r="C79" s="23"/>
      <c r="D79" s="23"/>
      <c r="E79" s="23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3"/>
      <c r="W79" s="23"/>
      <c r="X79" s="23"/>
      <c r="Y79" s="23"/>
      <c r="Z79" s="23"/>
    </row>
    <row r="80" ht="15.75" customHeight="1" spans="1:26">
      <c r="A80" s="23"/>
      <c r="B80" s="23"/>
      <c r="C80" s="23"/>
      <c r="D80" s="23"/>
      <c r="E80" s="23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3"/>
      <c r="W80" s="23"/>
      <c r="X80" s="23"/>
      <c r="Y80" s="23"/>
      <c r="Z80" s="23"/>
    </row>
    <row r="81" ht="15.75" customHeight="1" spans="1:26">
      <c r="A81" s="23"/>
      <c r="B81" s="23"/>
      <c r="C81" s="23"/>
      <c r="D81" s="23"/>
      <c r="E81" s="23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3"/>
      <c r="W81" s="23"/>
      <c r="X81" s="23"/>
      <c r="Y81" s="23"/>
      <c r="Z81" s="23"/>
    </row>
    <row r="82" ht="15.75" customHeight="1" spans="1:26">
      <c r="A82" s="23"/>
      <c r="B82" s="23"/>
      <c r="C82" s="23"/>
      <c r="D82" s="23"/>
      <c r="E82" s="23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3"/>
      <c r="W82" s="23"/>
      <c r="X82" s="23"/>
      <c r="Y82" s="23"/>
      <c r="Z82" s="23"/>
    </row>
    <row r="83" ht="15.75" customHeight="1" spans="1:26">
      <c r="A83" s="23"/>
      <c r="B83" s="23"/>
      <c r="C83" s="23"/>
      <c r="D83" s="23"/>
      <c r="E83" s="23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3"/>
      <c r="W83" s="23"/>
      <c r="X83" s="23"/>
      <c r="Y83" s="23"/>
      <c r="Z83" s="23"/>
    </row>
    <row r="84" ht="15.75" customHeight="1" spans="1:26">
      <c r="A84" s="23"/>
      <c r="B84" s="23"/>
      <c r="C84" s="23"/>
      <c r="D84" s="23"/>
      <c r="E84" s="23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3"/>
      <c r="W84" s="23"/>
      <c r="X84" s="23"/>
      <c r="Y84" s="23"/>
      <c r="Z84" s="23"/>
    </row>
    <row r="85" ht="15.75" customHeight="1" spans="1:26">
      <c r="A85" s="23"/>
      <c r="B85" s="23"/>
      <c r="C85" s="23"/>
      <c r="D85" s="23"/>
      <c r="E85" s="23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3"/>
      <c r="W85" s="23"/>
      <c r="X85" s="23"/>
      <c r="Y85" s="23"/>
      <c r="Z85" s="23"/>
    </row>
    <row r="86" ht="15.75" customHeight="1" spans="1:26">
      <c r="A86" s="23"/>
      <c r="B86" s="23"/>
      <c r="C86" s="23"/>
      <c r="D86" s="23"/>
      <c r="E86" s="23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3"/>
      <c r="W86" s="23"/>
      <c r="X86" s="23"/>
      <c r="Y86" s="23"/>
      <c r="Z86" s="23"/>
    </row>
    <row r="87" ht="15.75" customHeight="1" spans="1:26">
      <c r="A87" s="23"/>
      <c r="B87" s="23"/>
      <c r="C87" s="23"/>
      <c r="D87" s="23"/>
      <c r="E87" s="23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3"/>
      <c r="W87" s="23"/>
      <c r="X87" s="23"/>
      <c r="Y87" s="23"/>
      <c r="Z87" s="23"/>
    </row>
    <row r="88" ht="15.75" customHeight="1" spans="1:26">
      <c r="A88" s="23"/>
      <c r="B88" s="23"/>
      <c r="C88" s="23"/>
      <c r="D88" s="23"/>
      <c r="E88" s="23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3"/>
      <c r="W88" s="23"/>
      <c r="X88" s="23"/>
      <c r="Y88" s="23"/>
      <c r="Z88" s="23"/>
    </row>
    <row r="89" ht="15.75" customHeight="1" spans="1:26">
      <c r="A89" s="23"/>
      <c r="B89" s="23"/>
      <c r="C89" s="23"/>
      <c r="D89" s="23"/>
      <c r="E89" s="23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3"/>
      <c r="W89" s="23"/>
      <c r="X89" s="23"/>
      <c r="Y89" s="23"/>
      <c r="Z89" s="23"/>
    </row>
    <row r="90" ht="15.75" customHeight="1" spans="1:26">
      <c r="A90" s="23"/>
      <c r="B90" s="23"/>
      <c r="C90" s="23"/>
      <c r="D90" s="23"/>
      <c r="E90" s="23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3"/>
      <c r="W90" s="23"/>
      <c r="X90" s="23"/>
      <c r="Y90" s="23"/>
      <c r="Z90" s="23"/>
    </row>
    <row r="91" ht="15.75" customHeight="1" spans="1:26">
      <c r="A91" s="23"/>
      <c r="B91" s="23"/>
      <c r="C91" s="23"/>
      <c r="D91" s="23"/>
      <c r="E91" s="23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3"/>
      <c r="W91" s="23"/>
      <c r="X91" s="23"/>
      <c r="Y91" s="23"/>
      <c r="Z91" s="23"/>
    </row>
    <row r="92" ht="15.75" customHeight="1" spans="1:26">
      <c r="A92" s="23"/>
      <c r="B92" s="23"/>
      <c r="C92" s="23"/>
      <c r="D92" s="23"/>
      <c r="E92" s="23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3"/>
      <c r="W92" s="23"/>
      <c r="X92" s="23"/>
      <c r="Y92" s="23"/>
      <c r="Z92" s="23"/>
    </row>
    <row r="93" ht="15.75" customHeight="1" spans="1:26">
      <c r="A93" s="23"/>
      <c r="B93" s="23"/>
      <c r="C93" s="23"/>
      <c r="D93" s="23"/>
      <c r="E93" s="23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3"/>
      <c r="W93" s="23"/>
      <c r="X93" s="23"/>
      <c r="Y93" s="23"/>
      <c r="Z93" s="23"/>
    </row>
    <row r="94" ht="15.75" customHeight="1" spans="1:26">
      <c r="A94" s="23"/>
      <c r="B94" s="23"/>
      <c r="C94" s="23"/>
      <c r="D94" s="23"/>
      <c r="E94" s="23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3"/>
      <c r="W94" s="23"/>
      <c r="X94" s="23"/>
      <c r="Y94" s="23"/>
      <c r="Z94" s="23"/>
    </row>
    <row r="95" ht="15.75" customHeight="1" spans="1:26">
      <c r="A95" s="23"/>
      <c r="B95" s="23"/>
      <c r="C95" s="23"/>
      <c r="D95" s="23"/>
      <c r="E95" s="23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3"/>
      <c r="W95" s="23"/>
      <c r="X95" s="23"/>
      <c r="Y95" s="23"/>
      <c r="Z95" s="23"/>
    </row>
    <row r="96" ht="15.75" customHeight="1" spans="1:26">
      <c r="A96" s="23"/>
      <c r="B96" s="23"/>
      <c r="C96" s="23"/>
      <c r="D96" s="23"/>
      <c r="E96" s="23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3"/>
      <c r="W96" s="23"/>
      <c r="X96" s="23"/>
      <c r="Y96" s="23"/>
      <c r="Z96" s="23"/>
    </row>
    <row r="97" ht="15.75" customHeight="1" spans="1:26">
      <c r="A97" s="23"/>
      <c r="B97" s="23"/>
      <c r="C97" s="23"/>
      <c r="D97" s="23"/>
      <c r="E97" s="23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3"/>
      <c r="W97" s="23"/>
      <c r="X97" s="23"/>
      <c r="Y97" s="23"/>
      <c r="Z97" s="23"/>
    </row>
    <row r="98" ht="15.75" customHeight="1" spans="1:26">
      <c r="A98" s="23"/>
      <c r="B98" s="23"/>
      <c r="C98" s="23"/>
      <c r="D98" s="23"/>
      <c r="E98" s="23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3"/>
      <c r="W98" s="23"/>
      <c r="X98" s="23"/>
      <c r="Y98" s="23"/>
      <c r="Z98" s="23"/>
    </row>
    <row r="99" ht="15.75" customHeight="1" spans="1:26">
      <c r="A99" s="23"/>
      <c r="B99" s="23"/>
      <c r="C99" s="23"/>
      <c r="D99" s="23"/>
      <c r="E99" s="23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3"/>
      <c r="W99" s="23"/>
      <c r="X99" s="23"/>
      <c r="Y99" s="23"/>
      <c r="Z99" s="23"/>
    </row>
    <row r="100" ht="15.75" customHeight="1" spans="1:26">
      <c r="A100" s="23"/>
      <c r="B100" s="23"/>
      <c r="C100" s="23"/>
      <c r="D100" s="23"/>
      <c r="E100" s="23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3"/>
      <c r="W100" s="23"/>
      <c r="X100" s="23"/>
      <c r="Y100" s="23"/>
      <c r="Z100" s="23"/>
    </row>
    <row r="101" ht="15.75" customHeight="1" spans="1:26">
      <c r="A101" s="23"/>
      <c r="B101" s="23"/>
      <c r="C101" s="23"/>
      <c r="D101" s="23"/>
      <c r="E101" s="23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3"/>
      <c r="W101" s="23"/>
      <c r="X101" s="23"/>
      <c r="Y101" s="23"/>
      <c r="Z101" s="23"/>
    </row>
    <row r="102" ht="15.75" customHeight="1" spans="1:26">
      <c r="A102" s="23"/>
      <c r="B102" s="23"/>
      <c r="C102" s="23"/>
      <c r="D102" s="23"/>
      <c r="E102" s="23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3"/>
      <c r="W102" s="23"/>
      <c r="X102" s="23"/>
      <c r="Y102" s="23"/>
      <c r="Z102" s="23"/>
    </row>
    <row r="103" ht="15.75" customHeight="1" spans="1:26">
      <c r="A103" s="23"/>
      <c r="B103" s="23"/>
      <c r="C103" s="23"/>
      <c r="D103" s="23"/>
      <c r="E103" s="23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3"/>
      <c r="W103" s="23"/>
      <c r="X103" s="23"/>
      <c r="Y103" s="23"/>
      <c r="Z103" s="23"/>
    </row>
    <row r="104" ht="15.75" customHeight="1" spans="1:26">
      <c r="A104" s="23"/>
      <c r="B104" s="23"/>
      <c r="C104" s="23"/>
      <c r="D104" s="23"/>
      <c r="E104" s="23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3"/>
      <c r="W104" s="23"/>
      <c r="X104" s="23"/>
      <c r="Y104" s="23"/>
      <c r="Z104" s="23"/>
    </row>
    <row r="105" ht="15.75" customHeight="1" spans="1:26">
      <c r="A105" s="23"/>
      <c r="B105" s="23"/>
      <c r="C105" s="23"/>
      <c r="D105" s="23"/>
      <c r="E105" s="23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3"/>
      <c r="W105" s="23"/>
      <c r="X105" s="23"/>
      <c r="Y105" s="23"/>
      <c r="Z105" s="23"/>
    </row>
    <row r="106" ht="15.75" customHeight="1" spans="1:26">
      <c r="A106" s="23"/>
      <c r="B106" s="23"/>
      <c r="C106" s="23"/>
      <c r="D106" s="23"/>
      <c r="E106" s="23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3"/>
      <c r="W106" s="23"/>
      <c r="X106" s="23"/>
      <c r="Y106" s="23"/>
      <c r="Z106" s="23"/>
    </row>
    <row r="107" ht="15.75" customHeight="1" spans="1:26">
      <c r="A107" s="23"/>
      <c r="B107" s="23"/>
      <c r="C107" s="23"/>
      <c r="D107" s="23"/>
      <c r="E107" s="23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3"/>
      <c r="W107" s="23"/>
      <c r="X107" s="23"/>
      <c r="Y107" s="23"/>
      <c r="Z107" s="23"/>
    </row>
    <row r="108" ht="15.75" customHeight="1" spans="1:26">
      <c r="A108" s="23"/>
      <c r="B108" s="23"/>
      <c r="C108" s="23"/>
      <c r="D108" s="23"/>
      <c r="E108" s="23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3"/>
      <c r="W108" s="23"/>
      <c r="X108" s="23"/>
      <c r="Y108" s="23"/>
      <c r="Z108" s="23"/>
    </row>
    <row r="109" ht="15.75" customHeight="1" spans="1:26">
      <c r="A109" s="23"/>
      <c r="B109" s="23"/>
      <c r="C109" s="23"/>
      <c r="D109" s="23"/>
      <c r="E109" s="23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3"/>
      <c r="W109" s="23"/>
      <c r="X109" s="23"/>
      <c r="Y109" s="23"/>
      <c r="Z109" s="23"/>
    </row>
    <row r="110" ht="15.75" customHeight="1" spans="1:26">
      <c r="A110" s="23"/>
      <c r="B110" s="23"/>
      <c r="C110" s="23"/>
      <c r="D110" s="23"/>
      <c r="E110" s="23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3"/>
      <c r="W110" s="23"/>
      <c r="X110" s="23"/>
      <c r="Y110" s="23"/>
      <c r="Z110" s="23"/>
    </row>
    <row r="111" ht="15.75" customHeight="1" spans="1:26">
      <c r="A111" s="23"/>
      <c r="B111" s="23"/>
      <c r="C111" s="23"/>
      <c r="D111" s="23"/>
      <c r="E111" s="23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3"/>
      <c r="W111" s="23"/>
      <c r="X111" s="23"/>
      <c r="Y111" s="23"/>
      <c r="Z111" s="23"/>
    </row>
    <row r="112" ht="15.75" customHeight="1" spans="1:26">
      <c r="A112" s="23"/>
      <c r="B112" s="23"/>
      <c r="C112" s="23"/>
      <c r="D112" s="23"/>
      <c r="E112" s="23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3"/>
      <c r="W112" s="23"/>
      <c r="X112" s="23"/>
      <c r="Y112" s="23"/>
      <c r="Z112" s="23"/>
    </row>
    <row r="113" ht="15.75" customHeight="1" spans="1:26">
      <c r="A113" s="23"/>
      <c r="B113" s="23"/>
      <c r="C113" s="23"/>
      <c r="D113" s="23"/>
      <c r="E113" s="23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3"/>
      <c r="W113" s="23"/>
      <c r="X113" s="23"/>
      <c r="Y113" s="23"/>
      <c r="Z113" s="23"/>
    </row>
    <row r="114" ht="15.75" customHeight="1" spans="1:26">
      <c r="A114" s="23"/>
      <c r="B114" s="23"/>
      <c r="C114" s="23"/>
      <c r="D114" s="23"/>
      <c r="E114" s="23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3"/>
      <c r="W114" s="23"/>
      <c r="X114" s="23"/>
      <c r="Y114" s="23"/>
      <c r="Z114" s="23"/>
    </row>
    <row r="115" ht="15.75" customHeight="1" spans="1:26">
      <c r="A115" s="23"/>
      <c r="B115" s="23"/>
      <c r="C115" s="23"/>
      <c r="D115" s="23"/>
      <c r="E115" s="23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3"/>
      <c r="W115" s="23"/>
      <c r="X115" s="23"/>
      <c r="Y115" s="23"/>
      <c r="Z115" s="23"/>
    </row>
    <row r="116" ht="15.75" customHeight="1" spans="1:26">
      <c r="A116" s="23"/>
      <c r="B116" s="23"/>
      <c r="C116" s="23"/>
      <c r="D116" s="23"/>
      <c r="E116" s="23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3"/>
      <c r="W116" s="23"/>
      <c r="X116" s="23"/>
      <c r="Y116" s="23"/>
      <c r="Z116" s="23"/>
    </row>
    <row r="117" ht="15.75" customHeight="1" spans="1:26">
      <c r="A117" s="23"/>
      <c r="B117" s="23"/>
      <c r="C117" s="23"/>
      <c r="D117" s="23"/>
      <c r="E117" s="23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3"/>
      <c r="W117" s="23"/>
      <c r="X117" s="23"/>
      <c r="Y117" s="23"/>
      <c r="Z117" s="23"/>
    </row>
    <row r="118" ht="15.75" customHeight="1" spans="1:26">
      <c r="A118" s="23"/>
      <c r="B118" s="23"/>
      <c r="C118" s="23"/>
      <c r="D118" s="23"/>
      <c r="E118" s="23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3"/>
      <c r="W118" s="23"/>
      <c r="X118" s="23"/>
      <c r="Y118" s="23"/>
      <c r="Z118" s="23"/>
    </row>
    <row r="119" ht="15.75" customHeight="1" spans="1:26">
      <c r="A119" s="23"/>
      <c r="B119" s="23"/>
      <c r="C119" s="23"/>
      <c r="D119" s="23"/>
      <c r="E119" s="23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3"/>
      <c r="W119" s="23"/>
      <c r="X119" s="23"/>
      <c r="Y119" s="23"/>
      <c r="Z119" s="23"/>
    </row>
    <row r="120" ht="15.75" customHeight="1" spans="1:26">
      <c r="A120" s="23"/>
      <c r="B120" s="23"/>
      <c r="C120" s="23"/>
      <c r="D120" s="23"/>
      <c r="E120" s="23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3"/>
      <c r="W120" s="23"/>
      <c r="X120" s="23"/>
      <c r="Y120" s="23"/>
      <c r="Z120" s="23"/>
    </row>
    <row r="121" ht="15.75" customHeight="1" spans="1:26">
      <c r="A121" s="23"/>
      <c r="B121" s="23"/>
      <c r="C121" s="23"/>
      <c r="D121" s="23"/>
      <c r="E121" s="23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3"/>
      <c r="W121" s="23"/>
      <c r="X121" s="23"/>
      <c r="Y121" s="23"/>
      <c r="Z121" s="23"/>
    </row>
    <row r="122" ht="15.75" customHeight="1" spans="1:26">
      <c r="A122" s="23"/>
      <c r="B122" s="23"/>
      <c r="C122" s="23"/>
      <c r="D122" s="23"/>
      <c r="E122" s="23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3"/>
      <c r="W122" s="23"/>
      <c r="X122" s="23"/>
      <c r="Y122" s="23"/>
      <c r="Z122" s="23"/>
    </row>
    <row r="123" ht="15.75" customHeight="1" spans="1:26">
      <c r="A123" s="23"/>
      <c r="B123" s="23"/>
      <c r="C123" s="23"/>
      <c r="D123" s="23"/>
      <c r="E123" s="23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3"/>
      <c r="W123" s="23"/>
      <c r="X123" s="23"/>
      <c r="Y123" s="23"/>
      <c r="Z123" s="23"/>
    </row>
    <row r="124" ht="15.75" customHeight="1" spans="1:26">
      <c r="A124" s="23"/>
      <c r="B124" s="23"/>
      <c r="C124" s="23"/>
      <c r="D124" s="23"/>
      <c r="E124" s="23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3"/>
      <c r="W124" s="23"/>
      <c r="X124" s="23"/>
      <c r="Y124" s="23"/>
      <c r="Z124" s="23"/>
    </row>
    <row r="125" ht="15.75" customHeight="1" spans="1:26">
      <c r="A125" s="23"/>
      <c r="B125" s="23"/>
      <c r="C125" s="23"/>
      <c r="D125" s="23"/>
      <c r="E125" s="23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3"/>
      <c r="W125" s="23"/>
      <c r="X125" s="23"/>
      <c r="Y125" s="23"/>
      <c r="Z125" s="23"/>
    </row>
    <row r="126" ht="15.75" customHeight="1" spans="1:26">
      <c r="A126" s="23"/>
      <c r="B126" s="23"/>
      <c r="C126" s="23"/>
      <c r="D126" s="23"/>
      <c r="E126" s="23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3"/>
      <c r="W126" s="23"/>
      <c r="X126" s="23"/>
      <c r="Y126" s="23"/>
      <c r="Z126" s="23"/>
    </row>
    <row r="127" ht="15.75" customHeight="1" spans="1:26">
      <c r="A127" s="23"/>
      <c r="B127" s="23"/>
      <c r="C127" s="23"/>
      <c r="D127" s="23"/>
      <c r="E127" s="23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3"/>
      <c r="W127" s="23"/>
      <c r="X127" s="23"/>
      <c r="Y127" s="23"/>
      <c r="Z127" s="23"/>
    </row>
    <row r="128" ht="15.75" customHeight="1" spans="1:26">
      <c r="A128" s="23"/>
      <c r="B128" s="23"/>
      <c r="C128" s="23"/>
      <c r="D128" s="23"/>
      <c r="E128" s="23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3"/>
      <c r="W128" s="23"/>
      <c r="X128" s="23"/>
      <c r="Y128" s="23"/>
      <c r="Z128" s="23"/>
    </row>
    <row r="129" ht="15.75" customHeight="1" spans="1:26">
      <c r="A129" s="23"/>
      <c r="B129" s="23"/>
      <c r="C129" s="23"/>
      <c r="D129" s="23"/>
      <c r="E129" s="23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3"/>
      <c r="W129" s="23"/>
      <c r="X129" s="23"/>
      <c r="Y129" s="23"/>
      <c r="Z129" s="23"/>
    </row>
    <row r="130" ht="15.75" customHeight="1" spans="1:26">
      <c r="A130" s="23"/>
      <c r="B130" s="23"/>
      <c r="C130" s="23"/>
      <c r="D130" s="23"/>
      <c r="E130" s="23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3"/>
      <c r="W130" s="23"/>
      <c r="X130" s="23"/>
      <c r="Y130" s="23"/>
      <c r="Z130" s="23"/>
    </row>
    <row r="131" ht="15.75" customHeight="1" spans="1:26">
      <c r="A131" s="23"/>
      <c r="B131" s="23"/>
      <c r="C131" s="23"/>
      <c r="D131" s="23"/>
      <c r="E131" s="23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3"/>
      <c r="W131" s="23"/>
      <c r="X131" s="23"/>
      <c r="Y131" s="23"/>
      <c r="Z131" s="23"/>
    </row>
    <row r="132" ht="15.75" customHeight="1" spans="1:26">
      <c r="A132" s="23"/>
      <c r="B132" s="23"/>
      <c r="C132" s="23"/>
      <c r="D132" s="23"/>
      <c r="E132" s="23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3"/>
      <c r="W132" s="23"/>
      <c r="X132" s="23"/>
      <c r="Y132" s="23"/>
      <c r="Z132" s="23"/>
    </row>
    <row r="133" ht="15.75" customHeight="1" spans="1:26">
      <c r="A133" s="23"/>
      <c r="B133" s="23"/>
      <c r="C133" s="23"/>
      <c r="D133" s="23"/>
      <c r="E133" s="23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3"/>
      <c r="W133" s="23"/>
      <c r="X133" s="23"/>
      <c r="Y133" s="23"/>
      <c r="Z133" s="23"/>
    </row>
    <row r="134" ht="15.75" customHeight="1" spans="1:26">
      <c r="A134" s="23"/>
      <c r="B134" s="23"/>
      <c r="C134" s="23"/>
      <c r="D134" s="23"/>
      <c r="E134" s="23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3"/>
      <c r="W134" s="23"/>
      <c r="X134" s="23"/>
      <c r="Y134" s="23"/>
      <c r="Z134" s="23"/>
    </row>
    <row r="135" ht="15.75" customHeight="1" spans="1:26">
      <c r="A135" s="23"/>
      <c r="B135" s="23"/>
      <c r="C135" s="23"/>
      <c r="D135" s="23"/>
      <c r="E135" s="23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3"/>
      <c r="W135" s="23"/>
      <c r="X135" s="23"/>
      <c r="Y135" s="23"/>
      <c r="Z135" s="23"/>
    </row>
    <row r="136" ht="15.75" customHeight="1" spans="1:26">
      <c r="A136" s="23"/>
      <c r="B136" s="23"/>
      <c r="C136" s="23"/>
      <c r="D136" s="23"/>
      <c r="E136" s="23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3"/>
      <c r="W136" s="23"/>
      <c r="X136" s="23"/>
      <c r="Y136" s="23"/>
      <c r="Z136" s="23"/>
    </row>
    <row r="137" ht="15.75" customHeight="1" spans="1:26">
      <c r="A137" s="23"/>
      <c r="B137" s="23"/>
      <c r="C137" s="23"/>
      <c r="D137" s="23"/>
      <c r="E137" s="23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3"/>
      <c r="W137" s="23"/>
      <c r="X137" s="23"/>
      <c r="Y137" s="23"/>
      <c r="Z137" s="23"/>
    </row>
    <row r="138" ht="15.75" customHeight="1" spans="1:26">
      <c r="A138" s="23"/>
      <c r="B138" s="23"/>
      <c r="C138" s="23"/>
      <c r="D138" s="23"/>
      <c r="E138" s="23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3"/>
      <c r="W138" s="23"/>
      <c r="X138" s="23"/>
      <c r="Y138" s="23"/>
      <c r="Z138" s="23"/>
    </row>
    <row r="139" ht="15.75" customHeight="1" spans="1:26">
      <c r="A139" s="23"/>
      <c r="B139" s="23"/>
      <c r="C139" s="23"/>
      <c r="D139" s="23"/>
      <c r="E139" s="23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3"/>
      <c r="W139" s="23"/>
      <c r="X139" s="23"/>
      <c r="Y139" s="23"/>
      <c r="Z139" s="23"/>
    </row>
    <row r="140" ht="15.75" customHeight="1" spans="1:26">
      <c r="A140" s="23"/>
      <c r="B140" s="23"/>
      <c r="C140" s="23"/>
      <c r="D140" s="23"/>
      <c r="E140" s="23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3"/>
      <c r="W140" s="23"/>
      <c r="X140" s="23"/>
      <c r="Y140" s="23"/>
      <c r="Z140" s="23"/>
    </row>
    <row r="141" ht="15.75" customHeight="1" spans="1:26">
      <c r="A141" s="23"/>
      <c r="B141" s="23"/>
      <c r="C141" s="23"/>
      <c r="D141" s="23"/>
      <c r="E141" s="23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3"/>
      <c r="W141" s="23"/>
      <c r="X141" s="23"/>
      <c r="Y141" s="23"/>
      <c r="Z141" s="23"/>
    </row>
    <row r="142" ht="15.75" customHeight="1" spans="1:26">
      <c r="A142" s="23"/>
      <c r="B142" s="23"/>
      <c r="C142" s="23"/>
      <c r="D142" s="23"/>
      <c r="E142" s="23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3"/>
      <c r="W142" s="23"/>
      <c r="X142" s="23"/>
      <c r="Y142" s="23"/>
      <c r="Z142" s="23"/>
    </row>
    <row r="143" ht="15.75" customHeight="1" spans="1:26">
      <c r="A143" s="23"/>
      <c r="B143" s="23"/>
      <c r="C143" s="23"/>
      <c r="D143" s="23"/>
      <c r="E143" s="23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3"/>
      <c r="W143" s="23"/>
      <c r="X143" s="23"/>
      <c r="Y143" s="23"/>
      <c r="Z143" s="23"/>
    </row>
    <row r="144" ht="15.75" customHeight="1" spans="1:26">
      <c r="A144" s="23"/>
      <c r="B144" s="23"/>
      <c r="C144" s="23"/>
      <c r="D144" s="23"/>
      <c r="E144" s="23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3"/>
      <c r="W144" s="23"/>
      <c r="X144" s="23"/>
      <c r="Y144" s="23"/>
      <c r="Z144" s="23"/>
    </row>
    <row r="145" ht="15.75" customHeight="1" spans="1:26">
      <c r="A145" s="23"/>
      <c r="B145" s="23"/>
      <c r="C145" s="23"/>
      <c r="D145" s="23"/>
      <c r="E145" s="23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3"/>
      <c r="W145" s="23"/>
      <c r="X145" s="23"/>
      <c r="Y145" s="23"/>
      <c r="Z145" s="23"/>
    </row>
    <row r="146" ht="15.75" customHeight="1" spans="1:26">
      <c r="A146" s="23"/>
      <c r="B146" s="23"/>
      <c r="C146" s="23"/>
      <c r="D146" s="23"/>
      <c r="E146" s="23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3"/>
      <c r="W146" s="23"/>
      <c r="X146" s="23"/>
      <c r="Y146" s="23"/>
      <c r="Z146" s="23"/>
    </row>
    <row r="147" ht="15.75" customHeight="1" spans="1:26">
      <c r="A147" s="23"/>
      <c r="B147" s="23"/>
      <c r="C147" s="23"/>
      <c r="D147" s="23"/>
      <c r="E147" s="23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3"/>
      <c r="W147" s="23"/>
      <c r="X147" s="23"/>
      <c r="Y147" s="23"/>
      <c r="Z147" s="23"/>
    </row>
    <row r="148" ht="15.75" customHeight="1" spans="1:26">
      <c r="A148" s="23"/>
      <c r="B148" s="23"/>
      <c r="C148" s="23"/>
      <c r="D148" s="23"/>
      <c r="E148" s="23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3"/>
      <c r="W148" s="23"/>
      <c r="X148" s="23"/>
      <c r="Y148" s="23"/>
      <c r="Z148" s="23"/>
    </row>
    <row r="149" ht="15.75" customHeight="1" spans="1:26">
      <c r="A149" s="23"/>
      <c r="B149" s="23"/>
      <c r="C149" s="23"/>
      <c r="D149" s="23"/>
      <c r="E149" s="23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3"/>
      <c r="W149" s="23"/>
      <c r="X149" s="23"/>
      <c r="Y149" s="23"/>
      <c r="Z149" s="23"/>
    </row>
    <row r="150" ht="15.75" customHeight="1" spans="1:26">
      <c r="A150" s="23"/>
      <c r="B150" s="23"/>
      <c r="C150" s="23"/>
      <c r="D150" s="23"/>
      <c r="E150" s="23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3"/>
      <c r="W150" s="23"/>
      <c r="X150" s="23"/>
      <c r="Y150" s="23"/>
      <c r="Z150" s="23"/>
    </row>
    <row r="151" ht="15.75" customHeight="1" spans="1:26">
      <c r="A151" s="23"/>
      <c r="B151" s="23"/>
      <c r="C151" s="23"/>
      <c r="D151" s="23"/>
      <c r="E151" s="23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3"/>
      <c r="W151" s="23"/>
      <c r="X151" s="23"/>
      <c r="Y151" s="23"/>
      <c r="Z151" s="23"/>
    </row>
    <row r="152" ht="15.75" customHeight="1" spans="1:26">
      <c r="A152" s="23"/>
      <c r="B152" s="23"/>
      <c r="C152" s="23"/>
      <c r="D152" s="23"/>
      <c r="E152" s="23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3"/>
      <c r="W152" s="23"/>
      <c r="X152" s="23"/>
      <c r="Y152" s="23"/>
      <c r="Z152" s="23"/>
    </row>
    <row r="153" ht="15.75" customHeight="1" spans="1:26">
      <c r="A153" s="23"/>
      <c r="B153" s="23"/>
      <c r="C153" s="23"/>
      <c r="D153" s="23"/>
      <c r="E153" s="23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3"/>
      <c r="W153" s="23"/>
      <c r="X153" s="23"/>
      <c r="Y153" s="23"/>
      <c r="Z153" s="23"/>
    </row>
    <row r="154" ht="15.75" customHeight="1" spans="1:26">
      <c r="A154" s="23"/>
      <c r="B154" s="23"/>
      <c r="C154" s="23"/>
      <c r="D154" s="23"/>
      <c r="E154" s="23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3"/>
      <c r="W154" s="23"/>
      <c r="X154" s="23"/>
      <c r="Y154" s="23"/>
      <c r="Z154" s="23"/>
    </row>
    <row r="155" ht="15.75" customHeight="1" spans="1:26">
      <c r="A155" s="23"/>
      <c r="B155" s="23"/>
      <c r="C155" s="23"/>
      <c r="D155" s="23"/>
      <c r="E155" s="23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3"/>
      <c r="W155" s="23"/>
      <c r="X155" s="23"/>
      <c r="Y155" s="23"/>
      <c r="Z155" s="23"/>
    </row>
    <row r="156" ht="15.75" customHeight="1" spans="1:26">
      <c r="A156" s="23"/>
      <c r="B156" s="23"/>
      <c r="C156" s="23"/>
      <c r="D156" s="23"/>
      <c r="E156" s="23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3"/>
      <c r="W156" s="23"/>
      <c r="X156" s="23"/>
      <c r="Y156" s="23"/>
      <c r="Z156" s="23"/>
    </row>
    <row r="157" ht="15.75" customHeight="1" spans="1:26">
      <c r="A157" s="23"/>
      <c r="B157" s="23"/>
      <c r="C157" s="23"/>
      <c r="D157" s="23"/>
      <c r="E157" s="23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3"/>
      <c r="W157" s="23"/>
      <c r="X157" s="23"/>
      <c r="Y157" s="23"/>
      <c r="Z157" s="23"/>
    </row>
    <row r="158" ht="15.75" customHeight="1" spans="1:26">
      <c r="A158" s="23"/>
      <c r="B158" s="23"/>
      <c r="C158" s="23"/>
      <c r="D158" s="23"/>
      <c r="E158" s="23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3"/>
      <c r="W158" s="23"/>
      <c r="X158" s="23"/>
      <c r="Y158" s="23"/>
      <c r="Z158" s="23"/>
    </row>
    <row r="159" ht="15.75" customHeight="1" spans="1:26">
      <c r="A159" s="23"/>
      <c r="B159" s="23"/>
      <c r="C159" s="23"/>
      <c r="D159" s="23"/>
      <c r="E159" s="23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3"/>
      <c r="W159" s="23"/>
      <c r="X159" s="23"/>
      <c r="Y159" s="23"/>
      <c r="Z159" s="23"/>
    </row>
    <row r="160" ht="15.75" customHeight="1" spans="1:26">
      <c r="A160" s="23"/>
      <c r="B160" s="23"/>
      <c r="C160" s="23"/>
      <c r="D160" s="23"/>
      <c r="E160" s="23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3"/>
      <c r="W160" s="23"/>
      <c r="X160" s="23"/>
      <c r="Y160" s="23"/>
      <c r="Z160" s="23"/>
    </row>
    <row r="161" ht="15.75" customHeight="1" spans="1:26">
      <c r="A161" s="23"/>
      <c r="B161" s="23"/>
      <c r="C161" s="23"/>
      <c r="D161" s="23"/>
      <c r="E161" s="23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3"/>
      <c r="W161" s="23"/>
      <c r="X161" s="23"/>
      <c r="Y161" s="23"/>
      <c r="Z161" s="23"/>
    </row>
    <row r="162" ht="15.75" customHeight="1" spans="1:26">
      <c r="A162" s="23"/>
      <c r="B162" s="23"/>
      <c r="C162" s="23"/>
      <c r="D162" s="23"/>
      <c r="E162" s="23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3"/>
      <c r="W162" s="23"/>
      <c r="X162" s="23"/>
      <c r="Y162" s="23"/>
      <c r="Z162" s="23"/>
    </row>
    <row r="163" ht="15.75" customHeight="1" spans="1:26">
      <c r="A163" s="23"/>
      <c r="B163" s="23"/>
      <c r="C163" s="23"/>
      <c r="D163" s="23"/>
      <c r="E163" s="23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3"/>
      <c r="W163" s="23"/>
      <c r="X163" s="23"/>
      <c r="Y163" s="23"/>
      <c r="Z163" s="23"/>
    </row>
    <row r="164" ht="15.75" customHeight="1" spans="1:26">
      <c r="A164" s="23"/>
      <c r="B164" s="23"/>
      <c r="C164" s="23"/>
      <c r="D164" s="23"/>
      <c r="E164" s="23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3"/>
      <c r="W164" s="23"/>
      <c r="X164" s="23"/>
      <c r="Y164" s="23"/>
      <c r="Z164" s="23"/>
    </row>
    <row r="165" ht="15.75" customHeight="1" spans="1:26">
      <c r="A165" s="23"/>
      <c r="B165" s="23"/>
      <c r="C165" s="23"/>
      <c r="D165" s="23"/>
      <c r="E165" s="23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3"/>
      <c r="W165" s="23"/>
      <c r="X165" s="23"/>
      <c r="Y165" s="23"/>
      <c r="Z165" s="23"/>
    </row>
    <row r="166" ht="15.75" customHeight="1" spans="1:26">
      <c r="A166" s="23"/>
      <c r="B166" s="23"/>
      <c r="C166" s="23"/>
      <c r="D166" s="23"/>
      <c r="E166" s="23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3"/>
      <c r="W166" s="23"/>
      <c r="X166" s="23"/>
      <c r="Y166" s="23"/>
      <c r="Z166" s="23"/>
    </row>
    <row r="167" ht="15.75" customHeight="1" spans="1:26">
      <c r="A167" s="23"/>
      <c r="B167" s="23"/>
      <c r="C167" s="23"/>
      <c r="D167" s="23"/>
      <c r="E167" s="23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3"/>
      <c r="W167" s="23"/>
      <c r="X167" s="23"/>
      <c r="Y167" s="23"/>
      <c r="Z167" s="23"/>
    </row>
    <row r="168" ht="15.75" customHeight="1" spans="1:26">
      <c r="A168" s="23"/>
      <c r="B168" s="23"/>
      <c r="C168" s="23"/>
      <c r="D168" s="23"/>
      <c r="E168" s="23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3"/>
      <c r="W168" s="23"/>
      <c r="X168" s="23"/>
      <c r="Y168" s="23"/>
      <c r="Z168" s="23"/>
    </row>
    <row r="169" ht="15.75" customHeight="1" spans="1:26">
      <c r="A169" s="23"/>
      <c r="B169" s="23"/>
      <c r="C169" s="23"/>
      <c r="D169" s="23"/>
      <c r="E169" s="23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3"/>
      <c r="W169" s="23"/>
      <c r="X169" s="23"/>
      <c r="Y169" s="23"/>
      <c r="Z169" s="23"/>
    </row>
    <row r="170" ht="15.75" customHeight="1" spans="1:26">
      <c r="A170" s="23"/>
      <c r="B170" s="23"/>
      <c r="C170" s="23"/>
      <c r="D170" s="23"/>
      <c r="E170" s="23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3"/>
      <c r="W170" s="23"/>
      <c r="X170" s="23"/>
      <c r="Y170" s="23"/>
      <c r="Z170" s="23"/>
    </row>
    <row r="171" ht="15.75" customHeight="1" spans="1:26">
      <c r="A171" s="23"/>
      <c r="B171" s="23"/>
      <c r="C171" s="23"/>
      <c r="D171" s="23"/>
      <c r="E171" s="23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3"/>
      <c r="W171" s="23"/>
      <c r="X171" s="23"/>
      <c r="Y171" s="23"/>
      <c r="Z171" s="23"/>
    </row>
    <row r="172" ht="15.75" customHeight="1" spans="1:26">
      <c r="A172" s="23"/>
      <c r="B172" s="23"/>
      <c r="C172" s="23"/>
      <c r="D172" s="23"/>
      <c r="E172" s="23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3"/>
      <c r="W172" s="23"/>
      <c r="X172" s="23"/>
      <c r="Y172" s="23"/>
      <c r="Z172" s="23"/>
    </row>
    <row r="173" ht="15.75" customHeight="1" spans="1:26">
      <c r="A173" s="23"/>
      <c r="B173" s="23"/>
      <c r="C173" s="23"/>
      <c r="D173" s="23"/>
      <c r="E173" s="23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3"/>
      <c r="W173" s="23"/>
      <c r="X173" s="23"/>
      <c r="Y173" s="23"/>
      <c r="Z173" s="23"/>
    </row>
    <row r="174" ht="15.75" customHeight="1" spans="1:26">
      <c r="A174" s="23"/>
      <c r="B174" s="23"/>
      <c r="C174" s="23"/>
      <c r="D174" s="23"/>
      <c r="E174" s="23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3"/>
      <c r="W174" s="23"/>
      <c r="X174" s="23"/>
      <c r="Y174" s="23"/>
      <c r="Z174" s="23"/>
    </row>
    <row r="175" ht="15.75" customHeight="1" spans="1:26">
      <c r="A175" s="23"/>
      <c r="B175" s="23"/>
      <c r="C175" s="23"/>
      <c r="D175" s="23"/>
      <c r="E175" s="23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3"/>
      <c r="W175" s="23"/>
      <c r="X175" s="23"/>
      <c r="Y175" s="23"/>
      <c r="Z175" s="23"/>
    </row>
    <row r="176" ht="15.75" customHeight="1" spans="1:26">
      <c r="A176" s="23"/>
      <c r="B176" s="23"/>
      <c r="C176" s="23"/>
      <c r="D176" s="23"/>
      <c r="E176" s="23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3"/>
      <c r="W176" s="23"/>
      <c r="X176" s="23"/>
      <c r="Y176" s="23"/>
      <c r="Z176" s="23"/>
    </row>
    <row r="177" ht="15.75" customHeight="1" spans="1:26">
      <c r="A177" s="23"/>
      <c r="B177" s="23"/>
      <c r="C177" s="23"/>
      <c r="D177" s="23"/>
      <c r="E177" s="23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3"/>
      <c r="W177" s="23"/>
      <c r="X177" s="23"/>
      <c r="Y177" s="23"/>
      <c r="Z177" s="23"/>
    </row>
    <row r="178" ht="15.75" customHeight="1" spans="1:26">
      <c r="A178" s="23"/>
      <c r="B178" s="23"/>
      <c r="C178" s="23"/>
      <c r="D178" s="23"/>
      <c r="E178" s="23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3"/>
      <c r="W178" s="23"/>
      <c r="X178" s="23"/>
      <c r="Y178" s="23"/>
      <c r="Z178" s="23"/>
    </row>
    <row r="179" ht="15.75" customHeight="1" spans="1:26">
      <c r="A179" s="23"/>
      <c r="B179" s="23"/>
      <c r="C179" s="23"/>
      <c r="D179" s="23"/>
      <c r="E179" s="23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3"/>
      <c r="W179" s="23"/>
      <c r="X179" s="23"/>
      <c r="Y179" s="23"/>
      <c r="Z179" s="23"/>
    </row>
    <row r="180" ht="15.75" customHeight="1" spans="1:26">
      <c r="A180" s="23"/>
      <c r="B180" s="23"/>
      <c r="C180" s="23"/>
      <c r="D180" s="23"/>
      <c r="E180" s="23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3"/>
      <c r="W180" s="23"/>
      <c r="X180" s="23"/>
      <c r="Y180" s="23"/>
      <c r="Z180" s="23"/>
    </row>
    <row r="181" ht="15.75" customHeight="1" spans="1:26">
      <c r="A181" s="23"/>
      <c r="B181" s="23"/>
      <c r="C181" s="23"/>
      <c r="D181" s="23"/>
      <c r="E181" s="23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3"/>
      <c r="W181" s="23"/>
      <c r="X181" s="23"/>
      <c r="Y181" s="23"/>
      <c r="Z181" s="23"/>
    </row>
    <row r="182" ht="15.75" customHeight="1" spans="1:26">
      <c r="A182" s="23"/>
      <c r="B182" s="23"/>
      <c r="C182" s="23"/>
      <c r="D182" s="23"/>
      <c r="E182" s="23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3"/>
      <c r="W182" s="23"/>
      <c r="X182" s="23"/>
      <c r="Y182" s="23"/>
      <c r="Z182" s="23"/>
    </row>
    <row r="183" ht="15.75" customHeight="1" spans="1:26">
      <c r="A183" s="23"/>
      <c r="B183" s="23"/>
      <c r="C183" s="23"/>
      <c r="D183" s="23"/>
      <c r="E183" s="23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3"/>
      <c r="W183" s="23"/>
      <c r="X183" s="23"/>
      <c r="Y183" s="23"/>
      <c r="Z183" s="23"/>
    </row>
    <row r="184" ht="15.75" customHeight="1" spans="1:26">
      <c r="A184" s="23"/>
      <c r="B184" s="23"/>
      <c r="C184" s="23"/>
      <c r="D184" s="23"/>
      <c r="E184" s="23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3"/>
      <c r="W184" s="23"/>
      <c r="X184" s="23"/>
      <c r="Y184" s="23"/>
      <c r="Z184" s="23"/>
    </row>
    <row r="185" ht="15.75" customHeight="1" spans="1:26">
      <c r="A185" s="23"/>
      <c r="B185" s="23"/>
      <c r="C185" s="23"/>
      <c r="D185" s="23"/>
      <c r="E185" s="23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3"/>
      <c r="W185" s="23"/>
      <c r="X185" s="23"/>
      <c r="Y185" s="23"/>
      <c r="Z185" s="23"/>
    </row>
    <row r="186" ht="15.75" customHeight="1" spans="1:26">
      <c r="A186" s="23"/>
      <c r="B186" s="23"/>
      <c r="C186" s="23"/>
      <c r="D186" s="23"/>
      <c r="E186" s="23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3"/>
      <c r="W186" s="23"/>
      <c r="X186" s="23"/>
      <c r="Y186" s="23"/>
      <c r="Z186" s="23"/>
    </row>
    <row r="187" ht="15.75" customHeight="1" spans="1:26">
      <c r="A187" s="23"/>
      <c r="B187" s="23"/>
      <c r="C187" s="23"/>
      <c r="D187" s="23"/>
      <c r="E187" s="23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3"/>
      <c r="W187" s="23"/>
      <c r="X187" s="23"/>
      <c r="Y187" s="23"/>
      <c r="Z187" s="23"/>
    </row>
    <row r="188" ht="15.75" customHeight="1" spans="1:26">
      <c r="A188" s="23"/>
      <c r="B188" s="23"/>
      <c r="C188" s="23"/>
      <c r="D188" s="23"/>
      <c r="E188" s="23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3"/>
      <c r="W188" s="23"/>
      <c r="X188" s="23"/>
      <c r="Y188" s="23"/>
      <c r="Z188" s="23"/>
    </row>
    <row r="189" ht="15.75" customHeight="1" spans="1:26">
      <c r="A189" s="23"/>
      <c r="B189" s="23"/>
      <c r="C189" s="23"/>
      <c r="D189" s="23"/>
      <c r="E189" s="23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3"/>
      <c r="W189" s="23"/>
      <c r="X189" s="23"/>
      <c r="Y189" s="23"/>
      <c r="Z189" s="23"/>
    </row>
    <row r="190" ht="15.75" customHeight="1" spans="1:26">
      <c r="A190" s="23"/>
      <c r="B190" s="23"/>
      <c r="C190" s="23"/>
      <c r="D190" s="23"/>
      <c r="E190" s="23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3"/>
      <c r="W190" s="23"/>
      <c r="X190" s="23"/>
      <c r="Y190" s="23"/>
      <c r="Z190" s="23"/>
    </row>
    <row r="191" ht="15.75" customHeight="1" spans="1:26">
      <c r="A191" s="23"/>
      <c r="B191" s="23"/>
      <c r="C191" s="23"/>
      <c r="D191" s="23"/>
      <c r="E191" s="23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3"/>
      <c r="W191" s="23"/>
      <c r="X191" s="23"/>
      <c r="Y191" s="23"/>
      <c r="Z191" s="23"/>
    </row>
    <row r="192" ht="15.75" customHeight="1" spans="1:26">
      <c r="A192" s="23"/>
      <c r="B192" s="23"/>
      <c r="C192" s="23"/>
      <c r="D192" s="23"/>
      <c r="E192" s="23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3"/>
      <c r="W192" s="23"/>
      <c r="X192" s="23"/>
      <c r="Y192" s="23"/>
      <c r="Z192" s="23"/>
    </row>
    <row r="193" ht="15.75" customHeight="1" spans="1:26">
      <c r="A193" s="23"/>
      <c r="B193" s="23"/>
      <c r="C193" s="23"/>
      <c r="D193" s="23"/>
      <c r="E193" s="23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3"/>
      <c r="W193" s="23"/>
      <c r="X193" s="23"/>
      <c r="Y193" s="23"/>
      <c r="Z193" s="23"/>
    </row>
    <row r="194" ht="15.75" customHeight="1" spans="1:26">
      <c r="A194" s="23"/>
      <c r="B194" s="23"/>
      <c r="C194" s="23"/>
      <c r="D194" s="23"/>
      <c r="E194" s="23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3"/>
      <c r="W194" s="23"/>
      <c r="X194" s="23"/>
      <c r="Y194" s="23"/>
      <c r="Z194" s="23"/>
    </row>
    <row r="195" ht="15.75" customHeight="1" spans="1:26">
      <c r="A195" s="23"/>
      <c r="B195" s="23"/>
      <c r="C195" s="23"/>
      <c r="D195" s="23"/>
      <c r="E195" s="23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3"/>
      <c r="W195" s="23"/>
      <c r="X195" s="23"/>
      <c r="Y195" s="23"/>
      <c r="Z195" s="23"/>
    </row>
    <row r="196" ht="15.75" customHeight="1" spans="1:26">
      <c r="A196" s="23"/>
      <c r="B196" s="23"/>
      <c r="C196" s="23"/>
      <c r="D196" s="23"/>
      <c r="E196" s="23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3"/>
      <c r="W196" s="23"/>
      <c r="X196" s="23"/>
      <c r="Y196" s="23"/>
      <c r="Z196" s="23"/>
    </row>
    <row r="197" ht="15.75" customHeight="1" spans="1:26">
      <c r="A197" s="23"/>
      <c r="B197" s="23"/>
      <c r="C197" s="23"/>
      <c r="D197" s="23"/>
      <c r="E197" s="23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3"/>
      <c r="W197" s="23"/>
      <c r="X197" s="23"/>
      <c r="Y197" s="23"/>
      <c r="Z197" s="23"/>
    </row>
    <row r="198" ht="15.75" customHeight="1" spans="1:26">
      <c r="A198" s="23"/>
      <c r="B198" s="23"/>
      <c r="C198" s="23"/>
      <c r="D198" s="23"/>
      <c r="E198" s="23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3"/>
      <c r="W198" s="23"/>
      <c r="X198" s="23"/>
      <c r="Y198" s="23"/>
      <c r="Z198" s="23"/>
    </row>
    <row r="199" ht="15.75" customHeight="1" spans="1:26">
      <c r="A199" s="23"/>
      <c r="B199" s="23"/>
      <c r="C199" s="23"/>
      <c r="D199" s="23"/>
      <c r="E199" s="23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3"/>
      <c r="W199" s="23"/>
      <c r="X199" s="23"/>
      <c r="Y199" s="23"/>
      <c r="Z199" s="23"/>
    </row>
    <row r="200" ht="15.75" customHeight="1" spans="1:26">
      <c r="A200" s="23"/>
      <c r="B200" s="23"/>
      <c r="C200" s="23"/>
      <c r="D200" s="23"/>
      <c r="E200" s="23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3"/>
      <c r="W200" s="23"/>
      <c r="X200" s="23"/>
      <c r="Y200" s="23"/>
      <c r="Z200" s="23"/>
    </row>
    <row r="201" ht="15.75" customHeight="1" spans="1:26">
      <c r="A201" s="23"/>
      <c r="B201" s="23"/>
      <c r="C201" s="23"/>
      <c r="D201" s="23"/>
      <c r="E201" s="23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3"/>
      <c r="W201" s="23"/>
      <c r="X201" s="23"/>
      <c r="Y201" s="23"/>
      <c r="Z201" s="23"/>
    </row>
    <row r="202" ht="15.75" customHeight="1" spans="1:26">
      <c r="A202" s="23"/>
      <c r="B202" s="23"/>
      <c r="C202" s="23"/>
      <c r="D202" s="23"/>
      <c r="E202" s="23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3"/>
      <c r="W202" s="23"/>
      <c r="X202" s="23"/>
      <c r="Y202" s="23"/>
      <c r="Z202" s="23"/>
    </row>
    <row r="203" ht="15.75" customHeight="1" spans="1:26">
      <c r="A203" s="23"/>
      <c r="B203" s="23"/>
      <c r="C203" s="23"/>
      <c r="D203" s="23"/>
      <c r="E203" s="23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3"/>
      <c r="W203" s="23"/>
      <c r="X203" s="23"/>
      <c r="Y203" s="23"/>
      <c r="Z203" s="23"/>
    </row>
    <row r="204" ht="15.75" customHeight="1" spans="1:26">
      <c r="A204" s="23"/>
      <c r="B204" s="23"/>
      <c r="C204" s="23"/>
      <c r="D204" s="23"/>
      <c r="E204" s="23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3"/>
      <c r="W204" s="23"/>
      <c r="X204" s="23"/>
      <c r="Y204" s="23"/>
      <c r="Z204" s="23"/>
    </row>
    <row r="205" ht="15.75" customHeight="1" spans="1:26">
      <c r="A205" s="23"/>
      <c r="B205" s="23"/>
      <c r="C205" s="23"/>
      <c r="D205" s="23"/>
      <c r="E205" s="23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3"/>
      <c r="W205" s="23"/>
      <c r="X205" s="23"/>
      <c r="Y205" s="23"/>
      <c r="Z205" s="23"/>
    </row>
    <row r="206" ht="15.75" customHeight="1" spans="1:26">
      <c r="A206" s="23"/>
      <c r="B206" s="23"/>
      <c r="C206" s="23"/>
      <c r="D206" s="23"/>
      <c r="E206" s="23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3"/>
      <c r="W206" s="23"/>
      <c r="X206" s="23"/>
      <c r="Y206" s="23"/>
      <c r="Z206" s="23"/>
    </row>
    <row r="207" ht="15.75" customHeight="1" spans="1:26">
      <c r="A207" s="23"/>
      <c r="B207" s="23"/>
      <c r="C207" s="23"/>
      <c r="D207" s="23"/>
      <c r="E207" s="23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3"/>
      <c r="W207" s="23"/>
      <c r="X207" s="23"/>
      <c r="Y207" s="23"/>
      <c r="Z207" s="23"/>
    </row>
    <row r="208" ht="15.75" customHeight="1" spans="1:26">
      <c r="A208" s="23"/>
      <c r="B208" s="23"/>
      <c r="C208" s="23"/>
      <c r="D208" s="23"/>
      <c r="E208" s="23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3"/>
      <c r="W208" s="23"/>
      <c r="X208" s="23"/>
      <c r="Y208" s="23"/>
      <c r="Z208" s="23"/>
    </row>
    <row r="209" ht="15.75" customHeight="1" spans="1:26">
      <c r="A209" s="23"/>
      <c r="B209" s="23"/>
      <c r="C209" s="23"/>
      <c r="D209" s="23"/>
      <c r="E209" s="23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3"/>
      <c r="W209" s="23"/>
      <c r="X209" s="23"/>
      <c r="Y209" s="23"/>
      <c r="Z209" s="23"/>
    </row>
    <row r="210" ht="15.75" customHeight="1" spans="1:26">
      <c r="A210" s="23"/>
      <c r="B210" s="23"/>
      <c r="C210" s="23"/>
      <c r="D210" s="23"/>
      <c r="E210" s="23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3"/>
      <c r="W210" s="23"/>
      <c r="X210" s="23"/>
      <c r="Y210" s="23"/>
      <c r="Z210" s="23"/>
    </row>
    <row r="211" ht="15.75" customHeight="1" spans="1:26">
      <c r="A211" s="23"/>
      <c r="B211" s="23"/>
      <c r="C211" s="23"/>
      <c r="D211" s="23"/>
      <c r="E211" s="23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3"/>
      <c r="W211" s="23"/>
      <c r="X211" s="23"/>
      <c r="Y211" s="23"/>
      <c r="Z211" s="23"/>
    </row>
    <row r="212" ht="15.75" customHeight="1" spans="1:26">
      <c r="A212" s="23"/>
      <c r="B212" s="23"/>
      <c r="C212" s="23"/>
      <c r="D212" s="23"/>
      <c r="E212" s="23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3"/>
      <c r="W212" s="23"/>
      <c r="X212" s="23"/>
      <c r="Y212" s="23"/>
      <c r="Z212" s="23"/>
    </row>
    <row r="213" ht="15.75" customHeight="1" spans="1:26">
      <c r="A213" s="23"/>
      <c r="B213" s="23"/>
      <c r="C213" s="23"/>
      <c r="D213" s="23"/>
      <c r="E213" s="23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3"/>
      <c r="W213" s="23"/>
      <c r="X213" s="23"/>
      <c r="Y213" s="23"/>
      <c r="Z213" s="23"/>
    </row>
    <row r="214" ht="15.75" customHeight="1" spans="1:26">
      <c r="A214" s="23"/>
      <c r="B214" s="23"/>
      <c r="C214" s="23"/>
      <c r="D214" s="23"/>
      <c r="E214" s="23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3"/>
      <c r="W214" s="23"/>
      <c r="X214" s="23"/>
      <c r="Y214" s="23"/>
      <c r="Z214" s="23"/>
    </row>
    <row r="215" ht="15.75" customHeight="1" spans="1:26">
      <c r="A215" s="23"/>
      <c r="B215" s="23"/>
      <c r="C215" s="23"/>
      <c r="D215" s="23"/>
      <c r="E215" s="23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3"/>
      <c r="W215" s="23"/>
      <c r="X215" s="23"/>
      <c r="Y215" s="23"/>
      <c r="Z215" s="23"/>
    </row>
    <row r="216" ht="15.75" customHeight="1" spans="1:26">
      <c r="A216" s="23"/>
      <c r="B216" s="23"/>
      <c r="C216" s="23"/>
      <c r="D216" s="23"/>
      <c r="E216" s="23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3"/>
      <c r="W216" s="23"/>
      <c r="X216" s="23"/>
      <c r="Y216" s="23"/>
      <c r="Z216" s="23"/>
    </row>
    <row r="217" ht="15.75" customHeight="1" spans="1:26">
      <c r="A217" s="23"/>
      <c r="B217" s="23"/>
      <c r="C217" s="23"/>
      <c r="D217" s="23"/>
      <c r="E217" s="23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3"/>
      <c r="W217" s="23"/>
      <c r="X217" s="23"/>
      <c r="Y217" s="23"/>
      <c r="Z217" s="23"/>
    </row>
    <row r="218" ht="15.75" customHeight="1" spans="1:26">
      <c r="A218" s="23"/>
      <c r="B218" s="23"/>
      <c r="C218" s="23"/>
      <c r="D218" s="23"/>
      <c r="E218" s="23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3"/>
      <c r="W218" s="23"/>
      <c r="X218" s="23"/>
      <c r="Y218" s="23"/>
      <c r="Z218" s="23"/>
    </row>
    <row r="219" ht="15.75" customHeight="1" spans="1:26">
      <c r="A219" s="23"/>
      <c r="B219" s="23"/>
      <c r="C219" s="23"/>
      <c r="D219" s="23"/>
      <c r="E219" s="23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3"/>
      <c r="W219" s="23"/>
      <c r="X219" s="23"/>
      <c r="Y219" s="23"/>
      <c r="Z219" s="23"/>
    </row>
    <row r="220" ht="15.75" customHeight="1" spans="1:26">
      <c r="A220" s="23"/>
      <c r="B220" s="23"/>
      <c r="C220" s="23"/>
      <c r="D220" s="23"/>
      <c r="E220" s="23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3"/>
      <c r="W220" s="23"/>
      <c r="X220" s="23"/>
      <c r="Y220" s="23"/>
      <c r="Z220" s="23"/>
    </row>
    <row r="221" ht="15.75" customHeight="1" spans="1:26">
      <c r="A221" s="23"/>
      <c r="B221" s="23"/>
      <c r="C221" s="23"/>
      <c r="D221" s="23"/>
      <c r="E221" s="23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3"/>
      <c r="W221" s="23"/>
      <c r="X221" s="23"/>
      <c r="Y221" s="23"/>
      <c r="Z221" s="23"/>
    </row>
    <row r="222" ht="15.75" customHeight="1" spans="1:26">
      <c r="A222" s="23"/>
      <c r="B222" s="23"/>
      <c r="C222" s="23"/>
      <c r="D222" s="23"/>
      <c r="E222" s="23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3"/>
      <c r="W222" s="23"/>
      <c r="X222" s="23"/>
      <c r="Y222" s="23"/>
      <c r="Z222" s="23"/>
    </row>
    <row r="223" ht="15.75" customHeight="1" spans="1:26">
      <c r="A223" s="23"/>
      <c r="B223" s="23"/>
      <c r="C223" s="23"/>
      <c r="D223" s="23"/>
      <c r="E223" s="23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3"/>
      <c r="W223" s="23"/>
      <c r="X223" s="23"/>
      <c r="Y223" s="23"/>
      <c r="Z223" s="23"/>
    </row>
    <row r="224" ht="15.75" customHeight="1" spans="1:26">
      <c r="A224" s="23"/>
      <c r="B224" s="23"/>
      <c r="C224" s="23"/>
      <c r="D224" s="23"/>
      <c r="E224" s="23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3"/>
      <c r="W224" s="23"/>
      <c r="X224" s="23"/>
      <c r="Y224" s="23"/>
      <c r="Z224" s="23"/>
    </row>
    <row r="225" ht="15.75" customHeight="1" spans="1:26">
      <c r="A225" s="23"/>
      <c r="B225" s="23"/>
      <c r="C225" s="23"/>
      <c r="D225" s="23"/>
      <c r="E225" s="23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3"/>
      <c r="W225" s="23"/>
      <c r="X225" s="23"/>
      <c r="Y225" s="23"/>
      <c r="Z225" s="23"/>
    </row>
    <row r="226" ht="15.75" customHeight="1" spans="1:26">
      <c r="A226" s="23"/>
      <c r="B226" s="23"/>
      <c r="C226" s="23"/>
      <c r="D226" s="23"/>
      <c r="E226" s="23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3"/>
      <c r="W226" s="23"/>
      <c r="X226" s="23"/>
      <c r="Y226" s="23"/>
      <c r="Z226" s="23"/>
    </row>
    <row r="227" ht="15.75" customHeight="1" spans="1:26">
      <c r="A227" s="23"/>
      <c r="B227" s="23"/>
      <c r="C227" s="23"/>
      <c r="D227" s="23"/>
      <c r="E227" s="23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3"/>
      <c r="W227" s="23"/>
      <c r="X227" s="23"/>
      <c r="Y227" s="23"/>
      <c r="Z227" s="23"/>
    </row>
    <row r="228" ht="15.75" customHeight="1" spans="1:26">
      <c r="A228" s="23"/>
      <c r="B228" s="23"/>
      <c r="C228" s="23"/>
      <c r="D228" s="23"/>
      <c r="E228" s="23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3"/>
      <c r="W228" s="23"/>
      <c r="X228" s="23"/>
      <c r="Y228" s="23"/>
      <c r="Z228" s="23"/>
    </row>
    <row r="229" ht="15.75" customHeight="1" spans="1:26">
      <c r="A229" s="23"/>
      <c r="B229" s="23"/>
      <c r="C229" s="23"/>
      <c r="D229" s="23"/>
      <c r="E229" s="23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3"/>
      <c r="W229" s="23"/>
      <c r="X229" s="23"/>
      <c r="Y229" s="23"/>
      <c r="Z229" s="23"/>
    </row>
    <row r="230" ht="15.75" customHeight="1" spans="1:26">
      <c r="A230" s="23"/>
      <c r="B230" s="23"/>
      <c r="C230" s="23"/>
      <c r="D230" s="23"/>
      <c r="E230" s="23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3"/>
      <c r="W230" s="23"/>
      <c r="X230" s="23"/>
      <c r="Y230" s="23"/>
      <c r="Z230" s="23"/>
    </row>
    <row r="231" ht="15.75" customHeight="1" spans="1:26">
      <c r="A231" s="23"/>
      <c r="B231" s="23"/>
      <c r="C231" s="23"/>
      <c r="D231" s="23"/>
      <c r="E231" s="23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3"/>
      <c r="W231" s="23"/>
      <c r="X231" s="23"/>
      <c r="Y231" s="23"/>
      <c r="Z231" s="23"/>
    </row>
    <row r="232" ht="15.75" customHeight="1" spans="1:26">
      <c r="A232" s="23"/>
      <c r="B232" s="23"/>
      <c r="C232" s="23"/>
      <c r="D232" s="23"/>
      <c r="E232" s="23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3"/>
      <c r="W232" s="23"/>
      <c r="X232" s="23"/>
      <c r="Y232" s="23"/>
      <c r="Z232" s="23"/>
    </row>
    <row r="233" ht="15.75" customHeight="1" spans="1:26">
      <c r="A233" s="23"/>
      <c r="B233" s="23"/>
      <c r="C233" s="23"/>
      <c r="D233" s="23"/>
      <c r="E233" s="23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3"/>
      <c r="W233" s="23"/>
      <c r="X233" s="23"/>
      <c r="Y233" s="23"/>
      <c r="Z233" s="23"/>
    </row>
    <row r="234" ht="15.75" customHeight="1" spans="1:26">
      <c r="A234" s="23"/>
      <c r="B234" s="23"/>
      <c r="C234" s="23"/>
      <c r="D234" s="23"/>
      <c r="E234" s="23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3"/>
      <c r="W234" s="23"/>
      <c r="X234" s="23"/>
      <c r="Y234" s="23"/>
      <c r="Z234" s="23"/>
    </row>
    <row r="235" ht="15.75" customHeight="1" spans="1:26">
      <c r="A235" s="23"/>
      <c r="B235" s="23"/>
      <c r="C235" s="23"/>
      <c r="D235" s="23"/>
      <c r="E235" s="23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3"/>
      <c r="W235" s="23"/>
      <c r="X235" s="23"/>
      <c r="Y235" s="23"/>
      <c r="Z235" s="23"/>
    </row>
    <row r="236" ht="15.75" customHeight="1" spans="1:26">
      <c r="A236" s="23"/>
      <c r="B236" s="23"/>
      <c r="C236" s="23"/>
      <c r="D236" s="23"/>
      <c r="E236" s="23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3"/>
      <c r="W236" s="23"/>
      <c r="X236" s="23"/>
      <c r="Y236" s="23"/>
      <c r="Z236" s="23"/>
    </row>
    <row r="237" ht="15.75" customHeight="1" spans="1:26">
      <c r="A237" s="23"/>
      <c r="B237" s="23"/>
      <c r="C237" s="23"/>
      <c r="D237" s="23"/>
      <c r="E237" s="23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3"/>
      <c r="W237" s="23"/>
      <c r="X237" s="23"/>
      <c r="Y237" s="23"/>
      <c r="Z237" s="23"/>
    </row>
    <row r="238" ht="15.75" customHeight="1" spans="1:26">
      <c r="A238" s="23"/>
      <c r="B238" s="23"/>
      <c r="C238" s="23"/>
      <c r="D238" s="23"/>
      <c r="E238" s="23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3"/>
      <c r="W238" s="23"/>
      <c r="X238" s="23"/>
      <c r="Y238" s="23"/>
      <c r="Z238" s="23"/>
    </row>
    <row r="239" ht="15.75" customHeight="1" spans="1:26">
      <c r="A239" s="23"/>
      <c r="B239" s="23"/>
      <c r="C239" s="23"/>
      <c r="D239" s="23"/>
      <c r="E239" s="23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3"/>
      <c r="W239" s="23"/>
      <c r="X239" s="23"/>
      <c r="Y239" s="23"/>
      <c r="Z239" s="23"/>
    </row>
    <row r="240" ht="15.75" customHeight="1" spans="1:26">
      <c r="A240" s="23"/>
      <c r="B240" s="23"/>
      <c r="C240" s="23"/>
      <c r="D240" s="23"/>
      <c r="E240" s="23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3"/>
      <c r="W240" s="23"/>
      <c r="X240" s="23"/>
      <c r="Y240" s="23"/>
      <c r="Z240" s="23"/>
    </row>
    <row r="241" ht="15.75" customHeight="1" spans="1:26">
      <c r="A241" s="23"/>
      <c r="B241" s="23"/>
      <c r="C241" s="23"/>
      <c r="D241" s="23"/>
      <c r="E241" s="23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3"/>
      <c r="W241" s="23"/>
      <c r="X241" s="23"/>
      <c r="Y241" s="23"/>
      <c r="Z241" s="23"/>
    </row>
    <row r="242" ht="15.75" customHeight="1" spans="1:26">
      <c r="A242" s="23"/>
      <c r="B242" s="23"/>
      <c r="C242" s="23"/>
      <c r="D242" s="23"/>
      <c r="E242" s="23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3"/>
      <c r="W242" s="23"/>
      <c r="X242" s="23"/>
      <c r="Y242" s="23"/>
      <c r="Z242" s="23"/>
    </row>
    <row r="243" ht="15.75" customHeight="1" spans="1:26">
      <c r="A243" s="23"/>
      <c r="B243" s="23"/>
      <c r="C243" s="23"/>
      <c r="D243" s="23"/>
      <c r="E243" s="23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3"/>
      <c r="W243" s="23"/>
      <c r="X243" s="23"/>
      <c r="Y243" s="23"/>
      <c r="Z243" s="23"/>
    </row>
    <row r="244" ht="15.75" customHeight="1" spans="1:26">
      <c r="A244" s="23"/>
      <c r="B244" s="23"/>
      <c r="C244" s="23"/>
      <c r="D244" s="23"/>
      <c r="E244" s="23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3"/>
      <c r="W244" s="23"/>
      <c r="X244" s="23"/>
      <c r="Y244" s="23"/>
      <c r="Z244" s="23"/>
    </row>
    <row r="245" ht="15.75" customHeight="1" spans="1:26">
      <c r="A245" s="23"/>
      <c r="B245" s="23"/>
      <c r="C245" s="23"/>
      <c r="D245" s="23"/>
      <c r="E245" s="23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3"/>
      <c r="W245" s="23"/>
      <c r="X245" s="23"/>
      <c r="Y245" s="23"/>
      <c r="Z245" s="23"/>
    </row>
    <row r="246" ht="15.75" customHeight="1" spans="1:26">
      <c r="A246" s="23"/>
      <c r="B246" s="23"/>
      <c r="C246" s="23"/>
      <c r="D246" s="23"/>
      <c r="E246" s="23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3"/>
      <c r="W246" s="23"/>
      <c r="X246" s="23"/>
      <c r="Y246" s="23"/>
      <c r="Z246" s="23"/>
    </row>
    <row r="247" ht="15.75" customHeight="1" spans="1:26">
      <c r="A247" s="23"/>
      <c r="B247" s="23"/>
      <c r="C247" s="23"/>
      <c r="D247" s="23"/>
      <c r="E247" s="23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3"/>
      <c r="W247" s="23"/>
      <c r="X247" s="23"/>
      <c r="Y247" s="23"/>
      <c r="Z247" s="23"/>
    </row>
    <row r="248" ht="15.75" customHeight="1" spans="1:26">
      <c r="A248" s="23"/>
      <c r="B248" s="23"/>
      <c r="C248" s="23"/>
      <c r="D248" s="23"/>
      <c r="E248" s="23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3"/>
      <c r="W248" s="23"/>
      <c r="X248" s="23"/>
      <c r="Y248" s="23"/>
      <c r="Z248" s="23"/>
    </row>
    <row r="249" ht="15.75" customHeight="1" spans="1:26">
      <c r="A249" s="23"/>
      <c r="B249" s="23"/>
      <c r="C249" s="23"/>
      <c r="D249" s="23"/>
      <c r="E249" s="23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3"/>
      <c r="W249" s="23"/>
      <c r="X249" s="23"/>
      <c r="Y249" s="23"/>
      <c r="Z249" s="23"/>
    </row>
    <row r="250" ht="15.75" customHeight="1" spans="1:26">
      <c r="A250" s="23"/>
      <c r="B250" s="23"/>
      <c r="C250" s="23"/>
      <c r="D250" s="23"/>
      <c r="E250" s="23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3"/>
      <c r="W250" s="23"/>
      <c r="X250" s="23"/>
      <c r="Y250" s="23"/>
      <c r="Z250" s="23"/>
    </row>
    <row r="251" ht="15.75" customHeight="1" spans="1:26">
      <c r="A251" s="23"/>
      <c r="B251" s="23"/>
      <c r="C251" s="23"/>
      <c r="D251" s="23"/>
      <c r="E251" s="23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3"/>
      <c r="W251" s="23"/>
      <c r="X251" s="23"/>
      <c r="Y251" s="23"/>
      <c r="Z251" s="23"/>
    </row>
    <row r="252" ht="15.75" customHeight="1" spans="1:26">
      <c r="A252" s="23"/>
      <c r="B252" s="23"/>
      <c r="C252" s="23"/>
      <c r="D252" s="23"/>
      <c r="E252" s="23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3"/>
      <c r="W252" s="23"/>
      <c r="X252" s="23"/>
      <c r="Y252" s="23"/>
      <c r="Z252" s="23"/>
    </row>
    <row r="253" ht="15.75" customHeight="1" spans="1:26">
      <c r="A253" s="23"/>
      <c r="B253" s="23"/>
      <c r="C253" s="23"/>
      <c r="D253" s="23"/>
      <c r="E253" s="23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3"/>
      <c r="W253" s="23"/>
      <c r="X253" s="23"/>
      <c r="Y253" s="23"/>
      <c r="Z253" s="23"/>
    </row>
    <row r="254" ht="15.75" customHeight="1" spans="1:26">
      <c r="A254" s="23"/>
      <c r="B254" s="23"/>
      <c r="C254" s="23"/>
      <c r="D254" s="23"/>
      <c r="E254" s="23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3"/>
      <c r="W254" s="23"/>
      <c r="X254" s="23"/>
      <c r="Y254" s="23"/>
      <c r="Z254" s="23"/>
    </row>
    <row r="255" ht="15.75" customHeight="1" spans="1:26">
      <c r="A255" s="23"/>
      <c r="B255" s="23"/>
      <c r="C255" s="23"/>
      <c r="D255" s="23"/>
      <c r="E255" s="23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3"/>
      <c r="W255" s="23"/>
      <c r="X255" s="23"/>
      <c r="Y255" s="23"/>
      <c r="Z255" s="23"/>
    </row>
    <row r="256" ht="15.75" customHeight="1" spans="1:26">
      <c r="A256" s="23"/>
      <c r="B256" s="23"/>
      <c r="C256" s="23"/>
      <c r="D256" s="23"/>
      <c r="E256" s="23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3"/>
      <c r="W256" s="23"/>
      <c r="X256" s="23"/>
      <c r="Y256" s="23"/>
      <c r="Z256" s="23"/>
    </row>
    <row r="257" ht="15.75" customHeight="1" spans="1:26">
      <c r="A257" s="23"/>
      <c r="B257" s="23"/>
      <c r="C257" s="23"/>
      <c r="D257" s="23"/>
      <c r="E257" s="23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3"/>
      <c r="W257" s="23"/>
      <c r="X257" s="23"/>
      <c r="Y257" s="23"/>
      <c r="Z257" s="23"/>
    </row>
    <row r="258" ht="15.75" customHeight="1" spans="1:26">
      <c r="A258" s="23"/>
      <c r="B258" s="23"/>
      <c r="C258" s="23"/>
      <c r="D258" s="23"/>
      <c r="E258" s="23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3"/>
      <c r="W258" s="23"/>
      <c r="X258" s="23"/>
      <c r="Y258" s="23"/>
      <c r="Z258" s="23"/>
    </row>
    <row r="259" ht="15.75" customHeight="1" spans="1:26">
      <c r="A259" s="23"/>
      <c r="B259" s="23"/>
      <c r="C259" s="23"/>
      <c r="D259" s="23"/>
      <c r="E259" s="23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3"/>
      <c r="W259" s="23"/>
      <c r="X259" s="23"/>
      <c r="Y259" s="23"/>
      <c r="Z259" s="23"/>
    </row>
    <row r="260" ht="15.75" customHeight="1" spans="1:26">
      <c r="A260" s="23"/>
      <c r="B260" s="23"/>
      <c r="C260" s="23"/>
      <c r="D260" s="23"/>
      <c r="E260" s="23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3"/>
      <c r="W260" s="23"/>
      <c r="X260" s="23"/>
      <c r="Y260" s="23"/>
      <c r="Z260" s="23"/>
    </row>
    <row r="261" ht="15.75" customHeight="1" spans="1:26">
      <c r="A261" s="23"/>
      <c r="B261" s="23"/>
      <c r="C261" s="23"/>
      <c r="D261" s="23"/>
      <c r="E261" s="23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3"/>
      <c r="W261" s="23"/>
      <c r="X261" s="23"/>
      <c r="Y261" s="23"/>
      <c r="Z261" s="23"/>
    </row>
    <row r="262" ht="15.75" customHeight="1" spans="1:26">
      <c r="A262" s="23"/>
      <c r="B262" s="23"/>
      <c r="C262" s="23"/>
      <c r="D262" s="23"/>
      <c r="E262" s="23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3"/>
      <c r="W262" s="23"/>
      <c r="X262" s="23"/>
      <c r="Y262" s="23"/>
      <c r="Z262" s="23"/>
    </row>
    <row r="263" ht="15.75" customHeight="1" spans="1:26">
      <c r="A263" s="23"/>
      <c r="B263" s="23"/>
      <c r="C263" s="23"/>
      <c r="D263" s="23"/>
      <c r="E263" s="23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3"/>
      <c r="W263" s="23"/>
      <c r="X263" s="23"/>
      <c r="Y263" s="23"/>
      <c r="Z263" s="23"/>
    </row>
    <row r="264" ht="15.75" customHeight="1" spans="1:26">
      <c r="A264" s="23"/>
      <c r="B264" s="23"/>
      <c r="C264" s="23"/>
      <c r="D264" s="23"/>
      <c r="E264" s="23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3"/>
      <c r="W264" s="23"/>
      <c r="X264" s="23"/>
      <c r="Y264" s="23"/>
      <c r="Z264" s="23"/>
    </row>
    <row r="265" ht="15.75" customHeight="1" spans="1:26">
      <c r="A265" s="23"/>
      <c r="B265" s="23"/>
      <c r="C265" s="23"/>
      <c r="D265" s="23"/>
      <c r="E265" s="23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3"/>
      <c r="W265" s="23"/>
      <c r="X265" s="23"/>
      <c r="Y265" s="23"/>
      <c r="Z265" s="23"/>
    </row>
    <row r="266" ht="15.75" customHeight="1" spans="1:26">
      <c r="A266" s="23"/>
      <c r="B266" s="23"/>
      <c r="C266" s="23"/>
      <c r="D266" s="23"/>
      <c r="E266" s="23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3"/>
      <c r="W266" s="23"/>
      <c r="X266" s="23"/>
      <c r="Y266" s="23"/>
      <c r="Z266" s="23"/>
    </row>
    <row r="267" ht="15.75" customHeight="1" spans="1:26">
      <c r="A267" s="23"/>
      <c r="B267" s="23"/>
      <c r="C267" s="23"/>
      <c r="D267" s="23"/>
      <c r="E267" s="23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3"/>
      <c r="W267" s="23"/>
      <c r="X267" s="23"/>
      <c r="Y267" s="23"/>
      <c r="Z267" s="23"/>
    </row>
    <row r="268" ht="15.75" customHeight="1" spans="1:26">
      <c r="A268" s="23"/>
      <c r="B268" s="23"/>
      <c r="C268" s="23"/>
      <c r="D268" s="23"/>
      <c r="E268" s="23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3"/>
      <c r="W268" s="23"/>
      <c r="X268" s="23"/>
      <c r="Y268" s="23"/>
      <c r="Z268" s="23"/>
    </row>
    <row r="269" ht="15.75" customHeight="1" spans="1:26">
      <c r="A269" s="23"/>
      <c r="B269" s="23"/>
      <c r="C269" s="23"/>
      <c r="D269" s="23"/>
      <c r="E269" s="23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3"/>
      <c r="W269" s="23"/>
      <c r="X269" s="23"/>
      <c r="Y269" s="23"/>
      <c r="Z269" s="23"/>
    </row>
    <row r="270" ht="15.75" customHeight="1" spans="1:26">
      <c r="A270" s="23"/>
      <c r="B270" s="23"/>
      <c r="C270" s="23"/>
      <c r="D270" s="23"/>
      <c r="E270" s="23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3"/>
      <c r="W270" s="23"/>
      <c r="X270" s="23"/>
      <c r="Y270" s="23"/>
      <c r="Z270" s="23"/>
    </row>
    <row r="271" ht="15.75" customHeight="1" spans="1:26">
      <c r="A271" s="23"/>
      <c r="B271" s="23"/>
      <c r="C271" s="23"/>
      <c r="D271" s="23"/>
      <c r="E271" s="23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3"/>
      <c r="W271" s="23"/>
      <c r="X271" s="23"/>
      <c r="Y271" s="23"/>
      <c r="Z271" s="23"/>
    </row>
    <row r="272" ht="15.75" customHeight="1" spans="1:26">
      <c r="A272" s="23"/>
      <c r="B272" s="23"/>
      <c r="C272" s="23"/>
      <c r="D272" s="23"/>
      <c r="E272" s="23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3"/>
      <c r="W272" s="23"/>
      <c r="X272" s="23"/>
      <c r="Y272" s="23"/>
      <c r="Z272" s="23"/>
    </row>
    <row r="273" ht="15.75" customHeight="1" spans="1:26">
      <c r="A273" s="23"/>
      <c r="B273" s="23"/>
      <c r="C273" s="23"/>
      <c r="D273" s="23"/>
      <c r="E273" s="23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3"/>
      <c r="W273" s="23"/>
      <c r="X273" s="23"/>
      <c r="Y273" s="23"/>
      <c r="Z273" s="23"/>
    </row>
    <row r="274" ht="15.75" customHeight="1" spans="1:26">
      <c r="A274" s="23"/>
      <c r="B274" s="23"/>
      <c r="C274" s="23"/>
      <c r="D274" s="23"/>
      <c r="E274" s="23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3"/>
      <c r="W274" s="23"/>
      <c r="X274" s="23"/>
      <c r="Y274" s="23"/>
      <c r="Z274" s="23"/>
    </row>
    <row r="275" ht="15.75" customHeight="1" spans="1:26">
      <c r="A275" s="23"/>
      <c r="B275" s="23"/>
      <c r="C275" s="23"/>
      <c r="D275" s="23"/>
      <c r="E275" s="23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3"/>
      <c r="W275" s="23"/>
      <c r="X275" s="23"/>
      <c r="Y275" s="23"/>
      <c r="Z275" s="23"/>
    </row>
    <row r="276" ht="15.75" customHeight="1" spans="1:26">
      <c r="A276" s="23"/>
      <c r="B276" s="23"/>
      <c r="C276" s="23"/>
      <c r="D276" s="23"/>
      <c r="E276" s="23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3"/>
      <c r="W276" s="23"/>
      <c r="X276" s="23"/>
      <c r="Y276" s="23"/>
      <c r="Z276" s="23"/>
    </row>
    <row r="277" ht="15.75" customHeight="1" spans="1:26">
      <c r="A277" s="23"/>
      <c r="B277" s="23"/>
      <c r="C277" s="23"/>
      <c r="D277" s="23"/>
      <c r="E277" s="23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3"/>
      <c r="W277" s="23"/>
      <c r="X277" s="23"/>
      <c r="Y277" s="23"/>
      <c r="Z277" s="23"/>
    </row>
    <row r="278" ht="15.75" customHeight="1" spans="1:26">
      <c r="A278" s="23"/>
      <c r="B278" s="23"/>
      <c r="C278" s="23"/>
      <c r="D278" s="23"/>
      <c r="E278" s="23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3"/>
      <c r="W278" s="23"/>
      <c r="X278" s="23"/>
      <c r="Y278" s="23"/>
      <c r="Z278" s="23"/>
    </row>
    <row r="279" ht="15.75" customHeight="1" spans="1:26">
      <c r="A279" s="23"/>
      <c r="B279" s="23"/>
      <c r="C279" s="23"/>
      <c r="D279" s="23"/>
      <c r="E279" s="23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3"/>
      <c r="W279" s="23"/>
      <c r="X279" s="23"/>
      <c r="Y279" s="23"/>
      <c r="Z279" s="23"/>
    </row>
    <row r="280" ht="15.75" customHeight="1" spans="1:26">
      <c r="A280" s="23"/>
      <c r="B280" s="23"/>
      <c r="C280" s="23"/>
      <c r="D280" s="23"/>
      <c r="E280" s="23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3"/>
      <c r="W280" s="23"/>
      <c r="X280" s="23"/>
      <c r="Y280" s="23"/>
      <c r="Z280" s="23"/>
    </row>
    <row r="281" ht="15.75" customHeight="1" spans="1:26">
      <c r="A281" s="23"/>
      <c r="B281" s="23"/>
      <c r="C281" s="23"/>
      <c r="D281" s="23"/>
      <c r="E281" s="23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3"/>
      <c r="W281" s="23"/>
      <c r="X281" s="23"/>
      <c r="Y281" s="23"/>
      <c r="Z281" s="23"/>
    </row>
    <row r="282" ht="15.75" customHeight="1" spans="1:26">
      <c r="A282" s="23"/>
      <c r="B282" s="23"/>
      <c r="C282" s="23"/>
      <c r="D282" s="23"/>
      <c r="E282" s="23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3"/>
      <c r="W282" s="23"/>
      <c r="X282" s="23"/>
      <c r="Y282" s="23"/>
      <c r="Z282" s="23"/>
    </row>
    <row r="283" ht="15.75" customHeight="1" spans="1:26">
      <c r="A283" s="23"/>
      <c r="B283" s="23"/>
      <c r="C283" s="23"/>
      <c r="D283" s="23"/>
      <c r="E283" s="23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3"/>
      <c r="W283" s="23"/>
      <c r="X283" s="23"/>
      <c r="Y283" s="23"/>
      <c r="Z283" s="23"/>
    </row>
    <row r="284" ht="15.75" customHeight="1" spans="1:26">
      <c r="A284" s="23"/>
      <c r="B284" s="23"/>
      <c r="C284" s="23"/>
      <c r="D284" s="23"/>
      <c r="E284" s="23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3"/>
      <c r="W284" s="23"/>
      <c r="X284" s="23"/>
      <c r="Y284" s="23"/>
      <c r="Z284" s="23"/>
    </row>
    <row r="285" ht="15.75" customHeight="1" spans="1:26">
      <c r="A285" s="23"/>
      <c r="B285" s="23"/>
      <c r="C285" s="23"/>
      <c r="D285" s="23"/>
      <c r="E285" s="23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3"/>
      <c r="W285" s="23"/>
      <c r="X285" s="23"/>
      <c r="Y285" s="23"/>
      <c r="Z285" s="23"/>
    </row>
    <row r="286" ht="15.75" customHeight="1" spans="1:26">
      <c r="A286" s="23"/>
      <c r="B286" s="23"/>
      <c r="C286" s="23"/>
      <c r="D286" s="23"/>
      <c r="E286" s="23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3"/>
      <c r="W286" s="23"/>
      <c r="X286" s="23"/>
      <c r="Y286" s="23"/>
      <c r="Z286" s="23"/>
    </row>
    <row r="287" ht="15.75" customHeight="1" spans="1:26">
      <c r="A287" s="23"/>
      <c r="B287" s="23"/>
      <c r="C287" s="23"/>
      <c r="D287" s="23"/>
      <c r="E287" s="23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3"/>
      <c r="W287" s="23"/>
      <c r="X287" s="23"/>
      <c r="Y287" s="23"/>
      <c r="Z287" s="23"/>
    </row>
    <row r="288" ht="15.75" customHeight="1" spans="1:26">
      <c r="A288" s="23"/>
      <c r="B288" s="23"/>
      <c r="C288" s="23"/>
      <c r="D288" s="23"/>
      <c r="E288" s="23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3"/>
      <c r="W288" s="23"/>
      <c r="X288" s="23"/>
      <c r="Y288" s="23"/>
      <c r="Z288" s="23"/>
    </row>
    <row r="289" ht="15.75" customHeight="1" spans="1:26">
      <c r="A289" s="23"/>
      <c r="B289" s="23"/>
      <c r="C289" s="23"/>
      <c r="D289" s="23"/>
      <c r="E289" s="23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3"/>
      <c r="W289" s="23"/>
      <c r="X289" s="23"/>
      <c r="Y289" s="23"/>
      <c r="Z289" s="23"/>
    </row>
    <row r="290" ht="15.75" customHeight="1" spans="1:26">
      <c r="A290" s="23"/>
      <c r="B290" s="23"/>
      <c r="C290" s="23"/>
      <c r="D290" s="23"/>
      <c r="E290" s="23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3"/>
      <c r="W290" s="23"/>
      <c r="X290" s="23"/>
      <c r="Y290" s="23"/>
      <c r="Z290" s="23"/>
    </row>
    <row r="291" ht="15.75" customHeight="1" spans="1:26">
      <c r="A291" s="23"/>
      <c r="B291" s="23"/>
      <c r="C291" s="23"/>
      <c r="D291" s="23"/>
      <c r="E291" s="23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3"/>
      <c r="W291" s="23"/>
      <c r="X291" s="23"/>
      <c r="Y291" s="23"/>
      <c r="Z291" s="23"/>
    </row>
    <row r="292" ht="15.75" customHeight="1" spans="1:26">
      <c r="A292" s="23"/>
      <c r="B292" s="23"/>
      <c r="C292" s="23"/>
      <c r="D292" s="23"/>
      <c r="E292" s="23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3"/>
      <c r="W292" s="23"/>
      <c r="X292" s="23"/>
      <c r="Y292" s="23"/>
      <c r="Z292" s="23"/>
    </row>
    <row r="293" ht="15.75" customHeight="1" spans="1:26">
      <c r="A293" s="23"/>
      <c r="B293" s="23"/>
      <c r="C293" s="23"/>
      <c r="D293" s="23"/>
      <c r="E293" s="23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3"/>
      <c r="W293" s="23"/>
      <c r="X293" s="23"/>
      <c r="Y293" s="23"/>
      <c r="Z293" s="23"/>
    </row>
    <row r="294" ht="15.75" customHeight="1" spans="1:26">
      <c r="A294" s="23"/>
      <c r="B294" s="23"/>
      <c r="C294" s="23"/>
      <c r="D294" s="23"/>
      <c r="E294" s="23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3"/>
      <c r="W294" s="23"/>
      <c r="X294" s="23"/>
      <c r="Y294" s="23"/>
      <c r="Z294" s="23"/>
    </row>
    <row r="295" ht="15.75" customHeight="1" spans="1:26">
      <c r="A295" s="23"/>
      <c r="B295" s="23"/>
      <c r="C295" s="23"/>
      <c r="D295" s="23"/>
      <c r="E295" s="23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3"/>
      <c r="W295" s="23"/>
      <c r="X295" s="23"/>
      <c r="Y295" s="23"/>
      <c r="Z295" s="23"/>
    </row>
    <row r="296" ht="15.75" customHeight="1" spans="1:26">
      <c r="A296" s="23"/>
      <c r="B296" s="23"/>
      <c r="C296" s="23"/>
      <c r="D296" s="23"/>
      <c r="E296" s="23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3"/>
      <c r="W296" s="23"/>
      <c r="X296" s="23"/>
      <c r="Y296" s="23"/>
      <c r="Z296" s="23"/>
    </row>
    <row r="297" ht="15.75" customHeight="1" spans="1:26">
      <c r="A297" s="23"/>
      <c r="B297" s="23"/>
      <c r="C297" s="23"/>
      <c r="D297" s="23"/>
      <c r="E297" s="23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3"/>
      <c r="W297" s="23"/>
      <c r="X297" s="23"/>
      <c r="Y297" s="23"/>
      <c r="Z297" s="23"/>
    </row>
    <row r="298" ht="15.75" customHeight="1" spans="1:26">
      <c r="A298" s="23"/>
      <c r="B298" s="23"/>
      <c r="C298" s="23"/>
      <c r="D298" s="23"/>
      <c r="E298" s="23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3"/>
      <c r="W298" s="23"/>
      <c r="X298" s="23"/>
      <c r="Y298" s="23"/>
      <c r="Z298" s="23"/>
    </row>
    <row r="299" ht="15.75" customHeight="1" spans="1:26">
      <c r="A299" s="23"/>
      <c r="B299" s="23"/>
      <c r="C299" s="23"/>
      <c r="D299" s="23"/>
      <c r="E299" s="23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3"/>
      <c r="W299" s="23"/>
      <c r="X299" s="23"/>
      <c r="Y299" s="23"/>
      <c r="Z299" s="23"/>
    </row>
    <row r="300" ht="15.75" customHeight="1" spans="1:26">
      <c r="A300" s="23"/>
      <c r="B300" s="23"/>
      <c r="C300" s="23"/>
      <c r="D300" s="23"/>
      <c r="E300" s="23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3"/>
      <c r="W300" s="23"/>
      <c r="X300" s="23"/>
      <c r="Y300" s="23"/>
      <c r="Z300" s="23"/>
    </row>
    <row r="301" ht="15.75" customHeight="1" spans="1:26">
      <c r="A301" s="23"/>
      <c r="B301" s="23"/>
      <c r="C301" s="23"/>
      <c r="D301" s="23"/>
      <c r="E301" s="23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3"/>
      <c r="W301" s="23"/>
      <c r="X301" s="23"/>
      <c r="Y301" s="23"/>
      <c r="Z301" s="23"/>
    </row>
    <row r="302" ht="15.75" customHeight="1" spans="1:26">
      <c r="A302" s="23"/>
      <c r="B302" s="23"/>
      <c r="C302" s="23"/>
      <c r="D302" s="23"/>
      <c r="E302" s="23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3"/>
      <c r="W302" s="23"/>
      <c r="X302" s="23"/>
      <c r="Y302" s="23"/>
      <c r="Z302" s="23"/>
    </row>
    <row r="303" ht="15.75" customHeight="1" spans="1:26">
      <c r="A303" s="23"/>
      <c r="B303" s="23"/>
      <c r="C303" s="23"/>
      <c r="D303" s="23"/>
      <c r="E303" s="23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3"/>
      <c r="W303" s="23"/>
      <c r="X303" s="23"/>
      <c r="Y303" s="23"/>
      <c r="Z303" s="23"/>
    </row>
    <row r="304" ht="15.75" customHeight="1" spans="1:26">
      <c r="A304" s="23"/>
      <c r="B304" s="23"/>
      <c r="C304" s="23"/>
      <c r="D304" s="23"/>
      <c r="E304" s="23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3"/>
      <c r="W304" s="23"/>
      <c r="X304" s="23"/>
      <c r="Y304" s="23"/>
      <c r="Z304" s="23"/>
    </row>
    <row r="305" ht="15.75" customHeight="1" spans="1:26">
      <c r="A305" s="23"/>
      <c r="B305" s="23"/>
      <c r="C305" s="23"/>
      <c r="D305" s="23"/>
      <c r="E305" s="23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3"/>
      <c r="W305" s="23"/>
      <c r="X305" s="23"/>
      <c r="Y305" s="23"/>
      <c r="Z305" s="23"/>
    </row>
    <row r="306" ht="15.75" customHeight="1" spans="1:26">
      <c r="A306" s="23"/>
      <c r="B306" s="23"/>
      <c r="C306" s="23"/>
      <c r="D306" s="23"/>
      <c r="E306" s="23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3"/>
      <c r="W306" s="23"/>
      <c r="X306" s="23"/>
      <c r="Y306" s="23"/>
      <c r="Z306" s="23"/>
    </row>
    <row r="307" ht="15.75" customHeight="1" spans="1:26">
      <c r="A307" s="23"/>
      <c r="B307" s="23"/>
      <c r="C307" s="23"/>
      <c r="D307" s="23"/>
      <c r="E307" s="23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3"/>
      <c r="W307" s="23"/>
      <c r="X307" s="23"/>
      <c r="Y307" s="23"/>
      <c r="Z307" s="23"/>
    </row>
    <row r="308" ht="15.75" customHeight="1" spans="1:26">
      <c r="A308" s="23"/>
      <c r="B308" s="23"/>
      <c r="C308" s="23"/>
      <c r="D308" s="23"/>
      <c r="E308" s="23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3"/>
      <c r="W308" s="23"/>
      <c r="X308" s="23"/>
      <c r="Y308" s="23"/>
      <c r="Z308" s="23"/>
    </row>
    <row r="309" ht="15.75" customHeight="1" spans="1:26">
      <c r="A309" s="23"/>
      <c r="B309" s="23"/>
      <c r="C309" s="23"/>
      <c r="D309" s="23"/>
      <c r="E309" s="23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3"/>
      <c r="W309" s="23"/>
      <c r="X309" s="23"/>
      <c r="Y309" s="23"/>
      <c r="Z309" s="23"/>
    </row>
    <row r="310" ht="15.75" customHeight="1" spans="1:26">
      <c r="A310" s="23"/>
      <c r="B310" s="23"/>
      <c r="C310" s="23"/>
      <c r="D310" s="23"/>
      <c r="E310" s="23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3"/>
      <c r="W310" s="23"/>
      <c r="X310" s="23"/>
      <c r="Y310" s="23"/>
      <c r="Z310" s="23"/>
    </row>
    <row r="311" ht="15.75" customHeight="1" spans="1:26">
      <c r="A311" s="23"/>
      <c r="B311" s="23"/>
      <c r="C311" s="23"/>
      <c r="D311" s="23"/>
      <c r="E311" s="23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3"/>
      <c r="W311" s="23"/>
      <c r="X311" s="23"/>
      <c r="Y311" s="23"/>
      <c r="Z311" s="23"/>
    </row>
    <row r="312" ht="15.75" customHeight="1" spans="1:26">
      <c r="A312" s="23"/>
      <c r="B312" s="23"/>
      <c r="C312" s="23"/>
      <c r="D312" s="23"/>
      <c r="E312" s="23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3"/>
      <c r="W312" s="23"/>
      <c r="X312" s="23"/>
      <c r="Y312" s="23"/>
      <c r="Z312" s="23"/>
    </row>
    <row r="313" ht="15.75" customHeight="1" spans="1:26">
      <c r="A313" s="23"/>
      <c r="B313" s="23"/>
      <c r="C313" s="23"/>
      <c r="D313" s="23"/>
      <c r="E313" s="23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3"/>
      <c r="W313" s="23"/>
      <c r="X313" s="23"/>
      <c r="Y313" s="23"/>
      <c r="Z313" s="23"/>
    </row>
    <row r="314" ht="15.75" customHeight="1" spans="1:26">
      <c r="A314" s="23"/>
      <c r="B314" s="23"/>
      <c r="C314" s="23"/>
      <c r="D314" s="23"/>
      <c r="E314" s="23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3"/>
      <c r="W314" s="23"/>
      <c r="X314" s="23"/>
      <c r="Y314" s="23"/>
      <c r="Z314" s="23"/>
    </row>
    <row r="315" ht="15.75" customHeight="1" spans="1:26">
      <c r="A315" s="23"/>
      <c r="B315" s="23"/>
      <c r="C315" s="23"/>
      <c r="D315" s="23"/>
      <c r="E315" s="23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3"/>
      <c r="W315" s="23"/>
      <c r="X315" s="23"/>
      <c r="Y315" s="23"/>
      <c r="Z315" s="23"/>
    </row>
    <row r="316" ht="15.75" customHeight="1" spans="1:26">
      <c r="A316" s="23"/>
      <c r="B316" s="23"/>
      <c r="C316" s="23"/>
      <c r="D316" s="23"/>
      <c r="E316" s="23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3"/>
      <c r="W316" s="23"/>
      <c r="X316" s="23"/>
      <c r="Y316" s="23"/>
      <c r="Z316" s="23"/>
    </row>
    <row r="317" ht="15.75" customHeight="1" spans="1:26">
      <c r="A317" s="23"/>
      <c r="B317" s="23"/>
      <c r="C317" s="23"/>
      <c r="D317" s="23"/>
      <c r="E317" s="23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3"/>
      <c r="W317" s="23"/>
      <c r="X317" s="23"/>
      <c r="Y317" s="23"/>
      <c r="Z317" s="23"/>
    </row>
    <row r="318" ht="15.75" customHeight="1" spans="1:26">
      <c r="A318" s="23"/>
      <c r="B318" s="23"/>
      <c r="C318" s="23"/>
      <c r="D318" s="23"/>
      <c r="E318" s="23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3"/>
      <c r="W318" s="23"/>
      <c r="X318" s="23"/>
      <c r="Y318" s="23"/>
      <c r="Z318" s="23"/>
    </row>
    <row r="319" ht="15.75" customHeight="1" spans="1:26">
      <c r="A319" s="23"/>
      <c r="B319" s="23"/>
      <c r="C319" s="23"/>
      <c r="D319" s="23"/>
      <c r="E319" s="23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3"/>
      <c r="W319" s="23"/>
      <c r="X319" s="23"/>
      <c r="Y319" s="23"/>
      <c r="Z319" s="23"/>
    </row>
    <row r="320" ht="15.75" customHeight="1" spans="1:26">
      <c r="A320" s="23"/>
      <c r="B320" s="23"/>
      <c r="C320" s="23"/>
      <c r="D320" s="23"/>
      <c r="E320" s="23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3"/>
      <c r="W320" s="23"/>
      <c r="X320" s="23"/>
      <c r="Y320" s="23"/>
      <c r="Z320" s="23"/>
    </row>
    <row r="321" ht="15.75" customHeight="1" spans="1:26">
      <c r="A321" s="23"/>
      <c r="B321" s="23"/>
      <c r="C321" s="23"/>
      <c r="D321" s="23"/>
      <c r="E321" s="23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3"/>
      <c r="W321" s="23"/>
      <c r="X321" s="23"/>
      <c r="Y321" s="23"/>
      <c r="Z321" s="23"/>
    </row>
    <row r="322" ht="15.75" customHeight="1" spans="1:26">
      <c r="A322" s="23"/>
      <c r="B322" s="23"/>
      <c r="C322" s="23"/>
      <c r="D322" s="23"/>
      <c r="E322" s="23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3"/>
      <c r="W322" s="23"/>
      <c r="X322" s="23"/>
      <c r="Y322" s="23"/>
      <c r="Z322" s="23"/>
    </row>
    <row r="323" ht="15.75" customHeight="1" spans="1:26">
      <c r="A323" s="23"/>
      <c r="B323" s="23"/>
      <c r="C323" s="23"/>
      <c r="D323" s="23"/>
      <c r="E323" s="23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3"/>
      <c r="W323" s="23"/>
      <c r="X323" s="23"/>
      <c r="Y323" s="23"/>
      <c r="Z323" s="23"/>
    </row>
    <row r="324" ht="15.75" customHeight="1" spans="1:26">
      <c r="A324" s="23"/>
      <c r="B324" s="23"/>
      <c r="C324" s="23"/>
      <c r="D324" s="23"/>
      <c r="E324" s="23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3"/>
      <c r="W324" s="23"/>
      <c r="X324" s="23"/>
      <c r="Y324" s="23"/>
      <c r="Z324" s="23"/>
    </row>
    <row r="325" ht="15.75" customHeight="1" spans="1:26">
      <c r="A325" s="23"/>
      <c r="B325" s="23"/>
      <c r="C325" s="23"/>
      <c r="D325" s="23"/>
      <c r="E325" s="23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3"/>
      <c r="W325" s="23"/>
      <c r="X325" s="23"/>
      <c r="Y325" s="23"/>
      <c r="Z325" s="23"/>
    </row>
    <row r="326" ht="15.75" customHeight="1" spans="1:26">
      <c r="A326" s="23"/>
      <c r="B326" s="23"/>
      <c r="C326" s="23"/>
      <c r="D326" s="23"/>
      <c r="E326" s="23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3"/>
      <c r="W326" s="23"/>
      <c r="X326" s="23"/>
      <c r="Y326" s="23"/>
      <c r="Z326" s="23"/>
    </row>
    <row r="327" ht="15.75" customHeight="1" spans="1:26">
      <c r="A327" s="23"/>
      <c r="B327" s="23"/>
      <c r="C327" s="23"/>
      <c r="D327" s="23"/>
      <c r="E327" s="23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3"/>
      <c r="W327" s="23"/>
      <c r="X327" s="23"/>
      <c r="Y327" s="23"/>
      <c r="Z327" s="23"/>
    </row>
    <row r="328" ht="15.75" customHeight="1" spans="1:26">
      <c r="A328" s="23"/>
      <c r="B328" s="23"/>
      <c r="C328" s="23"/>
      <c r="D328" s="23"/>
      <c r="E328" s="23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3"/>
      <c r="W328" s="23"/>
      <c r="X328" s="23"/>
      <c r="Y328" s="23"/>
      <c r="Z328" s="23"/>
    </row>
    <row r="329" ht="15.75" customHeight="1" spans="1:26">
      <c r="A329" s="23"/>
      <c r="B329" s="23"/>
      <c r="C329" s="23"/>
      <c r="D329" s="23"/>
      <c r="E329" s="23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3"/>
      <c r="W329" s="23"/>
      <c r="X329" s="23"/>
      <c r="Y329" s="23"/>
      <c r="Z329" s="23"/>
    </row>
    <row r="330" ht="15.75" customHeight="1" spans="1:26">
      <c r="A330" s="23"/>
      <c r="B330" s="23"/>
      <c r="C330" s="23"/>
      <c r="D330" s="23"/>
      <c r="E330" s="23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3"/>
      <c r="W330" s="23"/>
      <c r="X330" s="23"/>
      <c r="Y330" s="23"/>
      <c r="Z330" s="23"/>
    </row>
    <row r="331" ht="15.75" customHeight="1" spans="1:26">
      <c r="A331" s="23"/>
      <c r="B331" s="23"/>
      <c r="C331" s="23"/>
      <c r="D331" s="23"/>
      <c r="E331" s="23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3"/>
      <c r="W331" s="23"/>
      <c r="X331" s="23"/>
      <c r="Y331" s="23"/>
      <c r="Z331" s="23"/>
    </row>
    <row r="332" ht="15.75" customHeight="1" spans="1:26">
      <c r="A332" s="23"/>
      <c r="B332" s="23"/>
      <c r="C332" s="23"/>
      <c r="D332" s="23"/>
      <c r="E332" s="23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3"/>
      <c r="W332" s="23"/>
      <c r="X332" s="23"/>
      <c r="Y332" s="23"/>
      <c r="Z332" s="23"/>
    </row>
    <row r="333" ht="15.75" customHeight="1" spans="1:26">
      <c r="A333" s="23"/>
      <c r="B333" s="23"/>
      <c r="C333" s="23"/>
      <c r="D333" s="23"/>
      <c r="E333" s="23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3"/>
      <c r="W333" s="23"/>
      <c r="X333" s="23"/>
      <c r="Y333" s="23"/>
      <c r="Z333" s="23"/>
    </row>
    <row r="334" ht="15.75" customHeight="1" spans="1:26">
      <c r="A334" s="23"/>
      <c r="B334" s="23"/>
      <c r="C334" s="23"/>
      <c r="D334" s="23"/>
      <c r="E334" s="23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3"/>
      <c r="W334" s="23"/>
      <c r="X334" s="23"/>
      <c r="Y334" s="23"/>
      <c r="Z334" s="23"/>
    </row>
    <row r="335" ht="15.75" customHeight="1" spans="1:26">
      <c r="A335" s="23"/>
      <c r="B335" s="23"/>
      <c r="C335" s="23"/>
      <c r="D335" s="23"/>
      <c r="E335" s="23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3"/>
      <c r="W335" s="23"/>
      <c r="X335" s="23"/>
      <c r="Y335" s="23"/>
      <c r="Z335" s="23"/>
    </row>
    <row r="336" ht="15.75" customHeight="1" spans="1:26">
      <c r="A336" s="23"/>
      <c r="B336" s="23"/>
      <c r="C336" s="23"/>
      <c r="D336" s="23"/>
      <c r="E336" s="23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3"/>
      <c r="W336" s="23"/>
      <c r="X336" s="23"/>
      <c r="Y336" s="23"/>
      <c r="Z336" s="23"/>
    </row>
    <row r="337" ht="15.75" customHeight="1" spans="1:26">
      <c r="A337" s="23"/>
      <c r="B337" s="23"/>
      <c r="C337" s="23"/>
      <c r="D337" s="23"/>
      <c r="E337" s="23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3"/>
      <c r="W337" s="23"/>
      <c r="X337" s="23"/>
      <c r="Y337" s="23"/>
      <c r="Z337" s="23"/>
    </row>
    <row r="338" ht="15.75" customHeight="1" spans="1:26">
      <c r="A338" s="23"/>
      <c r="B338" s="23"/>
      <c r="C338" s="23"/>
      <c r="D338" s="23"/>
      <c r="E338" s="23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3"/>
      <c r="W338" s="23"/>
      <c r="X338" s="23"/>
      <c r="Y338" s="23"/>
      <c r="Z338" s="23"/>
    </row>
    <row r="339" ht="15.75" customHeight="1" spans="1:26">
      <c r="A339" s="23"/>
      <c r="B339" s="23"/>
      <c r="C339" s="23"/>
      <c r="D339" s="23"/>
      <c r="E339" s="23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3"/>
      <c r="W339" s="23"/>
      <c r="X339" s="23"/>
      <c r="Y339" s="23"/>
      <c r="Z339" s="23"/>
    </row>
    <row r="340" ht="15.75" customHeight="1" spans="1:26">
      <c r="A340" s="23"/>
      <c r="B340" s="23"/>
      <c r="C340" s="23"/>
      <c r="D340" s="23"/>
      <c r="E340" s="23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3"/>
      <c r="W340" s="23"/>
      <c r="X340" s="23"/>
      <c r="Y340" s="23"/>
      <c r="Z340" s="23"/>
    </row>
    <row r="341" ht="15.75" customHeight="1" spans="1:26">
      <c r="A341" s="23"/>
      <c r="B341" s="23"/>
      <c r="C341" s="23"/>
      <c r="D341" s="23"/>
      <c r="E341" s="23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3"/>
      <c r="W341" s="23"/>
      <c r="X341" s="23"/>
      <c r="Y341" s="23"/>
      <c r="Z341" s="23"/>
    </row>
    <row r="342" ht="15.75" customHeight="1" spans="1:26">
      <c r="A342" s="23"/>
      <c r="B342" s="23"/>
      <c r="C342" s="23"/>
      <c r="D342" s="23"/>
      <c r="E342" s="23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3"/>
      <c r="W342" s="23"/>
      <c r="X342" s="23"/>
      <c r="Y342" s="23"/>
      <c r="Z342" s="23"/>
    </row>
    <row r="343" ht="15.75" customHeight="1" spans="1:26">
      <c r="A343" s="23"/>
      <c r="B343" s="23"/>
      <c r="C343" s="23"/>
      <c r="D343" s="23"/>
      <c r="E343" s="23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3"/>
      <c r="W343" s="23"/>
      <c r="X343" s="23"/>
      <c r="Y343" s="23"/>
      <c r="Z343" s="23"/>
    </row>
    <row r="344" ht="15.75" customHeight="1" spans="1:26">
      <c r="A344" s="23"/>
      <c r="B344" s="23"/>
      <c r="C344" s="23"/>
      <c r="D344" s="23"/>
      <c r="E344" s="23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3"/>
      <c r="W344" s="23"/>
      <c r="X344" s="23"/>
      <c r="Y344" s="23"/>
      <c r="Z344" s="23"/>
    </row>
    <row r="345" ht="15.75" customHeight="1" spans="1:26">
      <c r="A345" s="23"/>
      <c r="B345" s="23"/>
      <c r="C345" s="23"/>
      <c r="D345" s="23"/>
      <c r="E345" s="23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3"/>
      <c r="W345" s="23"/>
      <c r="X345" s="23"/>
      <c r="Y345" s="23"/>
      <c r="Z345" s="23"/>
    </row>
    <row r="346" ht="15.75" customHeight="1" spans="1:26">
      <c r="A346" s="23"/>
      <c r="B346" s="23"/>
      <c r="C346" s="23"/>
      <c r="D346" s="23"/>
      <c r="E346" s="23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3"/>
      <c r="W346" s="23"/>
      <c r="X346" s="23"/>
      <c r="Y346" s="23"/>
      <c r="Z346" s="23"/>
    </row>
    <row r="347" ht="15.75" customHeight="1" spans="1:26">
      <c r="A347" s="23"/>
      <c r="B347" s="23"/>
      <c r="C347" s="23"/>
      <c r="D347" s="23"/>
      <c r="E347" s="23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3"/>
      <c r="W347" s="23"/>
      <c r="X347" s="23"/>
      <c r="Y347" s="23"/>
      <c r="Z347" s="23"/>
    </row>
    <row r="348" ht="15.75" customHeight="1" spans="1:26">
      <c r="A348" s="23"/>
      <c r="B348" s="23"/>
      <c r="C348" s="23"/>
      <c r="D348" s="23"/>
      <c r="E348" s="23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3"/>
      <c r="W348" s="23"/>
      <c r="X348" s="23"/>
      <c r="Y348" s="23"/>
      <c r="Z348" s="23"/>
    </row>
    <row r="349" ht="15.75" customHeight="1" spans="1:26">
      <c r="A349" s="23"/>
      <c r="B349" s="23"/>
      <c r="C349" s="23"/>
      <c r="D349" s="23"/>
      <c r="E349" s="23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3"/>
      <c r="W349" s="23"/>
      <c r="X349" s="23"/>
      <c r="Y349" s="23"/>
      <c r="Z349" s="23"/>
    </row>
    <row r="350" ht="15.75" customHeight="1" spans="1:26">
      <c r="A350" s="23"/>
      <c r="B350" s="23"/>
      <c r="C350" s="23"/>
      <c r="D350" s="23"/>
      <c r="E350" s="23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3"/>
      <c r="W350" s="23"/>
      <c r="X350" s="23"/>
      <c r="Y350" s="23"/>
      <c r="Z350" s="23"/>
    </row>
    <row r="351" ht="15.75" customHeight="1" spans="1:26">
      <c r="A351" s="23"/>
      <c r="B351" s="23"/>
      <c r="C351" s="23"/>
      <c r="D351" s="23"/>
      <c r="E351" s="23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3"/>
      <c r="W351" s="23"/>
      <c r="X351" s="23"/>
      <c r="Y351" s="23"/>
      <c r="Z351" s="23"/>
    </row>
    <row r="352" ht="15.75" customHeight="1" spans="1:26">
      <c r="A352" s="23"/>
      <c r="B352" s="23"/>
      <c r="C352" s="23"/>
      <c r="D352" s="23"/>
      <c r="E352" s="23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3"/>
      <c r="W352" s="23"/>
      <c r="X352" s="23"/>
      <c r="Y352" s="23"/>
      <c r="Z352" s="23"/>
    </row>
    <row r="353" ht="15.75" customHeight="1" spans="1:26">
      <c r="A353" s="23"/>
      <c r="B353" s="23"/>
      <c r="C353" s="23"/>
      <c r="D353" s="23"/>
      <c r="E353" s="23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3"/>
      <c r="W353" s="23"/>
      <c r="X353" s="23"/>
      <c r="Y353" s="23"/>
      <c r="Z353" s="23"/>
    </row>
    <row r="354" ht="15.75" customHeight="1" spans="1:26">
      <c r="A354" s="23"/>
      <c r="B354" s="23"/>
      <c r="C354" s="23"/>
      <c r="D354" s="23"/>
      <c r="E354" s="23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3"/>
      <c r="W354" s="23"/>
      <c r="X354" s="23"/>
      <c r="Y354" s="23"/>
      <c r="Z354" s="23"/>
    </row>
    <row r="355" ht="15.75" customHeight="1" spans="1:26">
      <c r="A355" s="23"/>
      <c r="B355" s="23"/>
      <c r="C355" s="23"/>
      <c r="D355" s="23"/>
      <c r="E355" s="23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3"/>
      <c r="W355" s="23"/>
      <c r="X355" s="23"/>
      <c r="Y355" s="23"/>
      <c r="Z355" s="23"/>
    </row>
    <row r="356" ht="15.75" customHeight="1" spans="1:26">
      <c r="A356" s="23"/>
      <c r="B356" s="23"/>
      <c r="C356" s="23"/>
      <c r="D356" s="23"/>
      <c r="E356" s="23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3"/>
      <c r="W356" s="23"/>
      <c r="X356" s="23"/>
      <c r="Y356" s="23"/>
      <c r="Z356" s="23"/>
    </row>
    <row r="357" ht="15.75" customHeight="1" spans="1:26">
      <c r="A357" s="23"/>
      <c r="B357" s="23"/>
      <c r="C357" s="23"/>
      <c r="D357" s="23"/>
      <c r="E357" s="23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3"/>
      <c r="W357" s="23"/>
      <c r="X357" s="23"/>
      <c r="Y357" s="23"/>
      <c r="Z357" s="23"/>
    </row>
    <row r="358" ht="15.75" customHeight="1" spans="1:26">
      <c r="A358" s="23"/>
      <c r="B358" s="23"/>
      <c r="C358" s="23"/>
      <c r="D358" s="23"/>
      <c r="E358" s="23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3"/>
      <c r="W358" s="23"/>
      <c r="X358" s="23"/>
      <c r="Y358" s="23"/>
      <c r="Z358" s="23"/>
    </row>
    <row r="359" ht="15.75" customHeight="1" spans="1:26">
      <c r="A359" s="23"/>
      <c r="B359" s="23"/>
      <c r="C359" s="23"/>
      <c r="D359" s="23"/>
      <c r="E359" s="23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3"/>
      <c r="W359" s="23"/>
      <c r="X359" s="23"/>
      <c r="Y359" s="23"/>
      <c r="Z359" s="23"/>
    </row>
    <row r="360" ht="15.75" customHeight="1" spans="1:26">
      <c r="A360" s="23"/>
      <c r="B360" s="23"/>
      <c r="C360" s="23"/>
      <c r="D360" s="23"/>
      <c r="E360" s="23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3"/>
      <c r="W360" s="23"/>
      <c r="X360" s="23"/>
      <c r="Y360" s="23"/>
      <c r="Z360" s="23"/>
    </row>
    <row r="361" ht="15.75" customHeight="1" spans="1:26">
      <c r="A361" s="23"/>
      <c r="B361" s="23"/>
      <c r="C361" s="23"/>
      <c r="D361" s="23"/>
      <c r="E361" s="23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3"/>
      <c r="W361" s="23"/>
      <c r="X361" s="23"/>
      <c r="Y361" s="23"/>
      <c r="Z361" s="23"/>
    </row>
    <row r="362" ht="15.75" customHeight="1" spans="1:26">
      <c r="A362" s="23"/>
      <c r="B362" s="23"/>
      <c r="C362" s="23"/>
      <c r="D362" s="23"/>
      <c r="E362" s="23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3"/>
      <c r="W362" s="23"/>
      <c r="X362" s="23"/>
      <c r="Y362" s="23"/>
      <c r="Z362" s="23"/>
    </row>
    <row r="363" ht="15.75" customHeight="1" spans="1:26">
      <c r="A363" s="23"/>
      <c r="B363" s="23"/>
      <c r="C363" s="23"/>
      <c r="D363" s="23"/>
      <c r="E363" s="23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3"/>
      <c r="W363" s="23"/>
      <c r="X363" s="23"/>
      <c r="Y363" s="23"/>
      <c r="Z363" s="23"/>
    </row>
    <row r="364" ht="15.75" customHeight="1" spans="1:26">
      <c r="A364" s="23"/>
      <c r="B364" s="23"/>
      <c r="C364" s="23"/>
      <c r="D364" s="23"/>
      <c r="E364" s="23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3"/>
      <c r="W364" s="23"/>
      <c r="X364" s="23"/>
      <c r="Y364" s="23"/>
      <c r="Z364" s="23"/>
    </row>
    <row r="365" ht="15.75" customHeight="1" spans="1:26">
      <c r="A365" s="23"/>
      <c r="B365" s="23"/>
      <c r="C365" s="23"/>
      <c r="D365" s="23"/>
      <c r="E365" s="23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3"/>
      <c r="W365" s="23"/>
      <c r="X365" s="23"/>
      <c r="Y365" s="23"/>
      <c r="Z365" s="23"/>
    </row>
    <row r="366" ht="15.75" customHeight="1" spans="1:26">
      <c r="A366" s="23"/>
      <c r="B366" s="23"/>
      <c r="C366" s="23"/>
      <c r="D366" s="23"/>
      <c r="E366" s="23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3"/>
      <c r="W366" s="23"/>
      <c r="X366" s="23"/>
      <c r="Y366" s="23"/>
      <c r="Z366" s="23"/>
    </row>
    <row r="367" ht="15.75" customHeight="1" spans="1:26">
      <c r="A367" s="23"/>
      <c r="B367" s="23"/>
      <c r="C367" s="23"/>
      <c r="D367" s="23"/>
      <c r="E367" s="23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3"/>
      <c r="W367" s="23"/>
      <c r="X367" s="23"/>
      <c r="Y367" s="23"/>
      <c r="Z367" s="23"/>
    </row>
    <row r="368" ht="15.75" customHeight="1" spans="1:26">
      <c r="A368" s="23"/>
      <c r="B368" s="23"/>
      <c r="C368" s="23"/>
      <c r="D368" s="23"/>
      <c r="E368" s="23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3"/>
      <c r="W368" s="23"/>
      <c r="X368" s="23"/>
      <c r="Y368" s="23"/>
      <c r="Z368" s="23"/>
    </row>
    <row r="369" ht="15.75" customHeight="1" spans="1:26">
      <c r="A369" s="23"/>
      <c r="B369" s="23"/>
      <c r="C369" s="23"/>
      <c r="D369" s="23"/>
      <c r="E369" s="23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3"/>
      <c r="W369" s="23"/>
      <c r="X369" s="23"/>
      <c r="Y369" s="23"/>
      <c r="Z369" s="23"/>
    </row>
    <row r="370" ht="15.75" customHeight="1" spans="1:26">
      <c r="A370" s="23"/>
      <c r="B370" s="23"/>
      <c r="C370" s="23"/>
      <c r="D370" s="23"/>
      <c r="E370" s="23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3"/>
      <c r="W370" s="23"/>
      <c r="X370" s="23"/>
      <c r="Y370" s="23"/>
      <c r="Z370" s="23"/>
    </row>
    <row r="371" ht="15.75" customHeight="1" spans="1:26">
      <c r="A371" s="23"/>
      <c r="B371" s="23"/>
      <c r="C371" s="23"/>
      <c r="D371" s="23"/>
      <c r="E371" s="23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3"/>
      <c r="W371" s="23"/>
      <c r="X371" s="23"/>
      <c r="Y371" s="23"/>
      <c r="Z371" s="23"/>
    </row>
    <row r="372" ht="15.75" customHeight="1" spans="1:26">
      <c r="A372" s="23"/>
      <c r="B372" s="23"/>
      <c r="C372" s="23"/>
      <c r="D372" s="23"/>
      <c r="E372" s="23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3"/>
      <c r="W372" s="23"/>
      <c r="X372" s="23"/>
      <c r="Y372" s="23"/>
      <c r="Z372" s="23"/>
    </row>
    <row r="373" ht="15.75" customHeight="1" spans="1:26">
      <c r="A373" s="23"/>
      <c r="B373" s="23"/>
      <c r="C373" s="23"/>
      <c r="D373" s="23"/>
      <c r="E373" s="23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3"/>
      <c r="W373" s="23"/>
      <c r="X373" s="23"/>
      <c r="Y373" s="23"/>
      <c r="Z373" s="23"/>
    </row>
    <row r="374" ht="15.75" customHeight="1" spans="1:26">
      <c r="A374" s="23"/>
      <c r="B374" s="23"/>
      <c r="C374" s="23"/>
      <c r="D374" s="23"/>
      <c r="E374" s="23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3"/>
      <c r="W374" s="23"/>
      <c r="X374" s="23"/>
      <c r="Y374" s="23"/>
      <c r="Z374" s="23"/>
    </row>
    <row r="375" ht="15.75" customHeight="1" spans="1:26">
      <c r="A375" s="23"/>
      <c r="B375" s="23"/>
      <c r="C375" s="23"/>
      <c r="D375" s="23"/>
      <c r="E375" s="23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3"/>
      <c r="W375" s="23"/>
      <c r="X375" s="23"/>
      <c r="Y375" s="23"/>
      <c r="Z375" s="23"/>
    </row>
    <row r="376" ht="15.75" customHeight="1" spans="1:26">
      <c r="A376" s="23"/>
      <c r="B376" s="23"/>
      <c r="C376" s="23"/>
      <c r="D376" s="23"/>
      <c r="E376" s="23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3"/>
      <c r="W376" s="23"/>
      <c r="X376" s="23"/>
      <c r="Y376" s="23"/>
      <c r="Z376" s="23"/>
    </row>
    <row r="377" ht="15.75" customHeight="1" spans="1:26">
      <c r="A377" s="23"/>
      <c r="B377" s="23"/>
      <c r="C377" s="23"/>
      <c r="D377" s="23"/>
      <c r="E377" s="23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3"/>
      <c r="W377" s="23"/>
      <c r="X377" s="23"/>
      <c r="Y377" s="23"/>
      <c r="Z377" s="23"/>
    </row>
    <row r="378" ht="15.75" customHeight="1" spans="1:26">
      <c r="A378" s="23"/>
      <c r="B378" s="23"/>
      <c r="C378" s="23"/>
      <c r="D378" s="23"/>
      <c r="E378" s="23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3"/>
      <c r="W378" s="23"/>
      <c r="X378" s="23"/>
      <c r="Y378" s="23"/>
      <c r="Z378" s="23"/>
    </row>
    <row r="379" ht="15.75" customHeight="1" spans="1:26">
      <c r="A379" s="23"/>
      <c r="B379" s="23"/>
      <c r="C379" s="23"/>
      <c r="D379" s="23"/>
      <c r="E379" s="23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3"/>
      <c r="W379" s="23"/>
      <c r="X379" s="23"/>
      <c r="Y379" s="23"/>
      <c r="Z379" s="23"/>
    </row>
    <row r="380" ht="15.75" customHeight="1" spans="1:26">
      <c r="A380" s="23"/>
      <c r="B380" s="23"/>
      <c r="C380" s="23"/>
      <c r="D380" s="23"/>
      <c r="E380" s="23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3"/>
      <c r="W380" s="23"/>
      <c r="X380" s="23"/>
      <c r="Y380" s="23"/>
      <c r="Z380" s="23"/>
    </row>
    <row r="381" ht="15.75" customHeight="1" spans="1:26">
      <c r="A381" s="23"/>
      <c r="B381" s="23"/>
      <c r="C381" s="23"/>
      <c r="D381" s="23"/>
      <c r="E381" s="23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3"/>
      <c r="W381" s="23"/>
      <c r="X381" s="23"/>
      <c r="Y381" s="23"/>
      <c r="Z381" s="23"/>
    </row>
    <row r="382" ht="15.75" customHeight="1" spans="1:26">
      <c r="A382" s="23"/>
      <c r="B382" s="23"/>
      <c r="C382" s="23"/>
      <c r="D382" s="23"/>
      <c r="E382" s="23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3"/>
      <c r="W382" s="23"/>
      <c r="X382" s="23"/>
      <c r="Y382" s="23"/>
      <c r="Z382" s="23"/>
    </row>
    <row r="383" ht="15.75" customHeight="1" spans="1:26">
      <c r="A383" s="23"/>
      <c r="B383" s="23"/>
      <c r="C383" s="23"/>
      <c r="D383" s="23"/>
      <c r="E383" s="23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3"/>
      <c r="W383" s="23"/>
      <c r="X383" s="23"/>
      <c r="Y383" s="23"/>
      <c r="Z383" s="23"/>
    </row>
    <row r="384" ht="15.75" customHeight="1" spans="1:26">
      <c r="A384" s="23"/>
      <c r="B384" s="23"/>
      <c r="C384" s="23"/>
      <c r="D384" s="23"/>
      <c r="E384" s="23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3"/>
      <c r="W384" s="23"/>
      <c r="X384" s="23"/>
      <c r="Y384" s="23"/>
      <c r="Z384" s="23"/>
    </row>
    <row r="385" ht="15.75" customHeight="1" spans="1:26">
      <c r="A385" s="23"/>
      <c r="B385" s="23"/>
      <c r="C385" s="23"/>
      <c r="D385" s="23"/>
      <c r="E385" s="23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3"/>
      <c r="W385" s="23"/>
      <c r="X385" s="23"/>
      <c r="Y385" s="23"/>
      <c r="Z385" s="23"/>
    </row>
    <row r="386" ht="15.75" customHeight="1" spans="1:26">
      <c r="A386" s="23"/>
      <c r="B386" s="23"/>
      <c r="C386" s="23"/>
      <c r="D386" s="23"/>
      <c r="E386" s="23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3"/>
      <c r="W386" s="23"/>
      <c r="X386" s="23"/>
      <c r="Y386" s="23"/>
      <c r="Z386" s="23"/>
    </row>
    <row r="387" ht="15.75" customHeight="1" spans="1:26">
      <c r="A387" s="23"/>
      <c r="B387" s="23"/>
      <c r="C387" s="23"/>
      <c r="D387" s="23"/>
      <c r="E387" s="23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3"/>
      <c r="W387" s="23"/>
      <c r="X387" s="23"/>
      <c r="Y387" s="23"/>
      <c r="Z387" s="23"/>
    </row>
    <row r="388" ht="15.75" customHeight="1" spans="1:26">
      <c r="A388" s="23"/>
      <c r="B388" s="23"/>
      <c r="C388" s="23"/>
      <c r="D388" s="23"/>
      <c r="E388" s="23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3"/>
      <c r="W388" s="23"/>
      <c r="X388" s="23"/>
      <c r="Y388" s="23"/>
      <c r="Z388" s="23"/>
    </row>
    <row r="389" ht="15.75" customHeight="1" spans="1:26">
      <c r="A389" s="23"/>
      <c r="B389" s="23"/>
      <c r="C389" s="23"/>
      <c r="D389" s="23"/>
      <c r="E389" s="23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3"/>
      <c r="W389" s="23"/>
      <c r="X389" s="23"/>
      <c r="Y389" s="23"/>
      <c r="Z389" s="23"/>
    </row>
    <row r="390" ht="15.75" customHeight="1" spans="1:26">
      <c r="A390" s="23"/>
      <c r="B390" s="23"/>
      <c r="C390" s="23"/>
      <c r="D390" s="23"/>
      <c r="E390" s="23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3"/>
      <c r="W390" s="23"/>
      <c r="X390" s="23"/>
      <c r="Y390" s="23"/>
      <c r="Z390" s="23"/>
    </row>
    <row r="391" ht="15.75" customHeight="1" spans="1:26">
      <c r="A391" s="23"/>
      <c r="B391" s="23"/>
      <c r="C391" s="23"/>
      <c r="D391" s="23"/>
      <c r="E391" s="23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3"/>
      <c r="W391" s="23"/>
      <c r="X391" s="23"/>
      <c r="Y391" s="23"/>
      <c r="Z391" s="23"/>
    </row>
    <row r="392" ht="15.75" customHeight="1" spans="1:26">
      <c r="A392" s="23"/>
      <c r="B392" s="23"/>
      <c r="C392" s="23"/>
      <c r="D392" s="23"/>
      <c r="E392" s="23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3"/>
      <c r="W392" s="23"/>
      <c r="X392" s="23"/>
      <c r="Y392" s="23"/>
      <c r="Z392" s="23"/>
    </row>
    <row r="393" ht="15.75" customHeight="1" spans="1:26">
      <c r="A393" s="23"/>
      <c r="B393" s="23"/>
      <c r="C393" s="23"/>
      <c r="D393" s="23"/>
      <c r="E393" s="23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3"/>
      <c r="W393" s="23"/>
      <c r="X393" s="23"/>
      <c r="Y393" s="23"/>
      <c r="Z393" s="23"/>
    </row>
    <row r="394" ht="15.75" customHeight="1" spans="1:26">
      <c r="A394" s="23"/>
      <c r="B394" s="23"/>
      <c r="C394" s="23"/>
      <c r="D394" s="23"/>
      <c r="E394" s="23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3"/>
      <c r="W394" s="23"/>
      <c r="X394" s="23"/>
      <c r="Y394" s="23"/>
      <c r="Z394" s="23"/>
    </row>
    <row r="395" ht="15.75" customHeight="1" spans="1:26">
      <c r="A395" s="23"/>
      <c r="B395" s="23"/>
      <c r="C395" s="23"/>
      <c r="D395" s="23"/>
      <c r="E395" s="23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3"/>
      <c r="W395" s="23"/>
      <c r="X395" s="23"/>
      <c r="Y395" s="23"/>
      <c r="Z395" s="23"/>
    </row>
    <row r="396" ht="15.75" customHeight="1" spans="1:26">
      <c r="A396" s="23"/>
      <c r="B396" s="23"/>
      <c r="C396" s="23"/>
      <c r="D396" s="23"/>
      <c r="E396" s="23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3"/>
      <c r="W396" s="23"/>
      <c r="X396" s="23"/>
      <c r="Y396" s="23"/>
      <c r="Z396" s="23"/>
    </row>
    <row r="397" ht="15.75" customHeight="1" spans="1:26">
      <c r="A397" s="23"/>
      <c r="B397" s="23"/>
      <c r="C397" s="23"/>
      <c r="D397" s="23"/>
      <c r="E397" s="23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3"/>
      <c r="W397" s="23"/>
      <c r="X397" s="23"/>
      <c r="Y397" s="23"/>
      <c r="Z397" s="23"/>
    </row>
    <row r="398" ht="15.75" customHeight="1" spans="1:26">
      <c r="A398" s="23"/>
      <c r="B398" s="23"/>
      <c r="C398" s="23"/>
      <c r="D398" s="23"/>
      <c r="E398" s="23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3"/>
      <c r="W398" s="23"/>
      <c r="X398" s="23"/>
      <c r="Y398" s="23"/>
      <c r="Z398" s="23"/>
    </row>
    <row r="399" ht="15.75" customHeight="1" spans="1:26">
      <c r="A399" s="23"/>
      <c r="B399" s="23"/>
      <c r="C399" s="23"/>
      <c r="D399" s="23"/>
      <c r="E399" s="23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3"/>
      <c r="W399" s="23"/>
      <c r="X399" s="23"/>
      <c r="Y399" s="23"/>
      <c r="Z399" s="23"/>
    </row>
    <row r="400" ht="15.75" customHeight="1" spans="1:26">
      <c r="A400" s="23"/>
      <c r="B400" s="23"/>
      <c r="C400" s="23"/>
      <c r="D400" s="23"/>
      <c r="E400" s="23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3"/>
      <c r="W400" s="23"/>
      <c r="X400" s="23"/>
      <c r="Y400" s="23"/>
      <c r="Z400" s="23"/>
    </row>
    <row r="401" ht="15.75" customHeight="1" spans="1:26">
      <c r="A401" s="23"/>
      <c r="B401" s="23"/>
      <c r="C401" s="23"/>
      <c r="D401" s="23"/>
      <c r="E401" s="23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3"/>
      <c r="W401" s="23"/>
      <c r="X401" s="23"/>
      <c r="Y401" s="23"/>
      <c r="Z401" s="23"/>
    </row>
    <row r="402" ht="15.75" customHeight="1" spans="1:26">
      <c r="A402" s="23"/>
      <c r="B402" s="23"/>
      <c r="C402" s="23"/>
      <c r="D402" s="23"/>
      <c r="E402" s="23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3"/>
      <c r="W402" s="23"/>
      <c r="X402" s="23"/>
      <c r="Y402" s="23"/>
      <c r="Z402" s="23"/>
    </row>
    <row r="403" ht="15.75" customHeight="1" spans="1:26">
      <c r="A403" s="23"/>
      <c r="B403" s="23"/>
      <c r="C403" s="23"/>
      <c r="D403" s="23"/>
      <c r="E403" s="23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3"/>
      <c r="W403" s="23"/>
      <c r="X403" s="23"/>
      <c r="Y403" s="23"/>
      <c r="Z403" s="23"/>
    </row>
    <row r="404" ht="15.75" customHeight="1" spans="1:26">
      <c r="A404" s="23"/>
      <c r="B404" s="23"/>
      <c r="C404" s="23"/>
      <c r="D404" s="23"/>
      <c r="E404" s="23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3"/>
      <c r="W404" s="23"/>
      <c r="X404" s="23"/>
      <c r="Y404" s="23"/>
      <c r="Z404" s="23"/>
    </row>
    <row r="405" ht="15.75" customHeight="1" spans="1:26">
      <c r="A405" s="23"/>
      <c r="B405" s="23"/>
      <c r="C405" s="23"/>
      <c r="D405" s="23"/>
      <c r="E405" s="23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3"/>
      <c r="W405" s="23"/>
      <c r="X405" s="23"/>
      <c r="Y405" s="23"/>
      <c r="Z405" s="23"/>
    </row>
    <row r="406" ht="15.75" customHeight="1" spans="1:26">
      <c r="A406" s="23"/>
      <c r="B406" s="23"/>
      <c r="C406" s="23"/>
      <c r="D406" s="23"/>
      <c r="E406" s="23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3"/>
      <c r="W406" s="23"/>
      <c r="X406" s="23"/>
      <c r="Y406" s="23"/>
      <c r="Z406" s="23"/>
    </row>
    <row r="407" ht="15.75" customHeight="1" spans="1:26">
      <c r="A407" s="23"/>
      <c r="B407" s="23"/>
      <c r="C407" s="23"/>
      <c r="D407" s="23"/>
      <c r="E407" s="23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3"/>
      <c r="W407" s="23"/>
      <c r="X407" s="23"/>
      <c r="Y407" s="23"/>
      <c r="Z407" s="23"/>
    </row>
    <row r="408" ht="15.75" customHeight="1" spans="1:26">
      <c r="A408" s="23"/>
      <c r="B408" s="23"/>
      <c r="C408" s="23"/>
      <c r="D408" s="23"/>
      <c r="E408" s="23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3"/>
      <c r="W408" s="23"/>
      <c r="X408" s="23"/>
      <c r="Y408" s="23"/>
      <c r="Z408" s="23"/>
    </row>
    <row r="409" ht="15.75" customHeight="1" spans="1:26">
      <c r="A409" s="23"/>
      <c r="B409" s="23"/>
      <c r="C409" s="23"/>
      <c r="D409" s="23"/>
      <c r="E409" s="23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3"/>
      <c r="W409" s="23"/>
      <c r="X409" s="23"/>
      <c r="Y409" s="23"/>
      <c r="Z409" s="23"/>
    </row>
    <row r="410" ht="15.75" customHeight="1" spans="1:26">
      <c r="A410" s="23"/>
      <c r="B410" s="23"/>
      <c r="C410" s="23"/>
      <c r="D410" s="23"/>
      <c r="E410" s="23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3"/>
      <c r="W410" s="23"/>
      <c r="X410" s="23"/>
      <c r="Y410" s="23"/>
      <c r="Z410" s="23"/>
    </row>
    <row r="411" ht="15.75" customHeight="1" spans="1:26">
      <c r="A411" s="23"/>
      <c r="B411" s="23"/>
      <c r="C411" s="23"/>
      <c r="D411" s="23"/>
      <c r="E411" s="23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3"/>
      <c r="W411" s="23"/>
      <c r="X411" s="23"/>
      <c r="Y411" s="23"/>
      <c r="Z411" s="23"/>
    </row>
    <row r="412" ht="15.75" customHeight="1" spans="1:26">
      <c r="A412" s="23"/>
      <c r="B412" s="23"/>
      <c r="C412" s="23"/>
      <c r="D412" s="23"/>
      <c r="E412" s="23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3"/>
      <c r="W412" s="23"/>
      <c r="X412" s="23"/>
      <c r="Y412" s="23"/>
      <c r="Z412" s="23"/>
    </row>
    <row r="413" ht="15.75" customHeight="1" spans="1:26">
      <c r="A413" s="23"/>
      <c r="B413" s="23"/>
      <c r="C413" s="23"/>
      <c r="D413" s="23"/>
      <c r="E413" s="23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3"/>
      <c r="W413" s="23"/>
      <c r="X413" s="23"/>
      <c r="Y413" s="23"/>
      <c r="Z413" s="23"/>
    </row>
    <row r="414" ht="15.75" customHeight="1" spans="1:26">
      <c r="A414" s="23"/>
      <c r="B414" s="23"/>
      <c r="C414" s="23"/>
      <c r="D414" s="23"/>
      <c r="E414" s="23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3"/>
      <c r="W414" s="23"/>
      <c r="X414" s="23"/>
      <c r="Y414" s="23"/>
      <c r="Z414" s="23"/>
    </row>
    <row r="415" ht="15.75" customHeight="1" spans="1:26">
      <c r="A415" s="23"/>
      <c r="B415" s="23"/>
      <c r="C415" s="23"/>
      <c r="D415" s="23"/>
      <c r="E415" s="23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3"/>
      <c r="W415" s="23"/>
      <c r="X415" s="23"/>
      <c r="Y415" s="23"/>
      <c r="Z415" s="23"/>
    </row>
    <row r="416" ht="15.75" customHeight="1" spans="1:26">
      <c r="A416" s="23"/>
      <c r="B416" s="23"/>
      <c r="C416" s="23"/>
      <c r="D416" s="23"/>
      <c r="E416" s="23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3"/>
      <c r="W416" s="23"/>
      <c r="X416" s="23"/>
      <c r="Y416" s="23"/>
      <c r="Z416" s="23"/>
    </row>
    <row r="417" ht="15.75" customHeight="1" spans="1:26">
      <c r="A417" s="23"/>
      <c r="B417" s="23"/>
      <c r="C417" s="23"/>
      <c r="D417" s="23"/>
      <c r="E417" s="23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3"/>
      <c r="W417" s="23"/>
      <c r="X417" s="23"/>
      <c r="Y417" s="23"/>
      <c r="Z417" s="23"/>
    </row>
    <row r="418" ht="15.75" customHeight="1" spans="1:26">
      <c r="A418" s="23"/>
      <c r="B418" s="23"/>
      <c r="C418" s="23"/>
      <c r="D418" s="23"/>
      <c r="E418" s="23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3"/>
      <c r="W418" s="23"/>
      <c r="X418" s="23"/>
      <c r="Y418" s="23"/>
      <c r="Z418" s="23"/>
    </row>
    <row r="419" ht="15.75" customHeight="1" spans="1:26">
      <c r="A419" s="23"/>
      <c r="B419" s="23"/>
      <c r="C419" s="23"/>
      <c r="D419" s="23"/>
      <c r="E419" s="23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3"/>
      <c r="W419" s="23"/>
      <c r="X419" s="23"/>
      <c r="Y419" s="23"/>
      <c r="Z419" s="23"/>
    </row>
    <row r="420" ht="15.75" customHeight="1" spans="1:26">
      <c r="A420" s="23"/>
      <c r="B420" s="23"/>
      <c r="C420" s="23"/>
      <c r="D420" s="23"/>
      <c r="E420" s="23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3"/>
      <c r="W420" s="23"/>
      <c r="X420" s="23"/>
      <c r="Y420" s="23"/>
      <c r="Z420" s="23"/>
    </row>
    <row r="421" ht="15.75" customHeight="1" spans="1:26">
      <c r="A421" s="23"/>
      <c r="B421" s="23"/>
      <c r="C421" s="23"/>
      <c r="D421" s="23"/>
      <c r="E421" s="23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3"/>
      <c r="W421" s="23"/>
      <c r="X421" s="23"/>
      <c r="Y421" s="23"/>
      <c r="Z421" s="23"/>
    </row>
    <row r="422" ht="15.75" customHeight="1" spans="1:26">
      <c r="A422" s="23"/>
      <c r="B422" s="23"/>
      <c r="C422" s="23"/>
      <c r="D422" s="23"/>
      <c r="E422" s="23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3"/>
      <c r="W422" s="23"/>
      <c r="X422" s="23"/>
      <c r="Y422" s="23"/>
      <c r="Z422" s="23"/>
    </row>
    <row r="423" ht="15.75" customHeight="1" spans="1:26">
      <c r="A423" s="23"/>
      <c r="B423" s="23"/>
      <c r="C423" s="23"/>
      <c r="D423" s="23"/>
      <c r="E423" s="23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3"/>
      <c r="W423" s="23"/>
      <c r="X423" s="23"/>
      <c r="Y423" s="23"/>
      <c r="Z423" s="23"/>
    </row>
    <row r="424" ht="15.75" customHeight="1" spans="1:26">
      <c r="A424" s="23"/>
      <c r="B424" s="23"/>
      <c r="C424" s="23"/>
      <c r="D424" s="23"/>
      <c r="E424" s="23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3"/>
      <c r="W424" s="23"/>
      <c r="X424" s="23"/>
      <c r="Y424" s="23"/>
      <c r="Z424" s="23"/>
    </row>
    <row r="425" ht="15.75" customHeight="1" spans="1:26">
      <c r="A425" s="23"/>
      <c r="B425" s="23"/>
      <c r="C425" s="23"/>
      <c r="D425" s="23"/>
      <c r="E425" s="23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3"/>
      <c r="W425" s="23"/>
      <c r="X425" s="23"/>
      <c r="Y425" s="23"/>
      <c r="Z425" s="23"/>
    </row>
    <row r="426" ht="15.75" customHeight="1" spans="1:26">
      <c r="A426" s="23"/>
      <c r="B426" s="23"/>
      <c r="C426" s="23"/>
      <c r="D426" s="23"/>
      <c r="E426" s="23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3"/>
      <c r="W426" s="23"/>
      <c r="X426" s="23"/>
      <c r="Y426" s="23"/>
      <c r="Z426" s="23"/>
    </row>
    <row r="427" ht="15.75" customHeight="1" spans="1:26">
      <c r="A427" s="23"/>
      <c r="B427" s="23"/>
      <c r="C427" s="23"/>
      <c r="D427" s="23"/>
      <c r="E427" s="23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3"/>
      <c r="W427" s="23"/>
      <c r="X427" s="23"/>
      <c r="Y427" s="23"/>
      <c r="Z427" s="23"/>
    </row>
    <row r="428" ht="15.75" customHeight="1" spans="1:26">
      <c r="A428" s="23"/>
      <c r="B428" s="23"/>
      <c r="C428" s="23"/>
      <c r="D428" s="23"/>
      <c r="E428" s="23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3"/>
      <c r="W428" s="23"/>
      <c r="X428" s="23"/>
      <c r="Y428" s="23"/>
      <c r="Z428" s="23"/>
    </row>
    <row r="429" ht="15.75" customHeight="1" spans="1:26">
      <c r="A429" s="23"/>
      <c r="B429" s="23"/>
      <c r="C429" s="23"/>
      <c r="D429" s="23"/>
      <c r="E429" s="23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3"/>
      <c r="W429" s="23"/>
      <c r="X429" s="23"/>
      <c r="Y429" s="23"/>
      <c r="Z429" s="23"/>
    </row>
    <row r="430" ht="15.75" customHeight="1" spans="1:26">
      <c r="A430" s="23"/>
      <c r="B430" s="23"/>
      <c r="C430" s="23"/>
      <c r="D430" s="23"/>
      <c r="E430" s="23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3"/>
      <c r="W430" s="23"/>
      <c r="X430" s="23"/>
      <c r="Y430" s="23"/>
      <c r="Z430" s="23"/>
    </row>
    <row r="431" ht="15.75" customHeight="1" spans="1:26">
      <c r="A431" s="23"/>
      <c r="B431" s="23"/>
      <c r="C431" s="23"/>
      <c r="D431" s="23"/>
      <c r="E431" s="23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3"/>
      <c r="W431" s="23"/>
      <c r="X431" s="23"/>
      <c r="Y431" s="23"/>
      <c r="Z431" s="23"/>
    </row>
    <row r="432" ht="15.75" customHeight="1" spans="1:26">
      <c r="A432" s="23"/>
      <c r="B432" s="23"/>
      <c r="C432" s="23"/>
      <c r="D432" s="23"/>
      <c r="E432" s="23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3"/>
      <c r="W432" s="23"/>
      <c r="X432" s="23"/>
      <c r="Y432" s="23"/>
      <c r="Z432" s="23"/>
    </row>
    <row r="433" ht="15.75" customHeight="1" spans="1:26">
      <c r="A433" s="23"/>
      <c r="B433" s="23"/>
      <c r="C433" s="23"/>
      <c r="D433" s="23"/>
      <c r="E433" s="23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3"/>
      <c r="W433" s="23"/>
      <c r="X433" s="23"/>
      <c r="Y433" s="23"/>
      <c r="Z433" s="23"/>
    </row>
    <row r="434" ht="15.75" customHeight="1" spans="1:26">
      <c r="A434" s="23"/>
      <c r="B434" s="23"/>
      <c r="C434" s="23"/>
      <c r="D434" s="23"/>
      <c r="E434" s="23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3"/>
      <c r="W434" s="23"/>
      <c r="X434" s="23"/>
      <c r="Y434" s="23"/>
      <c r="Z434" s="23"/>
    </row>
    <row r="435" ht="15.75" customHeight="1" spans="1:26">
      <c r="A435" s="23"/>
      <c r="B435" s="23"/>
      <c r="C435" s="23"/>
      <c r="D435" s="23"/>
      <c r="E435" s="23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3"/>
      <c r="W435" s="23"/>
      <c r="X435" s="23"/>
      <c r="Y435" s="23"/>
      <c r="Z435" s="23"/>
    </row>
    <row r="436" ht="15.75" customHeight="1" spans="1:26">
      <c r="A436" s="23"/>
      <c r="B436" s="23"/>
      <c r="C436" s="23"/>
      <c r="D436" s="23"/>
      <c r="E436" s="23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3"/>
      <c r="W436" s="23"/>
      <c r="X436" s="23"/>
      <c r="Y436" s="23"/>
      <c r="Z436" s="23"/>
    </row>
    <row r="437" ht="15.75" customHeight="1" spans="1:26">
      <c r="A437" s="23"/>
      <c r="B437" s="23"/>
      <c r="C437" s="23"/>
      <c r="D437" s="23"/>
      <c r="E437" s="23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3"/>
      <c r="W437" s="23"/>
      <c r="X437" s="23"/>
      <c r="Y437" s="23"/>
      <c r="Z437" s="23"/>
    </row>
    <row r="438" ht="15.75" customHeight="1" spans="1:26">
      <c r="A438" s="23"/>
      <c r="B438" s="23"/>
      <c r="C438" s="23"/>
      <c r="D438" s="23"/>
      <c r="E438" s="23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3"/>
      <c r="W438" s="23"/>
      <c r="X438" s="23"/>
      <c r="Y438" s="23"/>
      <c r="Z438" s="23"/>
    </row>
    <row r="439" ht="15.75" customHeight="1" spans="1:26">
      <c r="A439" s="23"/>
      <c r="B439" s="23"/>
      <c r="C439" s="23"/>
      <c r="D439" s="23"/>
      <c r="E439" s="23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3"/>
      <c r="W439" s="23"/>
      <c r="X439" s="23"/>
      <c r="Y439" s="23"/>
      <c r="Z439" s="23"/>
    </row>
    <row r="440" ht="15.75" customHeight="1" spans="1:26">
      <c r="A440" s="23"/>
      <c r="B440" s="23"/>
      <c r="C440" s="23"/>
      <c r="D440" s="23"/>
      <c r="E440" s="23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3"/>
      <c r="W440" s="23"/>
      <c r="X440" s="23"/>
      <c r="Y440" s="23"/>
      <c r="Z440" s="23"/>
    </row>
    <row r="441" ht="15.75" customHeight="1" spans="1:26">
      <c r="A441" s="23"/>
      <c r="B441" s="23"/>
      <c r="C441" s="23"/>
      <c r="D441" s="23"/>
      <c r="E441" s="23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3"/>
      <c r="W441" s="23"/>
      <c r="X441" s="23"/>
      <c r="Y441" s="23"/>
      <c r="Z441" s="23"/>
    </row>
    <row r="442" ht="15.75" customHeight="1" spans="1:26">
      <c r="A442" s="23"/>
      <c r="B442" s="23"/>
      <c r="C442" s="23"/>
      <c r="D442" s="23"/>
      <c r="E442" s="23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3"/>
      <c r="W442" s="23"/>
      <c r="X442" s="23"/>
      <c r="Y442" s="23"/>
      <c r="Z442" s="23"/>
    </row>
    <row r="443" ht="15.75" customHeight="1" spans="1:26">
      <c r="A443" s="23"/>
      <c r="B443" s="23"/>
      <c r="C443" s="23"/>
      <c r="D443" s="23"/>
      <c r="E443" s="23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3"/>
      <c r="W443" s="23"/>
      <c r="X443" s="23"/>
      <c r="Y443" s="23"/>
      <c r="Z443" s="23"/>
    </row>
    <row r="444" ht="15.75" customHeight="1" spans="1:26">
      <c r="A444" s="23"/>
      <c r="B444" s="23"/>
      <c r="C444" s="23"/>
      <c r="D444" s="23"/>
      <c r="E444" s="23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3"/>
      <c r="W444" s="23"/>
      <c r="X444" s="23"/>
      <c r="Y444" s="23"/>
      <c r="Z444" s="23"/>
    </row>
    <row r="445" ht="15.75" customHeight="1" spans="1:26">
      <c r="A445" s="23"/>
      <c r="B445" s="23"/>
      <c r="C445" s="23"/>
      <c r="D445" s="23"/>
      <c r="E445" s="23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3"/>
      <c r="W445" s="23"/>
      <c r="X445" s="23"/>
      <c r="Y445" s="23"/>
      <c r="Z445" s="23"/>
    </row>
    <row r="446" ht="15.75" customHeight="1" spans="1:26">
      <c r="A446" s="23"/>
      <c r="B446" s="23"/>
      <c r="C446" s="23"/>
      <c r="D446" s="23"/>
      <c r="E446" s="23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3"/>
      <c r="W446" s="23"/>
      <c r="X446" s="23"/>
      <c r="Y446" s="23"/>
      <c r="Z446" s="23"/>
    </row>
    <row r="447" ht="15.75" customHeight="1" spans="1:26">
      <c r="A447" s="23"/>
      <c r="B447" s="23"/>
      <c r="C447" s="23"/>
      <c r="D447" s="23"/>
      <c r="E447" s="23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3"/>
      <c r="W447" s="23"/>
      <c r="X447" s="23"/>
      <c r="Y447" s="23"/>
      <c r="Z447" s="23"/>
    </row>
    <row r="448" ht="15.75" customHeight="1" spans="1:26">
      <c r="A448" s="23"/>
      <c r="B448" s="23"/>
      <c r="C448" s="23"/>
      <c r="D448" s="23"/>
      <c r="E448" s="23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3"/>
      <c r="W448" s="23"/>
      <c r="X448" s="23"/>
      <c r="Y448" s="23"/>
      <c r="Z448" s="23"/>
    </row>
    <row r="449" ht="15.75" customHeight="1" spans="1:26">
      <c r="A449" s="23"/>
      <c r="B449" s="23"/>
      <c r="C449" s="23"/>
      <c r="D449" s="23"/>
      <c r="E449" s="23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3"/>
      <c r="W449" s="23"/>
      <c r="X449" s="23"/>
      <c r="Y449" s="23"/>
      <c r="Z449" s="23"/>
    </row>
    <row r="450" ht="15.75" customHeight="1" spans="1:26">
      <c r="A450" s="23"/>
      <c r="B450" s="23"/>
      <c r="C450" s="23"/>
      <c r="D450" s="23"/>
      <c r="E450" s="23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3"/>
      <c r="W450" s="23"/>
      <c r="X450" s="23"/>
      <c r="Y450" s="23"/>
      <c r="Z450" s="23"/>
    </row>
    <row r="451" ht="15.75" customHeight="1" spans="1:26">
      <c r="A451" s="23"/>
      <c r="B451" s="23"/>
      <c r="C451" s="23"/>
      <c r="D451" s="23"/>
      <c r="E451" s="23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3"/>
      <c r="W451" s="23"/>
      <c r="X451" s="23"/>
      <c r="Y451" s="23"/>
      <c r="Z451" s="23"/>
    </row>
    <row r="452" ht="15.75" customHeight="1" spans="1:26">
      <c r="A452" s="23"/>
      <c r="B452" s="23"/>
      <c r="C452" s="23"/>
      <c r="D452" s="23"/>
      <c r="E452" s="23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3"/>
      <c r="W452" s="23"/>
      <c r="X452" s="23"/>
      <c r="Y452" s="23"/>
      <c r="Z452" s="23"/>
    </row>
    <row r="453" ht="15.75" customHeight="1" spans="1:26">
      <c r="A453" s="23"/>
      <c r="B453" s="23"/>
      <c r="C453" s="23"/>
      <c r="D453" s="23"/>
      <c r="E453" s="23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3"/>
      <c r="W453" s="23"/>
      <c r="X453" s="23"/>
      <c r="Y453" s="23"/>
      <c r="Z453" s="23"/>
    </row>
    <row r="454" ht="15.75" customHeight="1" spans="1:26">
      <c r="A454" s="23"/>
      <c r="B454" s="23"/>
      <c r="C454" s="23"/>
      <c r="D454" s="23"/>
      <c r="E454" s="23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3"/>
      <c r="W454" s="23"/>
      <c r="X454" s="23"/>
      <c r="Y454" s="23"/>
      <c r="Z454" s="23"/>
    </row>
    <row r="455" ht="15.75" customHeight="1" spans="1:26">
      <c r="A455" s="23"/>
      <c r="B455" s="23"/>
      <c r="C455" s="23"/>
      <c r="D455" s="23"/>
      <c r="E455" s="23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3"/>
      <c r="W455" s="23"/>
      <c r="X455" s="23"/>
      <c r="Y455" s="23"/>
      <c r="Z455" s="23"/>
    </row>
    <row r="456" ht="15.75" customHeight="1" spans="1:26">
      <c r="A456" s="23"/>
      <c r="B456" s="23"/>
      <c r="C456" s="23"/>
      <c r="D456" s="23"/>
      <c r="E456" s="23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3"/>
      <c r="W456" s="23"/>
      <c r="X456" s="23"/>
      <c r="Y456" s="23"/>
      <c r="Z456" s="23"/>
    </row>
    <row r="457" ht="15.75" customHeight="1" spans="1:26">
      <c r="A457" s="23"/>
      <c r="B457" s="23"/>
      <c r="C457" s="23"/>
      <c r="D457" s="23"/>
      <c r="E457" s="23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3"/>
      <c r="W457" s="23"/>
      <c r="X457" s="23"/>
      <c r="Y457" s="23"/>
      <c r="Z457" s="23"/>
    </row>
    <row r="458" ht="15.75" customHeight="1" spans="1:26">
      <c r="A458" s="23"/>
      <c r="B458" s="23"/>
      <c r="C458" s="23"/>
      <c r="D458" s="23"/>
      <c r="E458" s="23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3"/>
      <c r="W458" s="23"/>
      <c r="X458" s="23"/>
      <c r="Y458" s="23"/>
      <c r="Z458" s="23"/>
    </row>
    <row r="459" ht="15.75" customHeight="1" spans="1:26">
      <c r="A459" s="23"/>
      <c r="B459" s="23"/>
      <c r="C459" s="23"/>
      <c r="D459" s="23"/>
      <c r="E459" s="23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3"/>
      <c r="W459" s="23"/>
      <c r="X459" s="23"/>
      <c r="Y459" s="23"/>
      <c r="Z459" s="23"/>
    </row>
    <row r="460" ht="15.75" customHeight="1" spans="1:26">
      <c r="A460" s="23"/>
      <c r="B460" s="23"/>
      <c r="C460" s="23"/>
      <c r="D460" s="23"/>
      <c r="E460" s="23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3"/>
      <c r="W460" s="23"/>
      <c r="X460" s="23"/>
      <c r="Y460" s="23"/>
      <c r="Z460" s="23"/>
    </row>
    <row r="461" ht="15.75" customHeight="1" spans="1:26">
      <c r="A461" s="23"/>
      <c r="B461" s="23"/>
      <c r="C461" s="23"/>
      <c r="D461" s="23"/>
      <c r="E461" s="23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3"/>
      <c r="W461" s="23"/>
      <c r="X461" s="23"/>
      <c r="Y461" s="23"/>
      <c r="Z461" s="23"/>
    </row>
    <row r="462" ht="15.75" customHeight="1" spans="1:26">
      <c r="A462" s="23"/>
      <c r="B462" s="23"/>
      <c r="C462" s="23"/>
      <c r="D462" s="23"/>
      <c r="E462" s="23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3"/>
      <c r="W462" s="23"/>
      <c r="X462" s="23"/>
      <c r="Y462" s="23"/>
      <c r="Z462" s="23"/>
    </row>
    <row r="463" ht="15.75" customHeight="1" spans="1:26">
      <c r="A463" s="23"/>
      <c r="B463" s="23"/>
      <c r="C463" s="23"/>
      <c r="D463" s="23"/>
      <c r="E463" s="23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3"/>
      <c r="W463" s="23"/>
      <c r="X463" s="23"/>
      <c r="Y463" s="23"/>
      <c r="Z463" s="23"/>
    </row>
    <row r="464" ht="15.75" customHeight="1" spans="1:26">
      <c r="A464" s="23"/>
      <c r="B464" s="23"/>
      <c r="C464" s="23"/>
      <c r="D464" s="23"/>
      <c r="E464" s="23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3"/>
      <c r="W464" s="23"/>
      <c r="X464" s="23"/>
      <c r="Y464" s="23"/>
      <c r="Z464" s="23"/>
    </row>
    <row r="465" ht="15.75" customHeight="1" spans="1:26">
      <c r="A465" s="23"/>
      <c r="B465" s="23"/>
      <c r="C465" s="23"/>
      <c r="D465" s="23"/>
      <c r="E465" s="23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3"/>
      <c r="W465" s="23"/>
      <c r="X465" s="23"/>
      <c r="Y465" s="23"/>
      <c r="Z465" s="23"/>
    </row>
    <row r="466" ht="15.75" customHeight="1" spans="1:26">
      <c r="A466" s="23"/>
      <c r="B466" s="23"/>
      <c r="C466" s="23"/>
      <c r="D466" s="23"/>
      <c r="E466" s="23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3"/>
      <c r="W466" s="23"/>
      <c r="X466" s="23"/>
      <c r="Y466" s="23"/>
      <c r="Z466" s="23"/>
    </row>
    <row r="467" ht="15.75" customHeight="1" spans="1:26">
      <c r="A467" s="23"/>
      <c r="B467" s="23"/>
      <c r="C467" s="23"/>
      <c r="D467" s="23"/>
      <c r="E467" s="23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3"/>
      <c r="W467" s="23"/>
      <c r="X467" s="23"/>
      <c r="Y467" s="23"/>
      <c r="Z467" s="23"/>
    </row>
    <row r="468" ht="15.75" customHeight="1" spans="1:26">
      <c r="A468" s="23"/>
      <c r="B468" s="23"/>
      <c r="C468" s="23"/>
      <c r="D468" s="23"/>
      <c r="E468" s="23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3"/>
      <c r="W468" s="23"/>
      <c r="X468" s="23"/>
      <c r="Y468" s="23"/>
      <c r="Z468" s="23"/>
    </row>
    <row r="469" ht="15.75" customHeight="1" spans="1:26">
      <c r="A469" s="23"/>
      <c r="B469" s="23"/>
      <c r="C469" s="23"/>
      <c r="D469" s="23"/>
      <c r="E469" s="23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3"/>
      <c r="W469" s="23"/>
      <c r="X469" s="23"/>
      <c r="Y469" s="23"/>
      <c r="Z469" s="23"/>
    </row>
    <row r="470" ht="15.75" customHeight="1" spans="1:26">
      <c r="A470" s="23"/>
      <c r="B470" s="23"/>
      <c r="C470" s="23"/>
      <c r="D470" s="23"/>
      <c r="E470" s="23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3"/>
      <c r="W470" s="23"/>
      <c r="X470" s="23"/>
      <c r="Y470" s="23"/>
      <c r="Z470" s="23"/>
    </row>
    <row r="471" ht="15.75" customHeight="1" spans="1:26">
      <c r="A471" s="23"/>
      <c r="B471" s="23"/>
      <c r="C471" s="23"/>
      <c r="D471" s="23"/>
      <c r="E471" s="23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3"/>
      <c r="W471" s="23"/>
      <c r="X471" s="23"/>
      <c r="Y471" s="23"/>
      <c r="Z471" s="23"/>
    </row>
    <row r="472" ht="15.75" customHeight="1" spans="1:26">
      <c r="A472" s="23"/>
      <c r="B472" s="23"/>
      <c r="C472" s="23"/>
      <c r="D472" s="23"/>
      <c r="E472" s="23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3"/>
      <c r="W472" s="23"/>
      <c r="X472" s="23"/>
      <c r="Y472" s="23"/>
      <c r="Z472" s="23"/>
    </row>
    <row r="473" ht="15.75" customHeight="1" spans="1:26">
      <c r="A473" s="23"/>
      <c r="B473" s="23"/>
      <c r="C473" s="23"/>
      <c r="D473" s="23"/>
      <c r="E473" s="23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3"/>
      <c r="W473" s="23"/>
      <c r="X473" s="23"/>
      <c r="Y473" s="23"/>
      <c r="Z473" s="23"/>
    </row>
    <row r="474" ht="15.75" customHeight="1" spans="1:26">
      <c r="A474" s="23"/>
      <c r="B474" s="23"/>
      <c r="C474" s="23"/>
      <c r="D474" s="23"/>
      <c r="E474" s="23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3"/>
      <c r="W474" s="23"/>
      <c r="X474" s="23"/>
      <c r="Y474" s="23"/>
      <c r="Z474" s="23"/>
    </row>
    <row r="475" ht="15.75" customHeight="1" spans="1:26">
      <c r="A475" s="23"/>
      <c r="B475" s="23"/>
      <c r="C475" s="23"/>
      <c r="D475" s="23"/>
      <c r="E475" s="23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3"/>
      <c r="W475" s="23"/>
      <c r="X475" s="23"/>
      <c r="Y475" s="23"/>
      <c r="Z475" s="23"/>
    </row>
    <row r="476" ht="15.75" customHeight="1" spans="1:26">
      <c r="A476" s="23"/>
      <c r="B476" s="23"/>
      <c r="C476" s="23"/>
      <c r="D476" s="23"/>
      <c r="E476" s="23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3"/>
      <c r="W476" s="23"/>
      <c r="X476" s="23"/>
      <c r="Y476" s="23"/>
      <c r="Z476" s="23"/>
    </row>
    <row r="477" ht="15.75" customHeight="1" spans="1:26">
      <c r="A477" s="23"/>
      <c r="B477" s="23"/>
      <c r="C477" s="23"/>
      <c r="D477" s="23"/>
      <c r="E477" s="23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3"/>
      <c r="W477" s="23"/>
      <c r="X477" s="23"/>
      <c r="Y477" s="23"/>
      <c r="Z477" s="23"/>
    </row>
    <row r="478" ht="15.75" customHeight="1" spans="1:26">
      <c r="A478" s="23"/>
      <c r="B478" s="23"/>
      <c r="C478" s="23"/>
      <c r="D478" s="23"/>
      <c r="E478" s="23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3"/>
      <c r="W478" s="23"/>
      <c r="X478" s="23"/>
      <c r="Y478" s="23"/>
      <c r="Z478" s="23"/>
    </row>
    <row r="479" ht="15.75" customHeight="1" spans="1:26">
      <c r="A479" s="23"/>
      <c r="B479" s="23"/>
      <c r="C479" s="23"/>
      <c r="D479" s="23"/>
      <c r="E479" s="23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3"/>
      <c r="W479" s="23"/>
      <c r="X479" s="23"/>
      <c r="Y479" s="23"/>
      <c r="Z479" s="23"/>
    </row>
    <row r="480" ht="15.75" customHeight="1" spans="1:26">
      <c r="A480" s="23"/>
      <c r="B480" s="23"/>
      <c r="C480" s="23"/>
      <c r="D480" s="23"/>
      <c r="E480" s="23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3"/>
      <c r="W480" s="23"/>
      <c r="X480" s="23"/>
      <c r="Y480" s="23"/>
      <c r="Z480" s="23"/>
    </row>
    <row r="481" ht="15.75" customHeight="1" spans="1:26">
      <c r="A481" s="23"/>
      <c r="B481" s="23"/>
      <c r="C481" s="23"/>
      <c r="D481" s="23"/>
      <c r="E481" s="23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3"/>
      <c r="W481" s="23"/>
      <c r="X481" s="23"/>
      <c r="Y481" s="23"/>
      <c r="Z481" s="23"/>
    </row>
    <row r="482" ht="15.75" customHeight="1" spans="1:26">
      <c r="A482" s="23"/>
      <c r="B482" s="23"/>
      <c r="C482" s="23"/>
      <c r="D482" s="23"/>
      <c r="E482" s="23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3"/>
      <c r="W482" s="23"/>
      <c r="X482" s="23"/>
      <c r="Y482" s="23"/>
      <c r="Z482" s="23"/>
    </row>
    <row r="483" ht="15.75" customHeight="1" spans="1:26">
      <c r="A483" s="23"/>
      <c r="B483" s="23"/>
      <c r="C483" s="23"/>
      <c r="D483" s="23"/>
      <c r="E483" s="23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3"/>
      <c r="W483" s="23"/>
      <c r="X483" s="23"/>
      <c r="Y483" s="23"/>
      <c r="Z483" s="23"/>
    </row>
    <row r="484" ht="15.75" customHeight="1" spans="1:26">
      <c r="A484" s="23"/>
      <c r="B484" s="23"/>
      <c r="C484" s="23"/>
      <c r="D484" s="23"/>
      <c r="E484" s="23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3"/>
      <c r="W484" s="23"/>
      <c r="X484" s="23"/>
      <c r="Y484" s="23"/>
      <c r="Z484" s="23"/>
    </row>
    <row r="485" ht="15.75" customHeight="1" spans="1:26">
      <c r="A485" s="23"/>
      <c r="B485" s="23"/>
      <c r="C485" s="23"/>
      <c r="D485" s="23"/>
      <c r="E485" s="23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3"/>
      <c r="W485" s="23"/>
      <c r="X485" s="23"/>
      <c r="Y485" s="23"/>
      <c r="Z485" s="23"/>
    </row>
    <row r="486" ht="15.75" customHeight="1" spans="1:26">
      <c r="A486" s="23"/>
      <c r="B486" s="23"/>
      <c r="C486" s="23"/>
      <c r="D486" s="23"/>
      <c r="E486" s="23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3"/>
      <c r="W486" s="23"/>
      <c r="X486" s="23"/>
      <c r="Y486" s="23"/>
      <c r="Z486" s="23"/>
    </row>
    <row r="487" ht="15.75" customHeight="1" spans="1:26">
      <c r="A487" s="23"/>
      <c r="B487" s="23"/>
      <c r="C487" s="23"/>
      <c r="D487" s="23"/>
      <c r="E487" s="23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3"/>
      <c r="W487" s="23"/>
      <c r="X487" s="23"/>
      <c r="Y487" s="23"/>
      <c r="Z487" s="23"/>
    </row>
    <row r="488" ht="15.75" customHeight="1" spans="1:26">
      <c r="A488" s="23"/>
      <c r="B488" s="23"/>
      <c r="C488" s="23"/>
      <c r="D488" s="23"/>
      <c r="E488" s="23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3"/>
      <c r="W488" s="23"/>
      <c r="X488" s="23"/>
      <c r="Y488" s="23"/>
      <c r="Z488" s="23"/>
    </row>
    <row r="489" ht="15.75" customHeight="1" spans="1:26">
      <c r="A489" s="23"/>
      <c r="B489" s="23"/>
      <c r="C489" s="23"/>
      <c r="D489" s="23"/>
      <c r="E489" s="23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3"/>
      <c r="W489" s="23"/>
      <c r="X489" s="23"/>
      <c r="Y489" s="23"/>
      <c r="Z489" s="23"/>
    </row>
    <row r="490" ht="15.75" customHeight="1" spans="1:26">
      <c r="A490" s="23"/>
      <c r="B490" s="23"/>
      <c r="C490" s="23"/>
      <c r="D490" s="23"/>
      <c r="E490" s="23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3"/>
      <c r="W490" s="23"/>
      <c r="X490" s="23"/>
      <c r="Y490" s="23"/>
      <c r="Z490" s="23"/>
    </row>
    <row r="491" ht="15.75" customHeight="1" spans="1:26">
      <c r="A491" s="23"/>
      <c r="B491" s="23"/>
      <c r="C491" s="23"/>
      <c r="D491" s="23"/>
      <c r="E491" s="23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3"/>
      <c r="W491" s="23"/>
      <c r="X491" s="23"/>
      <c r="Y491" s="23"/>
      <c r="Z491" s="23"/>
    </row>
    <row r="492" ht="15.75" customHeight="1" spans="1:26">
      <c r="A492" s="23"/>
      <c r="B492" s="23"/>
      <c r="C492" s="23"/>
      <c r="D492" s="23"/>
      <c r="E492" s="23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3"/>
      <c r="W492" s="23"/>
      <c r="X492" s="23"/>
      <c r="Y492" s="23"/>
      <c r="Z492" s="23"/>
    </row>
    <row r="493" ht="15.75" customHeight="1" spans="1:26">
      <c r="A493" s="23"/>
      <c r="B493" s="23"/>
      <c r="C493" s="23"/>
      <c r="D493" s="23"/>
      <c r="E493" s="23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3"/>
      <c r="W493" s="23"/>
      <c r="X493" s="23"/>
      <c r="Y493" s="23"/>
      <c r="Z493" s="23"/>
    </row>
    <row r="494" ht="15.75" customHeight="1" spans="1:26">
      <c r="A494" s="23"/>
      <c r="B494" s="23"/>
      <c r="C494" s="23"/>
      <c r="D494" s="23"/>
      <c r="E494" s="23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3"/>
      <c r="W494" s="23"/>
      <c r="X494" s="23"/>
      <c r="Y494" s="23"/>
      <c r="Z494" s="23"/>
    </row>
    <row r="495" ht="15.75" customHeight="1" spans="1:26">
      <c r="A495" s="23"/>
      <c r="B495" s="23"/>
      <c r="C495" s="23"/>
      <c r="D495" s="23"/>
      <c r="E495" s="23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3"/>
      <c r="W495" s="23"/>
      <c r="X495" s="23"/>
      <c r="Y495" s="23"/>
      <c r="Z495" s="23"/>
    </row>
    <row r="496" ht="15.75" customHeight="1" spans="1:26">
      <c r="A496" s="23"/>
      <c r="B496" s="23"/>
      <c r="C496" s="23"/>
      <c r="D496" s="23"/>
      <c r="E496" s="23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3"/>
      <c r="W496" s="23"/>
      <c r="X496" s="23"/>
      <c r="Y496" s="23"/>
      <c r="Z496" s="23"/>
    </row>
    <row r="497" ht="15.75" customHeight="1" spans="1:26">
      <c r="A497" s="23"/>
      <c r="B497" s="23"/>
      <c r="C497" s="23"/>
      <c r="D497" s="23"/>
      <c r="E497" s="23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3"/>
      <c r="W497" s="23"/>
      <c r="X497" s="23"/>
      <c r="Y497" s="23"/>
      <c r="Z497" s="23"/>
    </row>
    <row r="498" ht="15.75" customHeight="1" spans="1:26">
      <c r="A498" s="23"/>
      <c r="B498" s="23"/>
      <c r="C498" s="23"/>
      <c r="D498" s="23"/>
      <c r="E498" s="23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3"/>
      <c r="W498" s="23"/>
      <c r="X498" s="23"/>
      <c r="Y498" s="23"/>
      <c r="Z498" s="23"/>
    </row>
    <row r="499" ht="15.75" customHeight="1" spans="1:26">
      <c r="A499" s="23"/>
      <c r="B499" s="23"/>
      <c r="C499" s="23"/>
      <c r="D499" s="23"/>
      <c r="E499" s="23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3"/>
      <c r="W499" s="23"/>
      <c r="X499" s="23"/>
      <c r="Y499" s="23"/>
      <c r="Z499" s="23"/>
    </row>
    <row r="500" ht="15.75" customHeight="1" spans="1:26">
      <c r="A500" s="23"/>
      <c r="B500" s="23"/>
      <c r="C500" s="23"/>
      <c r="D500" s="23"/>
      <c r="E500" s="23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3"/>
      <c r="W500" s="23"/>
      <c r="X500" s="23"/>
      <c r="Y500" s="23"/>
      <c r="Z500" s="23"/>
    </row>
    <row r="501" ht="15.75" customHeight="1" spans="1:26">
      <c r="A501" s="23"/>
      <c r="B501" s="23"/>
      <c r="C501" s="23"/>
      <c r="D501" s="23"/>
      <c r="E501" s="23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3"/>
      <c r="W501" s="23"/>
      <c r="X501" s="23"/>
      <c r="Y501" s="23"/>
      <c r="Z501" s="23"/>
    </row>
    <row r="502" ht="15.75" customHeight="1" spans="1:26">
      <c r="A502" s="23"/>
      <c r="B502" s="23"/>
      <c r="C502" s="23"/>
      <c r="D502" s="23"/>
      <c r="E502" s="23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3"/>
      <c r="W502" s="23"/>
      <c r="X502" s="23"/>
      <c r="Y502" s="23"/>
      <c r="Z502" s="23"/>
    </row>
    <row r="503" ht="15.75" customHeight="1" spans="1:26">
      <c r="A503" s="23"/>
      <c r="B503" s="23"/>
      <c r="C503" s="23"/>
      <c r="D503" s="23"/>
      <c r="E503" s="23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3"/>
      <c r="W503" s="23"/>
      <c r="X503" s="23"/>
      <c r="Y503" s="23"/>
      <c r="Z503" s="23"/>
    </row>
    <row r="504" ht="15.75" customHeight="1" spans="1:26">
      <c r="A504" s="23"/>
      <c r="B504" s="23"/>
      <c r="C504" s="23"/>
      <c r="D504" s="23"/>
      <c r="E504" s="23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3"/>
      <c r="W504" s="23"/>
      <c r="X504" s="23"/>
      <c r="Y504" s="23"/>
      <c r="Z504" s="23"/>
    </row>
    <row r="505" ht="15.75" customHeight="1" spans="1:26">
      <c r="A505" s="23"/>
      <c r="B505" s="23"/>
      <c r="C505" s="23"/>
      <c r="D505" s="23"/>
      <c r="E505" s="23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3"/>
      <c r="W505" s="23"/>
      <c r="X505" s="23"/>
      <c r="Y505" s="23"/>
      <c r="Z505" s="23"/>
    </row>
    <row r="506" ht="15.75" customHeight="1" spans="1:26">
      <c r="A506" s="23"/>
      <c r="B506" s="23"/>
      <c r="C506" s="23"/>
      <c r="D506" s="23"/>
      <c r="E506" s="23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3"/>
      <c r="W506" s="23"/>
      <c r="X506" s="23"/>
      <c r="Y506" s="23"/>
      <c r="Z506" s="23"/>
    </row>
    <row r="507" ht="15.75" customHeight="1" spans="1:26">
      <c r="A507" s="23"/>
      <c r="B507" s="23"/>
      <c r="C507" s="23"/>
      <c r="D507" s="23"/>
      <c r="E507" s="23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3"/>
      <c r="W507" s="23"/>
      <c r="X507" s="23"/>
      <c r="Y507" s="23"/>
      <c r="Z507" s="23"/>
    </row>
    <row r="508" ht="15.75" customHeight="1" spans="1:26">
      <c r="A508" s="23"/>
      <c r="B508" s="23"/>
      <c r="C508" s="23"/>
      <c r="D508" s="23"/>
      <c r="E508" s="23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3"/>
      <c r="W508" s="23"/>
      <c r="X508" s="23"/>
      <c r="Y508" s="23"/>
      <c r="Z508" s="23"/>
    </row>
    <row r="509" ht="15.75" customHeight="1" spans="1:26">
      <c r="A509" s="23"/>
      <c r="B509" s="23"/>
      <c r="C509" s="23"/>
      <c r="D509" s="23"/>
      <c r="E509" s="23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3"/>
      <c r="W509" s="23"/>
      <c r="X509" s="23"/>
      <c r="Y509" s="23"/>
      <c r="Z509" s="23"/>
    </row>
    <row r="510" ht="15.75" customHeight="1" spans="1:26">
      <c r="A510" s="23"/>
      <c r="B510" s="23"/>
      <c r="C510" s="23"/>
      <c r="D510" s="23"/>
      <c r="E510" s="23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3"/>
      <c r="W510" s="23"/>
      <c r="X510" s="23"/>
      <c r="Y510" s="23"/>
      <c r="Z510" s="23"/>
    </row>
    <row r="511" ht="15.75" customHeight="1" spans="1:26">
      <c r="A511" s="23"/>
      <c r="B511" s="23"/>
      <c r="C511" s="23"/>
      <c r="D511" s="23"/>
      <c r="E511" s="23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3"/>
      <c r="W511" s="23"/>
      <c r="X511" s="23"/>
      <c r="Y511" s="23"/>
      <c r="Z511" s="23"/>
    </row>
    <row r="512" ht="15.75" customHeight="1" spans="1:26">
      <c r="A512" s="23"/>
      <c r="B512" s="23"/>
      <c r="C512" s="23"/>
      <c r="D512" s="23"/>
      <c r="E512" s="23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3"/>
      <c r="W512" s="23"/>
      <c r="X512" s="23"/>
      <c r="Y512" s="23"/>
      <c r="Z512" s="23"/>
    </row>
    <row r="513" ht="15.75" customHeight="1" spans="1:26">
      <c r="A513" s="23"/>
      <c r="B513" s="23"/>
      <c r="C513" s="23"/>
      <c r="D513" s="23"/>
      <c r="E513" s="23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3"/>
      <c r="W513" s="23"/>
      <c r="X513" s="23"/>
      <c r="Y513" s="23"/>
      <c r="Z513" s="23"/>
    </row>
    <row r="514" ht="15.75" customHeight="1" spans="1:26">
      <c r="A514" s="23"/>
      <c r="B514" s="23"/>
      <c r="C514" s="23"/>
      <c r="D514" s="23"/>
      <c r="E514" s="23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3"/>
      <c r="W514" s="23"/>
      <c r="X514" s="23"/>
      <c r="Y514" s="23"/>
      <c r="Z514" s="23"/>
    </row>
    <row r="515" ht="15.75" customHeight="1" spans="1:26">
      <c r="A515" s="23"/>
      <c r="B515" s="23"/>
      <c r="C515" s="23"/>
      <c r="D515" s="23"/>
      <c r="E515" s="23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3"/>
      <c r="W515" s="23"/>
      <c r="X515" s="23"/>
      <c r="Y515" s="23"/>
      <c r="Z515" s="23"/>
    </row>
    <row r="516" ht="15.75" customHeight="1" spans="1:26">
      <c r="A516" s="23"/>
      <c r="B516" s="23"/>
      <c r="C516" s="23"/>
      <c r="D516" s="23"/>
      <c r="E516" s="23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3"/>
      <c r="W516" s="23"/>
      <c r="X516" s="23"/>
      <c r="Y516" s="23"/>
      <c r="Z516" s="23"/>
    </row>
    <row r="517" ht="15.75" customHeight="1" spans="1:26">
      <c r="A517" s="23"/>
      <c r="B517" s="23"/>
      <c r="C517" s="23"/>
      <c r="D517" s="23"/>
      <c r="E517" s="23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3"/>
      <c r="W517" s="23"/>
      <c r="X517" s="23"/>
      <c r="Y517" s="23"/>
      <c r="Z517" s="23"/>
    </row>
    <row r="518" ht="15.75" customHeight="1" spans="1:26">
      <c r="A518" s="23"/>
      <c r="B518" s="23"/>
      <c r="C518" s="23"/>
      <c r="D518" s="23"/>
      <c r="E518" s="23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3"/>
      <c r="W518" s="23"/>
      <c r="X518" s="23"/>
      <c r="Y518" s="23"/>
      <c r="Z518" s="23"/>
    </row>
    <row r="519" ht="15.75" customHeight="1" spans="1:26">
      <c r="A519" s="23"/>
      <c r="B519" s="23"/>
      <c r="C519" s="23"/>
      <c r="D519" s="23"/>
      <c r="E519" s="23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3"/>
      <c r="W519" s="23"/>
      <c r="X519" s="23"/>
      <c r="Y519" s="23"/>
      <c r="Z519" s="23"/>
    </row>
    <row r="520" ht="15.75" customHeight="1" spans="1:26">
      <c r="A520" s="23"/>
      <c r="B520" s="23"/>
      <c r="C520" s="23"/>
      <c r="D520" s="23"/>
      <c r="E520" s="23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3"/>
      <c r="W520" s="23"/>
      <c r="X520" s="23"/>
      <c r="Y520" s="23"/>
      <c r="Z520" s="23"/>
    </row>
    <row r="521" ht="15.75" customHeight="1" spans="1:26">
      <c r="A521" s="23"/>
      <c r="B521" s="23"/>
      <c r="C521" s="23"/>
      <c r="D521" s="23"/>
      <c r="E521" s="23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3"/>
      <c r="W521" s="23"/>
      <c r="X521" s="23"/>
      <c r="Y521" s="23"/>
      <c r="Z521" s="23"/>
    </row>
    <row r="522" ht="15.75" customHeight="1" spans="1:26">
      <c r="A522" s="23"/>
      <c r="B522" s="23"/>
      <c r="C522" s="23"/>
      <c r="D522" s="23"/>
      <c r="E522" s="23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3"/>
      <c r="W522" s="23"/>
      <c r="X522" s="23"/>
      <c r="Y522" s="23"/>
      <c r="Z522" s="23"/>
    </row>
    <row r="523" ht="15.75" customHeight="1" spans="1:26">
      <c r="A523" s="23"/>
      <c r="B523" s="23"/>
      <c r="C523" s="23"/>
      <c r="D523" s="23"/>
      <c r="E523" s="23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3"/>
      <c r="W523" s="23"/>
      <c r="X523" s="23"/>
      <c r="Y523" s="23"/>
      <c r="Z523" s="23"/>
    </row>
    <row r="524" ht="15.75" customHeight="1" spans="1:26">
      <c r="A524" s="23"/>
      <c r="B524" s="23"/>
      <c r="C524" s="23"/>
      <c r="D524" s="23"/>
      <c r="E524" s="23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3"/>
      <c r="W524" s="23"/>
      <c r="X524" s="23"/>
      <c r="Y524" s="23"/>
      <c r="Z524" s="23"/>
    </row>
    <row r="525" ht="15.75" customHeight="1" spans="1:26">
      <c r="A525" s="23"/>
      <c r="B525" s="23"/>
      <c r="C525" s="23"/>
      <c r="D525" s="23"/>
      <c r="E525" s="23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3"/>
      <c r="W525" s="23"/>
      <c r="X525" s="23"/>
      <c r="Y525" s="23"/>
      <c r="Z525" s="23"/>
    </row>
    <row r="526" ht="15.75" customHeight="1" spans="1:26">
      <c r="A526" s="23"/>
      <c r="B526" s="23"/>
      <c r="C526" s="23"/>
      <c r="D526" s="23"/>
      <c r="E526" s="23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3"/>
      <c r="W526" s="23"/>
      <c r="X526" s="23"/>
      <c r="Y526" s="23"/>
      <c r="Z526" s="23"/>
    </row>
    <row r="527" ht="15.75" customHeight="1" spans="1:26">
      <c r="A527" s="23"/>
      <c r="B527" s="23"/>
      <c r="C527" s="23"/>
      <c r="D527" s="23"/>
      <c r="E527" s="23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3"/>
      <c r="W527" s="23"/>
      <c r="X527" s="23"/>
      <c r="Y527" s="23"/>
      <c r="Z527" s="23"/>
    </row>
    <row r="528" ht="15.75" customHeight="1" spans="1:26">
      <c r="A528" s="23"/>
      <c r="B528" s="23"/>
      <c r="C528" s="23"/>
      <c r="D528" s="23"/>
      <c r="E528" s="23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3"/>
      <c r="W528" s="23"/>
      <c r="X528" s="23"/>
      <c r="Y528" s="23"/>
      <c r="Z528" s="23"/>
    </row>
    <row r="529" ht="15.75" customHeight="1" spans="1:26">
      <c r="A529" s="23"/>
      <c r="B529" s="23"/>
      <c r="C529" s="23"/>
      <c r="D529" s="23"/>
      <c r="E529" s="23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3"/>
      <c r="W529" s="23"/>
      <c r="X529" s="23"/>
      <c r="Y529" s="23"/>
      <c r="Z529" s="23"/>
    </row>
    <row r="530" ht="15.75" customHeight="1" spans="1:26">
      <c r="A530" s="23"/>
      <c r="B530" s="23"/>
      <c r="C530" s="23"/>
      <c r="D530" s="23"/>
      <c r="E530" s="23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3"/>
      <c r="W530" s="23"/>
      <c r="X530" s="23"/>
      <c r="Y530" s="23"/>
      <c r="Z530" s="23"/>
    </row>
    <row r="531" ht="15.75" customHeight="1" spans="1:26">
      <c r="A531" s="23"/>
      <c r="B531" s="23"/>
      <c r="C531" s="23"/>
      <c r="D531" s="23"/>
      <c r="E531" s="23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3"/>
      <c r="W531" s="23"/>
      <c r="X531" s="23"/>
      <c r="Y531" s="23"/>
      <c r="Z531" s="23"/>
    </row>
    <row r="532" ht="15.75" customHeight="1" spans="1:26">
      <c r="A532" s="23"/>
      <c r="B532" s="23"/>
      <c r="C532" s="23"/>
      <c r="D532" s="23"/>
      <c r="E532" s="23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3"/>
      <c r="W532" s="23"/>
      <c r="X532" s="23"/>
      <c r="Y532" s="23"/>
      <c r="Z532" s="23"/>
    </row>
    <row r="533" ht="15.75" customHeight="1" spans="1:26">
      <c r="A533" s="23"/>
      <c r="B533" s="23"/>
      <c r="C533" s="23"/>
      <c r="D533" s="23"/>
      <c r="E533" s="23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3"/>
      <c r="W533" s="23"/>
      <c r="X533" s="23"/>
      <c r="Y533" s="23"/>
      <c r="Z533" s="23"/>
    </row>
    <row r="534" ht="15.75" customHeight="1" spans="1:26">
      <c r="A534" s="23"/>
      <c r="B534" s="23"/>
      <c r="C534" s="23"/>
      <c r="D534" s="23"/>
      <c r="E534" s="23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3"/>
      <c r="W534" s="23"/>
      <c r="X534" s="23"/>
      <c r="Y534" s="23"/>
      <c r="Z534" s="23"/>
    </row>
    <row r="535" ht="15.75" customHeight="1" spans="1:26">
      <c r="A535" s="23"/>
      <c r="B535" s="23"/>
      <c r="C535" s="23"/>
      <c r="D535" s="23"/>
      <c r="E535" s="23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3"/>
      <c r="W535" s="23"/>
      <c r="X535" s="23"/>
      <c r="Y535" s="23"/>
      <c r="Z535" s="23"/>
    </row>
    <row r="536" ht="15.75" customHeight="1" spans="1:26">
      <c r="A536" s="23"/>
      <c r="B536" s="23"/>
      <c r="C536" s="23"/>
      <c r="D536" s="23"/>
      <c r="E536" s="23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3"/>
      <c r="W536" s="23"/>
      <c r="X536" s="23"/>
      <c r="Y536" s="23"/>
      <c r="Z536" s="23"/>
    </row>
    <row r="537" ht="15.75" customHeight="1" spans="1:26">
      <c r="A537" s="23"/>
      <c r="B537" s="23"/>
      <c r="C537" s="23"/>
      <c r="D537" s="23"/>
      <c r="E537" s="23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3"/>
      <c r="W537" s="23"/>
      <c r="X537" s="23"/>
      <c r="Y537" s="23"/>
      <c r="Z537" s="23"/>
    </row>
    <row r="538" ht="15.75" customHeight="1" spans="1:26">
      <c r="A538" s="23"/>
      <c r="B538" s="23"/>
      <c r="C538" s="23"/>
      <c r="D538" s="23"/>
      <c r="E538" s="23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3"/>
      <c r="W538" s="23"/>
      <c r="X538" s="23"/>
      <c r="Y538" s="23"/>
      <c r="Z538" s="23"/>
    </row>
    <row r="539" ht="15.75" customHeight="1" spans="1:26">
      <c r="A539" s="23"/>
      <c r="B539" s="23"/>
      <c r="C539" s="23"/>
      <c r="D539" s="23"/>
      <c r="E539" s="23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3"/>
      <c r="W539" s="23"/>
      <c r="X539" s="23"/>
      <c r="Y539" s="23"/>
      <c r="Z539" s="23"/>
    </row>
    <row r="540" ht="15.75" customHeight="1" spans="1:26">
      <c r="A540" s="23"/>
      <c r="B540" s="23"/>
      <c r="C540" s="23"/>
      <c r="D540" s="23"/>
      <c r="E540" s="23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3"/>
      <c r="W540" s="23"/>
      <c r="X540" s="23"/>
      <c r="Y540" s="23"/>
      <c r="Z540" s="23"/>
    </row>
    <row r="541" ht="15.75" customHeight="1" spans="1:26">
      <c r="A541" s="23"/>
      <c r="B541" s="23"/>
      <c r="C541" s="23"/>
      <c r="D541" s="23"/>
      <c r="E541" s="23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3"/>
      <c r="W541" s="23"/>
      <c r="X541" s="23"/>
      <c r="Y541" s="23"/>
      <c r="Z541" s="23"/>
    </row>
    <row r="542" ht="15.75" customHeight="1" spans="1:26">
      <c r="A542" s="23"/>
      <c r="B542" s="23"/>
      <c r="C542" s="23"/>
      <c r="D542" s="23"/>
      <c r="E542" s="23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3"/>
      <c r="W542" s="23"/>
      <c r="X542" s="23"/>
      <c r="Y542" s="23"/>
      <c r="Z542" s="23"/>
    </row>
    <row r="543" ht="15.75" customHeight="1" spans="1:26">
      <c r="A543" s="23"/>
      <c r="B543" s="23"/>
      <c r="C543" s="23"/>
      <c r="D543" s="23"/>
      <c r="E543" s="23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3"/>
      <c r="W543" s="23"/>
      <c r="X543" s="23"/>
      <c r="Y543" s="23"/>
      <c r="Z543" s="23"/>
    </row>
    <row r="544" ht="15.75" customHeight="1" spans="1:26">
      <c r="A544" s="23"/>
      <c r="B544" s="23"/>
      <c r="C544" s="23"/>
      <c r="D544" s="23"/>
      <c r="E544" s="23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3"/>
      <c r="W544" s="23"/>
      <c r="X544" s="23"/>
      <c r="Y544" s="23"/>
      <c r="Z544" s="23"/>
    </row>
    <row r="545" ht="15.75" customHeight="1" spans="1:26">
      <c r="A545" s="23"/>
      <c r="B545" s="23"/>
      <c r="C545" s="23"/>
      <c r="D545" s="23"/>
      <c r="E545" s="23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3"/>
      <c r="W545" s="23"/>
      <c r="X545" s="23"/>
      <c r="Y545" s="23"/>
      <c r="Z545" s="23"/>
    </row>
    <row r="546" ht="15.75" customHeight="1" spans="1:26">
      <c r="A546" s="23"/>
      <c r="B546" s="23"/>
      <c r="C546" s="23"/>
      <c r="D546" s="23"/>
      <c r="E546" s="23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3"/>
      <c r="W546" s="23"/>
      <c r="X546" s="23"/>
      <c r="Y546" s="23"/>
      <c r="Z546" s="23"/>
    </row>
    <row r="547" ht="15.75" customHeight="1" spans="1:26">
      <c r="A547" s="23"/>
      <c r="B547" s="23"/>
      <c r="C547" s="23"/>
      <c r="D547" s="23"/>
      <c r="E547" s="23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3"/>
      <c r="W547" s="23"/>
      <c r="X547" s="23"/>
      <c r="Y547" s="23"/>
      <c r="Z547" s="23"/>
    </row>
    <row r="548" ht="15.75" customHeight="1" spans="1:26">
      <c r="A548" s="23"/>
      <c r="B548" s="23"/>
      <c r="C548" s="23"/>
      <c r="D548" s="23"/>
      <c r="E548" s="23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3"/>
      <c r="W548" s="23"/>
      <c r="X548" s="23"/>
      <c r="Y548" s="23"/>
      <c r="Z548" s="23"/>
    </row>
    <row r="549" ht="15.75" customHeight="1" spans="1:26">
      <c r="A549" s="23"/>
      <c r="B549" s="23"/>
      <c r="C549" s="23"/>
      <c r="D549" s="23"/>
      <c r="E549" s="23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3"/>
      <c r="W549" s="23"/>
      <c r="X549" s="23"/>
      <c r="Y549" s="23"/>
      <c r="Z549" s="23"/>
    </row>
    <row r="550" ht="15.75" customHeight="1" spans="1:26">
      <c r="A550" s="23"/>
      <c r="B550" s="23"/>
      <c r="C550" s="23"/>
      <c r="D550" s="23"/>
      <c r="E550" s="23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3"/>
      <c r="W550" s="23"/>
      <c r="X550" s="23"/>
      <c r="Y550" s="23"/>
      <c r="Z550" s="23"/>
    </row>
    <row r="551" ht="15.75" customHeight="1" spans="1:26">
      <c r="A551" s="23"/>
      <c r="B551" s="23"/>
      <c r="C551" s="23"/>
      <c r="D551" s="23"/>
      <c r="E551" s="23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3"/>
      <c r="W551" s="23"/>
      <c r="X551" s="23"/>
      <c r="Y551" s="23"/>
      <c r="Z551" s="23"/>
    </row>
    <row r="552" ht="15.75" customHeight="1" spans="1:26">
      <c r="A552" s="23"/>
      <c r="B552" s="23"/>
      <c r="C552" s="23"/>
      <c r="D552" s="23"/>
      <c r="E552" s="23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3"/>
      <c r="W552" s="23"/>
      <c r="X552" s="23"/>
      <c r="Y552" s="23"/>
      <c r="Z552" s="23"/>
    </row>
    <row r="553" ht="15.75" customHeight="1" spans="1:26">
      <c r="A553" s="23"/>
      <c r="B553" s="23"/>
      <c r="C553" s="23"/>
      <c r="D553" s="23"/>
      <c r="E553" s="23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3"/>
      <c r="W553" s="23"/>
      <c r="X553" s="23"/>
      <c r="Y553" s="23"/>
      <c r="Z553" s="23"/>
    </row>
    <row r="554" ht="15.75" customHeight="1" spans="1:26">
      <c r="A554" s="23"/>
      <c r="B554" s="23"/>
      <c r="C554" s="23"/>
      <c r="D554" s="23"/>
      <c r="E554" s="23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3"/>
      <c r="W554" s="23"/>
      <c r="X554" s="23"/>
      <c r="Y554" s="23"/>
      <c r="Z554" s="23"/>
    </row>
    <row r="555" ht="15.75" customHeight="1" spans="1:26">
      <c r="A555" s="23"/>
      <c r="B555" s="23"/>
      <c r="C555" s="23"/>
      <c r="D555" s="23"/>
      <c r="E555" s="23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3"/>
      <c r="W555" s="23"/>
      <c r="X555" s="23"/>
      <c r="Y555" s="23"/>
      <c r="Z555" s="23"/>
    </row>
    <row r="556" ht="15.75" customHeight="1" spans="1:26">
      <c r="A556" s="23"/>
      <c r="B556" s="23"/>
      <c r="C556" s="23"/>
      <c r="D556" s="23"/>
      <c r="E556" s="23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3"/>
      <c r="W556" s="23"/>
      <c r="X556" s="23"/>
      <c r="Y556" s="23"/>
      <c r="Z556" s="23"/>
    </row>
    <row r="557" ht="15.75" customHeight="1" spans="1:26">
      <c r="A557" s="23"/>
      <c r="B557" s="23"/>
      <c r="C557" s="23"/>
      <c r="D557" s="23"/>
      <c r="E557" s="23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3"/>
      <c r="W557" s="23"/>
      <c r="X557" s="23"/>
      <c r="Y557" s="23"/>
      <c r="Z557" s="23"/>
    </row>
    <row r="558" ht="15.75" customHeight="1" spans="1:26">
      <c r="A558" s="23"/>
      <c r="B558" s="23"/>
      <c r="C558" s="23"/>
      <c r="D558" s="23"/>
      <c r="E558" s="23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3"/>
      <c r="W558" s="23"/>
      <c r="X558" s="23"/>
      <c r="Y558" s="23"/>
      <c r="Z558" s="23"/>
    </row>
    <row r="559" ht="15.75" customHeight="1" spans="1:26">
      <c r="A559" s="23"/>
      <c r="B559" s="23"/>
      <c r="C559" s="23"/>
      <c r="D559" s="23"/>
      <c r="E559" s="23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3"/>
      <c r="W559" s="23"/>
      <c r="X559" s="23"/>
      <c r="Y559" s="23"/>
      <c r="Z559" s="23"/>
    </row>
    <row r="560" ht="15.75" customHeight="1" spans="1:26">
      <c r="A560" s="23"/>
      <c r="B560" s="23"/>
      <c r="C560" s="23"/>
      <c r="D560" s="23"/>
      <c r="E560" s="23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3"/>
      <c r="W560" s="23"/>
      <c r="X560" s="23"/>
      <c r="Y560" s="23"/>
      <c r="Z560" s="23"/>
    </row>
    <row r="561" ht="15.75" customHeight="1" spans="1:26">
      <c r="A561" s="23"/>
      <c r="B561" s="23"/>
      <c r="C561" s="23"/>
      <c r="D561" s="23"/>
      <c r="E561" s="23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3"/>
      <c r="W561" s="23"/>
      <c r="X561" s="23"/>
      <c r="Y561" s="23"/>
      <c r="Z561" s="23"/>
    </row>
    <row r="562" ht="15.75" customHeight="1" spans="1:26">
      <c r="A562" s="23"/>
      <c r="B562" s="23"/>
      <c r="C562" s="23"/>
      <c r="D562" s="23"/>
      <c r="E562" s="23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3"/>
      <c r="W562" s="23"/>
      <c r="X562" s="23"/>
      <c r="Y562" s="23"/>
      <c r="Z562" s="23"/>
    </row>
    <row r="563" ht="15.75" customHeight="1" spans="1:26">
      <c r="A563" s="23"/>
      <c r="B563" s="23"/>
      <c r="C563" s="23"/>
      <c r="D563" s="23"/>
      <c r="E563" s="23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3"/>
      <c r="W563" s="23"/>
      <c r="X563" s="23"/>
      <c r="Y563" s="23"/>
      <c r="Z563" s="23"/>
    </row>
    <row r="564" ht="15.75" customHeight="1" spans="1:26">
      <c r="A564" s="23"/>
      <c r="B564" s="23"/>
      <c r="C564" s="23"/>
      <c r="D564" s="23"/>
      <c r="E564" s="23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3"/>
      <c r="W564" s="23"/>
      <c r="X564" s="23"/>
      <c r="Y564" s="23"/>
      <c r="Z564" s="23"/>
    </row>
    <row r="565" ht="15.75" customHeight="1" spans="1:26">
      <c r="A565" s="23"/>
      <c r="B565" s="23"/>
      <c r="C565" s="23"/>
      <c r="D565" s="23"/>
      <c r="E565" s="23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3"/>
      <c r="W565" s="23"/>
      <c r="X565" s="23"/>
      <c r="Y565" s="23"/>
      <c r="Z565" s="23"/>
    </row>
    <row r="566" ht="15.75" customHeight="1" spans="1:26">
      <c r="A566" s="23"/>
      <c r="B566" s="23"/>
      <c r="C566" s="23"/>
      <c r="D566" s="23"/>
      <c r="E566" s="23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3"/>
      <c r="W566" s="23"/>
      <c r="X566" s="23"/>
      <c r="Y566" s="23"/>
      <c r="Z566" s="23"/>
    </row>
    <row r="567" ht="15.75" customHeight="1" spans="1:26">
      <c r="A567" s="23"/>
      <c r="B567" s="23"/>
      <c r="C567" s="23"/>
      <c r="D567" s="23"/>
      <c r="E567" s="23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3"/>
      <c r="W567" s="23"/>
      <c r="X567" s="23"/>
      <c r="Y567" s="23"/>
      <c r="Z567" s="23"/>
    </row>
    <row r="568" ht="15.75" customHeight="1" spans="1:26">
      <c r="A568" s="23"/>
      <c r="B568" s="23"/>
      <c r="C568" s="23"/>
      <c r="D568" s="23"/>
      <c r="E568" s="23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3"/>
      <c r="W568" s="23"/>
      <c r="X568" s="23"/>
      <c r="Y568" s="23"/>
      <c r="Z568" s="23"/>
    </row>
    <row r="569" ht="15.75" customHeight="1" spans="1:26">
      <c r="A569" s="23"/>
      <c r="B569" s="23"/>
      <c r="C569" s="23"/>
      <c r="D569" s="23"/>
      <c r="E569" s="23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3"/>
      <c r="W569" s="23"/>
      <c r="X569" s="23"/>
      <c r="Y569" s="23"/>
      <c r="Z569" s="23"/>
    </row>
    <row r="570" ht="15.75" customHeight="1" spans="1:26">
      <c r="A570" s="23"/>
      <c r="B570" s="23"/>
      <c r="C570" s="23"/>
      <c r="D570" s="23"/>
      <c r="E570" s="23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3"/>
      <c r="W570" s="23"/>
      <c r="X570" s="23"/>
      <c r="Y570" s="23"/>
      <c r="Z570" s="23"/>
    </row>
    <row r="571" ht="15.75" customHeight="1" spans="1:26">
      <c r="A571" s="23"/>
      <c r="B571" s="23"/>
      <c r="C571" s="23"/>
      <c r="D571" s="23"/>
      <c r="E571" s="23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3"/>
      <c r="W571" s="23"/>
      <c r="X571" s="23"/>
      <c r="Y571" s="23"/>
      <c r="Z571" s="23"/>
    </row>
    <row r="572" ht="15.75" customHeight="1" spans="1:26">
      <c r="A572" s="23"/>
      <c r="B572" s="23"/>
      <c r="C572" s="23"/>
      <c r="D572" s="23"/>
      <c r="E572" s="23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3"/>
      <c r="W572" s="23"/>
      <c r="X572" s="23"/>
      <c r="Y572" s="23"/>
      <c r="Z572" s="23"/>
    </row>
    <row r="573" ht="15.75" customHeight="1" spans="1:26">
      <c r="A573" s="23"/>
      <c r="B573" s="23"/>
      <c r="C573" s="23"/>
      <c r="D573" s="23"/>
      <c r="E573" s="23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3"/>
      <c r="W573" s="23"/>
      <c r="X573" s="23"/>
      <c r="Y573" s="23"/>
      <c r="Z573" s="23"/>
    </row>
    <row r="574" ht="15.75" customHeight="1" spans="1:26">
      <c r="A574" s="23"/>
      <c r="B574" s="23"/>
      <c r="C574" s="23"/>
      <c r="D574" s="23"/>
      <c r="E574" s="23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3"/>
      <c r="W574" s="23"/>
      <c r="X574" s="23"/>
      <c r="Y574" s="23"/>
      <c r="Z574" s="23"/>
    </row>
    <row r="575" ht="15.75" customHeight="1" spans="1:26">
      <c r="A575" s="23"/>
      <c r="B575" s="23"/>
      <c r="C575" s="23"/>
      <c r="D575" s="23"/>
      <c r="E575" s="23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3"/>
      <c r="W575" s="23"/>
      <c r="X575" s="23"/>
      <c r="Y575" s="23"/>
      <c r="Z575" s="23"/>
    </row>
    <row r="576" ht="15.75" customHeight="1" spans="1:26">
      <c r="A576" s="23"/>
      <c r="B576" s="23"/>
      <c r="C576" s="23"/>
      <c r="D576" s="23"/>
      <c r="E576" s="23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3"/>
      <c r="W576" s="23"/>
      <c r="X576" s="23"/>
      <c r="Y576" s="23"/>
      <c r="Z576" s="23"/>
    </row>
    <row r="577" ht="15.75" customHeight="1" spans="1:26">
      <c r="A577" s="23"/>
      <c r="B577" s="23"/>
      <c r="C577" s="23"/>
      <c r="D577" s="23"/>
      <c r="E577" s="23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3"/>
      <c r="W577" s="23"/>
      <c r="X577" s="23"/>
      <c r="Y577" s="23"/>
      <c r="Z577" s="23"/>
    </row>
    <row r="578" ht="15.75" customHeight="1" spans="1:26">
      <c r="A578" s="23"/>
      <c r="B578" s="23"/>
      <c r="C578" s="23"/>
      <c r="D578" s="23"/>
      <c r="E578" s="23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3"/>
      <c r="W578" s="23"/>
      <c r="X578" s="23"/>
      <c r="Y578" s="23"/>
      <c r="Z578" s="23"/>
    </row>
    <row r="579" ht="15.75" customHeight="1" spans="1:26">
      <c r="A579" s="23"/>
      <c r="B579" s="23"/>
      <c r="C579" s="23"/>
      <c r="D579" s="23"/>
      <c r="E579" s="23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3"/>
      <c r="W579" s="23"/>
      <c r="X579" s="23"/>
      <c r="Y579" s="23"/>
      <c r="Z579" s="23"/>
    </row>
    <row r="580" ht="15.75" customHeight="1" spans="1:26">
      <c r="A580" s="23"/>
      <c r="B580" s="23"/>
      <c r="C580" s="23"/>
      <c r="D580" s="23"/>
      <c r="E580" s="23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3"/>
      <c r="W580" s="23"/>
      <c r="X580" s="23"/>
      <c r="Y580" s="23"/>
      <c r="Z580" s="23"/>
    </row>
    <row r="581" ht="15.75" customHeight="1" spans="1:26">
      <c r="A581" s="23"/>
      <c r="B581" s="23"/>
      <c r="C581" s="23"/>
      <c r="D581" s="23"/>
      <c r="E581" s="23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3"/>
      <c r="W581" s="23"/>
      <c r="X581" s="23"/>
      <c r="Y581" s="23"/>
      <c r="Z581" s="23"/>
    </row>
    <row r="582" ht="15.75" customHeight="1" spans="1:26">
      <c r="A582" s="23"/>
      <c r="B582" s="23"/>
      <c r="C582" s="23"/>
      <c r="D582" s="23"/>
      <c r="E582" s="23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3"/>
      <c r="W582" s="23"/>
      <c r="X582" s="23"/>
      <c r="Y582" s="23"/>
      <c r="Z582" s="23"/>
    </row>
    <row r="583" ht="15.75" customHeight="1" spans="1:26">
      <c r="A583" s="23"/>
      <c r="B583" s="23"/>
      <c r="C583" s="23"/>
      <c r="D583" s="23"/>
      <c r="E583" s="23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3"/>
      <c r="W583" s="23"/>
      <c r="X583" s="23"/>
      <c r="Y583" s="23"/>
      <c r="Z583" s="23"/>
    </row>
    <row r="584" ht="15.75" customHeight="1" spans="1:26">
      <c r="A584" s="23"/>
      <c r="B584" s="23"/>
      <c r="C584" s="23"/>
      <c r="D584" s="23"/>
      <c r="E584" s="23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3"/>
      <c r="W584" s="23"/>
      <c r="X584" s="23"/>
      <c r="Y584" s="23"/>
      <c r="Z584" s="23"/>
    </row>
    <row r="585" ht="15.75" customHeight="1" spans="1:26">
      <c r="A585" s="23"/>
      <c r="B585" s="23"/>
      <c r="C585" s="23"/>
      <c r="D585" s="23"/>
      <c r="E585" s="23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3"/>
      <c r="W585" s="23"/>
      <c r="X585" s="23"/>
      <c r="Y585" s="23"/>
      <c r="Z585" s="23"/>
    </row>
    <row r="586" ht="15.75" customHeight="1" spans="1:26">
      <c r="A586" s="23"/>
      <c r="B586" s="23"/>
      <c r="C586" s="23"/>
      <c r="D586" s="23"/>
      <c r="E586" s="23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3"/>
      <c r="W586" s="23"/>
      <c r="X586" s="23"/>
      <c r="Y586" s="23"/>
      <c r="Z586" s="23"/>
    </row>
    <row r="587" ht="15.75" customHeight="1" spans="1:26">
      <c r="A587" s="23"/>
      <c r="B587" s="23"/>
      <c r="C587" s="23"/>
      <c r="D587" s="23"/>
      <c r="E587" s="23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3"/>
      <c r="W587" s="23"/>
      <c r="X587" s="23"/>
      <c r="Y587" s="23"/>
      <c r="Z587" s="23"/>
    </row>
    <row r="588" ht="15.75" customHeight="1" spans="1:26">
      <c r="A588" s="23"/>
      <c r="B588" s="23"/>
      <c r="C588" s="23"/>
      <c r="D588" s="23"/>
      <c r="E588" s="23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3"/>
      <c r="W588" s="23"/>
      <c r="X588" s="23"/>
      <c r="Y588" s="23"/>
      <c r="Z588" s="23"/>
    </row>
    <row r="589" ht="15.75" customHeight="1" spans="1:26">
      <c r="A589" s="23"/>
      <c r="B589" s="23"/>
      <c r="C589" s="23"/>
      <c r="D589" s="23"/>
      <c r="E589" s="23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3"/>
      <c r="W589" s="23"/>
      <c r="X589" s="23"/>
      <c r="Y589" s="23"/>
      <c r="Z589" s="23"/>
    </row>
    <row r="590" ht="15.75" customHeight="1" spans="1:26">
      <c r="A590" s="23"/>
      <c r="B590" s="23"/>
      <c r="C590" s="23"/>
      <c r="D590" s="23"/>
      <c r="E590" s="23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3"/>
      <c r="W590" s="23"/>
      <c r="X590" s="23"/>
      <c r="Y590" s="23"/>
      <c r="Z590" s="23"/>
    </row>
    <row r="591" ht="15.75" customHeight="1" spans="1:26">
      <c r="A591" s="23"/>
      <c r="B591" s="23"/>
      <c r="C591" s="23"/>
      <c r="D591" s="23"/>
      <c r="E591" s="23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3"/>
      <c r="W591" s="23"/>
      <c r="X591" s="23"/>
      <c r="Y591" s="23"/>
      <c r="Z591" s="23"/>
    </row>
    <row r="592" ht="15.75" customHeight="1" spans="1:26">
      <c r="A592" s="23"/>
      <c r="B592" s="23"/>
      <c r="C592" s="23"/>
      <c r="D592" s="23"/>
      <c r="E592" s="23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3"/>
      <c r="W592" s="23"/>
      <c r="X592" s="23"/>
      <c r="Y592" s="23"/>
      <c r="Z592" s="23"/>
    </row>
    <row r="593" ht="15.75" customHeight="1" spans="1:26">
      <c r="A593" s="23"/>
      <c r="B593" s="23"/>
      <c r="C593" s="23"/>
      <c r="D593" s="23"/>
      <c r="E593" s="23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3"/>
      <c r="W593" s="23"/>
      <c r="X593" s="23"/>
      <c r="Y593" s="23"/>
      <c r="Z593" s="23"/>
    </row>
    <row r="594" ht="15.75" customHeight="1" spans="1:26">
      <c r="A594" s="23"/>
      <c r="B594" s="23"/>
      <c r="C594" s="23"/>
      <c r="D594" s="23"/>
      <c r="E594" s="23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3"/>
      <c r="W594" s="23"/>
      <c r="X594" s="23"/>
      <c r="Y594" s="23"/>
      <c r="Z594" s="23"/>
    </row>
    <row r="595" ht="15.75" customHeight="1" spans="1:26">
      <c r="A595" s="23"/>
      <c r="B595" s="23"/>
      <c r="C595" s="23"/>
      <c r="D595" s="23"/>
      <c r="E595" s="23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3"/>
      <c r="W595" s="23"/>
      <c r="X595" s="23"/>
      <c r="Y595" s="23"/>
      <c r="Z595" s="23"/>
    </row>
    <row r="596" ht="15.75" customHeight="1" spans="1:26">
      <c r="A596" s="23"/>
      <c r="B596" s="23"/>
      <c r="C596" s="23"/>
      <c r="D596" s="23"/>
      <c r="E596" s="23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3"/>
      <c r="W596" s="23"/>
      <c r="X596" s="23"/>
      <c r="Y596" s="23"/>
      <c r="Z596" s="23"/>
    </row>
    <row r="597" ht="15.75" customHeight="1" spans="1:26">
      <c r="A597" s="23"/>
      <c r="B597" s="23"/>
      <c r="C597" s="23"/>
      <c r="D597" s="23"/>
      <c r="E597" s="23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3"/>
      <c r="W597" s="23"/>
      <c r="X597" s="23"/>
      <c r="Y597" s="23"/>
      <c r="Z597" s="23"/>
    </row>
    <row r="598" ht="15.75" customHeight="1" spans="1:26">
      <c r="A598" s="23"/>
      <c r="B598" s="23"/>
      <c r="C598" s="23"/>
      <c r="D598" s="23"/>
      <c r="E598" s="23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3"/>
      <c r="W598" s="23"/>
      <c r="X598" s="23"/>
      <c r="Y598" s="23"/>
      <c r="Z598" s="23"/>
    </row>
    <row r="599" ht="15.75" customHeight="1" spans="1:26">
      <c r="A599" s="23"/>
      <c r="B599" s="23"/>
      <c r="C599" s="23"/>
      <c r="D599" s="23"/>
      <c r="E599" s="23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3"/>
      <c r="W599" s="23"/>
      <c r="X599" s="23"/>
      <c r="Y599" s="23"/>
      <c r="Z599" s="23"/>
    </row>
    <row r="600" ht="15.75" customHeight="1" spans="1:26">
      <c r="A600" s="23"/>
      <c r="B600" s="23"/>
      <c r="C600" s="23"/>
      <c r="D600" s="23"/>
      <c r="E600" s="23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3"/>
      <c r="W600" s="23"/>
      <c r="X600" s="23"/>
      <c r="Y600" s="23"/>
      <c r="Z600" s="23"/>
    </row>
    <row r="601" ht="15.75" customHeight="1" spans="1:26">
      <c r="A601" s="23"/>
      <c r="B601" s="23"/>
      <c r="C601" s="23"/>
      <c r="D601" s="23"/>
      <c r="E601" s="23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3"/>
      <c r="W601" s="23"/>
      <c r="X601" s="23"/>
      <c r="Y601" s="23"/>
      <c r="Z601" s="23"/>
    </row>
    <row r="602" ht="15.75" customHeight="1" spans="1:26">
      <c r="A602" s="23"/>
      <c r="B602" s="23"/>
      <c r="C602" s="23"/>
      <c r="D602" s="23"/>
      <c r="E602" s="23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3"/>
      <c r="W602" s="23"/>
      <c r="X602" s="23"/>
      <c r="Y602" s="23"/>
      <c r="Z602" s="23"/>
    </row>
    <row r="603" ht="15.75" customHeight="1" spans="1:26">
      <c r="A603" s="23"/>
      <c r="B603" s="23"/>
      <c r="C603" s="23"/>
      <c r="D603" s="23"/>
      <c r="E603" s="23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3"/>
      <c r="W603" s="23"/>
      <c r="X603" s="23"/>
      <c r="Y603" s="23"/>
      <c r="Z603" s="23"/>
    </row>
    <row r="604" ht="15.75" customHeight="1" spans="1:26">
      <c r="A604" s="23"/>
      <c r="B604" s="23"/>
      <c r="C604" s="23"/>
      <c r="D604" s="23"/>
      <c r="E604" s="23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3"/>
      <c r="W604" s="23"/>
      <c r="X604" s="23"/>
      <c r="Y604" s="23"/>
      <c r="Z604" s="23"/>
    </row>
    <row r="605" ht="15.75" customHeight="1" spans="1:26">
      <c r="A605" s="23"/>
      <c r="B605" s="23"/>
      <c r="C605" s="23"/>
      <c r="D605" s="23"/>
      <c r="E605" s="23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3"/>
      <c r="W605" s="23"/>
      <c r="X605" s="23"/>
      <c r="Y605" s="23"/>
      <c r="Z605" s="23"/>
    </row>
    <row r="606" ht="15.75" customHeight="1" spans="1:26">
      <c r="A606" s="23"/>
      <c r="B606" s="23"/>
      <c r="C606" s="23"/>
      <c r="D606" s="23"/>
      <c r="E606" s="23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3"/>
      <c r="W606" s="23"/>
      <c r="X606" s="23"/>
      <c r="Y606" s="23"/>
      <c r="Z606" s="23"/>
    </row>
    <row r="607" ht="15.75" customHeight="1" spans="1:26">
      <c r="A607" s="23"/>
      <c r="B607" s="23"/>
      <c r="C607" s="23"/>
      <c r="D607" s="23"/>
      <c r="E607" s="23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3"/>
      <c r="W607" s="23"/>
      <c r="X607" s="23"/>
      <c r="Y607" s="23"/>
      <c r="Z607" s="23"/>
    </row>
    <row r="608" ht="15.75" customHeight="1" spans="1:26">
      <c r="A608" s="23"/>
      <c r="B608" s="23"/>
      <c r="C608" s="23"/>
      <c r="D608" s="23"/>
      <c r="E608" s="23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3"/>
      <c r="W608" s="23"/>
      <c r="X608" s="23"/>
      <c r="Y608" s="23"/>
      <c r="Z608" s="23"/>
    </row>
    <row r="609" ht="15.75" customHeight="1" spans="1:26">
      <c r="A609" s="23"/>
      <c r="B609" s="23"/>
      <c r="C609" s="23"/>
      <c r="D609" s="23"/>
      <c r="E609" s="23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3"/>
      <c r="W609" s="23"/>
      <c r="X609" s="23"/>
      <c r="Y609" s="23"/>
      <c r="Z609" s="23"/>
    </row>
    <row r="610" ht="15.75" customHeight="1" spans="1:26">
      <c r="A610" s="23"/>
      <c r="B610" s="23"/>
      <c r="C610" s="23"/>
      <c r="D610" s="23"/>
      <c r="E610" s="23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3"/>
      <c r="W610" s="23"/>
      <c r="X610" s="23"/>
      <c r="Y610" s="23"/>
      <c r="Z610" s="23"/>
    </row>
    <row r="611" ht="15.75" customHeight="1" spans="1:26">
      <c r="A611" s="23"/>
      <c r="B611" s="23"/>
      <c r="C611" s="23"/>
      <c r="D611" s="23"/>
      <c r="E611" s="23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3"/>
      <c r="W611" s="23"/>
      <c r="X611" s="23"/>
      <c r="Y611" s="23"/>
      <c r="Z611" s="23"/>
    </row>
    <row r="612" ht="15.75" customHeight="1" spans="1:26">
      <c r="A612" s="23"/>
      <c r="B612" s="23"/>
      <c r="C612" s="23"/>
      <c r="D612" s="23"/>
      <c r="E612" s="23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3"/>
      <c r="W612" s="23"/>
      <c r="X612" s="23"/>
      <c r="Y612" s="23"/>
      <c r="Z612" s="23"/>
    </row>
    <row r="613" ht="15.75" customHeight="1" spans="1:26">
      <c r="A613" s="23"/>
      <c r="B613" s="23"/>
      <c r="C613" s="23"/>
      <c r="D613" s="23"/>
      <c r="E613" s="23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3"/>
      <c r="W613" s="23"/>
      <c r="X613" s="23"/>
      <c r="Y613" s="23"/>
      <c r="Z613" s="23"/>
    </row>
    <row r="614" ht="15.75" customHeight="1" spans="1:26">
      <c r="A614" s="23"/>
      <c r="B614" s="23"/>
      <c r="C614" s="23"/>
      <c r="D614" s="23"/>
      <c r="E614" s="23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3"/>
      <c r="W614" s="23"/>
      <c r="X614" s="23"/>
      <c r="Y614" s="23"/>
      <c r="Z614" s="23"/>
    </row>
    <row r="615" ht="15.75" customHeight="1" spans="1:26">
      <c r="A615" s="23"/>
      <c r="B615" s="23"/>
      <c r="C615" s="23"/>
      <c r="D615" s="23"/>
      <c r="E615" s="23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3"/>
      <c r="W615" s="23"/>
      <c r="X615" s="23"/>
      <c r="Y615" s="23"/>
      <c r="Z615" s="23"/>
    </row>
    <row r="616" ht="15.75" customHeight="1" spans="1:26">
      <c r="A616" s="23"/>
      <c r="B616" s="23"/>
      <c r="C616" s="23"/>
      <c r="D616" s="23"/>
      <c r="E616" s="23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3"/>
      <c r="W616" s="23"/>
      <c r="X616" s="23"/>
      <c r="Y616" s="23"/>
      <c r="Z616" s="23"/>
    </row>
    <row r="617" ht="15.75" customHeight="1" spans="1:26">
      <c r="A617" s="23"/>
      <c r="B617" s="23"/>
      <c r="C617" s="23"/>
      <c r="D617" s="23"/>
      <c r="E617" s="23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3"/>
      <c r="W617" s="23"/>
      <c r="X617" s="23"/>
      <c r="Y617" s="23"/>
      <c r="Z617" s="23"/>
    </row>
    <row r="618" ht="15.75" customHeight="1" spans="1:26">
      <c r="A618" s="23"/>
      <c r="B618" s="23"/>
      <c r="C618" s="23"/>
      <c r="D618" s="23"/>
      <c r="E618" s="23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3"/>
      <c r="W618" s="23"/>
      <c r="X618" s="23"/>
      <c r="Y618" s="23"/>
      <c r="Z618" s="23"/>
    </row>
    <row r="619" ht="15.75" customHeight="1" spans="1:26">
      <c r="A619" s="23"/>
      <c r="B619" s="23"/>
      <c r="C619" s="23"/>
      <c r="D619" s="23"/>
      <c r="E619" s="23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3"/>
      <c r="W619" s="23"/>
      <c r="X619" s="23"/>
      <c r="Y619" s="23"/>
      <c r="Z619" s="23"/>
    </row>
    <row r="620" ht="15.75" customHeight="1" spans="1:26">
      <c r="A620" s="23"/>
      <c r="B620" s="23"/>
      <c r="C620" s="23"/>
      <c r="D620" s="23"/>
      <c r="E620" s="23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3"/>
      <c r="W620" s="23"/>
      <c r="X620" s="23"/>
      <c r="Y620" s="23"/>
      <c r="Z620" s="23"/>
    </row>
    <row r="621" ht="15.75" customHeight="1" spans="1:26">
      <c r="A621" s="23"/>
      <c r="B621" s="23"/>
      <c r="C621" s="23"/>
      <c r="D621" s="23"/>
      <c r="E621" s="23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3"/>
      <c r="W621" s="23"/>
      <c r="X621" s="23"/>
      <c r="Y621" s="23"/>
      <c r="Z621" s="23"/>
    </row>
    <row r="622" ht="15.75" customHeight="1" spans="1:26">
      <c r="A622" s="23"/>
      <c r="B622" s="23"/>
      <c r="C622" s="23"/>
      <c r="D622" s="23"/>
      <c r="E622" s="23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3"/>
      <c r="W622" s="23"/>
      <c r="X622" s="23"/>
      <c r="Y622" s="23"/>
      <c r="Z622" s="23"/>
    </row>
    <row r="623" ht="15.75" customHeight="1" spans="1:26">
      <c r="A623" s="23"/>
      <c r="B623" s="23"/>
      <c r="C623" s="23"/>
      <c r="D623" s="23"/>
      <c r="E623" s="23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3"/>
      <c r="W623" s="23"/>
      <c r="X623" s="23"/>
      <c r="Y623" s="23"/>
      <c r="Z623" s="23"/>
    </row>
    <row r="624" ht="15.75" customHeight="1" spans="1:26">
      <c r="A624" s="23"/>
      <c r="B624" s="23"/>
      <c r="C624" s="23"/>
      <c r="D624" s="23"/>
      <c r="E624" s="23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3"/>
      <c r="W624" s="23"/>
      <c r="X624" s="23"/>
      <c r="Y624" s="23"/>
      <c r="Z624" s="23"/>
    </row>
    <row r="625" ht="15.75" customHeight="1" spans="1:26">
      <c r="A625" s="23"/>
      <c r="B625" s="23"/>
      <c r="C625" s="23"/>
      <c r="D625" s="23"/>
      <c r="E625" s="23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3"/>
      <c r="W625" s="23"/>
      <c r="X625" s="23"/>
      <c r="Y625" s="23"/>
      <c r="Z625" s="23"/>
    </row>
    <row r="626" ht="15.75" customHeight="1" spans="1:26">
      <c r="A626" s="23"/>
      <c r="B626" s="23"/>
      <c r="C626" s="23"/>
      <c r="D626" s="23"/>
      <c r="E626" s="23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3"/>
      <c r="W626" s="23"/>
      <c r="X626" s="23"/>
      <c r="Y626" s="23"/>
      <c r="Z626" s="23"/>
    </row>
    <row r="627" ht="15.75" customHeight="1" spans="1:26">
      <c r="A627" s="23"/>
      <c r="B627" s="23"/>
      <c r="C627" s="23"/>
      <c r="D627" s="23"/>
      <c r="E627" s="23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3"/>
      <c r="W627" s="23"/>
      <c r="X627" s="23"/>
      <c r="Y627" s="23"/>
      <c r="Z627" s="23"/>
    </row>
    <row r="628" ht="15.75" customHeight="1" spans="1:26">
      <c r="A628" s="23"/>
      <c r="B628" s="23"/>
      <c r="C628" s="23"/>
      <c r="D628" s="23"/>
      <c r="E628" s="23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3"/>
      <c r="W628" s="23"/>
      <c r="X628" s="23"/>
      <c r="Y628" s="23"/>
      <c r="Z628" s="23"/>
    </row>
    <row r="629" ht="15.75" customHeight="1" spans="1:26">
      <c r="A629" s="23"/>
      <c r="B629" s="23"/>
      <c r="C629" s="23"/>
      <c r="D629" s="23"/>
      <c r="E629" s="23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3"/>
      <c r="W629" s="23"/>
      <c r="X629" s="23"/>
      <c r="Y629" s="23"/>
      <c r="Z629" s="23"/>
    </row>
    <row r="630" ht="15.75" customHeight="1" spans="1:26">
      <c r="A630" s="23"/>
      <c r="B630" s="23"/>
      <c r="C630" s="23"/>
      <c r="D630" s="23"/>
      <c r="E630" s="23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3"/>
      <c r="W630" s="23"/>
      <c r="X630" s="23"/>
      <c r="Y630" s="23"/>
      <c r="Z630" s="23"/>
    </row>
    <row r="631" ht="15.75" customHeight="1" spans="1:26">
      <c r="A631" s="23"/>
      <c r="B631" s="23"/>
      <c r="C631" s="23"/>
      <c r="D631" s="23"/>
      <c r="E631" s="23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3"/>
      <c r="W631" s="23"/>
      <c r="X631" s="23"/>
      <c r="Y631" s="23"/>
      <c r="Z631" s="23"/>
    </row>
    <row r="632" ht="15.75" customHeight="1" spans="1:26">
      <c r="A632" s="23"/>
      <c r="B632" s="23"/>
      <c r="C632" s="23"/>
      <c r="D632" s="23"/>
      <c r="E632" s="23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3"/>
      <c r="W632" s="23"/>
      <c r="X632" s="23"/>
      <c r="Y632" s="23"/>
      <c r="Z632" s="23"/>
    </row>
    <row r="633" ht="15.75" customHeight="1" spans="1:26">
      <c r="A633" s="23"/>
      <c r="B633" s="23"/>
      <c r="C633" s="23"/>
      <c r="D633" s="23"/>
      <c r="E633" s="23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3"/>
      <c r="W633" s="23"/>
      <c r="X633" s="23"/>
      <c r="Y633" s="23"/>
      <c r="Z633" s="23"/>
    </row>
    <row r="634" ht="15.75" customHeight="1" spans="1:26">
      <c r="A634" s="23"/>
      <c r="B634" s="23"/>
      <c r="C634" s="23"/>
      <c r="D634" s="23"/>
      <c r="E634" s="23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3"/>
      <c r="W634" s="23"/>
      <c r="X634" s="23"/>
      <c r="Y634" s="23"/>
      <c r="Z634" s="23"/>
    </row>
    <row r="635" ht="15.75" customHeight="1" spans="1:26">
      <c r="A635" s="23"/>
      <c r="B635" s="23"/>
      <c r="C635" s="23"/>
      <c r="D635" s="23"/>
      <c r="E635" s="23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3"/>
      <c r="W635" s="23"/>
      <c r="X635" s="23"/>
      <c r="Y635" s="23"/>
      <c r="Z635" s="23"/>
    </row>
    <row r="636" ht="15.75" customHeight="1" spans="1:26">
      <c r="A636" s="23"/>
      <c r="B636" s="23"/>
      <c r="C636" s="23"/>
      <c r="D636" s="23"/>
      <c r="E636" s="23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3"/>
      <c r="W636" s="23"/>
      <c r="X636" s="23"/>
      <c r="Y636" s="23"/>
      <c r="Z636" s="23"/>
    </row>
    <row r="637" ht="15.75" customHeight="1" spans="1:26">
      <c r="A637" s="23"/>
      <c r="B637" s="23"/>
      <c r="C637" s="23"/>
      <c r="D637" s="23"/>
      <c r="E637" s="23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3"/>
      <c r="W637" s="23"/>
      <c r="X637" s="23"/>
      <c r="Y637" s="23"/>
      <c r="Z637" s="23"/>
    </row>
    <row r="638" ht="15.75" customHeight="1" spans="1:26">
      <c r="A638" s="23"/>
      <c r="B638" s="23"/>
      <c r="C638" s="23"/>
      <c r="D638" s="23"/>
      <c r="E638" s="23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3"/>
      <c r="W638" s="23"/>
      <c r="X638" s="23"/>
      <c r="Y638" s="23"/>
      <c r="Z638" s="23"/>
    </row>
    <row r="639" ht="15.75" customHeight="1" spans="1:26">
      <c r="A639" s="23"/>
      <c r="B639" s="23"/>
      <c r="C639" s="23"/>
      <c r="D639" s="23"/>
      <c r="E639" s="23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3"/>
      <c r="W639" s="23"/>
      <c r="X639" s="23"/>
      <c r="Y639" s="23"/>
      <c r="Z639" s="23"/>
    </row>
    <row r="640" ht="15.75" customHeight="1" spans="1:26">
      <c r="A640" s="23"/>
      <c r="B640" s="23"/>
      <c r="C640" s="23"/>
      <c r="D640" s="23"/>
      <c r="E640" s="23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3"/>
      <c r="W640" s="23"/>
      <c r="X640" s="23"/>
      <c r="Y640" s="23"/>
      <c r="Z640" s="23"/>
    </row>
    <row r="641" ht="15.75" customHeight="1" spans="1:26">
      <c r="A641" s="23"/>
      <c r="B641" s="23"/>
      <c r="C641" s="23"/>
      <c r="D641" s="23"/>
      <c r="E641" s="23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3"/>
      <c r="W641" s="23"/>
      <c r="X641" s="23"/>
      <c r="Y641" s="23"/>
      <c r="Z641" s="23"/>
    </row>
    <row r="642" ht="15.75" customHeight="1" spans="1:26">
      <c r="A642" s="23"/>
      <c r="B642" s="23"/>
      <c r="C642" s="23"/>
      <c r="D642" s="23"/>
      <c r="E642" s="23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3"/>
      <c r="W642" s="23"/>
      <c r="X642" s="23"/>
      <c r="Y642" s="23"/>
      <c r="Z642" s="23"/>
    </row>
    <row r="643" ht="15.75" customHeight="1" spans="1:26">
      <c r="A643" s="23"/>
      <c r="B643" s="23"/>
      <c r="C643" s="23"/>
      <c r="D643" s="23"/>
      <c r="E643" s="23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3"/>
      <c r="W643" s="23"/>
      <c r="X643" s="23"/>
      <c r="Y643" s="23"/>
      <c r="Z643" s="23"/>
    </row>
    <row r="644" ht="15.75" customHeight="1" spans="1:26">
      <c r="A644" s="23"/>
      <c r="B644" s="23"/>
      <c r="C644" s="23"/>
      <c r="D644" s="23"/>
      <c r="E644" s="23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3"/>
      <c r="W644" s="23"/>
      <c r="X644" s="23"/>
      <c r="Y644" s="23"/>
      <c r="Z644" s="23"/>
    </row>
    <row r="645" ht="15.75" customHeight="1" spans="1:26">
      <c r="A645" s="23"/>
      <c r="B645" s="23"/>
      <c r="C645" s="23"/>
      <c r="D645" s="23"/>
      <c r="E645" s="23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3"/>
      <c r="W645" s="23"/>
      <c r="X645" s="23"/>
      <c r="Y645" s="23"/>
      <c r="Z645" s="23"/>
    </row>
    <row r="646" ht="15.75" customHeight="1" spans="1:26">
      <c r="A646" s="23"/>
      <c r="B646" s="23"/>
      <c r="C646" s="23"/>
      <c r="D646" s="23"/>
      <c r="E646" s="23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3"/>
      <c r="W646" s="23"/>
      <c r="X646" s="23"/>
      <c r="Y646" s="23"/>
      <c r="Z646" s="23"/>
    </row>
    <row r="647" ht="15.75" customHeight="1" spans="1:26">
      <c r="A647" s="23"/>
      <c r="B647" s="23"/>
      <c r="C647" s="23"/>
      <c r="D647" s="23"/>
      <c r="E647" s="23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3"/>
      <c r="W647" s="23"/>
      <c r="X647" s="23"/>
      <c r="Y647" s="23"/>
      <c r="Z647" s="23"/>
    </row>
    <row r="648" ht="15.75" customHeight="1" spans="1:26">
      <c r="A648" s="23"/>
      <c r="B648" s="23"/>
      <c r="C648" s="23"/>
      <c r="D648" s="23"/>
      <c r="E648" s="23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3"/>
      <c r="W648" s="23"/>
      <c r="X648" s="23"/>
      <c r="Y648" s="23"/>
      <c r="Z648" s="23"/>
    </row>
    <row r="649" ht="15.75" customHeight="1" spans="1:26">
      <c r="A649" s="23"/>
      <c r="B649" s="23"/>
      <c r="C649" s="23"/>
      <c r="D649" s="23"/>
      <c r="E649" s="23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3"/>
      <c r="W649" s="23"/>
      <c r="X649" s="23"/>
      <c r="Y649" s="23"/>
      <c r="Z649" s="23"/>
    </row>
    <row r="650" ht="15.75" customHeight="1" spans="1:26">
      <c r="A650" s="23"/>
      <c r="B650" s="23"/>
      <c r="C650" s="23"/>
      <c r="D650" s="23"/>
      <c r="E650" s="23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3"/>
      <c r="W650" s="23"/>
      <c r="X650" s="23"/>
      <c r="Y650" s="23"/>
      <c r="Z650" s="23"/>
    </row>
    <row r="651" ht="15.75" customHeight="1" spans="1:26">
      <c r="A651" s="23"/>
      <c r="B651" s="23"/>
      <c r="C651" s="23"/>
      <c r="D651" s="23"/>
      <c r="E651" s="23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3"/>
      <c r="W651" s="23"/>
      <c r="X651" s="23"/>
      <c r="Y651" s="23"/>
      <c r="Z651" s="23"/>
    </row>
    <row r="652" ht="15.75" customHeight="1" spans="1:26">
      <c r="A652" s="23"/>
      <c r="B652" s="23"/>
      <c r="C652" s="23"/>
      <c r="D652" s="23"/>
      <c r="E652" s="23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3"/>
      <c r="W652" s="23"/>
      <c r="X652" s="23"/>
      <c r="Y652" s="23"/>
      <c r="Z652" s="23"/>
    </row>
    <row r="653" ht="15.75" customHeight="1" spans="1:26">
      <c r="A653" s="23"/>
      <c r="B653" s="23"/>
      <c r="C653" s="23"/>
      <c r="D653" s="23"/>
      <c r="E653" s="23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3"/>
      <c r="W653" s="23"/>
      <c r="X653" s="23"/>
      <c r="Y653" s="23"/>
      <c r="Z653" s="23"/>
    </row>
    <row r="654" ht="15.75" customHeight="1" spans="1:26">
      <c r="A654" s="23"/>
      <c r="B654" s="23"/>
      <c r="C654" s="23"/>
      <c r="D654" s="23"/>
      <c r="E654" s="23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3"/>
      <c r="W654" s="23"/>
      <c r="X654" s="23"/>
      <c r="Y654" s="23"/>
      <c r="Z654" s="23"/>
    </row>
    <row r="655" ht="15.75" customHeight="1" spans="1:26">
      <c r="A655" s="23"/>
      <c r="B655" s="23"/>
      <c r="C655" s="23"/>
      <c r="D655" s="23"/>
      <c r="E655" s="23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3"/>
      <c r="W655" s="23"/>
      <c r="X655" s="23"/>
      <c r="Y655" s="23"/>
      <c r="Z655" s="23"/>
    </row>
    <row r="656" ht="15.75" customHeight="1" spans="1:26">
      <c r="A656" s="23"/>
      <c r="B656" s="23"/>
      <c r="C656" s="23"/>
      <c r="D656" s="23"/>
      <c r="E656" s="23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3"/>
      <c r="W656" s="23"/>
      <c r="X656" s="23"/>
      <c r="Y656" s="23"/>
      <c r="Z656" s="23"/>
    </row>
    <row r="657" ht="15.75" customHeight="1" spans="1:26">
      <c r="A657" s="23"/>
      <c r="B657" s="23"/>
      <c r="C657" s="23"/>
      <c r="D657" s="23"/>
      <c r="E657" s="23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3"/>
      <c r="W657" s="23"/>
      <c r="X657" s="23"/>
      <c r="Y657" s="23"/>
      <c r="Z657" s="23"/>
    </row>
    <row r="658" ht="15.75" customHeight="1" spans="1:26">
      <c r="A658" s="23"/>
      <c r="B658" s="23"/>
      <c r="C658" s="23"/>
      <c r="D658" s="23"/>
      <c r="E658" s="23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3"/>
      <c r="W658" s="23"/>
      <c r="X658" s="23"/>
      <c r="Y658" s="23"/>
      <c r="Z658" s="23"/>
    </row>
    <row r="659" ht="15.75" customHeight="1" spans="1:26">
      <c r="A659" s="23"/>
      <c r="B659" s="23"/>
      <c r="C659" s="23"/>
      <c r="D659" s="23"/>
      <c r="E659" s="23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3"/>
      <c r="W659" s="23"/>
      <c r="X659" s="23"/>
      <c r="Y659" s="23"/>
      <c r="Z659" s="23"/>
    </row>
    <row r="660" ht="15.75" customHeight="1" spans="1:26">
      <c r="A660" s="23"/>
      <c r="B660" s="23"/>
      <c r="C660" s="23"/>
      <c r="D660" s="23"/>
      <c r="E660" s="23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3"/>
      <c r="W660" s="23"/>
      <c r="X660" s="23"/>
      <c r="Y660" s="23"/>
      <c r="Z660" s="23"/>
    </row>
    <row r="661" ht="15.75" customHeight="1" spans="1:26">
      <c r="A661" s="23"/>
      <c r="B661" s="23"/>
      <c r="C661" s="23"/>
      <c r="D661" s="23"/>
      <c r="E661" s="23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3"/>
      <c r="W661" s="23"/>
      <c r="X661" s="23"/>
      <c r="Y661" s="23"/>
      <c r="Z661" s="23"/>
    </row>
    <row r="662" ht="15.75" customHeight="1" spans="1:26">
      <c r="A662" s="23"/>
      <c r="B662" s="23"/>
      <c r="C662" s="23"/>
      <c r="D662" s="23"/>
      <c r="E662" s="23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3"/>
      <c r="W662" s="23"/>
      <c r="X662" s="23"/>
      <c r="Y662" s="23"/>
      <c r="Z662" s="23"/>
    </row>
    <row r="663" ht="15.75" customHeight="1" spans="1:26">
      <c r="A663" s="23"/>
      <c r="B663" s="23"/>
      <c r="C663" s="23"/>
      <c r="D663" s="23"/>
      <c r="E663" s="23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3"/>
      <c r="W663" s="23"/>
      <c r="X663" s="23"/>
      <c r="Y663" s="23"/>
      <c r="Z663" s="23"/>
    </row>
    <row r="664" ht="15.75" customHeight="1" spans="1:26">
      <c r="A664" s="23"/>
      <c r="B664" s="23"/>
      <c r="C664" s="23"/>
      <c r="D664" s="23"/>
      <c r="E664" s="23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3"/>
      <c r="W664" s="23"/>
      <c r="X664" s="23"/>
      <c r="Y664" s="23"/>
      <c r="Z664" s="23"/>
    </row>
    <row r="665" ht="15.75" customHeight="1" spans="1:26">
      <c r="A665" s="23"/>
      <c r="B665" s="23"/>
      <c r="C665" s="23"/>
      <c r="D665" s="23"/>
      <c r="E665" s="23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3"/>
      <c r="W665" s="23"/>
      <c r="X665" s="23"/>
      <c r="Y665" s="23"/>
      <c r="Z665" s="23"/>
    </row>
    <row r="666" ht="15.75" customHeight="1" spans="1:26">
      <c r="A666" s="23"/>
      <c r="B666" s="23"/>
      <c r="C666" s="23"/>
      <c r="D666" s="23"/>
      <c r="E666" s="23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3"/>
      <c r="W666" s="23"/>
      <c r="X666" s="23"/>
      <c r="Y666" s="23"/>
      <c r="Z666" s="23"/>
    </row>
    <row r="667" ht="15.75" customHeight="1" spans="1:26">
      <c r="A667" s="23"/>
      <c r="B667" s="23"/>
      <c r="C667" s="23"/>
      <c r="D667" s="23"/>
      <c r="E667" s="23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3"/>
      <c r="W667" s="23"/>
      <c r="X667" s="23"/>
      <c r="Y667" s="23"/>
      <c r="Z667" s="23"/>
    </row>
    <row r="668" ht="15.75" customHeight="1" spans="1:26">
      <c r="A668" s="23"/>
      <c r="B668" s="23"/>
      <c r="C668" s="23"/>
      <c r="D668" s="23"/>
      <c r="E668" s="23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3"/>
      <c r="W668" s="23"/>
      <c r="X668" s="23"/>
      <c r="Y668" s="23"/>
      <c r="Z668" s="23"/>
    </row>
    <row r="669" ht="15.75" customHeight="1" spans="1:26">
      <c r="A669" s="23"/>
      <c r="B669" s="23"/>
      <c r="C669" s="23"/>
      <c r="D669" s="23"/>
      <c r="E669" s="23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3"/>
      <c r="W669" s="23"/>
      <c r="X669" s="23"/>
      <c r="Y669" s="23"/>
      <c r="Z669" s="23"/>
    </row>
    <row r="670" ht="15.75" customHeight="1" spans="1:26">
      <c r="A670" s="23"/>
      <c r="B670" s="23"/>
      <c r="C670" s="23"/>
      <c r="D670" s="23"/>
      <c r="E670" s="23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3"/>
      <c r="W670" s="23"/>
      <c r="X670" s="23"/>
      <c r="Y670" s="23"/>
      <c r="Z670" s="23"/>
    </row>
    <row r="671" ht="15.75" customHeight="1" spans="1:26">
      <c r="A671" s="23"/>
      <c r="B671" s="23"/>
      <c r="C671" s="23"/>
      <c r="D671" s="23"/>
      <c r="E671" s="23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3"/>
      <c r="W671" s="23"/>
      <c r="X671" s="23"/>
      <c r="Y671" s="23"/>
      <c r="Z671" s="23"/>
    </row>
    <row r="672" ht="15.75" customHeight="1" spans="1:26">
      <c r="A672" s="23"/>
      <c r="B672" s="23"/>
      <c r="C672" s="23"/>
      <c r="D672" s="23"/>
      <c r="E672" s="23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3"/>
      <c r="W672" s="23"/>
      <c r="X672" s="23"/>
      <c r="Y672" s="23"/>
      <c r="Z672" s="23"/>
    </row>
    <row r="673" ht="15.75" customHeight="1" spans="1:26">
      <c r="A673" s="23"/>
      <c r="B673" s="23"/>
      <c r="C673" s="23"/>
      <c r="D673" s="23"/>
      <c r="E673" s="23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3"/>
      <c r="W673" s="23"/>
      <c r="X673" s="23"/>
      <c r="Y673" s="23"/>
      <c r="Z673" s="23"/>
    </row>
    <row r="674" ht="15.75" customHeight="1" spans="1:26">
      <c r="A674" s="23"/>
      <c r="B674" s="23"/>
      <c r="C674" s="23"/>
      <c r="D674" s="23"/>
      <c r="E674" s="23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3"/>
      <c r="W674" s="23"/>
      <c r="X674" s="23"/>
      <c r="Y674" s="23"/>
      <c r="Z674" s="23"/>
    </row>
    <row r="675" ht="15.75" customHeight="1" spans="1:26">
      <c r="A675" s="23"/>
      <c r="B675" s="23"/>
      <c r="C675" s="23"/>
      <c r="D675" s="23"/>
      <c r="E675" s="23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3"/>
      <c r="W675" s="23"/>
      <c r="X675" s="23"/>
      <c r="Y675" s="23"/>
      <c r="Z675" s="23"/>
    </row>
    <row r="676" ht="15.75" customHeight="1" spans="1:26">
      <c r="A676" s="23"/>
      <c r="B676" s="23"/>
      <c r="C676" s="23"/>
      <c r="D676" s="23"/>
      <c r="E676" s="23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3"/>
      <c r="W676" s="23"/>
      <c r="X676" s="23"/>
      <c r="Y676" s="23"/>
      <c r="Z676" s="23"/>
    </row>
    <row r="677" ht="15.75" customHeight="1" spans="1:26">
      <c r="A677" s="23"/>
      <c r="B677" s="23"/>
      <c r="C677" s="23"/>
      <c r="D677" s="23"/>
      <c r="E677" s="23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3"/>
      <c r="W677" s="23"/>
      <c r="X677" s="23"/>
      <c r="Y677" s="23"/>
      <c r="Z677" s="23"/>
    </row>
    <row r="678" ht="15.75" customHeight="1" spans="1:26">
      <c r="A678" s="23"/>
      <c r="B678" s="23"/>
      <c r="C678" s="23"/>
      <c r="D678" s="23"/>
      <c r="E678" s="23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3"/>
      <c r="W678" s="23"/>
      <c r="X678" s="23"/>
      <c r="Y678" s="23"/>
      <c r="Z678" s="23"/>
    </row>
    <row r="679" ht="15.75" customHeight="1" spans="1:26">
      <c r="A679" s="23"/>
      <c r="B679" s="23"/>
      <c r="C679" s="23"/>
      <c r="D679" s="23"/>
      <c r="E679" s="23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3"/>
      <c r="W679" s="23"/>
      <c r="X679" s="23"/>
      <c r="Y679" s="23"/>
      <c r="Z679" s="23"/>
    </row>
    <row r="680" ht="15.75" customHeight="1" spans="1:26">
      <c r="A680" s="23"/>
      <c r="B680" s="23"/>
      <c r="C680" s="23"/>
      <c r="D680" s="23"/>
      <c r="E680" s="23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3"/>
      <c r="W680" s="23"/>
      <c r="X680" s="23"/>
      <c r="Y680" s="23"/>
      <c r="Z680" s="23"/>
    </row>
    <row r="681" ht="15.75" customHeight="1" spans="1:26">
      <c r="A681" s="23"/>
      <c r="B681" s="23"/>
      <c r="C681" s="23"/>
      <c r="D681" s="23"/>
      <c r="E681" s="23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3"/>
      <c r="W681" s="23"/>
      <c r="X681" s="23"/>
      <c r="Y681" s="23"/>
      <c r="Z681" s="23"/>
    </row>
    <row r="682" ht="15.75" customHeight="1" spans="1:26">
      <c r="A682" s="23"/>
      <c r="B682" s="23"/>
      <c r="C682" s="23"/>
      <c r="D682" s="23"/>
      <c r="E682" s="23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3"/>
      <c r="W682" s="23"/>
      <c r="X682" s="23"/>
      <c r="Y682" s="23"/>
      <c r="Z682" s="23"/>
    </row>
    <row r="683" ht="15.75" customHeight="1" spans="1:26">
      <c r="A683" s="23"/>
      <c r="B683" s="23"/>
      <c r="C683" s="23"/>
      <c r="D683" s="23"/>
      <c r="E683" s="23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3"/>
      <c r="W683" s="23"/>
      <c r="X683" s="23"/>
      <c r="Y683" s="23"/>
      <c r="Z683" s="23"/>
    </row>
    <row r="684" ht="15.75" customHeight="1" spans="1:26">
      <c r="A684" s="23"/>
      <c r="B684" s="23"/>
      <c r="C684" s="23"/>
      <c r="D684" s="23"/>
      <c r="E684" s="23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3"/>
      <c r="W684" s="23"/>
      <c r="X684" s="23"/>
      <c r="Y684" s="23"/>
      <c r="Z684" s="23"/>
    </row>
    <row r="685" ht="15.75" customHeight="1" spans="1:26">
      <c r="A685" s="23"/>
      <c r="B685" s="23"/>
      <c r="C685" s="23"/>
      <c r="D685" s="23"/>
      <c r="E685" s="23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3"/>
      <c r="W685" s="23"/>
      <c r="X685" s="23"/>
      <c r="Y685" s="23"/>
      <c r="Z685" s="23"/>
    </row>
    <row r="686" ht="15.75" customHeight="1" spans="1:26">
      <c r="A686" s="23"/>
      <c r="B686" s="23"/>
      <c r="C686" s="23"/>
      <c r="D686" s="23"/>
      <c r="E686" s="23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3"/>
      <c r="W686" s="23"/>
      <c r="X686" s="23"/>
      <c r="Y686" s="23"/>
      <c r="Z686" s="23"/>
    </row>
    <row r="687" ht="15.75" customHeight="1" spans="1:26">
      <c r="A687" s="23"/>
      <c r="B687" s="23"/>
      <c r="C687" s="23"/>
      <c r="D687" s="23"/>
      <c r="E687" s="23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3"/>
      <c r="W687" s="23"/>
      <c r="X687" s="23"/>
      <c r="Y687" s="23"/>
      <c r="Z687" s="23"/>
    </row>
    <row r="688" ht="15.75" customHeight="1" spans="1:26">
      <c r="A688" s="23"/>
      <c r="B688" s="23"/>
      <c r="C688" s="23"/>
      <c r="D688" s="23"/>
      <c r="E688" s="23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3"/>
      <c r="W688" s="23"/>
      <c r="X688" s="23"/>
      <c r="Y688" s="23"/>
      <c r="Z688" s="23"/>
    </row>
    <row r="689" ht="15.75" customHeight="1" spans="1:26">
      <c r="A689" s="23"/>
      <c r="B689" s="23"/>
      <c r="C689" s="23"/>
      <c r="D689" s="23"/>
      <c r="E689" s="23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3"/>
      <c r="W689" s="23"/>
      <c r="X689" s="23"/>
      <c r="Y689" s="23"/>
      <c r="Z689" s="23"/>
    </row>
    <row r="690" ht="15.75" customHeight="1" spans="1:26">
      <c r="A690" s="23"/>
      <c r="B690" s="23"/>
      <c r="C690" s="23"/>
      <c r="D690" s="23"/>
      <c r="E690" s="23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3"/>
      <c r="W690" s="23"/>
      <c r="X690" s="23"/>
      <c r="Y690" s="23"/>
      <c r="Z690" s="23"/>
    </row>
    <row r="691" ht="15.75" customHeight="1" spans="1:26">
      <c r="A691" s="23"/>
      <c r="B691" s="23"/>
      <c r="C691" s="23"/>
      <c r="D691" s="23"/>
      <c r="E691" s="23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3"/>
      <c r="W691" s="23"/>
      <c r="X691" s="23"/>
      <c r="Y691" s="23"/>
      <c r="Z691" s="23"/>
    </row>
    <row r="692" ht="15.75" customHeight="1" spans="1:26">
      <c r="A692" s="23"/>
      <c r="B692" s="23"/>
      <c r="C692" s="23"/>
      <c r="D692" s="23"/>
      <c r="E692" s="23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3"/>
      <c r="W692" s="23"/>
      <c r="X692" s="23"/>
      <c r="Y692" s="23"/>
      <c r="Z692" s="23"/>
    </row>
    <row r="693" ht="15.75" customHeight="1" spans="1:26">
      <c r="A693" s="23"/>
      <c r="B693" s="23"/>
      <c r="C693" s="23"/>
      <c r="D693" s="23"/>
      <c r="E693" s="23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3"/>
      <c r="W693" s="23"/>
      <c r="X693" s="23"/>
      <c r="Y693" s="23"/>
      <c r="Z693" s="23"/>
    </row>
    <row r="694" ht="15.75" customHeight="1" spans="1:26">
      <c r="A694" s="23"/>
      <c r="B694" s="23"/>
      <c r="C694" s="23"/>
      <c r="D694" s="23"/>
      <c r="E694" s="23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3"/>
      <c r="W694" s="23"/>
      <c r="X694" s="23"/>
      <c r="Y694" s="23"/>
      <c r="Z694" s="23"/>
    </row>
    <row r="695" ht="15.75" customHeight="1" spans="1:26">
      <c r="A695" s="23"/>
      <c r="B695" s="23"/>
      <c r="C695" s="23"/>
      <c r="D695" s="23"/>
      <c r="E695" s="23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3"/>
      <c r="W695" s="23"/>
      <c r="X695" s="23"/>
      <c r="Y695" s="23"/>
      <c r="Z695" s="23"/>
    </row>
    <row r="696" ht="15.75" customHeight="1" spans="1:26">
      <c r="A696" s="23"/>
      <c r="B696" s="23"/>
      <c r="C696" s="23"/>
      <c r="D696" s="23"/>
      <c r="E696" s="23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3"/>
      <c r="W696" s="23"/>
      <c r="X696" s="23"/>
      <c r="Y696" s="23"/>
      <c r="Z696" s="23"/>
    </row>
    <row r="697" ht="15.75" customHeight="1" spans="1:26">
      <c r="A697" s="23"/>
      <c r="B697" s="23"/>
      <c r="C697" s="23"/>
      <c r="D697" s="23"/>
      <c r="E697" s="23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3"/>
      <c r="W697" s="23"/>
      <c r="X697" s="23"/>
      <c r="Y697" s="23"/>
      <c r="Z697" s="23"/>
    </row>
    <row r="698" ht="15.75" customHeight="1" spans="1:26">
      <c r="A698" s="23"/>
      <c r="B698" s="23"/>
      <c r="C698" s="23"/>
      <c r="D698" s="23"/>
      <c r="E698" s="23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3"/>
      <c r="W698" s="23"/>
      <c r="X698" s="23"/>
      <c r="Y698" s="23"/>
      <c r="Z698" s="23"/>
    </row>
    <row r="699" ht="15.75" customHeight="1" spans="1:26">
      <c r="A699" s="23"/>
      <c r="B699" s="23"/>
      <c r="C699" s="23"/>
      <c r="D699" s="23"/>
      <c r="E699" s="23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3"/>
      <c r="W699" s="23"/>
      <c r="X699" s="23"/>
      <c r="Y699" s="23"/>
      <c r="Z699" s="23"/>
    </row>
    <row r="700" ht="15.75" customHeight="1" spans="1:26">
      <c r="A700" s="23"/>
      <c r="B700" s="23"/>
      <c r="C700" s="23"/>
      <c r="D700" s="23"/>
      <c r="E700" s="23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3"/>
      <c r="W700" s="23"/>
      <c r="X700" s="23"/>
      <c r="Y700" s="23"/>
      <c r="Z700" s="23"/>
    </row>
    <row r="701" ht="15.75" customHeight="1" spans="1:26">
      <c r="A701" s="23"/>
      <c r="B701" s="23"/>
      <c r="C701" s="23"/>
      <c r="D701" s="23"/>
      <c r="E701" s="23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3"/>
      <c r="W701" s="23"/>
      <c r="X701" s="23"/>
      <c r="Y701" s="23"/>
      <c r="Z701" s="23"/>
    </row>
    <row r="702" ht="15.75" customHeight="1" spans="1:26">
      <c r="A702" s="23"/>
      <c r="B702" s="23"/>
      <c r="C702" s="23"/>
      <c r="D702" s="23"/>
      <c r="E702" s="23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3"/>
      <c r="W702" s="23"/>
      <c r="X702" s="23"/>
      <c r="Y702" s="23"/>
      <c r="Z702" s="23"/>
    </row>
    <row r="703" ht="15.75" customHeight="1" spans="1:26">
      <c r="A703" s="23"/>
      <c r="B703" s="23"/>
      <c r="C703" s="23"/>
      <c r="D703" s="23"/>
      <c r="E703" s="23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3"/>
      <c r="W703" s="23"/>
      <c r="X703" s="23"/>
      <c r="Y703" s="23"/>
      <c r="Z703" s="23"/>
    </row>
    <row r="704" ht="15.75" customHeight="1" spans="1:26">
      <c r="A704" s="23"/>
      <c r="B704" s="23"/>
      <c r="C704" s="23"/>
      <c r="D704" s="23"/>
      <c r="E704" s="23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3"/>
      <c r="W704" s="23"/>
      <c r="X704" s="23"/>
      <c r="Y704" s="23"/>
      <c r="Z704" s="23"/>
    </row>
    <row r="705" ht="15.75" customHeight="1" spans="1:26">
      <c r="A705" s="23"/>
      <c r="B705" s="23"/>
      <c r="C705" s="23"/>
      <c r="D705" s="23"/>
      <c r="E705" s="23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3"/>
      <c r="W705" s="23"/>
      <c r="X705" s="23"/>
      <c r="Y705" s="23"/>
      <c r="Z705" s="23"/>
    </row>
    <row r="706" ht="15.75" customHeight="1" spans="1:26">
      <c r="A706" s="23"/>
      <c r="B706" s="23"/>
      <c r="C706" s="23"/>
      <c r="D706" s="23"/>
      <c r="E706" s="23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3"/>
      <c r="W706" s="23"/>
      <c r="X706" s="23"/>
      <c r="Y706" s="23"/>
      <c r="Z706" s="23"/>
    </row>
    <row r="707" ht="15.75" customHeight="1" spans="1:26">
      <c r="A707" s="23"/>
      <c r="B707" s="23"/>
      <c r="C707" s="23"/>
      <c r="D707" s="23"/>
      <c r="E707" s="23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3"/>
      <c r="W707" s="23"/>
      <c r="X707" s="23"/>
      <c r="Y707" s="23"/>
      <c r="Z707" s="23"/>
    </row>
    <row r="708" ht="15.75" customHeight="1" spans="1:26">
      <c r="A708" s="23"/>
      <c r="B708" s="23"/>
      <c r="C708" s="23"/>
      <c r="D708" s="23"/>
      <c r="E708" s="23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3"/>
      <c r="W708" s="23"/>
      <c r="X708" s="23"/>
      <c r="Y708" s="23"/>
      <c r="Z708" s="23"/>
    </row>
    <row r="709" ht="15.75" customHeight="1" spans="1:26">
      <c r="A709" s="23"/>
      <c r="B709" s="23"/>
      <c r="C709" s="23"/>
      <c r="D709" s="23"/>
      <c r="E709" s="23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3"/>
      <c r="W709" s="23"/>
      <c r="X709" s="23"/>
      <c r="Y709" s="23"/>
      <c r="Z709" s="23"/>
    </row>
    <row r="710" ht="15.75" customHeight="1" spans="1:26">
      <c r="A710" s="23"/>
      <c r="B710" s="23"/>
      <c r="C710" s="23"/>
      <c r="D710" s="23"/>
      <c r="E710" s="23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3"/>
      <c r="W710" s="23"/>
      <c r="X710" s="23"/>
      <c r="Y710" s="23"/>
      <c r="Z710" s="23"/>
    </row>
    <row r="711" ht="15.75" customHeight="1" spans="1:26">
      <c r="A711" s="23"/>
      <c r="B711" s="23"/>
      <c r="C711" s="23"/>
      <c r="D711" s="23"/>
      <c r="E711" s="23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3"/>
      <c r="W711" s="23"/>
      <c r="X711" s="23"/>
      <c r="Y711" s="23"/>
      <c r="Z711" s="23"/>
    </row>
    <row r="712" ht="15.75" customHeight="1" spans="1:26">
      <c r="A712" s="23"/>
      <c r="B712" s="23"/>
      <c r="C712" s="23"/>
      <c r="D712" s="23"/>
      <c r="E712" s="23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3"/>
      <c r="W712" s="23"/>
      <c r="X712" s="23"/>
      <c r="Y712" s="23"/>
      <c r="Z712" s="23"/>
    </row>
    <row r="713" ht="15.75" customHeight="1" spans="1:26">
      <c r="A713" s="23"/>
      <c r="B713" s="23"/>
      <c r="C713" s="23"/>
      <c r="D713" s="23"/>
      <c r="E713" s="23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3"/>
      <c r="W713" s="23"/>
      <c r="X713" s="23"/>
      <c r="Y713" s="23"/>
      <c r="Z713" s="23"/>
    </row>
    <row r="714" ht="15.75" customHeight="1" spans="1:26">
      <c r="A714" s="23"/>
      <c r="B714" s="23"/>
      <c r="C714" s="23"/>
      <c r="D714" s="23"/>
      <c r="E714" s="23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3"/>
      <c r="W714" s="23"/>
      <c r="X714" s="23"/>
      <c r="Y714" s="23"/>
      <c r="Z714" s="23"/>
    </row>
    <row r="715" ht="15.75" customHeight="1" spans="1:26">
      <c r="A715" s="23"/>
      <c r="B715" s="23"/>
      <c r="C715" s="23"/>
      <c r="D715" s="23"/>
      <c r="E715" s="23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3"/>
      <c r="W715" s="23"/>
      <c r="X715" s="23"/>
      <c r="Y715" s="23"/>
      <c r="Z715" s="23"/>
    </row>
    <row r="716" ht="15.75" customHeight="1" spans="1:26">
      <c r="A716" s="23"/>
      <c r="B716" s="23"/>
      <c r="C716" s="23"/>
      <c r="D716" s="23"/>
      <c r="E716" s="23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3"/>
      <c r="W716" s="23"/>
      <c r="X716" s="23"/>
      <c r="Y716" s="23"/>
      <c r="Z716" s="23"/>
    </row>
    <row r="717" ht="15.75" customHeight="1" spans="1:26">
      <c r="A717" s="23"/>
      <c r="B717" s="23"/>
      <c r="C717" s="23"/>
      <c r="D717" s="23"/>
      <c r="E717" s="23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3"/>
      <c r="W717" s="23"/>
      <c r="X717" s="23"/>
      <c r="Y717" s="23"/>
      <c r="Z717" s="23"/>
    </row>
    <row r="718" ht="15.75" customHeight="1" spans="1:26">
      <c r="A718" s="23"/>
      <c r="B718" s="23"/>
      <c r="C718" s="23"/>
      <c r="D718" s="23"/>
      <c r="E718" s="23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3"/>
      <c r="W718" s="23"/>
      <c r="X718" s="23"/>
      <c r="Y718" s="23"/>
      <c r="Z718" s="23"/>
    </row>
    <row r="719" ht="15.75" customHeight="1" spans="1:26">
      <c r="A719" s="23"/>
      <c r="B719" s="23"/>
      <c r="C719" s="23"/>
      <c r="D719" s="23"/>
      <c r="E719" s="23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3"/>
      <c r="W719" s="23"/>
      <c r="X719" s="23"/>
      <c r="Y719" s="23"/>
      <c r="Z719" s="23"/>
    </row>
    <row r="720" ht="15.75" customHeight="1" spans="1:26">
      <c r="A720" s="23"/>
      <c r="B720" s="23"/>
      <c r="C720" s="23"/>
      <c r="D720" s="23"/>
      <c r="E720" s="23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3"/>
      <c r="W720" s="23"/>
      <c r="X720" s="23"/>
      <c r="Y720" s="23"/>
      <c r="Z720" s="23"/>
    </row>
    <row r="721" ht="15.75" customHeight="1" spans="1:26">
      <c r="A721" s="23"/>
      <c r="B721" s="23"/>
      <c r="C721" s="23"/>
      <c r="D721" s="23"/>
      <c r="E721" s="23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3"/>
      <c r="W721" s="23"/>
      <c r="X721" s="23"/>
      <c r="Y721" s="23"/>
      <c r="Z721" s="23"/>
    </row>
    <row r="722" ht="15.75" customHeight="1" spans="1:26">
      <c r="A722" s="23"/>
      <c r="B722" s="23"/>
      <c r="C722" s="23"/>
      <c r="D722" s="23"/>
      <c r="E722" s="23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3"/>
      <c r="W722" s="23"/>
      <c r="X722" s="23"/>
      <c r="Y722" s="23"/>
      <c r="Z722" s="23"/>
    </row>
    <row r="723" ht="15.75" customHeight="1" spans="1:26">
      <c r="A723" s="23"/>
      <c r="B723" s="23"/>
      <c r="C723" s="23"/>
      <c r="D723" s="23"/>
      <c r="E723" s="23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3"/>
      <c r="W723" s="23"/>
      <c r="X723" s="23"/>
      <c r="Y723" s="23"/>
      <c r="Z723" s="23"/>
    </row>
    <row r="724" ht="15.75" customHeight="1" spans="1:26">
      <c r="A724" s="23"/>
      <c r="B724" s="23"/>
      <c r="C724" s="23"/>
      <c r="D724" s="23"/>
      <c r="E724" s="23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3"/>
      <c r="W724" s="23"/>
      <c r="X724" s="23"/>
      <c r="Y724" s="23"/>
      <c r="Z724" s="23"/>
    </row>
    <row r="725" ht="15.75" customHeight="1" spans="1:26">
      <c r="A725" s="23"/>
      <c r="B725" s="23"/>
      <c r="C725" s="23"/>
      <c r="D725" s="23"/>
      <c r="E725" s="23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3"/>
      <c r="W725" s="23"/>
      <c r="X725" s="23"/>
      <c r="Y725" s="23"/>
      <c r="Z725" s="23"/>
    </row>
    <row r="726" ht="15.75" customHeight="1" spans="1:26">
      <c r="A726" s="23"/>
      <c r="B726" s="23"/>
      <c r="C726" s="23"/>
      <c r="D726" s="23"/>
      <c r="E726" s="23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3"/>
      <c r="W726" s="23"/>
      <c r="X726" s="23"/>
      <c r="Y726" s="23"/>
      <c r="Z726" s="23"/>
    </row>
    <row r="727" ht="15.75" customHeight="1" spans="1:26">
      <c r="A727" s="23"/>
      <c r="B727" s="23"/>
      <c r="C727" s="23"/>
      <c r="D727" s="23"/>
      <c r="E727" s="23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3"/>
      <c r="W727" s="23"/>
      <c r="X727" s="23"/>
      <c r="Y727" s="23"/>
      <c r="Z727" s="23"/>
    </row>
    <row r="728" ht="15.75" customHeight="1" spans="1:26">
      <c r="A728" s="23"/>
      <c r="B728" s="23"/>
      <c r="C728" s="23"/>
      <c r="D728" s="23"/>
      <c r="E728" s="23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3"/>
      <c r="W728" s="23"/>
      <c r="X728" s="23"/>
      <c r="Y728" s="23"/>
      <c r="Z728" s="23"/>
    </row>
    <row r="729" ht="15.75" customHeight="1" spans="1:26">
      <c r="A729" s="23"/>
      <c r="B729" s="23"/>
      <c r="C729" s="23"/>
      <c r="D729" s="23"/>
      <c r="E729" s="23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3"/>
      <c r="W729" s="23"/>
      <c r="X729" s="23"/>
      <c r="Y729" s="23"/>
      <c r="Z729" s="23"/>
    </row>
    <row r="730" ht="15.75" customHeight="1" spans="1:26">
      <c r="A730" s="23"/>
      <c r="B730" s="23"/>
      <c r="C730" s="23"/>
      <c r="D730" s="23"/>
      <c r="E730" s="23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3"/>
      <c r="W730" s="23"/>
      <c r="X730" s="23"/>
      <c r="Y730" s="23"/>
      <c r="Z730" s="23"/>
    </row>
    <row r="731" ht="15.75" customHeight="1" spans="1:26">
      <c r="A731" s="23"/>
      <c r="B731" s="23"/>
      <c r="C731" s="23"/>
      <c r="D731" s="23"/>
      <c r="E731" s="23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3"/>
      <c r="W731" s="23"/>
      <c r="X731" s="23"/>
      <c r="Y731" s="23"/>
      <c r="Z731" s="23"/>
    </row>
    <row r="732" ht="15.75" customHeight="1" spans="1:26">
      <c r="A732" s="23"/>
      <c r="B732" s="23"/>
      <c r="C732" s="23"/>
      <c r="D732" s="23"/>
      <c r="E732" s="23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3"/>
      <c r="W732" s="23"/>
      <c r="X732" s="23"/>
      <c r="Y732" s="23"/>
      <c r="Z732" s="23"/>
    </row>
    <row r="733" ht="15.75" customHeight="1" spans="1:26">
      <c r="A733" s="23"/>
      <c r="B733" s="23"/>
      <c r="C733" s="23"/>
      <c r="D733" s="23"/>
      <c r="E733" s="23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3"/>
      <c r="W733" s="23"/>
      <c r="X733" s="23"/>
      <c r="Y733" s="23"/>
      <c r="Z733" s="23"/>
    </row>
    <row r="734" ht="15.75" customHeight="1" spans="1:26">
      <c r="A734" s="23"/>
      <c r="B734" s="23"/>
      <c r="C734" s="23"/>
      <c r="D734" s="23"/>
      <c r="E734" s="23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3"/>
      <c r="W734" s="23"/>
      <c r="X734" s="23"/>
      <c r="Y734" s="23"/>
      <c r="Z734" s="23"/>
    </row>
    <row r="735" ht="15.75" customHeight="1" spans="1:26">
      <c r="A735" s="23"/>
      <c r="B735" s="23"/>
      <c r="C735" s="23"/>
      <c r="D735" s="23"/>
      <c r="E735" s="23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3"/>
      <c r="W735" s="23"/>
      <c r="X735" s="23"/>
      <c r="Y735" s="23"/>
      <c r="Z735" s="23"/>
    </row>
    <row r="736" ht="15.75" customHeight="1" spans="1:26">
      <c r="A736" s="23"/>
      <c r="B736" s="23"/>
      <c r="C736" s="23"/>
      <c r="D736" s="23"/>
      <c r="E736" s="23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3"/>
      <c r="W736" s="23"/>
      <c r="X736" s="23"/>
      <c r="Y736" s="23"/>
      <c r="Z736" s="23"/>
    </row>
    <row r="737" ht="15.75" customHeight="1" spans="1:26">
      <c r="A737" s="23"/>
      <c r="B737" s="23"/>
      <c r="C737" s="23"/>
      <c r="D737" s="23"/>
      <c r="E737" s="23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3"/>
      <c r="W737" s="23"/>
      <c r="X737" s="23"/>
      <c r="Y737" s="23"/>
      <c r="Z737" s="23"/>
    </row>
    <row r="738" ht="15.75" customHeight="1" spans="1:26">
      <c r="A738" s="23"/>
      <c r="B738" s="23"/>
      <c r="C738" s="23"/>
      <c r="D738" s="23"/>
      <c r="E738" s="23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3"/>
      <c r="W738" s="23"/>
      <c r="X738" s="23"/>
      <c r="Y738" s="23"/>
      <c r="Z738" s="23"/>
    </row>
    <row r="739" ht="15.75" customHeight="1" spans="1:26">
      <c r="A739" s="23"/>
      <c r="B739" s="23"/>
      <c r="C739" s="23"/>
      <c r="D739" s="23"/>
      <c r="E739" s="23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3"/>
      <c r="W739" s="23"/>
      <c r="X739" s="23"/>
      <c r="Y739" s="23"/>
      <c r="Z739" s="23"/>
    </row>
    <row r="740" ht="15.75" customHeight="1" spans="1:26">
      <c r="A740" s="23"/>
      <c r="B740" s="23"/>
      <c r="C740" s="23"/>
      <c r="D740" s="23"/>
      <c r="E740" s="23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3"/>
      <c r="W740" s="23"/>
      <c r="X740" s="23"/>
      <c r="Y740" s="23"/>
      <c r="Z740" s="23"/>
    </row>
    <row r="741" ht="15.75" customHeight="1" spans="1:26">
      <c r="A741" s="23"/>
      <c r="B741" s="23"/>
      <c r="C741" s="23"/>
      <c r="D741" s="23"/>
      <c r="E741" s="23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3"/>
      <c r="W741" s="23"/>
      <c r="X741" s="23"/>
      <c r="Y741" s="23"/>
      <c r="Z741" s="23"/>
    </row>
    <row r="742" ht="15.75" customHeight="1" spans="1:26">
      <c r="A742" s="23"/>
      <c r="B742" s="23"/>
      <c r="C742" s="23"/>
      <c r="D742" s="23"/>
      <c r="E742" s="23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3"/>
      <c r="W742" s="23"/>
      <c r="X742" s="23"/>
      <c r="Y742" s="23"/>
      <c r="Z742" s="23"/>
    </row>
    <row r="743" ht="15.75" customHeight="1" spans="1:26">
      <c r="A743" s="23"/>
      <c r="B743" s="23"/>
      <c r="C743" s="23"/>
      <c r="D743" s="23"/>
      <c r="E743" s="23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3"/>
      <c r="W743" s="23"/>
      <c r="X743" s="23"/>
      <c r="Y743" s="23"/>
      <c r="Z743" s="23"/>
    </row>
    <row r="744" ht="15.75" customHeight="1" spans="1:26">
      <c r="A744" s="23"/>
      <c r="B744" s="23"/>
      <c r="C744" s="23"/>
      <c r="D744" s="23"/>
      <c r="E744" s="23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3"/>
      <c r="W744" s="23"/>
      <c r="X744" s="23"/>
      <c r="Y744" s="23"/>
      <c r="Z744" s="23"/>
    </row>
    <row r="745" ht="15.75" customHeight="1" spans="1:26">
      <c r="A745" s="23"/>
      <c r="B745" s="23"/>
      <c r="C745" s="23"/>
      <c r="D745" s="23"/>
      <c r="E745" s="23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3"/>
      <c r="W745" s="23"/>
      <c r="X745" s="23"/>
      <c r="Y745" s="23"/>
      <c r="Z745" s="23"/>
    </row>
    <row r="746" ht="15.75" customHeight="1" spans="1:26">
      <c r="A746" s="23"/>
      <c r="B746" s="23"/>
      <c r="C746" s="23"/>
      <c r="D746" s="23"/>
      <c r="E746" s="23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3"/>
      <c r="W746" s="23"/>
      <c r="X746" s="23"/>
      <c r="Y746" s="23"/>
      <c r="Z746" s="23"/>
    </row>
    <row r="747" ht="15.75" customHeight="1" spans="1:26">
      <c r="A747" s="23"/>
      <c r="B747" s="23"/>
      <c r="C747" s="23"/>
      <c r="D747" s="23"/>
      <c r="E747" s="23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3"/>
      <c r="W747" s="23"/>
      <c r="X747" s="23"/>
      <c r="Y747" s="23"/>
      <c r="Z747" s="23"/>
    </row>
    <row r="748" ht="15.75" customHeight="1" spans="1:26">
      <c r="A748" s="23"/>
      <c r="B748" s="23"/>
      <c r="C748" s="23"/>
      <c r="D748" s="23"/>
      <c r="E748" s="23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3"/>
      <c r="W748" s="23"/>
      <c r="X748" s="23"/>
      <c r="Y748" s="23"/>
      <c r="Z748" s="23"/>
    </row>
    <row r="749" ht="15.75" customHeight="1" spans="1:26">
      <c r="A749" s="23"/>
      <c r="B749" s="23"/>
      <c r="C749" s="23"/>
      <c r="D749" s="23"/>
      <c r="E749" s="23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3"/>
      <c r="W749" s="23"/>
      <c r="X749" s="23"/>
      <c r="Y749" s="23"/>
      <c r="Z749" s="23"/>
    </row>
    <row r="750" ht="15.75" customHeight="1" spans="1:26">
      <c r="A750" s="23"/>
      <c r="B750" s="23"/>
      <c r="C750" s="23"/>
      <c r="D750" s="23"/>
      <c r="E750" s="23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3"/>
      <c r="W750" s="23"/>
      <c r="X750" s="23"/>
      <c r="Y750" s="23"/>
      <c r="Z750" s="23"/>
    </row>
    <row r="751" ht="15.75" customHeight="1" spans="1:26">
      <c r="A751" s="23"/>
      <c r="B751" s="23"/>
      <c r="C751" s="23"/>
      <c r="D751" s="23"/>
      <c r="E751" s="23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3"/>
      <c r="W751" s="23"/>
      <c r="X751" s="23"/>
      <c r="Y751" s="23"/>
      <c r="Z751" s="23"/>
    </row>
    <row r="752" ht="15.75" customHeight="1" spans="1:26">
      <c r="A752" s="23"/>
      <c r="B752" s="23"/>
      <c r="C752" s="23"/>
      <c r="D752" s="23"/>
      <c r="E752" s="23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3"/>
      <c r="W752" s="23"/>
      <c r="X752" s="23"/>
      <c r="Y752" s="23"/>
      <c r="Z752" s="23"/>
    </row>
    <row r="753" ht="15.75" customHeight="1" spans="1:26">
      <c r="A753" s="23"/>
      <c r="B753" s="23"/>
      <c r="C753" s="23"/>
      <c r="D753" s="23"/>
      <c r="E753" s="23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3"/>
      <c r="W753" s="23"/>
      <c r="X753" s="23"/>
      <c r="Y753" s="23"/>
      <c r="Z753" s="23"/>
    </row>
    <row r="754" ht="15.75" customHeight="1" spans="1:26">
      <c r="A754" s="23"/>
      <c r="B754" s="23"/>
      <c r="C754" s="23"/>
      <c r="D754" s="23"/>
      <c r="E754" s="23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3"/>
      <c r="W754" s="23"/>
      <c r="X754" s="23"/>
      <c r="Y754" s="23"/>
      <c r="Z754" s="23"/>
    </row>
    <row r="755" ht="15.75" customHeight="1" spans="1:26">
      <c r="A755" s="23"/>
      <c r="B755" s="23"/>
      <c r="C755" s="23"/>
      <c r="D755" s="23"/>
      <c r="E755" s="23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3"/>
      <c r="W755" s="23"/>
      <c r="X755" s="23"/>
      <c r="Y755" s="23"/>
      <c r="Z755" s="23"/>
    </row>
    <row r="756" ht="15.75" customHeight="1" spans="1:26">
      <c r="A756" s="23"/>
      <c r="B756" s="23"/>
      <c r="C756" s="23"/>
      <c r="D756" s="23"/>
      <c r="E756" s="23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3"/>
      <c r="W756" s="23"/>
      <c r="X756" s="23"/>
      <c r="Y756" s="23"/>
      <c r="Z756" s="23"/>
    </row>
    <row r="757" ht="15.75" customHeight="1" spans="1:26">
      <c r="A757" s="23"/>
      <c r="B757" s="23"/>
      <c r="C757" s="23"/>
      <c r="D757" s="23"/>
      <c r="E757" s="23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3"/>
      <c r="W757" s="23"/>
      <c r="X757" s="23"/>
      <c r="Y757" s="23"/>
      <c r="Z757" s="23"/>
    </row>
    <row r="758" ht="15.75" customHeight="1" spans="1:26">
      <c r="A758" s="23"/>
      <c r="B758" s="23"/>
      <c r="C758" s="23"/>
      <c r="D758" s="23"/>
      <c r="E758" s="23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3"/>
      <c r="W758" s="23"/>
      <c r="X758" s="23"/>
      <c r="Y758" s="23"/>
      <c r="Z758" s="23"/>
    </row>
    <row r="759" ht="15.75" customHeight="1" spans="1:26">
      <c r="A759" s="23"/>
      <c r="B759" s="23"/>
      <c r="C759" s="23"/>
      <c r="D759" s="23"/>
      <c r="E759" s="23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3"/>
      <c r="W759" s="23"/>
      <c r="X759" s="23"/>
      <c r="Y759" s="23"/>
      <c r="Z759" s="23"/>
    </row>
    <row r="760" ht="15.75" customHeight="1" spans="1:26">
      <c r="A760" s="23"/>
      <c r="B760" s="23"/>
      <c r="C760" s="23"/>
      <c r="D760" s="23"/>
      <c r="E760" s="23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3"/>
      <c r="W760" s="23"/>
      <c r="X760" s="23"/>
      <c r="Y760" s="23"/>
      <c r="Z760" s="23"/>
    </row>
    <row r="761" ht="15.75" customHeight="1" spans="1:26">
      <c r="A761" s="23"/>
      <c r="B761" s="23"/>
      <c r="C761" s="23"/>
      <c r="D761" s="23"/>
      <c r="E761" s="23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3"/>
      <c r="W761" s="23"/>
      <c r="X761" s="23"/>
      <c r="Y761" s="23"/>
      <c r="Z761" s="23"/>
    </row>
    <row r="762" ht="15.75" customHeight="1" spans="1:26">
      <c r="A762" s="23"/>
      <c r="B762" s="23"/>
      <c r="C762" s="23"/>
      <c r="D762" s="23"/>
      <c r="E762" s="23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3"/>
      <c r="W762" s="23"/>
      <c r="X762" s="23"/>
      <c r="Y762" s="23"/>
      <c r="Z762" s="23"/>
    </row>
    <row r="763" ht="15.75" customHeight="1" spans="1:26">
      <c r="A763" s="23"/>
      <c r="B763" s="23"/>
      <c r="C763" s="23"/>
      <c r="D763" s="23"/>
      <c r="E763" s="23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3"/>
      <c r="W763" s="23"/>
      <c r="X763" s="23"/>
      <c r="Y763" s="23"/>
      <c r="Z763" s="23"/>
    </row>
    <row r="764" ht="15.75" customHeight="1" spans="1:26">
      <c r="A764" s="23"/>
      <c r="B764" s="23"/>
      <c r="C764" s="23"/>
      <c r="D764" s="23"/>
      <c r="E764" s="23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3"/>
      <c r="W764" s="23"/>
      <c r="X764" s="23"/>
      <c r="Y764" s="23"/>
      <c r="Z764" s="23"/>
    </row>
    <row r="765" ht="15.75" customHeight="1" spans="1:26">
      <c r="A765" s="23"/>
      <c r="B765" s="23"/>
      <c r="C765" s="23"/>
      <c r="D765" s="23"/>
      <c r="E765" s="23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3"/>
      <c r="W765" s="23"/>
      <c r="X765" s="23"/>
      <c r="Y765" s="23"/>
      <c r="Z765" s="23"/>
    </row>
    <row r="766" ht="15.75" customHeight="1" spans="1:26">
      <c r="A766" s="23"/>
      <c r="B766" s="23"/>
      <c r="C766" s="23"/>
      <c r="D766" s="23"/>
      <c r="E766" s="23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3"/>
      <c r="W766" s="23"/>
      <c r="X766" s="23"/>
      <c r="Y766" s="23"/>
      <c r="Z766" s="23"/>
    </row>
    <row r="767" ht="15.75" customHeight="1" spans="1:26">
      <c r="A767" s="23"/>
      <c r="B767" s="23"/>
      <c r="C767" s="23"/>
      <c r="D767" s="23"/>
      <c r="E767" s="23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3"/>
      <c r="W767" s="23"/>
      <c r="X767" s="23"/>
      <c r="Y767" s="23"/>
      <c r="Z767" s="23"/>
    </row>
    <row r="768" ht="15.75" customHeight="1" spans="1:26">
      <c r="A768" s="23"/>
      <c r="B768" s="23"/>
      <c r="C768" s="23"/>
      <c r="D768" s="23"/>
      <c r="E768" s="23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3"/>
      <c r="W768" s="23"/>
      <c r="X768" s="23"/>
      <c r="Y768" s="23"/>
      <c r="Z768" s="23"/>
    </row>
    <row r="769" ht="15.75" customHeight="1" spans="1:26">
      <c r="A769" s="23"/>
      <c r="B769" s="23"/>
      <c r="C769" s="23"/>
      <c r="D769" s="23"/>
      <c r="E769" s="23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3"/>
      <c r="W769" s="23"/>
      <c r="X769" s="23"/>
      <c r="Y769" s="23"/>
      <c r="Z769" s="23"/>
    </row>
    <row r="770" ht="15.75" customHeight="1" spans="1:26">
      <c r="A770" s="23"/>
      <c r="B770" s="23"/>
      <c r="C770" s="23"/>
      <c r="D770" s="23"/>
      <c r="E770" s="23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3"/>
      <c r="W770" s="23"/>
      <c r="X770" s="23"/>
      <c r="Y770" s="23"/>
      <c r="Z770" s="23"/>
    </row>
    <row r="771" ht="15.75" customHeight="1" spans="1:26">
      <c r="A771" s="23"/>
      <c r="B771" s="23"/>
      <c r="C771" s="23"/>
      <c r="D771" s="23"/>
      <c r="E771" s="23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3"/>
      <c r="W771" s="23"/>
      <c r="X771" s="23"/>
      <c r="Y771" s="23"/>
      <c r="Z771" s="23"/>
    </row>
    <row r="772" ht="15.75" customHeight="1" spans="1:26">
      <c r="A772" s="23"/>
      <c r="B772" s="23"/>
      <c r="C772" s="23"/>
      <c r="D772" s="23"/>
      <c r="E772" s="23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3"/>
      <c r="W772" s="23"/>
      <c r="X772" s="23"/>
      <c r="Y772" s="23"/>
      <c r="Z772" s="23"/>
    </row>
    <row r="773" ht="15.75" customHeight="1" spans="1:26">
      <c r="A773" s="23"/>
      <c r="B773" s="23"/>
      <c r="C773" s="23"/>
      <c r="D773" s="23"/>
      <c r="E773" s="23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3"/>
      <c r="W773" s="23"/>
      <c r="X773" s="23"/>
      <c r="Y773" s="23"/>
      <c r="Z773" s="23"/>
    </row>
    <row r="774" ht="15.75" customHeight="1" spans="1:26">
      <c r="A774" s="23"/>
      <c r="B774" s="23"/>
      <c r="C774" s="23"/>
      <c r="D774" s="23"/>
      <c r="E774" s="23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3"/>
      <c r="W774" s="23"/>
      <c r="X774" s="23"/>
      <c r="Y774" s="23"/>
      <c r="Z774" s="23"/>
    </row>
    <row r="775" ht="15.75" customHeight="1" spans="1:26">
      <c r="A775" s="23"/>
      <c r="B775" s="23"/>
      <c r="C775" s="23"/>
      <c r="D775" s="23"/>
      <c r="E775" s="23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3"/>
      <c r="W775" s="23"/>
      <c r="X775" s="23"/>
      <c r="Y775" s="23"/>
      <c r="Z775" s="23"/>
    </row>
    <row r="776" ht="15.75" customHeight="1" spans="1:26">
      <c r="A776" s="23"/>
      <c r="B776" s="23"/>
      <c r="C776" s="23"/>
      <c r="D776" s="23"/>
      <c r="E776" s="23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3"/>
      <c r="W776" s="23"/>
      <c r="X776" s="23"/>
      <c r="Y776" s="23"/>
      <c r="Z776" s="23"/>
    </row>
    <row r="777" ht="15.75" customHeight="1" spans="1:26">
      <c r="A777" s="23"/>
      <c r="B777" s="23"/>
      <c r="C777" s="23"/>
      <c r="D777" s="23"/>
      <c r="E777" s="23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3"/>
      <c r="W777" s="23"/>
      <c r="X777" s="23"/>
      <c r="Y777" s="23"/>
      <c r="Z777" s="23"/>
    </row>
    <row r="778" ht="15.75" customHeight="1" spans="1:26">
      <c r="A778" s="23"/>
      <c r="B778" s="23"/>
      <c r="C778" s="23"/>
      <c r="D778" s="23"/>
      <c r="E778" s="23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3"/>
      <c r="W778" s="23"/>
      <c r="X778" s="23"/>
      <c r="Y778" s="23"/>
      <c r="Z778" s="23"/>
    </row>
    <row r="779" ht="15.75" customHeight="1" spans="1:26">
      <c r="A779" s="23"/>
      <c r="B779" s="23"/>
      <c r="C779" s="23"/>
      <c r="D779" s="23"/>
      <c r="E779" s="23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3"/>
      <c r="W779" s="23"/>
      <c r="X779" s="23"/>
      <c r="Y779" s="23"/>
      <c r="Z779" s="23"/>
    </row>
    <row r="780" ht="15.75" customHeight="1" spans="1:26">
      <c r="A780" s="23"/>
      <c r="B780" s="23"/>
      <c r="C780" s="23"/>
      <c r="D780" s="23"/>
      <c r="E780" s="23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3"/>
      <c r="W780" s="23"/>
      <c r="X780" s="23"/>
      <c r="Y780" s="23"/>
      <c r="Z780" s="23"/>
    </row>
    <row r="781" ht="15.75" customHeight="1" spans="1:26">
      <c r="A781" s="23"/>
      <c r="B781" s="23"/>
      <c r="C781" s="23"/>
      <c r="D781" s="23"/>
      <c r="E781" s="23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3"/>
      <c r="W781" s="23"/>
      <c r="X781" s="23"/>
      <c r="Y781" s="23"/>
      <c r="Z781" s="23"/>
    </row>
    <row r="782" ht="15.75" customHeight="1" spans="1:26">
      <c r="A782" s="23"/>
      <c r="B782" s="23"/>
      <c r="C782" s="23"/>
      <c r="D782" s="23"/>
      <c r="E782" s="23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3"/>
      <c r="W782" s="23"/>
      <c r="X782" s="23"/>
      <c r="Y782" s="23"/>
      <c r="Z782" s="23"/>
    </row>
    <row r="783" ht="15.75" customHeight="1" spans="1:26">
      <c r="A783" s="23"/>
      <c r="B783" s="23"/>
      <c r="C783" s="23"/>
      <c r="D783" s="23"/>
      <c r="E783" s="23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3"/>
      <c r="W783" s="23"/>
      <c r="X783" s="23"/>
      <c r="Y783" s="23"/>
      <c r="Z783" s="23"/>
    </row>
    <row r="784" ht="15.75" customHeight="1" spans="1:26">
      <c r="A784" s="23"/>
      <c r="B784" s="23"/>
      <c r="C784" s="23"/>
      <c r="D784" s="23"/>
      <c r="E784" s="23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3"/>
      <c r="W784" s="23"/>
      <c r="X784" s="23"/>
      <c r="Y784" s="23"/>
      <c r="Z784" s="23"/>
    </row>
    <row r="785" ht="15.75" customHeight="1" spans="1:26">
      <c r="A785" s="23"/>
      <c r="B785" s="23"/>
      <c r="C785" s="23"/>
      <c r="D785" s="23"/>
      <c r="E785" s="23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3"/>
      <c r="W785" s="23"/>
      <c r="X785" s="23"/>
      <c r="Y785" s="23"/>
      <c r="Z785" s="23"/>
    </row>
    <row r="786" ht="15.75" customHeight="1" spans="1:26">
      <c r="A786" s="23"/>
      <c r="B786" s="23"/>
      <c r="C786" s="23"/>
      <c r="D786" s="23"/>
      <c r="E786" s="23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3"/>
      <c r="W786" s="23"/>
      <c r="X786" s="23"/>
      <c r="Y786" s="23"/>
      <c r="Z786" s="23"/>
    </row>
    <row r="787" ht="15.75" customHeight="1" spans="1:26">
      <c r="A787" s="23"/>
      <c r="B787" s="23"/>
      <c r="C787" s="23"/>
      <c r="D787" s="23"/>
      <c r="E787" s="23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3"/>
      <c r="W787" s="23"/>
      <c r="X787" s="23"/>
      <c r="Y787" s="23"/>
      <c r="Z787" s="23"/>
    </row>
    <row r="788" ht="15.75" customHeight="1" spans="1:26">
      <c r="A788" s="23"/>
      <c r="B788" s="23"/>
      <c r="C788" s="23"/>
      <c r="D788" s="23"/>
      <c r="E788" s="23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3"/>
      <c r="W788" s="23"/>
      <c r="X788" s="23"/>
      <c r="Y788" s="23"/>
      <c r="Z788" s="23"/>
    </row>
    <row r="789" ht="15.75" customHeight="1" spans="1:26">
      <c r="A789" s="23"/>
      <c r="B789" s="23"/>
      <c r="C789" s="23"/>
      <c r="D789" s="23"/>
      <c r="E789" s="23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3"/>
      <c r="W789" s="23"/>
      <c r="X789" s="23"/>
      <c r="Y789" s="23"/>
      <c r="Z789" s="23"/>
    </row>
    <row r="790" ht="15.75" customHeight="1" spans="1:26">
      <c r="A790" s="23"/>
      <c r="B790" s="23"/>
      <c r="C790" s="23"/>
      <c r="D790" s="23"/>
      <c r="E790" s="23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3"/>
      <c r="W790" s="23"/>
      <c r="X790" s="23"/>
      <c r="Y790" s="23"/>
      <c r="Z790" s="23"/>
    </row>
    <row r="791" ht="15.75" customHeight="1" spans="1:26">
      <c r="A791" s="23"/>
      <c r="B791" s="23"/>
      <c r="C791" s="23"/>
      <c r="D791" s="23"/>
      <c r="E791" s="23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3"/>
      <c r="W791" s="23"/>
      <c r="X791" s="23"/>
      <c r="Y791" s="23"/>
      <c r="Z791" s="23"/>
    </row>
    <row r="792" ht="15.75" customHeight="1" spans="1:26">
      <c r="A792" s="23"/>
      <c r="B792" s="23"/>
      <c r="C792" s="23"/>
      <c r="D792" s="23"/>
      <c r="E792" s="23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3"/>
      <c r="W792" s="23"/>
      <c r="X792" s="23"/>
      <c r="Y792" s="23"/>
      <c r="Z792" s="23"/>
    </row>
    <row r="793" ht="15.75" customHeight="1" spans="1:26">
      <c r="A793" s="23"/>
      <c r="B793" s="23"/>
      <c r="C793" s="23"/>
      <c r="D793" s="23"/>
      <c r="E793" s="23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3"/>
      <c r="W793" s="23"/>
      <c r="X793" s="23"/>
      <c r="Y793" s="23"/>
      <c r="Z793" s="23"/>
    </row>
    <row r="794" ht="15.75" customHeight="1" spans="1:26">
      <c r="A794" s="23"/>
      <c r="B794" s="23"/>
      <c r="C794" s="23"/>
      <c r="D794" s="23"/>
      <c r="E794" s="23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3"/>
      <c r="W794" s="23"/>
      <c r="X794" s="23"/>
      <c r="Y794" s="23"/>
      <c r="Z794" s="23"/>
    </row>
    <row r="795" ht="15.75" customHeight="1" spans="1:26">
      <c r="A795" s="23"/>
      <c r="B795" s="23"/>
      <c r="C795" s="23"/>
      <c r="D795" s="23"/>
      <c r="E795" s="23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3"/>
      <c r="W795" s="23"/>
      <c r="X795" s="23"/>
      <c r="Y795" s="23"/>
      <c r="Z795" s="23"/>
    </row>
    <row r="796" ht="15.75" customHeight="1" spans="1:26">
      <c r="A796" s="23"/>
      <c r="B796" s="23"/>
      <c r="C796" s="23"/>
      <c r="D796" s="23"/>
      <c r="E796" s="23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3"/>
      <c r="W796" s="23"/>
      <c r="X796" s="23"/>
      <c r="Y796" s="23"/>
      <c r="Z796" s="23"/>
    </row>
    <row r="797" ht="15.75" customHeight="1" spans="1:26">
      <c r="A797" s="23"/>
      <c r="B797" s="23"/>
      <c r="C797" s="23"/>
      <c r="D797" s="23"/>
      <c r="E797" s="23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3"/>
      <c r="W797" s="23"/>
      <c r="X797" s="23"/>
      <c r="Y797" s="23"/>
      <c r="Z797" s="23"/>
    </row>
    <row r="798" ht="15.75" customHeight="1" spans="1:26">
      <c r="A798" s="23"/>
      <c r="B798" s="23"/>
      <c r="C798" s="23"/>
      <c r="D798" s="23"/>
      <c r="E798" s="23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3"/>
      <c r="W798" s="23"/>
      <c r="X798" s="23"/>
      <c r="Y798" s="23"/>
      <c r="Z798" s="23"/>
    </row>
    <row r="799" ht="15.75" customHeight="1" spans="1:26">
      <c r="A799" s="23"/>
      <c r="B799" s="23"/>
      <c r="C799" s="23"/>
      <c r="D799" s="23"/>
      <c r="E799" s="23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3"/>
      <c r="W799" s="23"/>
      <c r="X799" s="23"/>
      <c r="Y799" s="23"/>
      <c r="Z799" s="23"/>
    </row>
    <row r="800" ht="15.75" customHeight="1" spans="1:26">
      <c r="A800" s="23"/>
      <c r="B800" s="23"/>
      <c r="C800" s="23"/>
      <c r="D800" s="23"/>
      <c r="E800" s="23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3"/>
      <c r="W800" s="23"/>
      <c r="X800" s="23"/>
      <c r="Y800" s="23"/>
      <c r="Z800" s="23"/>
    </row>
    <row r="801" ht="15.75" customHeight="1" spans="1:26">
      <c r="A801" s="23"/>
      <c r="B801" s="23"/>
      <c r="C801" s="23"/>
      <c r="D801" s="23"/>
      <c r="E801" s="23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3"/>
      <c r="W801" s="23"/>
      <c r="X801" s="23"/>
      <c r="Y801" s="23"/>
      <c r="Z801" s="23"/>
    </row>
    <row r="802" ht="15.75" customHeight="1" spans="1:26">
      <c r="A802" s="23"/>
      <c r="B802" s="23"/>
      <c r="C802" s="23"/>
      <c r="D802" s="23"/>
      <c r="E802" s="23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3"/>
      <c r="W802" s="23"/>
      <c r="X802" s="23"/>
      <c r="Y802" s="23"/>
      <c r="Z802" s="23"/>
    </row>
    <row r="803" ht="15.75" customHeight="1" spans="1:26">
      <c r="A803" s="23"/>
      <c r="B803" s="23"/>
      <c r="C803" s="23"/>
      <c r="D803" s="23"/>
      <c r="E803" s="23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3"/>
      <c r="W803" s="23"/>
      <c r="X803" s="23"/>
      <c r="Y803" s="23"/>
      <c r="Z803" s="23"/>
    </row>
    <row r="804" ht="15.75" customHeight="1" spans="1:26">
      <c r="A804" s="23"/>
      <c r="B804" s="23"/>
      <c r="C804" s="23"/>
      <c r="D804" s="23"/>
      <c r="E804" s="23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3"/>
      <c r="W804" s="23"/>
      <c r="X804" s="23"/>
      <c r="Y804" s="23"/>
      <c r="Z804" s="23"/>
    </row>
    <row r="805" ht="15.75" customHeight="1" spans="1:26">
      <c r="A805" s="23"/>
      <c r="B805" s="23"/>
      <c r="C805" s="23"/>
      <c r="D805" s="23"/>
      <c r="E805" s="23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3"/>
      <c r="W805" s="23"/>
      <c r="X805" s="23"/>
      <c r="Y805" s="23"/>
      <c r="Z805" s="23"/>
    </row>
    <row r="806" ht="15.75" customHeight="1" spans="1:26">
      <c r="A806" s="23"/>
      <c r="B806" s="23"/>
      <c r="C806" s="23"/>
      <c r="D806" s="23"/>
      <c r="E806" s="23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3"/>
      <c r="W806" s="23"/>
      <c r="X806" s="23"/>
      <c r="Y806" s="23"/>
      <c r="Z806" s="23"/>
    </row>
    <row r="807" ht="15.75" customHeight="1" spans="1:26">
      <c r="A807" s="23"/>
      <c r="B807" s="23"/>
      <c r="C807" s="23"/>
      <c r="D807" s="23"/>
      <c r="E807" s="23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3"/>
      <c r="W807" s="23"/>
      <c r="X807" s="23"/>
      <c r="Y807" s="23"/>
      <c r="Z807" s="23"/>
    </row>
    <row r="808" ht="15.75" customHeight="1" spans="1:26">
      <c r="A808" s="23"/>
      <c r="B808" s="23"/>
      <c r="C808" s="23"/>
      <c r="D808" s="23"/>
      <c r="E808" s="23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3"/>
      <c r="W808" s="23"/>
      <c r="X808" s="23"/>
      <c r="Y808" s="23"/>
      <c r="Z808" s="23"/>
    </row>
    <row r="809" ht="15.75" customHeight="1" spans="1:26">
      <c r="A809" s="23"/>
      <c r="B809" s="23"/>
      <c r="C809" s="23"/>
      <c r="D809" s="23"/>
      <c r="E809" s="23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3"/>
      <c r="W809" s="23"/>
      <c r="X809" s="23"/>
      <c r="Y809" s="23"/>
      <c r="Z809" s="23"/>
    </row>
    <row r="810" ht="15.75" customHeight="1" spans="1:26">
      <c r="A810" s="23"/>
      <c r="B810" s="23"/>
      <c r="C810" s="23"/>
      <c r="D810" s="23"/>
      <c r="E810" s="23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3"/>
      <c r="W810" s="23"/>
      <c r="X810" s="23"/>
      <c r="Y810" s="23"/>
      <c r="Z810" s="23"/>
    </row>
    <row r="811" ht="15.75" customHeight="1" spans="1:26">
      <c r="A811" s="23"/>
      <c r="B811" s="23"/>
      <c r="C811" s="23"/>
      <c r="D811" s="23"/>
      <c r="E811" s="23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3"/>
      <c r="W811" s="23"/>
      <c r="X811" s="23"/>
      <c r="Y811" s="23"/>
      <c r="Z811" s="23"/>
    </row>
    <row r="812" ht="15.75" customHeight="1" spans="1:26">
      <c r="A812" s="23"/>
      <c r="B812" s="23"/>
      <c r="C812" s="23"/>
      <c r="D812" s="23"/>
      <c r="E812" s="23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3"/>
      <c r="W812" s="23"/>
      <c r="X812" s="23"/>
      <c r="Y812" s="23"/>
      <c r="Z812" s="23"/>
    </row>
    <row r="813" ht="15.75" customHeight="1" spans="1:26">
      <c r="A813" s="23"/>
      <c r="B813" s="23"/>
      <c r="C813" s="23"/>
      <c r="D813" s="23"/>
      <c r="E813" s="23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3"/>
      <c r="W813" s="23"/>
      <c r="X813" s="23"/>
      <c r="Y813" s="23"/>
      <c r="Z813" s="23"/>
    </row>
    <row r="814" ht="15.75" customHeight="1" spans="1:26">
      <c r="A814" s="23"/>
      <c r="B814" s="23"/>
      <c r="C814" s="23"/>
      <c r="D814" s="23"/>
      <c r="E814" s="23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3"/>
      <c r="W814" s="23"/>
      <c r="X814" s="23"/>
      <c r="Y814" s="23"/>
      <c r="Z814" s="23"/>
    </row>
    <row r="815" ht="15.75" customHeight="1" spans="1:26">
      <c r="A815" s="23"/>
      <c r="B815" s="23"/>
      <c r="C815" s="23"/>
      <c r="D815" s="23"/>
      <c r="E815" s="23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3"/>
      <c r="W815" s="23"/>
      <c r="X815" s="23"/>
      <c r="Y815" s="23"/>
      <c r="Z815" s="23"/>
    </row>
    <row r="816" ht="15.75" customHeight="1" spans="1:26">
      <c r="A816" s="23"/>
      <c r="B816" s="23"/>
      <c r="C816" s="23"/>
      <c r="D816" s="23"/>
      <c r="E816" s="23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3"/>
      <c r="W816" s="23"/>
      <c r="X816" s="23"/>
      <c r="Y816" s="23"/>
      <c r="Z816" s="23"/>
    </row>
    <row r="817" ht="15.75" customHeight="1" spans="1:26">
      <c r="A817" s="23"/>
      <c r="B817" s="23"/>
      <c r="C817" s="23"/>
      <c r="D817" s="23"/>
      <c r="E817" s="23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3"/>
      <c r="W817" s="23"/>
      <c r="X817" s="23"/>
      <c r="Y817" s="23"/>
      <c r="Z817" s="23"/>
    </row>
    <row r="818" ht="15.75" customHeight="1" spans="1:26">
      <c r="A818" s="23"/>
      <c r="B818" s="23"/>
      <c r="C818" s="23"/>
      <c r="D818" s="23"/>
      <c r="E818" s="23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3"/>
      <c r="W818" s="23"/>
      <c r="X818" s="23"/>
      <c r="Y818" s="23"/>
      <c r="Z818" s="23"/>
    </row>
    <row r="819" ht="15.75" customHeight="1" spans="1:26">
      <c r="A819" s="23"/>
      <c r="B819" s="23"/>
      <c r="C819" s="23"/>
      <c r="D819" s="23"/>
      <c r="E819" s="23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3"/>
      <c r="W819" s="23"/>
      <c r="X819" s="23"/>
      <c r="Y819" s="23"/>
      <c r="Z819" s="23"/>
    </row>
    <row r="820" ht="15.75" customHeight="1" spans="1:26">
      <c r="A820" s="23"/>
      <c r="B820" s="23"/>
      <c r="C820" s="23"/>
      <c r="D820" s="23"/>
      <c r="E820" s="23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3"/>
      <c r="W820" s="23"/>
      <c r="X820" s="23"/>
      <c r="Y820" s="23"/>
      <c r="Z820" s="23"/>
    </row>
    <row r="821" ht="15.75" customHeight="1" spans="1:26">
      <c r="A821" s="23"/>
      <c r="B821" s="23"/>
      <c r="C821" s="23"/>
      <c r="D821" s="23"/>
      <c r="E821" s="23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3"/>
      <c r="W821" s="23"/>
      <c r="X821" s="23"/>
      <c r="Y821" s="23"/>
      <c r="Z821" s="23"/>
    </row>
    <row r="822" ht="15.75" customHeight="1" spans="1:26">
      <c r="A822" s="23"/>
      <c r="B822" s="23"/>
      <c r="C822" s="23"/>
      <c r="D822" s="23"/>
      <c r="E822" s="23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3"/>
      <c r="W822" s="23"/>
      <c r="X822" s="23"/>
      <c r="Y822" s="23"/>
      <c r="Z822" s="23"/>
    </row>
    <row r="823" ht="15.75" customHeight="1" spans="1:26">
      <c r="A823" s="23"/>
      <c r="B823" s="23"/>
      <c r="C823" s="23"/>
      <c r="D823" s="23"/>
      <c r="E823" s="23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3"/>
      <c r="W823" s="23"/>
      <c r="X823" s="23"/>
      <c r="Y823" s="23"/>
      <c r="Z823" s="23"/>
    </row>
    <row r="824" ht="15.75" customHeight="1" spans="1:26">
      <c r="A824" s="23"/>
      <c r="B824" s="23"/>
      <c r="C824" s="23"/>
      <c r="D824" s="23"/>
      <c r="E824" s="23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3"/>
      <c r="W824" s="23"/>
      <c r="X824" s="23"/>
      <c r="Y824" s="23"/>
      <c r="Z824" s="23"/>
    </row>
    <row r="825" ht="15.75" customHeight="1" spans="1:26">
      <c r="A825" s="23"/>
      <c r="B825" s="23"/>
      <c r="C825" s="23"/>
      <c r="D825" s="23"/>
      <c r="E825" s="23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3"/>
      <c r="W825" s="23"/>
      <c r="X825" s="23"/>
      <c r="Y825" s="23"/>
      <c r="Z825" s="23"/>
    </row>
    <row r="826" ht="15.75" customHeight="1" spans="1:26">
      <c r="A826" s="23"/>
      <c r="B826" s="23"/>
      <c r="C826" s="23"/>
      <c r="D826" s="23"/>
      <c r="E826" s="23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3"/>
      <c r="W826" s="23"/>
      <c r="X826" s="23"/>
      <c r="Y826" s="23"/>
      <c r="Z826" s="23"/>
    </row>
    <row r="827" ht="15.75" customHeight="1" spans="1:26">
      <c r="A827" s="23"/>
      <c r="B827" s="23"/>
      <c r="C827" s="23"/>
      <c r="D827" s="23"/>
      <c r="E827" s="23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3"/>
      <c r="W827" s="23"/>
      <c r="X827" s="23"/>
      <c r="Y827" s="23"/>
      <c r="Z827" s="23"/>
    </row>
    <row r="828" ht="15.75" customHeight="1" spans="1:26">
      <c r="A828" s="23"/>
      <c r="B828" s="23"/>
      <c r="C828" s="23"/>
      <c r="D828" s="23"/>
      <c r="E828" s="23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3"/>
      <c r="W828" s="23"/>
      <c r="X828" s="23"/>
      <c r="Y828" s="23"/>
      <c r="Z828" s="23"/>
    </row>
    <row r="829" ht="15.75" customHeight="1" spans="1:26">
      <c r="A829" s="23"/>
      <c r="B829" s="23"/>
      <c r="C829" s="23"/>
      <c r="D829" s="23"/>
      <c r="E829" s="23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3"/>
      <c r="W829" s="23"/>
      <c r="X829" s="23"/>
      <c r="Y829" s="23"/>
      <c r="Z829" s="23"/>
    </row>
    <row r="830" ht="15.75" customHeight="1" spans="1:26">
      <c r="A830" s="23"/>
      <c r="B830" s="23"/>
      <c r="C830" s="23"/>
      <c r="D830" s="23"/>
      <c r="E830" s="23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3"/>
      <c r="W830" s="23"/>
      <c r="X830" s="23"/>
      <c r="Y830" s="23"/>
      <c r="Z830" s="23"/>
    </row>
    <row r="831" ht="15.75" customHeight="1" spans="1:26">
      <c r="A831" s="23"/>
      <c r="B831" s="23"/>
      <c r="C831" s="23"/>
      <c r="D831" s="23"/>
      <c r="E831" s="23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3"/>
      <c r="W831" s="23"/>
      <c r="X831" s="23"/>
      <c r="Y831" s="23"/>
      <c r="Z831" s="23"/>
    </row>
    <row r="832" ht="15.75" customHeight="1" spans="1:26">
      <c r="A832" s="23"/>
      <c r="B832" s="23"/>
      <c r="C832" s="23"/>
      <c r="D832" s="23"/>
      <c r="E832" s="23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3"/>
      <c r="W832" s="23"/>
      <c r="X832" s="23"/>
      <c r="Y832" s="23"/>
      <c r="Z832" s="23"/>
    </row>
    <row r="833" ht="15.75" customHeight="1" spans="1:26">
      <c r="A833" s="23"/>
      <c r="B833" s="23"/>
      <c r="C833" s="23"/>
      <c r="D833" s="23"/>
      <c r="E833" s="23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3"/>
      <c r="W833" s="23"/>
      <c r="X833" s="23"/>
      <c r="Y833" s="23"/>
      <c r="Z833" s="23"/>
    </row>
    <row r="834" ht="15.75" customHeight="1" spans="1:26">
      <c r="A834" s="23"/>
      <c r="B834" s="23"/>
      <c r="C834" s="23"/>
      <c r="D834" s="23"/>
      <c r="E834" s="23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3"/>
      <c r="W834" s="23"/>
      <c r="X834" s="23"/>
      <c r="Y834" s="23"/>
      <c r="Z834" s="23"/>
    </row>
    <row r="835" ht="15.75" customHeight="1" spans="1:26">
      <c r="A835" s="23"/>
      <c r="B835" s="23"/>
      <c r="C835" s="23"/>
      <c r="D835" s="23"/>
      <c r="E835" s="23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3"/>
      <c r="W835" s="23"/>
      <c r="X835" s="23"/>
      <c r="Y835" s="23"/>
      <c r="Z835" s="23"/>
    </row>
    <row r="836" ht="15.75" customHeight="1" spans="1:26">
      <c r="A836" s="23"/>
      <c r="B836" s="23"/>
      <c r="C836" s="23"/>
      <c r="D836" s="23"/>
      <c r="E836" s="23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3"/>
      <c r="W836" s="23"/>
      <c r="X836" s="23"/>
      <c r="Y836" s="23"/>
      <c r="Z836" s="23"/>
    </row>
    <row r="837" ht="15.75" customHeight="1" spans="1:26">
      <c r="A837" s="23"/>
      <c r="B837" s="23"/>
      <c r="C837" s="23"/>
      <c r="D837" s="23"/>
      <c r="E837" s="23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3"/>
      <c r="W837" s="23"/>
      <c r="X837" s="23"/>
      <c r="Y837" s="23"/>
      <c r="Z837" s="23"/>
    </row>
    <row r="838" ht="15.75" customHeight="1" spans="1:26">
      <c r="A838" s="23"/>
      <c r="B838" s="23"/>
      <c r="C838" s="23"/>
      <c r="D838" s="23"/>
      <c r="E838" s="23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3"/>
      <c r="W838" s="23"/>
      <c r="X838" s="23"/>
      <c r="Y838" s="23"/>
      <c r="Z838" s="23"/>
    </row>
    <row r="839" ht="15.75" customHeight="1" spans="1:26">
      <c r="A839" s="23"/>
      <c r="B839" s="23"/>
      <c r="C839" s="23"/>
      <c r="D839" s="23"/>
      <c r="E839" s="23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3"/>
      <c r="W839" s="23"/>
      <c r="X839" s="23"/>
      <c r="Y839" s="23"/>
      <c r="Z839" s="23"/>
    </row>
    <row r="840" ht="15.75" customHeight="1" spans="1:26">
      <c r="A840" s="23"/>
      <c r="B840" s="23"/>
      <c r="C840" s="23"/>
      <c r="D840" s="23"/>
      <c r="E840" s="23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3"/>
      <c r="W840" s="23"/>
      <c r="X840" s="23"/>
      <c r="Y840" s="23"/>
      <c r="Z840" s="23"/>
    </row>
    <row r="841" ht="15.75" customHeight="1" spans="1:26">
      <c r="A841" s="23"/>
      <c r="B841" s="23"/>
      <c r="C841" s="23"/>
      <c r="D841" s="23"/>
      <c r="E841" s="23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3"/>
      <c r="W841" s="23"/>
      <c r="X841" s="23"/>
      <c r="Y841" s="23"/>
      <c r="Z841" s="23"/>
    </row>
    <row r="842" ht="15.75" customHeight="1" spans="1:26">
      <c r="A842" s="23"/>
      <c r="B842" s="23"/>
      <c r="C842" s="23"/>
      <c r="D842" s="23"/>
      <c r="E842" s="23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3"/>
      <c r="W842" s="23"/>
      <c r="X842" s="23"/>
      <c r="Y842" s="23"/>
      <c r="Z842" s="23"/>
    </row>
    <row r="843" ht="15.75" customHeight="1" spans="1:26">
      <c r="A843" s="23"/>
      <c r="B843" s="23"/>
      <c r="C843" s="23"/>
      <c r="D843" s="23"/>
      <c r="E843" s="23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3"/>
      <c r="W843" s="23"/>
      <c r="X843" s="23"/>
      <c r="Y843" s="23"/>
      <c r="Z843" s="23"/>
    </row>
    <row r="844" ht="15.75" customHeight="1" spans="1:26">
      <c r="A844" s="23"/>
      <c r="B844" s="23"/>
      <c r="C844" s="23"/>
      <c r="D844" s="23"/>
      <c r="E844" s="23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3"/>
      <c r="W844" s="23"/>
      <c r="X844" s="23"/>
      <c r="Y844" s="23"/>
      <c r="Z844" s="23"/>
    </row>
    <row r="845" ht="15.75" customHeight="1" spans="1:26">
      <c r="A845" s="23"/>
      <c r="B845" s="23"/>
      <c r="C845" s="23"/>
      <c r="D845" s="23"/>
      <c r="E845" s="23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3"/>
      <c r="W845" s="23"/>
      <c r="X845" s="23"/>
      <c r="Y845" s="23"/>
      <c r="Z845" s="23"/>
    </row>
    <row r="846" ht="15.75" customHeight="1" spans="1:26">
      <c r="A846" s="23"/>
      <c r="B846" s="23"/>
      <c r="C846" s="23"/>
      <c r="D846" s="23"/>
      <c r="E846" s="23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3"/>
      <c r="W846" s="23"/>
      <c r="X846" s="23"/>
      <c r="Y846" s="23"/>
      <c r="Z846" s="23"/>
    </row>
    <row r="847" ht="15.75" customHeight="1" spans="1:26">
      <c r="A847" s="23"/>
      <c r="B847" s="23"/>
      <c r="C847" s="23"/>
      <c r="D847" s="23"/>
      <c r="E847" s="23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3"/>
      <c r="W847" s="23"/>
      <c r="X847" s="23"/>
      <c r="Y847" s="23"/>
      <c r="Z847" s="23"/>
    </row>
    <row r="848" ht="15.75" customHeight="1" spans="1:26">
      <c r="A848" s="23"/>
      <c r="B848" s="23"/>
      <c r="C848" s="23"/>
      <c r="D848" s="23"/>
      <c r="E848" s="23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3"/>
      <c r="W848" s="23"/>
      <c r="X848" s="23"/>
      <c r="Y848" s="23"/>
      <c r="Z848" s="23"/>
    </row>
    <row r="849" ht="15.75" customHeight="1" spans="1:26">
      <c r="A849" s="23"/>
      <c r="B849" s="23"/>
      <c r="C849" s="23"/>
      <c r="D849" s="23"/>
      <c r="E849" s="23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3"/>
      <c r="W849" s="23"/>
      <c r="X849" s="23"/>
      <c r="Y849" s="23"/>
      <c r="Z849" s="23"/>
    </row>
    <row r="850" ht="15.75" customHeight="1" spans="1:26">
      <c r="A850" s="23"/>
      <c r="B850" s="23"/>
      <c r="C850" s="23"/>
      <c r="D850" s="23"/>
      <c r="E850" s="23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3"/>
      <c r="W850" s="23"/>
      <c r="X850" s="23"/>
      <c r="Y850" s="23"/>
      <c r="Z850" s="23"/>
    </row>
    <row r="851" ht="15.75" customHeight="1" spans="1:26">
      <c r="A851" s="23"/>
      <c r="B851" s="23"/>
      <c r="C851" s="23"/>
      <c r="D851" s="23"/>
      <c r="E851" s="23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3"/>
      <c r="W851" s="23"/>
      <c r="X851" s="23"/>
      <c r="Y851" s="23"/>
      <c r="Z851" s="23"/>
    </row>
    <row r="852" ht="15.75" customHeight="1" spans="1:26">
      <c r="A852" s="23"/>
      <c r="B852" s="23"/>
      <c r="C852" s="23"/>
      <c r="D852" s="23"/>
      <c r="E852" s="23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3"/>
      <c r="W852" s="23"/>
      <c r="X852" s="23"/>
      <c r="Y852" s="23"/>
      <c r="Z852" s="23"/>
    </row>
    <row r="853" ht="15.75" customHeight="1" spans="1:26">
      <c r="A853" s="23"/>
      <c r="B853" s="23"/>
      <c r="C853" s="23"/>
      <c r="D853" s="23"/>
      <c r="E853" s="23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3"/>
      <c r="W853" s="23"/>
      <c r="X853" s="23"/>
      <c r="Y853" s="23"/>
      <c r="Z853" s="23"/>
    </row>
    <row r="854" ht="15.75" customHeight="1" spans="1:26">
      <c r="A854" s="23"/>
      <c r="B854" s="23"/>
      <c r="C854" s="23"/>
      <c r="D854" s="23"/>
      <c r="E854" s="23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3"/>
      <c r="W854" s="23"/>
      <c r="X854" s="23"/>
      <c r="Y854" s="23"/>
      <c r="Z854" s="23"/>
    </row>
    <row r="855" ht="15.75" customHeight="1" spans="1:26">
      <c r="A855" s="23"/>
      <c r="B855" s="23"/>
      <c r="C855" s="23"/>
      <c r="D855" s="23"/>
      <c r="E855" s="23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3"/>
      <c r="W855" s="23"/>
      <c r="X855" s="23"/>
      <c r="Y855" s="23"/>
      <c r="Z855" s="23"/>
    </row>
    <row r="856" ht="15.75" customHeight="1" spans="1:26">
      <c r="A856" s="23"/>
      <c r="B856" s="23"/>
      <c r="C856" s="23"/>
      <c r="D856" s="23"/>
      <c r="E856" s="23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3"/>
      <c r="W856" s="23"/>
      <c r="X856" s="23"/>
      <c r="Y856" s="23"/>
      <c r="Z856" s="23"/>
    </row>
    <row r="857" ht="15.75" customHeight="1" spans="1:26">
      <c r="A857" s="23"/>
      <c r="B857" s="23"/>
      <c r="C857" s="23"/>
      <c r="D857" s="23"/>
      <c r="E857" s="23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3"/>
      <c r="W857" s="23"/>
      <c r="X857" s="23"/>
      <c r="Y857" s="23"/>
      <c r="Z857" s="23"/>
    </row>
    <row r="858" ht="15.75" customHeight="1" spans="1:26">
      <c r="A858" s="23"/>
      <c r="B858" s="23"/>
      <c r="C858" s="23"/>
      <c r="D858" s="23"/>
      <c r="E858" s="23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3"/>
      <c r="W858" s="23"/>
      <c r="X858" s="23"/>
      <c r="Y858" s="23"/>
      <c r="Z858" s="23"/>
    </row>
    <row r="859" ht="15.75" customHeight="1" spans="1:26">
      <c r="A859" s="23"/>
      <c r="B859" s="23"/>
      <c r="C859" s="23"/>
      <c r="D859" s="23"/>
      <c r="E859" s="23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3"/>
      <c r="W859" s="23"/>
      <c r="X859" s="23"/>
      <c r="Y859" s="23"/>
      <c r="Z859" s="23"/>
    </row>
    <row r="860" ht="15.75" customHeight="1" spans="1:26">
      <c r="A860" s="23"/>
      <c r="B860" s="23"/>
      <c r="C860" s="23"/>
      <c r="D860" s="23"/>
      <c r="E860" s="23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3"/>
      <c r="W860" s="23"/>
      <c r="X860" s="23"/>
      <c r="Y860" s="23"/>
      <c r="Z860" s="23"/>
    </row>
    <row r="861" ht="15.75" customHeight="1" spans="1:26">
      <c r="A861" s="23"/>
      <c r="B861" s="23"/>
      <c r="C861" s="23"/>
      <c r="D861" s="23"/>
      <c r="E861" s="23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3"/>
      <c r="W861" s="23"/>
      <c r="X861" s="23"/>
      <c r="Y861" s="23"/>
      <c r="Z861" s="23"/>
    </row>
    <row r="862" ht="15.75" customHeight="1" spans="1:26">
      <c r="A862" s="23"/>
      <c r="B862" s="23"/>
      <c r="C862" s="23"/>
      <c r="D862" s="23"/>
      <c r="E862" s="23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3"/>
      <c r="W862" s="23"/>
      <c r="X862" s="23"/>
      <c r="Y862" s="23"/>
      <c r="Z862" s="23"/>
    </row>
    <row r="863" ht="15.75" customHeight="1" spans="1:26">
      <c r="A863" s="23"/>
      <c r="B863" s="23"/>
      <c r="C863" s="23"/>
      <c r="D863" s="23"/>
      <c r="E863" s="23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3"/>
      <c r="W863" s="23"/>
      <c r="X863" s="23"/>
      <c r="Y863" s="23"/>
      <c r="Z863" s="23"/>
    </row>
    <row r="864" ht="15.75" customHeight="1" spans="1:26">
      <c r="A864" s="23"/>
      <c r="B864" s="23"/>
      <c r="C864" s="23"/>
      <c r="D864" s="23"/>
      <c r="E864" s="23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3"/>
      <c r="W864" s="23"/>
      <c r="X864" s="23"/>
      <c r="Y864" s="23"/>
      <c r="Z864" s="23"/>
    </row>
    <row r="865" ht="15.75" customHeight="1" spans="1:26">
      <c r="A865" s="23"/>
      <c r="B865" s="23"/>
      <c r="C865" s="23"/>
      <c r="D865" s="23"/>
      <c r="E865" s="23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3"/>
      <c r="W865" s="23"/>
      <c r="X865" s="23"/>
      <c r="Y865" s="23"/>
      <c r="Z865" s="23"/>
    </row>
    <row r="866" ht="15.75" customHeight="1" spans="1:26">
      <c r="A866" s="23"/>
      <c r="B866" s="23"/>
      <c r="C866" s="23"/>
      <c r="D866" s="23"/>
      <c r="E866" s="23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3"/>
      <c r="W866" s="23"/>
      <c r="X866" s="23"/>
      <c r="Y866" s="23"/>
      <c r="Z866" s="23"/>
    </row>
    <row r="867" ht="15.75" customHeight="1" spans="1:26">
      <c r="A867" s="23"/>
      <c r="B867" s="23"/>
      <c r="C867" s="23"/>
      <c r="D867" s="23"/>
      <c r="E867" s="23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3"/>
      <c r="W867" s="23"/>
      <c r="X867" s="23"/>
      <c r="Y867" s="23"/>
      <c r="Z867" s="23"/>
    </row>
    <row r="868" ht="15.75" customHeight="1" spans="1:26">
      <c r="A868" s="23"/>
      <c r="B868" s="23"/>
      <c r="C868" s="23"/>
      <c r="D868" s="23"/>
      <c r="E868" s="23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3"/>
      <c r="W868" s="23"/>
      <c r="X868" s="23"/>
      <c r="Y868" s="23"/>
      <c r="Z868" s="23"/>
    </row>
    <row r="869" ht="15.75" customHeight="1" spans="1:26">
      <c r="A869" s="23"/>
      <c r="B869" s="23"/>
      <c r="C869" s="23"/>
      <c r="D869" s="23"/>
      <c r="E869" s="23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3"/>
      <c r="W869" s="23"/>
      <c r="X869" s="23"/>
      <c r="Y869" s="23"/>
      <c r="Z869" s="23"/>
    </row>
    <row r="870" ht="15.75" customHeight="1" spans="1:26">
      <c r="A870" s="23"/>
      <c r="B870" s="23"/>
      <c r="C870" s="23"/>
      <c r="D870" s="23"/>
      <c r="E870" s="23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3"/>
      <c r="W870" s="23"/>
      <c r="X870" s="23"/>
      <c r="Y870" s="23"/>
      <c r="Z870" s="23"/>
    </row>
    <row r="871" ht="15.75" customHeight="1" spans="1:26">
      <c r="A871" s="23"/>
      <c r="B871" s="23"/>
      <c r="C871" s="23"/>
      <c r="D871" s="23"/>
      <c r="E871" s="23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3"/>
      <c r="W871" s="23"/>
      <c r="X871" s="23"/>
      <c r="Y871" s="23"/>
      <c r="Z871" s="23"/>
    </row>
    <row r="872" ht="15.75" customHeight="1" spans="1:26">
      <c r="A872" s="23"/>
      <c r="B872" s="23"/>
      <c r="C872" s="23"/>
      <c r="D872" s="23"/>
      <c r="E872" s="23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3"/>
      <c r="W872" s="23"/>
      <c r="X872" s="23"/>
      <c r="Y872" s="23"/>
      <c r="Z872" s="23"/>
    </row>
    <row r="873" ht="15.75" customHeight="1" spans="1:26">
      <c r="A873" s="23"/>
      <c r="B873" s="23"/>
      <c r="C873" s="23"/>
      <c r="D873" s="23"/>
      <c r="E873" s="23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3"/>
      <c r="W873" s="23"/>
      <c r="X873" s="23"/>
      <c r="Y873" s="23"/>
      <c r="Z873" s="23"/>
    </row>
    <row r="874" ht="15.75" customHeight="1" spans="1:26">
      <c r="A874" s="23"/>
      <c r="B874" s="23"/>
      <c r="C874" s="23"/>
      <c r="D874" s="23"/>
      <c r="E874" s="23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3"/>
      <c r="W874" s="23"/>
      <c r="X874" s="23"/>
      <c r="Y874" s="23"/>
      <c r="Z874" s="23"/>
    </row>
    <row r="875" ht="15.75" customHeight="1" spans="1:26">
      <c r="A875" s="23"/>
      <c r="B875" s="23"/>
      <c r="C875" s="23"/>
      <c r="D875" s="23"/>
      <c r="E875" s="23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3"/>
      <c r="W875" s="23"/>
      <c r="X875" s="23"/>
      <c r="Y875" s="23"/>
      <c r="Z875" s="23"/>
    </row>
    <row r="876" ht="15.75" customHeight="1" spans="1:26">
      <c r="A876" s="23"/>
      <c r="B876" s="23"/>
      <c r="C876" s="23"/>
      <c r="D876" s="23"/>
      <c r="E876" s="23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3"/>
      <c r="W876" s="23"/>
      <c r="X876" s="23"/>
      <c r="Y876" s="23"/>
      <c r="Z876" s="23"/>
    </row>
    <row r="877" ht="15.75" customHeight="1" spans="1:26">
      <c r="A877" s="23"/>
      <c r="B877" s="23"/>
      <c r="C877" s="23"/>
      <c r="D877" s="23"/>
      <c r="E877" s="23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3"/>
      <c r="W877" s="23"/>
      <c r="X877" s="23"/>
      <c r="Y877" s="23"/>
      <c r="Z877" s="23"/>
    </row>
    <row r="878" ht="15.75" customHeight="1" spans="1:26">
      <c r="A878" s="23"/>
      <c r="B878" s="23"/>
      <c r="C878" s="23"/>
      <c r="D878" s="23"/>
      <c r="E878" s="23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3"/>
      <c r="W878" s="23"/>
      <c r="X878" s="23"/>
      <c r="Y878" s="23"/>
      <c r="Z878" s="23"/>
    </row>
    <row r="879" ht="15.75" customHeight="1" spans="1:26">
      <c r="A879" s="23"/>
      <c r="B879" s="23"/>
      <c r="C879" s="23"/>
      <c r="D879" s="23"/>
      <c r="E879" s="23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3"/>
      <c r="W879" s="23"/>
      <c r="X879" s="23"/>
      <c r="Y879" s="23"/>
      <c r="Z879" s="23"/>
    </row>
    <row r="880" ht="15.75" customHeight="1" spans="1:26">
      <c r="A880" s="23"/>
      <c r="B880" s="23"/>
      <c r="C880" s="23"/>
      <c r="D880" s="23"/>
      <c r="E880" s="23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3"/>
      <c r="W880" s="23"/>
      <c r="X880" s="23"/>
      <c r="Y880" s="23"/>
      <c r="Z880" s="23"/>
    </row>
    <row r="881" ht="15.75" customHeight="1" spans="1:26">
      <c r="A881" s="23"/>
      <c r="B881" s="23"/>
      <c r="C881" s="23"/>
      <c r="D881" s="23"/>
      <c r="E881" s="23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3"/>
      <c r="W881" s="23"/>
      <c r="X881" s="23"/>
      <c r="Y881" s="23"/>
      <c r="Z881" s="23"/>
    </row>
    <row r="882" ht="15.75" customHeight="1" spans="1:26">
      <c r="A882" s="23"/>
      <c r="B882" s="23"/>
      <c r="C882" s="23"/>
      <c r="D882" s="23"/>
      <c r="E882" s="23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3"/>
      <c r="W882" s="23"/>
      <c r="X882" s="23"/>
      <c r="Y882" s="23"/>
      <c r="Z882" s="23"/>
    </row>
    <row r="883" ht="15.75" customHeight="1" spans="1:26">
      <c r="A883" s="23"/>
      <c r="B883" s="23"/>
      <c r="C883" s="23"/>
      <c r="D883" s="23"/>
      <c r="E883" s="23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3"/>
      <c r="W883" s="23"/>
      <c r="X883" s="23"/>
      <c r="Y883" s="23"/>
      <c r="Z883" s="23"/>
    </row>
    <row r="884" ht="15.75" customHeight="1" spans="1:26">
      <c r="A884" s="23"/>
      <c r="B884" s="23"/>
      <c r="C884" s="23"/>
      <c r="D884" s="23"/>
      <c r="E884" s="23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3"/>
      <c r="W884" s="23"/>
      <c r="X884" s="23"/>
      <c r="Y884" s="23"/>
      <c r="Z884" s="23"/>
    </row>
    <row r="885" ht="15.75" customHeight="1" spans="1:26">
      <c r="A885" s="23"/>
      <c r="B885" s="23"/>
      <c r="C885" s="23"/>
      <c r="D885" s="23"/>
      <c r="E885" s="23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3"/>
      <c r="W885" s="23"/>
      <c r="X885" s="23"/>
      <c r="Y885" s="23"/>
      <c r="Z885" s="23"/>
    </row>
    <row r="886" ht="15.75" customHeight="1" spans="1:26">
      <c r="A886" s="23"/>
      <c r="B886" s="23"/>
      <c r="C886" s="23"/>
      <c r="D886" s="23"/>
      <c r="E886" s="23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3"/>
      <c r="W886" s="23"/>
      <c r="X886" s="23"/>
      <c r="Y886" s="23"/>
      <c r="Z886" s="23"/>
    </row>
    <row r="887" ht="15.75" customHeight="1" spans="1:26">
      <c r="A887" s="23"/>
      <c r="B887" s="23"/>
      <c r="C887" s="23"/>
      <c r="D887" s="23"/>
      <c r="E887" s="23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3"/>
      <c r="W887" s="23"/>
      <c r="X887" s="23"/>
      <c r="Y887" s="23"/>
      <c r="Z887" s="23"/>
    </row>
    <row r="888" ht="15.75" customHeight="1" spans="1:26">
      <c r="A888" s="23"/>
      <c r="B888" s="23"/>
      <c r="C888" s="23"/>
      <c r="D888" s="23"/>
      <c r="E888" s="23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3"/>
      <c r="W888" s="23"/>
      <c r="X888" s="23"/>
      <c r="Y888" s="23"/>
      <c r="Z888" s="23"/>
    </row>
    <row r="889" ht="15.75" customHeight="1" spans="1:26">
      <c r="A889" s="23"/>
      <c r="B889" s="23"/>
      <c r="C889" s="23"/>
      <c r="D889" s="23"/>
      <c r="E889" s="23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3"/>
      <c r="W889" s="23"/>
      <c r="X889" s="23"/>
      <c r="Y889" s="23"/>
      <c r="Z889" s="23"/>
    </row>
    <row r="890" ht="15.75" customHeight="1" spans="1:26">
      <c r="A890" s="23"/>
      <c r="B890" s="23"/>
      <c r="C890" s="23"/>
      <c r="D890" s="23"/>
      <c r="E890" s="23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3"/>
      <c r="W890" s="23"/>
      <c r="X890" s="23"/>
      <c r="Y890" s="23"/>
      <c r="Z890" s="23"/>
    </row>
    <row r="891" ht="15.75" customHeight="1" spans="1:26">
      <c r="A891" s="23"/>
      <c r="B891" s="23"/>
      <c r="C891" s="23"/>
      <c r="D891" s="23"/>
      <c r="E891" s="23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3"/>
      <c r="W891" s="23"/>
      <c r="X891" s="23"/>
      <c r="Y891" s="23"/>
      <c r="Z891" s="23"/>
    </row>
    <row r="892" ht="15.75" customHeight="1" spans="1:26">
      <c r="A892" s="23"/>
      <c r="B892" s="23"/>
      <c r="C892" s="23"/>
      <c r="D892" s="23"/>
      <c r="E892" s="23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3"/>
      <c r="W892" s="23"/>
      <c r="X892" s="23"/>
      <c r="Y892" s="23"/>
      <c r="Z892" s="23"/>
    </row>
    <row r="893" ht="15.75" customHeight="1" spans="1:26">
      <c r="A893" s="23"/>
      <c r="B893" s="23"/>
      <c r="C893" s="23"/>
      <c r="D893" s="23"/>
      <c r="E893" s="23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3"/>
      <c r="W893" s="23"/>
      <c r="X893" s="23"/>
      <c r="Y893" s="23"/>
      <c r="Z893" s="23"/>
    </row>
    <row r="894" ht="15.75" customHeight="1" spans="1:26">
      <c r="A894" s="23"/>
      <c r="B894" s="23"/>
      <c r="C894" s="23"/>
      <c r="D894" s="23"/>
      <c r="E894" s="23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3"/>
      <c r="W894" s="23"/>
      <c r="X894" s="23"/>
      <c r="Y894" s="23"/>
      <c r="Z894" s="23"/>
    </row>
    <row r="895" ht="15.75" customHeight="1" spans="1:26">
      <c r="A895" s="23"/>
      <c r="B895" s="23"/>
      <c r="C895" s="23"/>
      <c r="D895" s="23"/>
      <c r="E895" s="23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3"/>
      <c r="W895" s="23"/>
      <c r="X895" s="23"/>
      <c r="Y895" s="23"/>
      <c r="Z895" s="23"/>
    </row>
    <row r="896" ht="15.75" customHeight="1" spans="1:26">
      <c r="A896" s="23"/>
      <c r="B896" s="23"/>
      <c r="C896" s="23"/>
      <c r="D896" s="23"/>
      <c r="E896" s="23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3"/>
      <c r="W896" s="23"/>
      <c r="X896" s="23"/>
      <c r="Y896" s="23"/>
      <c r="Z896" s="23"/>
    </row>
    <row r="897" ht="15.75" customHeight="1" spans="1:26">
      <c r="A897" s="23"/>
      <c r="B897" s="23"/>
      <c r="C897" s="23"/>
      <c r="D897" s="23"/>
      <c r="E897" s="23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3"/>
      <c r="W897" s="23"/>
      <c r="X897" s="23"/>
      <c r="Y897" s="23"/>
      <c r="Z897" s="23"/>
    </row>
    <row r="898" ht="15.75" customHeight="1" spans="1:26">
      <c r="A898" s="23"/>
      <c r="B898" s="23"/>
      <c r="C898" s="23"/>
      <c r="D898" s="23"/>
      <c r="E898" s="23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3"/>
      <c r="W898" s="23"/>
      <c r="X898" s="23"/>
      <c r="Y898" s="23"/>
      <c r="Z898" s="23"/>
    </row>
    <row r="899" ht="15.75" customHeight="1" spans="1:26">
      <c r="A899" s="23"/>
      <c r="B899" s="23"/>
      <c r="C899" s="23"/>
      <c r="D899" s="23"/>
      <c r="E899" s="23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3"/>
      <c r="W899" s="23"/>
      <c r="X899" s="23"/>
      <c r="Y899" s="23"/>
      <c r="Z899" s="23"/>
    </row>
    <row r="900" ht="15.75" customHeight="1" spans="1:26">
      <c r="A900" s="23"/>
      <c r="B900" s="23"/>
      <c r="C900" s="23"/>
      <c r="D900" s="23"/>
      <c r="E900" s="23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3"/>
      <c r="W900" s="23"/>
      <c r="X900" s="23"/>
      <c r="Y900" s="23"/>
      <c r="Z900" s="23"/>
    </row>
    <row r="901" ht="15.75" customHeight="1" spans="1:26">
      <c r="A901" s="23"/>
      <c r="B901" s="23"/>
      <c r="C901" s="23"/>
      <c r="D901" s="23"/>
      <c r="E901" s="23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3"/>
      <c r="W901" s="23"/>
      <c r="X901" s="23"/>
      <c r="Y901" s="23"/>
      <c r="Z901" s="23"/>
    </row>
    <row r="902" ht="15.75" customHeight="1" spans="1:26">
      <c r="A902" s="23"/>
      <c r="B902" s="23"/>
      <c r="C902" s="23"/>
      <c r="D902" s="23"/>
      <c r="E902" s="23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3"/>
      <c r="W902" s="23"/>
      <c r="X902" s="23"/>
      <c r="Y902" s="23"/>
      <c r="Z902" s="23"/>
    </row>
    <row r="903" ht="15.75" customHeight="1" spans="1:26">
      <c r="A903" s="23"/>
      <c r="B903" s="23"/>
      <c r="C903" s="23"/>
      <c r="D903" s="23"/>
      <c r="E903" s="23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3"/>
      <c r="W903" s="23"/>
      <c r="X903" s="23"/>
      <c r="Y903" s="23"/>
      <c r="Z903" s="23"/>
    </row>
    <row r="904" ht="15.75" customHeight="1" spans="1:26">
      <c r="A904" s="23"/>
      <c r="B904" s="23"/>
      <c r="C904" s="23"/>
      <c r="D904" s="23"/>
      <c r="E904" s="23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3"/>
      <c r="W904" s="23"/>
      <c r="X904" s="23"/>
      <c r="Y904" s="23"/>
      <c r="Z904" s="23"/>
    </row>
    <row r="905" ht="15.75" customHeight="1" spans="1:26">
      <c r="A905" s="23"/>
      <c r="B905" s="23"/>
      <c r="C905" s="23"/>
      <c r="D905" s="23"/>
      <c r="E905" s="23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3"/>
      <c r="W905" s="23"/>
      <c r="X905" s="23"/>
      <c r="Y905" s="23"/>
      <c r="Z905" s="23"/>
    </row>
    <row r="906" ht="15.75" customHeight="1" spans="1:26">
      <c r="A906" s="23"/>
      <c r="B906" s="23"/>
      <c r="C906" s="23"/>
      <c r="D906" s="23"/>
      <c r="E906" s="23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3"/>
      <c r="W906" s="23"/>
      <c r="X906" s="23"/>
      <c r="Y906" s="23"/>
      <c r="Z906" s="23"/>
    </row>
    <row r="907" ht="15.75" customHeight="1" spans="1:26">
      <c r="A907" s="23"/>
      <c r="B907" s="23"/>
      <c r="C907" s="23"/>
      <c r="D907" s="23"/>
      <c r="E907" s="23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3"/>
      <c r="W907" s="23"/>
      <c r="X907" s="23"/>
      <c r="Y907" s="23"/>
      <c r="Z907" s="23"/>
    </row>
    <row r="908" ht="15.75" customHeight="1" spans="1:26">
      <c r="A908" s="23"/>
      <c r="B908" s="23"/>
      <c r="C908" s="23"/>
      <c r="D908" s="23"/>
      <c r="E908" s="23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3"/>
      <c r="W908" s="23"/>
      <c r="X908" s="23"/>
      <c r="Y908" s="23"/>
      <c r="Z908" s="23"/>
    </row>
    <row r="909" ht="15.75" customHeight="1" spans="1:26">
      <c r="A909" s="23"/>
      <c r="B909" s="23"/>
      <c r="C909" s="23"/>
      <c r="D909" s="23"/>
      <c r="E909" s="23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3"/>
      <c r="W909" s="23"/>
      <c r="X909" s="23"/>
      <c r="Y909" s="23"/>
      <c r="Z909" s="23"/>
    </row>
    <row r="910" ht="15.75" customHeight="1" spans="1:26">
      <c r="A910" s="23"/>
      <c r="B910" s="23"/>
      <c r="C910" s="23"/>
      <c r="D910" s="23"/>
      <c r="E910" s="23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3"/>
      <c r="W910" s="23"/>
      <c r="X910" s="23"/>
      <c r="Y910" s="23"/>
      <c r="Z910" s="23"/>
    </row>
    <row r="911" ht="15.75" customHeight="1" spans="1:26">
      <c r="A911" s="23"/>
      <c r="B911" s="23"/>
      <c r="C911" s="23"/>
      <c r="D911" s="23"/>
      <c r="E911" s="23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3"/>
      <c r="W911" s="23"/>
      <c r="X911" s="23"/>
      <c r="Y911" s="23"/>
      <c r="Z911" s="23"/>
    </row>
    <row r="912" ht="15.75" customHeight="1" spans="1:26">
      <c r="A912" s="23"/>
      <c r="B912" s="23"/>
      <c r="C912" s="23"/>
      <c r="D912" s="23"/>
      <c r="E912" s="23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3"/>
      <c r="W912" s="23"/>
      <c r="X912" s="23"/>
      <c r="Y912" s="23"/>
      <c r="Z912" s="23"/>
    </row>
    <row r="913" ht="15.75" customHeight="1" spans="1:26">
      <c r="A913" s="23"/>
      <c r="B913" s="23"/>
      <c r="C913" s="23"/>
      <c r="D913" s="23"/>
      <c r="E913" s="23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3"/>
      <c r="W913" s="23"/>
      <c r="X913" s="23"/>
      <c r="Y913" s="23"/>
      <c r="Z913" s="23"/>
    </row>
    <row r="914" ht="15.75" customHeight="1" spans="1:26">
      <c r="A914" s="23"/>
      <c r="B914" s="23"/>
      <c r="C914" s="23"/>
      <c r="D914" s="23"/>
      <c r="E914" s="23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3"/>
      <c r="W914" s="23"/>
      <c r="X914" s="23"/>
      <c r="Y914" s="23"/>
      <c r="Z914" s="23"/>
    </row>
    <row r="915" ht="15.75" customHeight="1" spans="1:26">
      <c r="A915" s="23"/>
      <c r="B915" s="23"/>
      <c r="C915" s="23"/>
      <c r="D915" s="23"/>
      <c r="E915" s="23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3"/>
      <c r="W915" s="23"/>
      <c r="X915" s="23"/>
      <c r="Y915" s="23"/>
      <c r="Z915" s="23"/>
    </row>
    <row r="916" ht="15.75" customHeight="1" spans="1:26">
      <c r="A916" s="23"/>
      <c r="B916" s="23"/>
      <c r="C916" s="23"/>
      <c r="D916" s="23"/>
      <c r="E916" s="23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3"/>
      <c r="W916" s="23"/>
      <c r="X916" s="23"/>
      <c r="Y916" s="23"/>
      <c r="Z916" s="23"/>
    </row>
    <row r="917" ht="15.75" customHeight="1" spans="1:26">
      <c r="A917" s="23"/>
      <c r="B917" s="23"/>
      <c r="C917" s="23"/>
      <c r="D917" s="23"/>
      <c r="E917" s="23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3"/>
      <c r="W917" s="23"/>
      <c r="X917" s="23"/>
      <c r="Y917" s="23"/>
      <c r="Z917" s="23"/>
    </row>
    <row r="918" ht="15.75" customHeight="1" spans="1:26">
      <c r="A918" s="23"/>
      <c r="B918" s="23"/>
      <c r="C918" s="23"/>
      <c r="D918" s="23"/>
      <c r="E918" s="23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3"/>
      <c r="W918" s="23"/>
      <c r="X918" s="23"/>
      <c r="Y918" s="23"/>
      <c r="Z918" s="23"/>
    </row>
    <row r="919" ht="15.75" customHeight="1" spans="1:26">
      <c r="A919" s="23"/>
      <c r="B919" s="23"/>
      <c r="C919" s="23"/>
      <c r="D919" s="23"/>
      <c r="E919" s="23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3"/>
      <c r="W919" s="23"/>
      <c r="X919" s="23"/>
      <c r="Y919" s="23"/>
      <c r="Z919" s="23"/>
    </row>
    <row r="920" ht="15.75" customHeight="1" spans="1:26">
      <c r="A920" s="23"/>
      <c r="B920" s="23"/>
      <c r="C920" s="23"/>
      <c r="D920" s="23"/>
      <c r="E920" s="23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3"/>
      <c r="W920" s="23"/>
      <c r="X920" s="23"/>
      <c r="Y920" s="23"/>
      <c r="Z920" s="23"/>
    </row>
    <row r="921" ht="15.75" customHeight="1" spans="1:26">
      <c r="A921" s="23"/>
      <c r="B921" s="23"/>
      <c r="C921" s="23"/>
      <c r="D921" s="23"/>
      <c r="E921" s="23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3"/>
      <c r="W921" s="23"/>
      <c r="X921" s="23"/>
      <c r="Y921" s="23"/>
      <c r="Z921" s="23"/>
    </row>
    <row r="922" ht="15.75" customHeight="1" spans="1:26">
      <c r="A922" s="23"/>
      <c r="B922" s="23"/>
      <c r="C922" s="23"/>
      <c r="D922" s="23"/>
      <c r="E922" s="23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3"/>
      <c r="W922" s="23"/>
      <c r="X922" s="23"/>
      <c r="Y922" s="23"/>
      <c r="Z922" s="23"/>
    </row>
    <row r="923" ht="15.75" customHeight="1" spans="1:26">
      <c r="A923" s="23"/>
      <c r="B923" s="23"/>
      <c r="C923" s="23"/>
      <c r="D923" s="23"/>
      <c r="E923" s="23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3"/>
      <c r="W923" s="23"/>
      <c r="X923" s="23"/>
      <c r="Y923" s="23"/>
      <c r="Z923" s="23"/>
    </row>
    <row r="924" ht="15.75" customHeight="1" spans="1:26">
      <c r="A924" s="23"/>
      <c r="B924" s="23"/>
      <c r="C924" s="23"/>
      <c r="D924" s="23"/>
      <c r="E924" s="23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3"/>
      <c r="W924" s="23"/>
      <c r="X924" s="23"/>
      <c r="Y924" s="23"/>
      <c r="Z924" s="23"/>
    </row>
    <row r="925" ht="15.75" customHeight="1" spans="1:26">
      <c r="A925" s="23"/>
      <c r="B925" s="23"/>
      <c r="C925" s="23"/>
      <c r="D925" s="23"/>
      <c r="E925" s="23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3"/>
      <c r="W925" s="23"/>
      <c r="X925" s="23"/>
      <c r="Y925" s="23"/>
      <c r="Z925" s="23"/>
    </row>
    <row r="926" ht="15.75" customHeight="1" spans="1:26">
      <c r="A926" s="23"/>
      <c r="B926" s="23"/>
      <c r="C926" s="23"/>
      <c r="D926" s="23"/>
      <c r="E926" s="23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3"/>
      <c r="W926" s="23"/>
      <c r="X926" s="23"/>
      <c r="Y926" s="23"/>
      <c r="Z926" s="23"/>
    </row>
    <row r="927" ht="15.75" customHeight="1" spans="1:26">
      <c r="A927" s="23"/>
      <c r="B927" s="23"/>
      <c r="C927" s="23"/>
      <c r="D927" s="23"/>
      <c r="E927" s="23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3"/>
      <c r="W927" s="23"/>
      <c r="X927" s="23"/>
      <c r="Y927" s="23"/>
      <c r="Z927" s="23"/>
    </row>
    <row r="928" ht="15.75" customHeight="1" spans="1:26">
      <c r="A928" s="23"/>
      <c r="B928" s="23"/>
      <c r="C928" s="23"/>
      <c r="D928" s="23"/>
      <c r="E928" s="23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3"/>
      <c r="W928" s="23"/>
      <c r="X928" s="23"/>
      <c r="Y928" s="23"/>
      <c r="Z928" s="23"/>
    </row>
    <row r="929" ht="15.75" customHeight="1" spans="1:26">
      <c r="A929" s="23"/>
      <c r="B929" s="23"/>
      <c r="C929" s="23"/>
      <c r="D929" s="23"/>
      <c r="E929" s="23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3"/>
      <c r="W929" s="23"/>
      <c r="X929" s="23"/>
      <c r="Y929" s="23"/>
      <c r="Z929" s="23"/>
    </row>
    <row r="930" ht="15.75" customHeight="1" spans="1:26">
      <c r="A930" s="23"/>
      <c r="B930" s="23"/>
      <c r="C930" s="23"/>
      <c r="D930" s="23"/>
      <c r="E930" s="23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3"/>
      <c r="W930" s="23"/>
      <c r="X930" s="23"/>
      <c r="Y930" s="23"/>
      <c r="Z930" s="23"/>
    </row>
    <row r="931" ht="15.75" customHeight="1" spans="1:26">
      <c r="A931" s="23"/>
      <c r="B931" s="23"/>
      <c r="C931" s="23"/>
      <c r="D931" s="23"/>
      <c r="E931" s="23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3"/>
      <c r="W931" s="23"/>
      <c r="X931" s="23"/>
      <c r="Y931" s="23"/>
      <c r="Z931" s="23"/>
    </row>
    <row r="932" ht="15.75" customHeight="1" spans="1:26">
      <c r="A932" s="23"/>
      <c r="B932" s="23"/>
      <c r="C932" s="23"/>
      <c r="D932" s="23"/>
      <c r="E932" s="23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3"/>
      <c r="W932" s="23"/>
      <c r="X932" s="23"/>
      <c r="Y932" s="23"/>
      <c r="Z932" s="23"/>
    </row>
    <row r="933" ht="15.75" customHeight="1" spans="1:26">
      <c r="A933" s="23"/>
      <c r="B933" s="23"/>
      <c r="C933" s="23"/>
      <c r="D933" s="23"/>
      <c r="E933" s="23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3"/>
      <c r="W933" s="23"/>
      <c r="X933" s="23"/>
      <c r="Y933" s="23"/>
      <c r="Z933" s="23"/>
    </row>
    <row r="934" ht="15.75" customHeight="1" spans="1:26">
      <c r="A934" s="23"/>
      <c r="B934" s="23"/>
      <c r="C934" s="23"/>
      <c r="D934" s="23"/>
      <c r="E934" s="23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3"/>
      <c r="W934" s="23"/>
      <c r="X934" s="23"/>
      <c r="Y934" s="23"/>
      <c r="Z934" s="23"/>
    </row>
    <row r="935" ht="15.75" customHeight="1" spans="1:26">
      <c r="A935" s="23"/>
      <c r="B935" s="23"/>
      <c r="C935" s="23"/>
      <c r="D935" s="23"/>
      <c r="E935" s="23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3"/>
      <c r="W935" s="23"/>
      <c r="X935" s="23"/>
      <c r="Y935" s="23"/>
      <c r="Z935" s="23"/>
    </row>
    <row r="936" ht="15.75" customHeight="1" spans="1:26">
      <c r="A936" s="23"/>
      <c r="B936" s="23"/>
      <c r="C936" s="23"/>
      <c r="D936" s="23"/>
      <c r="E936" s="23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3"/>
      <c r="W936" s="23"/>
      <c r="X936" s="23"/>
      <c r="Y936" s="23"/>
      <c r="Z936" s="23"/>
    </row>
    <row r="937" ht="15.75" customHeight="1" spans="1:26">
      <c r="A937" s="23"/>
      <c r="B937" s="23"/>
      <c r="C937" s="23"/>
      <c r="D937" s="23"/>
      <c r="E937" s="23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3"/>
      <c r="W937" s="23"/>
      <c r="X937" s="23"/>
      <c r="Y937" s="23"/>
      <c r="Z937" s="23"/>
    </row>
    <row r="938" ht="15.75" customHeight="1" spans="1:26">
      <c r="A938" s="23"/>
      <c r="B938" s="23"/>
      <c r="C938" s="23"/>
      <c r="D938" s="23"/>
      <c r="E938" s="23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3"/>
      <c r="W938" s="23"/>
      <c r="X938" s="23"/>
      <c r="Y938" s="23"/>
      <c r="Z938" s="23"/>
    </row>
    <row r="939" ht="15.75" customHeight="1" spans="1:26">
      <c r="A939" s="23"/>
      <c r="B939" s="23"/>
      <c r="C939" s="23"/>
      <c r="D939" s="23"/>
      <c r="E939" s="23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3"/>
      <c r="W939" s="23"/>
      <c r="X939" s="23"/>
      <c r="Y939" s="23"/>
      <c r="Z939" s="23"/>
    </row>
    <row r="940" ht="15.75" customHeight="1" spans="1:26">
      <c r="A940" s="23"/>
      <c r="B940" s="23"/>
      <c r="C940" s="23"/>
      <c r="D940" s="23"/>
      <c r="E940" s="23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3"/>
      <c r="W940" s="23"/>
      <c r="X940" s="23"/>
      <c r="Y940" s="23"/>
      <c r="Z940" s="23"/>
    </row>
    <row r="941" ht="15.75" customHeight="1" spans="1:26">
      <c r="A941" s="23"/>
      <c r="B941" s="23"/>
      <c r="C941" s="23"/>
      <c r="D941" s="23"/>
      <c r="E941" s="23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3"/>
      <c r="W941" s="23"/>
      <c r="X941" s="23"/>
      <c r="Y941" s="23"/>
      <c r="Z941" s="23"/>
    </row>
    <row r="942" ht="15.75" customHeight="1" spans="1:26">
      <c r="A942" s="23"/>
      <c r="B942" s="23"/>
      <c r="C942" s="23"/>
      <c r="D942" s="23"/>
      <c r="E942" s="23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3"/>
      <c r="W942" s="23"/>
      <c r="X942" s="23"/>
      <c r="Y942" s="23"/>
      <c r="Z942" s="23"/>
    </row>
    <row r="943" ht="15.75" customHeight="1" spans="1:26">
      <c r="A943" s="23"/>
      <c r="B943" s="23"/>
      <c r="C943" s="23"/>
      <c r="D943" s="23"/>
      <c r="E943" s="23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3"/>
      <c r="W943" s="23"/>
      <c r="X943" s="23"/>
      <c r="Y943" s="23"/>
      <c r="Z943" s="23"/>
    </row>
    <row r="944" ht="15.75" customHeight="1" spans="1:26">
      <c r="A944" s="23"/>
      <c r="B944" s="23"/>
      <c r="C944" s="23"/>
      <c r="D944" s="23"/>
      <c r="E944" s="23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3"/>
      <c r="W944" s="23"/>
      <c r="X944" s="23"/>
      <c r="Y944" s="23"/>
      <c r="Z944" s="23"/>
    </row>
    <row r="945" ht="15.75" customHeight="1" spans="1:26">
      <c r="A945" s="23"/>
      <c r="B945" s="23"/>
      <c r="C945" s="23"/>
      <c r="D945" s="23"/>
      <c r="E945" s="23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3"/>
      <c r="W945" s="23"/>
      <c r="X945" s="23"/>
      <c r="Y945" s="23"/>
      <c r="Z945" s="23"/>
    </row>
    <row r="946" ht="15.75" customHeight="1" spans="1:26">
      <c r="A946" s="23"/>
      <c r="B946" s="23"/>
      <c r="C946" s="23"/>
      <c r="D946" s="23"/>
      <c r="E946" s="23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3"/>
      <c r="W946" s="23"/>
      <c r="X946" s="23"/>
      <c r="Y946" s="23"/>
      <c r="Z946" s="23"/>
    </row>
    <row r="947" ht="15.75" customHeight="1" spans="1:26">
      <c r="A947" s="23"/>
      <c r="B947" s="23"/>
      <c r="C947" s="23"/>
      <c r="D947" s="23"/>
      <c r="E947" s="23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3"/>
      <c r="W947" s="23"/>
      <c r="X947" s="23"/>
      <c r="Y947" s="23"/>
      <c r="Z947" s="23"/>
    </row>
    <row r="948" ht="15.75" customHeight="1" spans="1:26">
      <c r="A948" s="23"/>
      <c r="B948" s="23"/>
      <c r="C948" s="23"/>
      <c r="D948" s="23"/>
      <c r="E948" s="23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3"/>
      <c r="W948" s="23"/>
      <c r="X948" s="23"/>
      <c r="Y948" s="23"/>
      <c r="Z948" s="23"/>
    </row>
    <row r="949" ht="15.75" customHeight="1" spans="1:26">
      <c r="A949" s="23"/>
      <c r="B949" s="23"/>
      <c r="C949" s="23"/>
      <c r="D949" s="23"/>
      <c r="E949" s="23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3"/>
      <c r="W949" s="23"/>
      <c r="X949" s="23"/>
      <c r="Y949" s="23"/>
      <c r="Z949" s="23"/>
    </row>
    <row r="950" ht="15.75" customHeight="1" spans="1:26">
      <c r="A950" s="23"/>
      <c r="B950" s="23"/>
      <c r="C950" s="23"/>
      <c r="D950" s="23"/>
      <c r="E950" s="23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3"/>
      <c r="W950" s="23"/>
      <c r="X950" s="23"/>
      <c r="Y950" s="23"/>
      <c r="Z950" s="23"/>
    </row>
    <row r="951" ht="15.75" customHeight="1" spans="1:26">
      <c r="A951" s="23"/>
      <c r="B951" s="23"/>
      <c r="C951" s="23"/>
      <c r="D951" s="23"/>
      <c r="E951" s="23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3"/>
      <c r="W951" s="23"/>
      <c r="X951" s="23"/>
      <c r="Y951" s="23"/>
      <c r="Z951" s="23"/>
    </row>
    <row r="952" ht="15.75" customHeight="1" spans="1:26">
      <c r="A952" s="23"/>
      <c r="B952" s="23"/>
      <c r="C952" s="23"/>
      <c r="D952" s="23"/>
      <c r="E952" s="23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3"/>
      <c r="W952" s="23"/>
      <c r="X952" s="23"/>
      <c r="Y952" s="23"/>
      <c r="Z952" s="23"/>
    </row>
    <row r="953" ht="15.75" customHeight="1" spans="1:26">
      <c r="A953" s="23"/>
      <c r="B953" s="23"/>
      <c r="C953" s="23"/>
      <c r="D953" s="23"/>
      <c r="E953" s="23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3"/>
      <c r="W953" s="23"/>
      <c r="X953" s="23"/>
      <c r="Y953" s="23"/>
      <c r="Z953" s="23"/>
    </row>
    <row r="954" ht="15.75" customHeight="1" spans="1:26">
      <c r="A954" s="23"/>
      <c r="B954" s="23"/>
      <c r="C954" s="23"/>
      <c r="D954" s="23"/>
      <c r="E954" s="23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3"/>
      <c r="W954" s="23"/>
      <c r="X954" s="23"/>
      <c r="Y954" s="23"/>
      <c r="Z954" s="23"/>
    </row>
    <row r="955" ht="15.75" customHeight="1" spans="1:26">
      <c r="A955" s="23"/>
      <c r="B955" s="23"/>
      <c r="C955" s="23"/>
      <c r="D955" s="23"/>
      <c r="E955" s="23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3"/>
      <c r="W955" s="23"/>
      <c r="X955" s="23"/>
      <c r="Y955" s="23"/>
      <c r="Z955" s="23"/>
    </row>
    <row r="956" ht="15.75" customHeight="1" spans="1:26">
      <c r="A956" s="23"/>
      <c r="B956" s="23"/>
      <c r="C956" s="23"/>
      <c r="D956" s="23"/>
      <c r="E956" s="23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3"/>
      <c r="W956" s="23"/>
      <c r="X956" s="23"/>
      <c r="Y956" s="23"/>
      <c r="Z956" s="23"/>
    </row>
    <row r="957" ht="15.75" customHeight="1" spans="1:26">
      <c r="A957" s="23"/>
      <c r="B957" s="23"/>
      <c r="C957" s="23"/>
      <c r="D957" s="23"/>
      <c r="E957" s="23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3"/>
      <c r="W957" s="23"/>
      <c r="X957" s="23"/>
      <c r="Y957" s="23"/>
      <c r="Z957" s="23"/>
    </row>
    <row r="958" ht="15.75" customHeight="1" spans="1:26">
      <c r="A958" s="23"/>
      <c r="B958" s="23"/>
      <c r="C958" s="23"/>
      <c r="D958" s="23"/>
      <c r="E958" s="23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3"/>
      <c r="W958" s="23"/>
      <c r="X958" s="23"/>
      <c r="Y958" s="23"/>
      <c r="Z958" s="23"/>
    </row>
    <row r="959" ht="15.75" customHeight="1" spans="1:26">
      <c r="A959" s="23"/>
      <c r="B959" s="23"/>
      <c r="C959" s="23"/>
      <c r="D959" s="23"/>
      <c r="E959" s="23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3"/>
      <c r="W959" s="23"/>
      <c r="X959" s="23"/>
      <c r="Y959" s="23"/>
      <c r="Z959" s="23"/>
    </row>
    <row r="960" ht="15.75" customHeight="1" spans="1:26">
      <c r="A960" s="23"/>
      <c r="B960" s="23"/>
      <c r="C960" s="23"/>
      <c r="D960" s="23"/>
      <c r="E960" s="23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3"/>
      <c r="W960" s="23"/>
      <c r="X960" s="23"/>
      <c r="Y960" s="23"/>
      <c r="Z960" s="23"/>
    </row>
    <row r="961" ht="15.75" customHeight="1" spans="1:26">
      <c r="A961" s="23"/>
      <c r="B961" s="23"/>
      <c r="C961" s="23"/>
      <c r="D961" s="23"/>
      <c r="E961" s="23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3"/>
      <c r="W961" s="23"/>
      <c r="X961" s="23"/>
      <c r="Y961" s="23"/>
      <c r="Z961" s="23"/>
    </row>
    <row r="962" ht="15.75" customHeight="1" spans="1:26">
      <c r="A962" s="23"/>
      <c r="B962" s="23"/>
      <c r="C962" s="23"/>
      <c r="D962" s="23"/>
      <c r="E962" s="23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3"/>
      <c r="W962" s="23"/>
      <c r="X962" s="23"/>
      <c r="Y962" s="23"/>
      <c r="Z962" s="23"/>
    </row>
    <row r="963" ht="15.75" customHeight="1" spans="1:26">
      <c r="A963" s="23"/>
      <c r="B963" s="23"/>
      <c r="C963" s="23"/>
      <c r="D963" s="23"/>
      <c r="E963" s="23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3"/>
      <c r="W963" s="23"/>
      <c r="X963" s="23"/>
      <c r="Y963" s="23"/>
      <c r="Z963" s="23"/>
    </row>
    <row r="964" ht="15.75" customHeight="1" spans="1:26">
      <c r="A964" s="23"/>
      <c r="B964" s="23"/>
      <c r="C964" s="23"/>
      <c r="D964" s="23"/>
      <c r="E964" s="23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3"/>
      <c r="W964" s="23"/>
      <c r="X964" s="23"/>
      <c r="Y964" s="23"/>
      <c r="Z964" s="23"/>
    </row>
    <row r="965" ht="15.75" customHeight="1" spans="1:26">
      <c r="A965" s="23"/>
      <c r="B965" s="23"/>
      <c r="C965" s="23"/>
      <c r="D965" s="23"/>
      <c r="E965" s="23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3"/>
      <c r="W965" s="23"/>
      <c r="X965" s="23"/>
      <c r="Y965" s="23"/>
      <c r="Z965" s="23"/>
    </row>
    <row r="966" ht="15.75" customHeight="1" spans="1:26">
      <c r="A966" s="23"/>
      <c r="B966" s="23"/>
      <c r="C966" s="23"/>
      <c r="D966" s="23"/>
      <c r="E966" s="23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3"/>
      <c r="W966" s="23"/>
      <c r="X966" s="23"/>
      <c r="Y966" s="23"/>
      <c r="Z966" s="23"/>
    </row>
    <row r="967" ht="15.75" customHeight="1" spans="1:26">
      <c r="A967" s="23"/>
      <c r="B967" s="23"/>
      <c r="C967" s="23"/>
      <c r="D967" s="23"/>
      <c r="E967" s="23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3"/>
      <c r="W967" s="23"/>
      <c r="X967" s="23"/>
      <c r="Y967" s="23"/>
      <c r="Z967" s="23"/>
    </row>
    <row r="968" ht="15.75" customHeight="1" spans="1:26">
      <c r="A968" s="23"/>
      <c r="B968" s="23"/>
      <c r="C968" s="23"/>
      <c r="D968" s="23"/>
      <c r="E968" s="23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3"/>
      <c r="W968" s="23"/>
      <c r="X968" s="23"/>
      <c r="Y968" s="23"/>
      <c r="Z968" s="23"/>
    </row>
    <row r="969" ht="15.75" customHeight="1" spans="1:26">
      <c r="A969" s="23"/>
      <c r="B969" s="23"/>
      <c r="C969" s="23"/>
      <c r="D969" s="23"/>
      <c r="E969" s="23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3"/>
      <c r="W969" s="23"/>
      <c r="X969" s="23"/>
      <c r="Y969" s="23"/>
      <c r="Z969" s="23"/>
    </row>
    <row r="970" ht="15.75" customHeight="1" spans="1:26">
      <c r="A970" s="23"/>
      <c r="B970" s="23"/>
      <c r="C970" s="23"/>
      <c r="D970" s="23"/>
      <c r="E970" s="23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3"/>
      <c r="W970" s="23"/>
      <c r="X970" s="23"/>
      <c r="Y970" s="23"/>
      <c r="Z970" s="23"/>
    </row>
    <row r="971" ht="15.75" customHeight="1" spans="1:26">
      <c r="A971" s="23"/>
      <c r="B971" s="23"/>
      <c r="C971" s="23"/>
      <c r="D971" s="23"/>
      <c r="E971" s="23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3"/>
      <c r="W971" s="23"/>
      <c r="X971" s="23"/>
      <c r="Y971" s="23"/>
      <c r="Z971" s="23"/>
    </row>
    <row r="972" ht="15.75" customHeight="1" spans="1:26">
      <c r="A972" s="23"/>
      <c r="B972" s="23"/>
      <c r="C972" s="23"/>
      <c r="D972" s="23"/>
      <c r="E972" s="23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3"/>
      <c r="W972" s="23"/>
      <c r="X972" s="23"/>
      <c r="Y972" s="23"/>
      <c r="Z972" s="23"/>
    </row>
    <row r="973" ht="15.75" customHeight="1" spans="1:26">
      <c r="A973" s="23"/>
      <c r="B973" s="23"/>
      <c r="C973" s="23"/>
      <c r="D973" s="23"/>
      <c r="E973" s="23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3"/>
      <c r="W973" s="23"/>
      <c r="X973" s="23"/>
      <c r="Y973" s="23"/>
      <c r="Z973" s="23"/>
    </row>
    <row r="974" ht="15.75" customHeight="1" spans="1:26">
      <c r="A974" s="23"/>
      <c r="B974" s="23"/>
      <c r="C974" s="23"/>
      <c r="D974" s="23"/>
      <c r="E974" s="23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3"/>
      <c r="W974" s="23"/>
      <c r="X974" s="23"/>
      <c r="Y974" s="23"/>
      <c r="Z974" s="23"/>
    </row>
    <row r="975" ht="15.75" customHeight="1" spans="1:26">
      <c r="A975" s="23"/>
      <c r="B975" s="23"/>
      <c r="C975" s="23"/>
      <c r="D975" s="23"/>
      <c r="E975" s="23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3"/>
      <c r="W975" s="23"/>
      <c r="X975" s="23"/>
      <c r="Y975" s="23"/>
      <c r="Z975" s="23"/>
    </row>
    <row r="976" ht="15.75" customHeight="1" spans="1:26">
      <c r="A976" s="23"/>
      <c r="B976" s="23"/>
      <c r="C976" s="23"/>
      <c r="D976" s="23"/>
      <c r="E976" s="23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3"/>
      <c r="W976" s="23"/>
      <c r="X976" s="23"/>
      <c r="Y976" s="23"/>
      <c r="Z976" s="23"/>
    </row>
    <row r="977" ht="15.75" customHeight="1" spans="1:26">
      <c r="A977" s="23"/>
      <c r="B977" s="23"/>
      <c r="C977" s="23"/>
      <c r="D977" s="23"/>
      <c r="E977" s="23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3"/>
      <c r="W977" s="23"/>
      <c r="X977" s="23"/>
      <c r="Y977" s="23"/>
      <c r="Z977" s="23"/>
    </row>
    <row r="978" ht="15.75" customHeight="1" spans="1:26">
      <c r="A978" s="23"/>
      <c r="B978" s="23"/>
      <c r="C978" s="23"/>
      <c r="D978" s="23"/>
      <c r="E978" s="23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3"/>
      <c r="W978" s="23"/>
      <c r="X978" s="23"/>
      <c r="Y978" s="23"/>
      <c r="Z978" s="23"/>
    </row>
    <row r="979" ht="15.75" customHeight="1" spans="1:26">
      <c r="A979" s="23"/>
      <c r="B979" s="23"/>
      <c r="C979" s="23"/>
      <c r="D979" s="23"/>
      <c r="E979" s="23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3"/>
      <c r="W979" s="23"/>
      <c r="X979" s="23"/>
      <c r="Y979" s="23"/>
      <c r="Z979" s="23"/>
    </row>
    <row r="980" ht="15.75" customHeight="1" spans="1:26">
      <c r="A980" s="23"/>
      <c r="B980" s="23"/>
      <c r="C980" s="23"/>
      <c r="D980" s="23"/>
      <c r="E980" s="23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3"/>
      <c r="W980" s="23"/>
      <c r="X980" s="23"/>
      <c r="Y980" s="23"/>
      <c r="Z980" s="23"/>
    </row>
    <row r="981" ht="15.75" customHeight="1" spans="1:26">
      <c r="A981" s="23"/>
      <c r="B981" s="23"/>
      <c r="C981" s="23"/>
      <c r="D981" s="23"/>
      <c r="E981" s="23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3"/>
      <c r="W981" s="23"/>
      <c r="X981" s="23"/>
      <c r="Y981" s="23"/>
      <c r="Z981" s="23"/>
    </row>
    <row r="982" ht="15.75" customHeight="1" spans="1:26">
      <c r="A982" s="23"/>
      <c r="B982" s="23"/>
      <c r="C982" s="23"/>
      <c r="D982" s="23"/>
      <c r="E982" s="23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3"/>
      <c r="W982" s="23"/>
      <c r="X982" s="23"/>
      <c r="Y982" s="23"/>
      <c r="Z982" s="23"/>
    </row>
    <row r="983" ht="15.75" customHeight="1" spans="1:26">
      <c r="A983" s="23"/>
      <c r="B983" s="23"/>
      <c r="C983" s="23"/>
      <c r="D983" s="23"/>
      <c r="E983" s="23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3"/>
      <c r="W983" s="23"/>
      <c r="X983" s="23"/>
      <c r="Y983" s="23"/>
      <c r="Z983" s="23"/>
    </row>
    <row r="984" ht="15.75" customHeight="1" spans="1:26">
      <c r="A984" s="23"/>
      <c r="B984" s="23"/>
      <c r="C984" s="23"/>
      <c r="D984" s="23"/>
      <c r="E984" s="23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3"/>
      <c r="W984" s="23"/>
      <c r="X984" s="23"/>
      <c r="Y984" s="23"/>
      <c r="Z984" s="23"/>
    </row>
    <row r="985" ht="15.75" customHeight="1" spans="1:26">
      <c r="A985" s="23"/>
      <c r="B985" s="23"/>
      <c r="C985" s="23"/>
      <c r="D985" s="23"/>
      <c r="E985" s="23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3"/>
      <c r="W985" s="23"/>
      <c r="X985" s="23"/>
      <c r="Y985" s="23"/>
      <c r="Z985" s="23"/>
    </row>
    <row r="986" ht="15.75" customHeight="1" spans="1:26">
      <c r="A986" s="23"/>
      <c r="B986" s="23"/>
      <c r="C986" s="23"/>
      <c r="D986" s="23"/>
      <c r="E986" s="23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3"/>
      <c r="W986" s="23"/>
      <c r="X986" s="23"/>
      <c r="Y986" s="23"/>
      <c r="Z986" s="23"/>
    </row>
    <row r="987" ht="15.75" customHeight="1" spans="1:26">
      <c r="A987" s="23"/>
      <c r="B987" s="23"/>
      <c r="C987" s="23"/>
      <c r="D987" s="23"/>
      <c r="E987" s="23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3"/>
      <c r="W987" s="23"/>
      <c r="X987" s="23"/>
      <c r="Y987" s="23"/>
      <c r="Z987" s="23"/>
    </row>
    <row r="988" ht="15.75" customHeight="1" spans="1:26">
      <c r="A988" s="23"/>
      <c r="B988" s="23"/>
      <c r="C988" s="23"/>
      <c r="D988" s="23"/>
      <c r="E988" s="23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3"/>
      <c r="W988" s="23"/>
      <c r="X988" s="23"/>
      <c r="Y988" s="23"/>
      <c r="Z988" s="23"/>
    </row>
    <row r="989" ht="15.75" customHeight="1" spans="1:26">
      <c r="A989" s="23"/>
      <c r="B989" s="23"/>
      <c r="C989" s="23"/>
      <c r="D989" s="23"/>
      <c r="E989" s="23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3"/>
      <c r="W989" s="23"/>
      <c r="X989" s="23"/>
      <c r="Y989" s="23"/>
      <c r="Z989" s="23"/>
    </row>
    <row r="990" ht="15.75" customHeight="1" spans="1:26">
      <c r="A990" s="23"/>
      <c r="B990" s="23"/>
      <c r="C990" s="23"/>
      <c r="D990" s="23"/>
      <c r="E990" s="23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3"/>
      <c r="W990" s="23"/>
      <c r="X990" s="23"/>
      <c r="Y990" s="23"/>
      <c r="Z990" s="23"/>
    </row>
    <row r="991" ht="15.75" customHeight="1" spans="1:26">
      <c r="A991" s="23"/>
      <c r="B991" s="23"/>
      <c r="C991" s="23"/>
      <c r="D991" s="23"/>
      <c r="E991" s="23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3"/>
      <c r="W991" s="23"/>
      <c r="X991" s="23"/>
      <c r="Y991" s="23"/>
      <c r="Z991" s="23"/>
    </row>
    <row r="992" ht="15.75" customHeight="1" spans="1:26">
      <c r="A992" s="23"/>
      <c r="B992" s="23"/>
      <c r="C992" s="23"/>
      <c r="D992" s="23"/>
      <c r="E992" s="23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3"/>
      <c r="W992" s="23"/>
      <c r="X992" s="23"/>
      <c r="Y992" s="23"/>
      <c r="Z992" s="23"/>
    </row>
    <row r="993" ht="15.75" customHeight="1" spans="1:26">
      <c r="A993" s="23"/>
      <c r="B993" s="23"/>
      <c r="C993" s="23"/>
      <c r="D993" s="23"/>
      <c r="E993" s="23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3"/>
      <c r="W993" s="23"/>
      <c r="X993" s="23"/>
      <c r="Y993" s="23"/>
      <c r="Z993" s="23"/>
    </row>
    <row r="994" ht="15.75" customHeight="1" spans="1:26">
      <c r="A994" s="23"/>
      <c r="B994" s="23"/>
      <c r="C994" s="23"/>
      <c r="D994" s="23"/>
      <c r="E994" s="23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3"/>
      <c r="W994" s="23"/>
      <c r="X994" s="23"/>
      <c r="Y994" s="23"/>
      <c r="Z994" s="23"/>
    </row>
    <row r="995" ht="15.75" customHeight="1" spans="1:26">
      <c r="A995" s="23"/>
      <c r="B995" s="23"/>
      <c r="C995" s="23"/>
      <c r="D995" s="23"/>
      <c r="E995" s="23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3"/>
      <c r="W995" s="23"/>
      <c r="X995" s="23"/>
      <c r="Y995" s="23"/>
      <c r="Z995" s="23"/>
    </row>
    <row r="996" ht="15.75" customHeight="1" spans="1:26">
      <c r="A996" s="23"/>
      <c r="B996" s="23"/>
      <c r="C996" s="23"/>
      <c r="D996" s="23"/>
      <c r="E996" s="23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3"/>
      <c r="W996" s="23"/>
      <c r="X996" s="23"/>
      <c r="Y996" s="23"/>
      <c r="Z996" s="23"/>
    </row>
    <row r="997" ht="15.75" customHeight="1" spans="1:26">
      <c r="A997" s="23"/>
      <c r="B997" s="23"/>
      <c r="C997" s="23"/>
      <c r="D997" s="23"/>
      <c r="E997" s="23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3"/>
      <c r="W997" s="23"/>
      <c r="X997" s="23"/>
      <c r="Y997" s="23"/>
      <c r="Z997" s="23"/>
    </row>
    <row r="998" ht="15.75" customHeight="1" spans="1:26">
      <c r="A998" s="23"/>
      <c r="B998" s="23"/>
      <c r="C998" s="23"/>
      <c r="D998" s="23"/>
      <c r="E998" s="23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3"/>
      <c r="W998" s="23"/>
      <c r="X998" s="23"/>
      <c r="Y998" s="23"/>
      <c r="Z998" s="23"/>
    </row>
    <row r="999" ht="15.75" customHeight="1" spans="1:26">
      <c r="A999" s="23"/>
      <c r="B999" s="23"/>
      <c r="C999" s="23"/>
      <c r="D999" s="23"/>
      <c r="E999" s="23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3"/>
      <c r="W999" s="23"/>
      <c r="X999" s="23"/>
      <c r="Y999" s="23"/>
      <c r="Z999" s="23"/>
    </row>
    <row r="1000" ht="15.75" customHeight="1" spans="1:26">
      <c r="A1000" s="23"/>
      <c r="B1000" s="23"/>
      <c r="C1000" s="23"/>
      <c r="D1000" s="23"/>
      <c r="E1000" s="23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3"/>
      <c r="W1000" s="23"/>
      <c r="X1000" s="23"/>
      <c r="Y1000" s="23"/>
      <c r="Z1000" s="23"/>
    </row>
  </sheetData>
  <pageMargins left="0.75" right="0.75" top="1" bottom="1" header="0" footer="0"/>
  <pageSetup paperSize="9" scale="6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xSplit="5" ySplit="4" topLeftCell="F5" activePane="bottomRight" state="frozen"/>
      <selection/>
      <selection pane="topRight"/>
      <selection pane="bottomLeft"/>
      <selection pane="bottomRight" activeCell="F5" sqref="F5"/>
    </sheetView>
  </sheetViews>
  <sheetFormatPr defaultColWidth="11.2166666666667" defaultRowHeight="15" customHeight="1"/>
  <cols>
    <col min="1" max="4" width="3.10833333333333" customWidth="1"/>
    <col min="5" max="5" width="35.6666666666667" customWidth="1"/>
    <col min="6" max="20" width="10.6666666666667" customWidth="1"/>
    <col min="21" max="21" width="3.10833333333333" customWidth="1"/>
    <col min="22" max="26" width="9" customWidth="1"/>
  </cols>
  <sheetData>
    <row r="1" customHeight="1" spans="1:26">
      <c r="A1" s="23"/>
      <c r="B1" s="24" t="str">
        <f>'S&amp;C'!B1</f>
        <v>Eaton</v>
      </c>
      <c r="C1" s="25"/>
      <c r="D1" s="26"/>
      <c r="E1" s="26"/>
      <c r="F1" s="27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Height="1" spans="1:26">
      <c r="A2" s="23"/>
      <c r="B2" s="28" t="s">
        <v>320</v>
      </c>
      <c r="C2" s="25"/>
      <c r="D2" s="26"/>
      <c r="E2" s="26"/>
      <c r="F2" s="27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customHeight="1" spans="1:26">
      <c r="A3" s="23"/>
      <c r="B3" s="25" t="str">
        <f>'S&amp;C'!B3</f>
        <v>(all in Rmb mn unless otherwise noted)</v>
      </c>
      <c r="C3" s="25"/>
      <c r="D3" s="29"/>
      <c r="E3" s="29"/>
      <c r="F3" s="30">
        <f>'PL-CF-BS'!F2</f>
        <v>0</v>
      </c>
      <c r="G3" s="30">
        <f>'PL-CF-BS'!G2</f>
        <v>0</v>
      </c>
      <c r="H3" s="30">
        <f>'PL-CF-BS'!H2</f>
        <v>0</v>
      </c>
      <c r="I3" s="30">
        <f>'PL-CF-BS'!I2</f>
        <v>0</v>
      </c>
      <c r="J3" s="30">
        <f>'PL-CF-BS'!J2</f>
        <v>0</v>
      </c>
      <c r="K3" s="30" t="str">
        <f ca="1">'PL-CF-BS'!K2</f>
        <v>#REF!</v>
      </c>
      <c r="L3" s="30">
        <f>'PL-CF-BS'!L2</f>
        <v>-1</v>
      </c>
      <c r="M3" s="30">
        <f>'PL-CF-BS'!M2</f>
        <v>-1</v>
      </c>
      <c r="N3" s="30">
        <f>'PL-CF-BS'!N2</f>
        <v>-752.317856655816</v>
      </c>
      <c r="O3" s="30">
        <f>'PL-CF-BS'!O2</f>
        <v>-752.31785665582</v>
      </c>
      <c r="P3" s="30">
        <f>'PL-CF-BS'!P2</f>
        <v>-752.31785665582</v>
      </c>
      <c r="Q3" s="30">
        <f>'PL-CF-BS'!Q2</f>
        <v>-752.317856655824</v>
      </c>
      <c r="R3" s="30">
        <f>'PL-CF-BS'!R2</f>
        <v>-752.317856655827</v>
      </c>
      <c r="S3" s="30">
        <f>'PL-CF-BS'!S2</f>
        <v>-752.317856655816</v>
      </c>
      <c r="T3" s="30">
        <f>'PL-CF-BS'!T2</f>
        <v>-752.317856655824</v>
      </c>
      <c r="U3" s="23"/>
      <c r="V3" s="23"/>
      <c r="W3" s="23"/>
      <c r="X3" s="23"/>
      <c r="Y3" s="23"/>
      <c r="Z3" s="23"/>
    </row>
    <row r="4" customHeight="1" spans="1:26">
      <c r="A4" s="31"/>
      <c r="B4" s="32"/>
      <c r="C4" s="31"/>
      <c r="D4" s="33"/>
      <c r="E4" s="33"/>
      <c r="F4" s="33" t="str">
        <f>'S&amp;C'!F4</f>
        <v>2018A</v>
      </c>
      <c r="G4" s="33" t="str">
        <f>'S&amp;C'!G4</f>
        <v>2019A</v>
      </c>
      <c r="H4" s="33" t="str">
        <f>'S&amp;C'!H4</f>
        <v>2020A</v>
      </c>
      <c r="I4" s="33" t="str">
        <f>'S&amp;C'!I4</f>
        <v>2021A</v>
      </c>
      <c r="J4" s="33" t="str">
        <f>'S&amp;C'!J4</f>
        <v>2022A</v>
      </c>
      <c r="K4" s="33" t="str">
        <f>'S&amp;C'!K4</f>
        <v>2023A</v>
      </c>
      <c r="L4" s="33" t="str">
        <f>'S&amp;C'!L4</f>
        <v>2024A</v>
      </c>
      <c r="M4" s="33" t="str">
        <f>'S&amp;C'!M4</f>
        <v>2025A</v>
      </c>
      <c r="N4" s="33" t="str">
        <f>'S&amp;C'!N4</f>
        <v>2026E</v>
      </c>
      <c r="O4" s="33" t="str">
        <f>'S&amp;C'!O4</f>
        <v>2027E</v>
      </c>
      <c r="P4" s="33" t="str">
        <f>'S&amp;C'!P4</f>
        <v>2028E</v>
      </c>
      <c r="Q4" s="33" t="str">
        <f>'S&amp;C'!Q4</f>
        <v>2029E</v>
      </c>
      <c r="R4" s="33" t="str">
        <f>'S&amp;C'!R4</f>
        <v>2030E</v>
      </c>
      <c r="S4" s="33" t="str">
        <f>'S&amp;C'!S4</f>
        <v>2031E</v>
      </c>
      <c r="T4" s="33" t="str">
        <f>'S&amp;C'!T4</f>
        <v>2032E</v>
      </c>
      <c r="U4" s="31"/>
      <c r="V4" s="31"/>
      <c r="W4" s="31"/>
      <c r="X4" s="31"/>
      <c r="Y4" s="31"/>
      <c r="Z4" s="31"/>
    </row>
    <row r="5" customHeight="1" spans="1:26">
      <c r="A5" s="23"/>
      <c r="B5" s="34" t="s">
        <v>321</v>
      </c>
      <c r="C5" s="23"/>
      <c r="D5" s="35"/>
      <c r="E5" s="35"/>
      <c r="F5" s="36">
        <v>1</v>
      </c>
      <c r="G5" s="36">
        <v>1</v>
      </c>
      <c r="H5" s="36">
        <v>1</v>
      </c>
      <c r="I5" s="36">
        <v>1</v>
      </c>
      <c r="J5" s="36">
        <v>1</v>
      </c>
      <c r="K5" s="36">
        <v>1</v>
      </c>
      <c r="L5" s="36">
        <v>1</v>
      </c>
      <c r="M5" s="36">
        <v>1</v>
      </c>
      <c r="N5" s="36">
        <v>1</v>
      </c>
      <c r="O5" s="36">
        <v>1</v>
      </c>
      <c r="P5" s="36">
        <v>1</v>
      </c>
      <c r="Q5" s="36">
        <v>1</v>
      </c>
      <c r="R5" s="36">
        <v>1</v>
      </c>
      <c r="S5" s="36">
        <v>1</v>
      </c>
      <c r="T5" s="36">
        <v>1</v>
      </c>
      <c r="U5" s="23"/>
      <c r="V5" s="37"/>
      <c r="W5" s="37"/>
      <c r="X5" s="37"/>
      <c r="Y5" s="23"/>
      <c r="Z5" s="23"/>
    </row>
    <row r="6" customHeight="1" spans="1:26">
      <c r="A6" s="23"/>
      <c r="B6" s="34"/>
      <c r="C6" s="23"/>
      <c r="D6" s="35"/>
      <c r="E6" s="35"/>
      <c r="F6" s="38"/>
      <c r="G6" s="38"/>
      <c r="H6" s="38"/>
      <c r="I6" s="38"/>
      <c r="J6" s="38"/>
      <c r="K6" s="39"/>
      <c r="L6" s="39"/>
      <c r="M6" s="39"/>
      <c r="N6" s="39"/>
      <c r="O6" s="39"/>
      <c r="P6" s="39"/>
      <c r="Q6" s="39"/>
      <c r="R6" s="39"/>
      <c r="S6" s="39"/>
      <c r="T6" s="39"/>
      <c r="U6" s="23"/>
      <c r="V6" s="37"/>
      <c r="W6" s="37"/>
      <c r="X6" s="37"/>
      <c r="Y6" s="23"/>
      <c r="Z6" s="23"/>
    </row>
    <row r="7" customHeight="1" spans="1:26">
      <c r="A7" s="40"/>
      <c r="B7" s="41" t="s">
        <v>322</v>
      </c>
      <c r="C7" s="40"/>
      <c r="D7" s="42"/>
      <c r="E7" s="42"/>
      <c r="F7" s="43"/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0"/>
      <c r="V7" s="40"/>
      <c r="W7" s="40"/>
      <c r="X7" s="40"/>
      <c r="Y7" s="40"/>
      <c r="Z7" s="40"/>
    </row>
    <row r="8" customHeight="1" spans="1:26">
      <c r="A8" s="23"/>
      <c r="B8" s="34" t="s">
        <v>110</v>
      </c>
      <c r="C8" s="23"/>
      <c r="D8" s="38"/>
      <c r="E8" s="38"/>
      <c r="F8" s="38">
        <f>'PL-CF-BS'!F96</f>
        <v>0</v>
      </c>
      <c r="G8" s="38">
        <f>'PL-CF-BS'!G96</f>
        <v>0</v>
      </c>
      <c r="H8" s="38">
        <f>'PL-CF-BS'!H96</f>
        <v>2904</v>
      </c>
      <c r="I8" s="38">
        <f>'PL-CF-BS'!I96</f>
        <v>3297</v>
      </c>
      <c r="J8" s="38">
        <f>'PL-CF-BS'!J96</f>
        <v>4076</v>
      </c>
      <c r="K8" s="38">
        <f>'PL-CF-BS'!K96</f>
        <v>4475</v>
      </c>
      <c r="L8" s="38">
        <f>'PL-CF-BS'!L96</f>
        <v>4619</v>
      </c>
      <c r="M8" s="38">
        <f>(M9*2/365*'PL-CF-BS'!M6-'Other ASPT'!L8)</f>
        <v>5308.12328767123</v>
      </c>
      <c r="N8" s="38">
        <f>(N9*2/365*'PL-CF-BS'!N6-'Other ASPT'!M8)</f>
        <v>5362.01353424657</v>
      </c>
      <c r="O8" s="38">
        <f>(O9*2/365*'PL-CF-BS'!O6-'Other ASPT'!N8)</f>
        <v>6114.88322931507</v>
      </c>
      <c r="P8" s="38">
        <f>(P9*2/365*'PL-CF-BS'!P6-'Other ASPT'!O8)</f>
        <v>6238.36700225617</v>
      </c>
      <c r="Q8" s="38">
        <f>(Q9*2/365*'PL-CF-BS'!Q6-'Other ASPT'!P8)</f>
        <v>7062.42518385813</v>
      </c>
      <c r="R8" s="38">
        <f>(R9*2/365*'PL-CF-BS'!R6-'Other ASPT'!Q8)</f>
        <v>7268.74608692461</v>
      </c>
      <c r="S8" s="38">
        <f>(S9*2/365*'PL-CF-BS'!S6-'Other ASPT'!R8)</f>
        <v>8178.36192779375</v>
      </c>
      <c r="T8" s="38">
        <f>(T9*2/365*'PL-CF-BS'!T6-'Other ASPT'!S8)</f>
        <v>8483.47295046418</v>
      </c>
      <c r="U8" s="23"/>
      <c r="V8" s="23"/>
      <c r="W8" s="23"/>
      <c r="X8" s="23"/>
      <c r="Y8" s="23"/>
      <c r="Z8" s="23"/>
    </row>
    <row r="9" customHeight="1" spans="1:26">
      <c r="A9" s="23"/>
      <c r="B9" s="34"/>
      <c r="C9" s="23" t="s">
        <v>323</v>
      </c>
      <c r="D9" s="35"/>
      <c r="E9" s="35"/>
      <c r="F9" s="38"/>
      <c r="G9" s="38" t="e">
        <f>AVERAGE(F8:G8)/'PL-CF-BS'!G6*365</f>
        <v>#DIV/0!</v>
      </c>
      <c r="H9" s="38">
        <f>AVERAGE(G8:H8)/'PL-CF-BS'!H6*365</f>
        <v>29.6774554821369</v>
      </c>
      <c r="I9" s="38">
        <f>AVERAGE(H8:I8)/'PL-CF-BS'!I6*365</f>
        <v>57.6565365803953</v>
      </c>
      <c r="J9" s="38">
        <f>AVERAGE(I8:J8)/'PL-CF-BS'!J6*365</f>
        <v>64.840617771781</v>
      </c>
      <c r="K9" s="38">
        <f>AVERAGE(J8:K8)/'PL-CF-BS'!K6*365</f>
        <v>67.2770089670633</v>
      </c>
      <c r="L9" s="39">
        <v>66</v>
      </c>
      <c r="M9" s="39">
        <f t="shared" ref="M9:T9" si="0">L9</f>
        <v>66</v>
      </c>
      <c r="N9" s="39">
        <f t="shared" si="0"/>
        <v>66</v>
      </c>
      <c r="O9" s="39">
        <f t="shared" si="0"/>
        <v>66</v>
      </c>
      <c r="P9" s="39">
        <f t="shared" si="0"/>
        <v>66</v>
      </c>
      <c r="Q9" s="39">
        <f t="shared" si="0"/>
        <v>66</v>
      </c>
      <c r="R9" s="39">
        <f t="shared" si="0"/>
        <v>66</v>
      </c>
      <c r="S9" s="39">
        <f t="shared" si="0"/>
        <v>66</v>
      </c>
      <c r="T9" s="39">
        <f t="shared" si="0"/>
        <v>66</v>
      </c>
      <c r="U9" s="23"/>
      <c r="V9" s="37"/>
      <c r="W9" s="37"/>
      <c r="X9" s="37"/>
      <c r="Y9" s="23"/>
      <c r="Z9" s="23"/>
    </row>
    <row r="10" customHeight="1" spans="1:26">
      <c r="A10" s="23"/>
      <c r="B10" s="34" t="s">
        <v>324</v>
      </c>
      <c r="C10" s="23"/>
      <c r="D10" s="38"/>
      <c r="E10" s="38"/>
      <c r="F10" s="38">
        <f>'PL-CF-BS'!F97</f>
        <v>0</v>
      </c>
      <c r="G10" s="38">
        <f>'PL-CF-BS'!G97</f>
        <v>0</v>
      </c>
      <c r="H10" s="38">
        <f>'PL-CF-BS'!H97</f>
        <v>2109</v>
      </c>
      <c r="I10" s="38">
        <f>'PL-CF-BS'!I97</f>
        <v>2969</v>
      </c>
      <c r="J10" s="38">
        <f>'PL-CF-BS'!J97</f>
        <v>3430</v>
      </c>
      <c r="K10" s="38">
        <f>'PL-CF-BS'!K97</f>
        <v>3739</v>
      </c>
      <c r="L10" s="38">
        <f>'PL-CF-BS'!L97</f>
        <v>4228</v>
      </c>
      <c r="M10" s="38">
        <f>-M11/365*'PL-CF-BS'!M7</f>
        <v>4177.14794520548</v>
      </c>
      <c r="N10" s="38">
        <f>-N11/365*'PL-CF-BS'!N7</f>
        <v>4482.59989485169</v>
      </c>
      <c r="O10" s="38">
        <f>-O11/365*'PL-CF-BS'!O7</f>
        <v>4813.78723777631</v>
      </c>
      <c r="P10" s="38">
        <f>-P11/365*'PL-CF-BS'!P7</f>
        <v>5173.02956363704</v>
      </c>
      <c r="Q10" s="38">
        <f>-Q11/365*'PL-CF-BS'!Q7</f>
        <v>5560.8529315802</v>
      </c>
      <c r="R10" s="38">
        <f>-R11/365*'PL-CF-BS'!R7</f>
        <v>6087.49070570294</v>
      </c>
      <c r="S10" s="38">
        <f>-S11/365*'PL-CF-BS'!S7</f>
        <v>6561.51019988832</v>
      </c>
      <c r="T10" s="38">
        <f>-T11/365*'PL-CF-BS'!T7</f>
        <v>7077.49304260547</v>
      </c>
      <c r="U10" s="23"/>
      <c r="V10" s="23"/>
      <c r="W10" s="23"/>
      <c r="X10" s="23"/>
      <c r="Y10" s="23"/>
      <c r="Z10" s="23"/>
    </row>
    <row r="11" customHeight="1" spans="1:26">
      <c r="A11" s="23"/>
      <c r="B11" s="34"/>
      <c r="C11" s="23" t="s">
        <v>323</v>
      </c>
      <c r="D11" s="30"/>
      <c r="E11" s="30"/>
      <c r="F11" s="38"/>
      <c r="G11" s="38" t="e">
        <f>-AVERAGE(F10:G10)/'PL-CF-BS'!G7*365</f>
        <v>#DIV/0!</v>
      </c>
      <c r="H11" s="38">
        <f>-AVERAGE(G10:H10)/'PL-CF-BS'!H7*365</f>
        <v>-31.0197050290135</v>
      </c>
      <c r="I11" s="38">
        <f>-AVERAGE(H10:I10)/'PL-CF-BS'!I7*365</f>
        <v>-69.7160159482434</v>
      </c>
      <c r="J11" s="38">
        <f>-AVERAGE(I10:J10)/'PL-CF-BS'!J7*365</f>
        <v>-84.2277316985215</v>
      </c>
      <c r="K11" s="38">
        <f>-AVERAGE(J10:K10)/'PL-CF-BS'!K7*365</f>
        <v>-88.6290814252811</v>
      </c>
      <c r="L11" s="39">
        <v>-89</v>
      </c>
      <c r="M11" s="39">
        <f t="shared" ref="M11:T11" si="1">L11</f>
        <v>-89</v>
      </c>
      <c r="N11" s="39">
        <f t="shared" si="1"/>
        <v>-89</v>
      </c>
      <c r="O11" s="39">
        <f t="shared" si="1"/>
        <v>-89</v>
      </c>
      <c r="P11" s="39">
        <f t="shared" si="1"/>
        <v>-89</v>
      </c>
      <c r="Q11" s="39">
        <f t="shared" si="1"/>
        <v>-89</v>
      </c>
      <c r="R11" s="39">
        <f t="shared" si="1"/>
        <v>-89</v>
      </c>
      <c r="S11" s="39">
        <f t="shared" si="1"/>
        <v>-89</v>
      </c>
      <c r="T11" s="39">
        <f t="shared" si="1"/>
        <v>-89</v>
      </c>
      <c r="U11" s="23"/>
      <c r="V11" s="37"/>
      <c r="W11" s="37"/>
      <c r="X11" s="37"/>
      <c r="Y11" s="23"/>
      <c r="Z11" s="23"/>
    </row>
    <row r="12" customHeight="1" spans="1:26">
      <c r="A12" s="23"/>
      <c r="B12" s="45" t="s">
        <v>112</v>
      </c>
      <c r="C12" s="23"/>
      <c r="D12" s="38"/>
      <c r="E12" s="38"/>
      <c r="F12" s="38">
        <f>'PL-CF-BS'!F98</f>
        <v>0</v>
      </c>
      <c r="G12" s="38">
        <f>'PL-CF-BS'!G98</f>
        <v>0</v>
      </c>
      <c r="H12" s="38">
        <f>'PL-CF-BS'!H98</f>
        <v>576</v>
      </c>
      <c r="I12" s="38">
        <f>'PL-CF-BS'!I98</f>
        <v>677</v>
      </c>
      <c r="J12" s="38">
        <f>'PL-CF-BS'!J98</f>
        <v>685</v>
      </c>
      <c r="K12" s="38">
        <f>'PL-CF-BS'!K98</f>
        <v>851</v>
      </c>
      <c r="L12" s="38">
        <f>'PL-CF-BS'!L98</f>
        <v>874</v>
      </c>
      <c r="M12" s="38">
        <f>M13/365*'PL-CF-BS'!M6</f>
        <v>908.846352819452</v>
      </c>
      <c r="N12" s="38">
        <f>N13/365*'PL-CF-BS'!N6</f>
        <v>976.870605276772</v>
      </c>
      <c r="O12" s="38">
        <f>O13/365*'PL-CF-BS'!O6</f>
        <v>1050.73095830316</v>
      </c>
      <c r="P12" s="38">
        <f>P13/365*'PL-CF-BS'!P6</f>
        <v>1130.96272636937</v>
      </c>
      <c r="Q12" s="38">
        <f>Q13/365*'PL-CF-BS'!Q6</f>
        <v>1217.71193100546</v>
      </c>
      <c r="R12" s="38">
        <f>R13/365*'PL-CF-BS'!R6</f>
        <v>1312.04502690701</v>
      </c>
      <c r="S12" s="38">
        <f>S13/365*'PL-CF-BS'!S6</f>
        <v>1414.21108350899</v>
      </c>
      <c r="T12" s="38">
        <f>T13/365*'PL-CF-BS'!T6</f>
        <v>1525.42155683623</v>
      </c>
      <c r="U12" s="37"/>
      <c r="V12" s="23"/>
      <c r="W12" s="23"/>
      <c r="X12" s="23"/>
      <c r="Y12" s="23"/>
      <c r="Z12" s="23"/>
    </row>
    <row r="13" customHeight="1" spans="1:26">
      <c r="A13" s="23"/>
      <c r="B13" s="34"/>
      <c r="C13" s="23" t="s">
        <v>323</v>
      </c>
      <c r="D13" s="35"/>
      <c r="E13" s="35"/>
      <c r="F13" s="38"/>
      <c r="G13" s="38" t="e">
        <f>AVERAGE(F12:G12)/'PL-CF-BS'!G6*365</f>
        <v>#DIV/0!</v>
      </c>
      <c r="H13" s="38">
        <f>AVERAGE(G12:H12)/'PL-CF-BS'!H6*365</f>
        <v>5.88643745100235</v>
      </c>
      <c r="I13" s="38">
        <f>AVERAGE(H12:I12)/'PL-CF-BS'!I6*365</f>
        <v>11.6503209700428</v>
      </c>
      <c r="J13" s="38">
        <f>AVERAGE(I12:J12)/'PL-CF-BS'!J6*365</f>
        <v>11.9778816499614</v>
      </c>
      <c r="K13" s="38">
        <f>AVERAGE(J12:K12)/'PL-CF-BS'!K6*365</f>
        <v>12.0848422141749</v>
      </c>
      <c r="L13" s="46">
        <f t="shared" ref="L13:T13" si="2">K13</f>
        <v>12.0848422141749</v>
      </c>
      <c r="M13" s="46">
        <f t="shared" si="2"/>
        <v>12.0848422141749</v>
      </c>
      <c r="N13" s="46">
        <f t="shared" si="2"/>
        <v>12.0848422141749</v>
      </c>
      <c r="O13" s="46">
        <f t="shared" si="2"/>
        <v>12.0848422141749</v>
      </c>
      <c r="P13" s="46">
        <f t="shared" si="2"/>
        <v>12.0848422141749</v>
      </c>
      <c r="Q13" s="46">
        <f t="shared" si="2"/>
        <v>12.0848422141749</v>
      </c>
      <c r="R13" s="46">
        <f t="shared" si="2"/>
        <v>12.0848422141749</v>
      </c>
      <c r="S13" s="46">
        <f t="shared" si="2"/>
        <v>12.0848422141749</v>
      </c>
      <c r="T13" s="46">
        <f t="shared" si="2"/>
        <v>12.0848422141749</v>
      </c>
      <c r="U13" s="23"/>
      <c r="V13" s="23"/>
      <c r="W13" s="23"/>
      <c r="X13" s="23"/>
      <c r="Y13" s="23"/>
      <c r="Z13" s="23"/>
    </row>
    <row r="14" customHeight="1" spans="1:26">
      <c r="A14" s="23"/>
      <c r="B14" s="34"/>
      <c r="C14" s="23"/>
      <c r="D14" s="35"/>
      <c r="E14" s="35"/>
      <c r="F14" s="38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23"/>
      <c r="V14" s="23"/>
      <c r="W14" s="23"/>
      <c r="X14" s="23"/>
      <c r="Y14" s="23"/>
      <c r="Z14" s="23"/>
    </row>
    <row r="15" customHeight="1" spans="1:26">
      <c r="A15" s="23"/>
      <c r="B15" s="34" t="s">
        <v>325</v>
      </c>
      <c r="C15" s="23"/>
      <c r="D15" s="38"/>
      <c r="E15" s="38"/>
      <c r="F15" s="38">
        <f>'PL-CF-BS'!F115</f>
        <v>0</v>
      </c>
      <c r="G15" s="38">
        <f>'PL-CF-BS'!G115</f>
        <v>0</v>
      </c>
      <c r="H15" s="38">
        <f>'PL-CF-BS'!H115</f>
        <v>1987</v>
      </c>
      <c r="I15" s="38">
        <f>'PL-CF-BS'!I115</f>
        <v>2797</v>
      </c>
      <c r="J15" s="38">
        <f>'PL-CF-BS'!J115</f>
        <v>3072</v>
      </c>
      <c r="K15" s="38">
        <f>'PL-CF-BS'!K115</f>
        <v>3365</v>
      </c>
      <c r="L15" s="38">
        <f>'PL-CF-BS'!L115</f>
        <v>3678</v>
      </c>
      <c r="M15" s="38">
        <f>-2*M16/365*'PL-CF-BS'!M7-L15</f>
        <v>3792.00724834033</v>
      </c>
      <c r="N15" s="38">
        <f>-2*N16/365*'PL-CF-BS'!N7-M15</f>
        <v>4224.24071443191</v>
      </c>
      <c r="O15" s="38">
        <f>-2*O16/365*'PL-CF-BS'!O7-N15</f>
        <v>4384.27065022562</v>
      </c>
      <c r="P15" s="38">
        <f>-2*P16/365*'PL-CF-BS'!P7-O15</f>
        <v>4866.67493349529</v>
      </c>
      <c r="Q15" s="38">
        <f>-2*Q16/365*'PL-CF-BS'!Q7-P15</f>
        <v>5077.81643974844</v>
      </c>
      <c r="R15" s="38">
        <f>-2*R16/365*'PL-CF-BS'!R7-Q15</f>
        <v>5808.46297680894</v>
      </c>
      <c r="S15" s="38">
        <f>-2*S16/365*'PL-CF-BS'!S7-R15</f>
        <v>5925.50704201301</v>
      </c>
      <c r="T15" s="38">
        <f>-2*T16/365*'PL-CF-BS'!T7-S15</f>
        <v>6731.19677165583</v>
      </c>
      <c r="U15" s="23"/>
      <c r="V15" s="23"/>
      <c r="W15" s="23"/>
      <c r="X15" s="23"/>
      <c r="Y15" s="23"/>
      <c r="Z15" s="23"/>
    </row>
    <row r="16" customHeight="1" spans="1:26">
      <c r="A16" s="23"/>
      <c r="B16" s="34"/>
      <c r="C16" s="23" t="s">
        <v>323</v>
      </c>
      <c r="D16" s="38"/>
      <c r="E16" s="38"/>
      <c r="F16" s="38"/>
      <c r="G16" s="38" t="e">
        <f>-AVERAGE(F15:G15)/'PL-CF-BS'!G7*365</f>
        <v>#DIV/0!</v>
      </c>
      <c r="H16" s="38">
        <f>-AVERAGE(G15:H15)/'PL-CF-BS'!H7*365</f>
        <v>-29.2252981947131</v>
      </c>
      <c r="I16" s="38">
        <f>-AVERAGE(H15:I15)/'PL-CF-BS'!I7*365</f>
        <v>-65.6796810351313</v>
      </c>
      <c r="J16" s="38">
        <f>-AVERAGE(I15:J15)/'PL-CF-BS'!J7*365</f>
        <v>-77.2515326361342</v>
      </c>
      <c r="K16" s="38">
        <f>-AVERAGE(J15:K15)/'PL-CF-BS'!K7*365</f>
        <v>-79.5794946484216</v>
      </c>
      <c r="L16" s="39">
        <f t="shared" ref="L16:T16" si="3">K16</f>
        <v>-79.5794946484216</v>
      </c>
      <c r="M16" s="39">
        <f t="shared" si="3"/>
        <v>-79.5794946484216</v>
      </c>
      <c r="N16" s="39">
        <f t="shared" si="3"/>
        <v>-79.5794946484216</v>
      </c>
      <c r="O16" s="39">
        <f t="shared" si="3"/>
        <v>-79.5794946484216</v>
      </c>
      <c r="P16" s="39">
        <f t="shared" si="3"/>
        <v>-79.5794946484216</v>
      </c>
      <c r="Q16" s="39">
        <f t="shared" si="3"/>
        <v>-79.5794946484216</v>
      </c>
      <c r="R16" s="39">
        <f t="shared" si="3"/>
        <v>-79.5794946484216</v>
      </c>
      <c r="S16" s="39">
        <f t="shared" si="3"/>
        <v>-79.5794946484216</v>
      </c>
      <c r="T16" s="39">
        <f t="shared" si="3"/>
        <v>-79.5794946484216</v>
      </c>
      <c r="U16" s="23"/>
      <c r="V16" s="37"/>
      <c r="W16" s="37"/>
      <c r="X16" s="37"/>
      <c r="Y16" s="23"/>
      <c r="Z16" s="23"/>
    </row>
    <row r="17" customHeight="1" spans="1:26">
      <c r="A17" s="23"/>
      <c r="B17" s="34" t="s">
        <v>326</v>
      </c>
      <c r="C17" s="23"/>
      <c r="D17" s="38"/>
      <c r="E17" s="38"/>
      <c r="F17" s="38">
        <f>'PL-CF-BS'!F116</f>
        <v>0</v>
      </c>
      <c r="G17" s="38">
        <f>'PL-CF-BS'!G116</f>
        <v>0</v>
      </c>
      <c r="H17" s="38">
        <f>'PL-CF-BS'!H116</f>
        <v>0</v>
      </c>
      <c r="I17" s="38">
        <f>'PL-CF-BS'!I116</f>
        <v>0</v>
      </c>
      <c r="J17" s="38">
        <f>'PL-CF-BS'!J116</f>
        <v>0</v>
      </c>
      <c r="K17" s="39"/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23"/>
      <c r="V17" s="23"/>
      <c r="W17" s="23"/>
      <c r="X17" s="23"/>
      <c r="Y17" s="23"/>
      <c r="Z17" s="23"/>
    </row>
    <row r="18" customHeight="1" spans="1:26">
      <c r="A18" s="23"/>
      <c r="B18" s="34"/>
      <c r="C18" s="23" t="s">
        <v>323</v>
      </c>
      <c r="D18" s="38"/>
      <c r="E18" s="38"/>
      <c r="F18" s="38"/>
      <c r="G18" s="39"/>
      <c r="H18" s="38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23"/>
      <c r="V18" s="23"/>
      <c r="W18" s="23"/>
      <c r="X18" s="23"/>
      <c r="Y18" s="23"/>
      <c r="Z18" s="23"/>
    </row>
    <row r="19" customHeight="1" spans="1:26">
      <c r="A19" s="23"/>
      <c r="B19" s="47" t="s">
        <v>126</v>
      </c>
      <c r="C19" s="23"/>
      <c r="D19" s="38"/>
      <c r="E19" s="38"/>
      <c r="F19" s="38">
        <f>'PL-CF-BS'!F117</f>
        <v>0</v>
      </c>
      <c r="G19" s="38">
        <f>'PL-CF-BS'!G117</f>
        <v>0</v>
      </c>
      <c r="H19" s="38">
        <f>'PL-CF-BS'!H117</f>
        <v>351</v>
      </c>
      <c r="I19" s="38">
        <f>'PL-CF-BS'!I117</f>
        <v>501</v>
      </c>
      <c r="J19" s="38">
        <f>'PL-CF-BS'!J117</f>
        <v>467</v>
      </c>
      <c r="K19" s="38">
        <f>'PL-CF-BS'!K117</f>
        <v>676</v>
      </c>
      <c r="L19" s="38">
        <f>'PL-CF-BS'!L117</f>
        <v>670</v>
      </c>
      <c r="M19" s="38">
        <f>-2*M20/365*'PL-CF-BS'!M7-L19</f>
        <v>656.428194011652</v>
      </c>
      <c r="N19" s="38">
        <f>-2*N20/365*'PL-CF-BS'!N7-M19</f>
        <v>766.994428553003</v>
      </c>
      <c r="O19" s="38">
        <f>-2*O20/365*'PL-CF-BS'!O7-N19</f>
        <v>761.594741837485</v>
      </c>
      <c r="P19" s="38">
        <f>-2*P20/365*'PL-CF-BS'!P7-O19</f>
        <v>881.069667389329</v>
      </c>
      <c r="Q19" s="38">
        <f>-2*Q20/365*'PL-CF-BS'!Q7-P19</f>
        <v>884.745718600664</v>
      </c>
      <c r="R19" s="38">
        <f>-2*R20/365*'PL-CF-BS'!R7-Q19</f>
        <v>1048.30032351913</v>
      </c>
      <c r="S19" s="38">
        <f>-2*S20/365*'PL-CF-BS'!S7-R19</f>
        <v>1035.26775656686</v>
      </c>
      <c r="T19" s="38">
        <f>-2*T20/365*'PL-CF-BS'!T7-S19</f>
        <v>1212.14757029713</v>
      </c>
      <c r="U19" s="38"/>
      <c r="V19" s="23"/>
      <c r="W19" s="23"/>
      <c r="X19" s="23"/>
      <c r="Y19" s="23"/>
      <c r="Z19" s="23"/>
    </row>
    <row r="20" customHeight="1" spans="1:26">
      <c r="A20" s="23"/>
      <c r="B20" s="23"/>
      <c r="C20" s="23" t="s">
        <v>323</v>
      </c>
      <c r="D20" s="38"/>
      <c r="E20" s="38"/>
      <c r="F20" s="38"/>
      <c r="G20" s="38">
        <v>38.6939018481841</v>
      </c>
      <c r="H20" s="38">
        <v>33.6625969144923</v>
      </c>
      <c r="I20" s="38">
        <f>-AVERAGE(H19:I19)/'PL-CF-BS'!I7*365</f>
        <v>-11.6971338298353</v>
      </c>
      <c r="J20" s="38">
        <f>-AVERAGE(I19:J19)/'PL-CF-BS'!J7*365</f>
        <v>-12.7414352686621</v>
      </c>
      <c r="K20" s="38">
        <f>-AVERAGE(J19:K19)/'PL-CF-BS'!K7*365</f>
        <v>-14.1307072212437</v>
      </c>
      <c r="L20" s="39">
        <f t="shared" ref="L20:T20" si="4">K20</f>
        <v>-14.1307072212437</v>
      </c>
      <c r="M20" s="39">
        <f t="shared" si="4"/>
        <v>-14.1307072212437</v>
      </c>
      <c r="N20" s="39">
        <f t="shared" si="4"/>
        <v>-14.1307072212437</v>
      </c>
      <c r="O20" s="39">
        <f t="shared" si="4"/>
        <v>-14.1307072212437</v>
      </c>
      <c r="P20" s="39">
        <f t="shared" si="4"/>
        <v>-14.1307072212437</v>
      </c>
      <c r="Q20" s="39">
        <f t="shared" si="4"/>
        <v>-14.1307072212437</v>
      </c>
      <c r="R20" s="39">
        <f t="shared" si="4"/>
        <v>-14.1307072212437</v>
      </c>
      <c r="S20" s="39">
        <f t="shared" si="4"/>
        <v>-14.1307072212437</v>
      </c>
      <c r="T20" s="39">
        <f t="shared" si="4"/>
        <v>-14.1307072212437</v>
      </c>
      <c r="U20" s="23"/>
      <c r="V20" s="37"/>
      <c r="W20" s="37"/>
      <c r="X20" s="37"/>
      <c r="Y20" s="23"/>
      <c r="Z20" s="23"/>
    </row>
    <row r="21" customHeight="1" spans="1:26">
      <c r="A21" s="23"/>
      <c r="B21" s="34" t="s">
        <v>327</v>
      </c>
      <c r="C21" s="23"/>
      <c r="D21" s="38"/>
      <c r="E21" s="38"/>
      <c r="F21" s="38">
        <f>'PL-CF-BS'!F118</f>
        <v>0</v>
      </c>
      <c r="G21" s="38">
        <f>'PL-CF-BS'!G118</f>
        <v>0</v>
      </c>
      <c r="H21" s="38">
        <f>'PL-CF-BS'!H118</f>
        <v>0</v>
      </c>
      <c r="I21" s="38">
        <f>'PL-CF-BS'!I118</f>
        <v>0</v>
      </c>
      <c r="J21" s="38">
        <f>'PL-CF-BS'!J118</f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23"/>
      <c r="V21" s="23"/>
      <c r="W21" s="23"/>
      <c r="X21" s="23"/>
      <c r="Y21" s="23"/>
      <c r="Z21" s="23"/>
    </row>
    <row r="22" customHeight="1" spans="1:26">
      <c r="A22" s="23"/>
      <c r="B22" s="23"/>
      <c r="C22" s="23"/>
      <c r="D22" s="27"/>
      <c r="E22" s="27"/>
      <c r="F22" s="38"/>
      <c r="G22" s="38"/>
      <c r="H22" s="3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23"/>
      <c r="V22" s="23"/>
      <c r="W22" s="23"/>
      <c r="X22" s="23"/>
      <c r="Y22" s="23"/>
      <c r="Z22" s="23"/>
    </row>
    <row r="23" customHeight="1" spans="1:26">
      <c r="A23" s="23"/>
      <c r="B23" s="23"/>
      <c r="C23" s="23"/>
      <c r="D23" s="27"/>
      <c r="E23" s="27"/>
      <c r="F23" s="38"/>
      <c r="G23" s="38"/>
      <c r="H23" s="38"/>
      <c r="I23" s="3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23"/>
      <c r="V23" s="23"/>
      <c r="W23" s="23"/>
      <c r="X23" s="23"/>
      <c r="Y23" s="23"/>
      <c r="Z23" s="23"/>
    </row>
    <row r="24" customHeight="1" spans="1:26">
      <c r="A24" s="23"/>
      <c r="B24" s="34" t="s">
        <v>328</v>
      </c>
      <c r="C24" s="23"/>
      <c r="D24" s="38"/>
      <c r="E24" s="38"/>
      <c r="F24" s="38"/>
      <c r="G24" s="38">
        <f t="shared" ref="G24:T24" si="5">(G15+G17+G19+G21-G8-G10-G12)-(F15+F17+F19+F21-F8-F10-F12)</f>
        <v>0</v>
      </c>
      <c r="H24" s="38">
        <f t="shared" si="5"/>
        <v>-3251</v>
      </c>
      <c r="I24" s="38">
        <f t="shared" si="5"/>
        <v>-394</v>
      </c>
      <c r="J24" s="38">
        <f t="shared" si="5"/>
        <v>-1007</v>
      </c>
      <c r="K24" s="38">
        <f t="shared" si="5"/>
        <v>-372</v>
      </c>
      <c r="L24" s="38">
        <f t="shared" si="5"/>
        <v>-349</v>
      </c>
      <c r="M24" s="38">
        <f t="shared" si="5"/>
        <v>-572.68214334418</v>
      </c>
      <c r="N24" s="38">
        <f t="shared" si="5"/>
        <v>115.433251954066</v>
      </c>
      <c r="O24" s="38">
        <f t="shared" si="5"/>
        <v>-1003.28714194132</v>
      </c>
      <c r="P24" s="38">
        <f t="shared" si="5"/>
        <v>38.9213419534717</v>
      </c>
      <c r="Q24" s="38">
        <f t="shared" si="5"/>
        <v>-1083.81319671672</v>
      </c>
      <c r="R24" s="38">
        <f t="shared" si="5"/>
        <v>66.9093688881885</v>
      </c>
      <c r="S24" s="38">
        <f t="shared" si="5"/>
        <v>-1381.78989340471</v>
      </c>
      <c r="T24" s="38">
        <f t="shared" si="5"/>
        <v>50.2652046582789</v>
      </c>
      <c r="U24" s="38"/>
      <c r="V24" s="23"/>
      <c r="W24" s="23"/>
      <c r="X24" s="23"/>
      <c r="Y24" s="23"/>
      <c r="Z24" s="23"/>
    </row>
    <row r="25" customHeight="1" spans="1:26">
      <c r="A25" s="23"/>
      <c r="B25" s="23"/>
      <c r="C25" s="23"/>
      <c r="D25" s="38"/>
      <c r="E25" s="38"/>
      <c r="F25" s="38"/>
      <c r="G25" s="3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23"/>
      <c r="V25" s="23"/>
      <c r="W25" s="23"/>
      <c r="X25" s="23"/>
      <c r="Y25" s="23"/>
      <c r="Z25" s="23"/>
    </row>
    <row r="26" customHeight="1" spans="1:26">
      <c r="A26" s="40"/>
      <c r="B26" s="41" t="s">
        <v>329</v>
      </c>
      <c r="C26" s="40"/>
      <c r="D26" s="42"/>
      <c r="E26" s="42"/>
      <c r="F26" s="42"/>
      <c r="G26" s="42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customHeight="1" spans="1:26">
      <c r="A27" s="23"/>
      <c r="B27" s="49" t="s">
        <v>330</v>
      </c>
      <c r="C27" s="49"/>
      <c r="D27" s="27"/>
      <c r="E27" s="27"/>
      <c r="F27" s="38"/>
      <c r="G27" s="3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23"/>
      <c r="V27" s="23"/>
      <c r="W27" s="23"/>
      <c r="X27" s="23"/>
      <c r="Y27" s="23"/>
      <c r="Z27" s="23"/>
    </row>
    <row r="28" customHeight="1" spans="1:26">
      <c r="A28" s="23"/>
      <c r="B28" s="48"/>
      <c r="C28" s="48" t="s">
        <v>331</v>
      </c>
      <c r="D28" s="38"/>
      <c r="E28" s="38"/>
      <c r="F28" s="38"/>
      <c r="G28" s="38">
        <f t="shared" ref="G28:T28" si="6">F30</f>
        <v>0</v>
      </c>
      <c r="H28" s="38">
        <f t="shared" si="6"/>
        <v>0</v>
      </c>
      <c r="I28" s="38">
        <f t="shared" si="6"/>
        <v>7010</v>
      </c>
      <c r="J28" s="38">
        <f t="shared" si="6"/>
        <v>6831</v>
      </c>
      <c r="K28" s="38">
        <f t="shared" si="6"/>
        <v>8321</v>
      </c>
      <c r="L28" s="38">
        <f t="shared" si="6"/>
        <v>8244</v>
      </c>
      <c r="M28" s="38">
        <f t="shared" si="6"/>
        <v>8478</v>
      </c>
      <c r="N28" s="38">
        <f t="shared" si="6"/>
        <v>8528</v>
      </c>
      <c r="O28" s="38">
        <f t="shared" si="6"/>
        <v>8578</v>
      </c>
      <c r="P28" s="38">
        <f t="shared" si="6"/>
        <v>8628</v>
      </c>
      <c r="Q28" s="38">
        <f t="shared" si="6"/>
        <v>8678</v>
      </c>
      <c r="R28" s="38">
        <f t="shared" si="6"/>
        <v>8728</v>
      </c>
      <c r="S28" s="38">
        <f t="shared" si="6"/>
        <v>8778</v>
      </c>
      <c r="T28" s="38">
        <f t="shared" si="6"/>
        <v>8828</v>
      </c>
      <c r="U28" s="23"/>
      <c r="V28" s="23"/>
      <c r="W28" s="23"/>
      <c r="X28" s="23"/>
      <c r="Y28" s="23"/>
      <c r="Z28" s="23"/>
    </row>
    <row r="29" customHeight="1" spans="1:26">
      <c r="A29" s="23"/>
      <c r="B29" s="48"/>
      <c r="C29" s="48" t="s">
        <v>332</v>
      </c>
      <c r="D29" s="50"/>
      <c r="E29" s="50"/>
      <c r="F29" s="50"/>
      <c r="G29" s="38">
        <f t="shared" ref="G29:K29" si="7">G30-G28</f>
        <v>0</v>
      </c>
      <c r="H29" s="38">
        <f t="shared" si="7"/>
        <v>7010</v>
      </c>
      <c r="I29" s="38">
        <f t="shared" si="7"/>
        <v>-179</v>
      </c>
      <c r="J29" s="38">
        <f t="shared" si="7"/>
        <v>1490</v>
      </c>
      <c r="K29" s="38">
        <f t="shared" si="7"/>
        <v>-77</v>
      </c>
      <c r="L29" s="39">
        <v>50</v>
      </c>
      <c r="M29" s="39">
        <f t="shared" ref="M29:T29" si="8">L29</f>
        <v>50</v>
      </c>
      <c r="N29" s="39">
        <f t="shared" si="8"/>
        <v>50</v>
      </c>
      <c r="O29" s="39">
        <f t="shared" si="8"/>
        <v>50</v>
      </c>
      <c r="P29" s="39">
        <f t="shared" si="8"/>
        <v>50</v>
      </c>
      <c r="Q29" s="39">
        <f t="shared" si="8"/>
        <v>50</v>
      </c>
      <c r="R29" s="39">
        <f t="shared" si="8"/>
        <v>50</v>
      </c>
      <c r="S29" s="39">
        <f t="shared" si="8"/>
        <v>50</v>
      </c>
      <c r="T29" s="39">
        <f t="shared" si="8"/>
        <v>50</v>
      </c>
      <c r="U29" s="39"/>
      <c r="V29" s="23"/>
      <c r="W29" s="23"/>
      <c r="X29" s="23"/>
      <c r="Y29" s="23"/>
      <c r="Z29" s="23"/>
    </row>
    <row r="30" customHeight="1" spans="1:26">
      <c r="A30" s="23"/>
      <c r="B30" s="48"/>
      <c r="C30" s="48" t="s">
        <v>333</v>
      </c>
      <c r="D30" s="38"/>
      <c r="E30" s="38"/>
      <c r="F30" s="38">
        <f>'PL-CF-BS'!F124</f>
        <v>0</v>
      </c>
      <c r="G30" s="38">
        <f>'PL-CF-BS'!G124</f>
        <v>0</v>
      </c>
      <c r="H30" s="38">
        <f>'PL-CF-BS'!H124</f>
        <v>7010</v>
      </c>
      <c r="I30" s="38">
        <f>'PL-CF-BS'!I124</f>
        <v>6831</v>
      </c>
      <c r="J30" s="38">
        <f>'PL-CF-BS'!J124</f>
        <v>8321</v>
      </c>
      <c r="K30" s="38">
        <f>'PL-CF-BS'!K124</f>
        <v>8244</v>
      </c>
      <c r="L30" s="38">
        <f>'PL-CF-BS'!L124</f>
        <v>8478</v>
      </c>
      <c r="M30" s="38">
        <f t="shared" ref="M30:T30" si="9">M28+M29</f>
        <v>8528</v>
      </c>
      <c r="N30" s="38">
        <f t="shared" si="9"/>
        <v>8578</v>
      </c>
      <c r="O30" s="38">
        <f t="shared" si="9"/>
        <v>8628</v>
      </c>
      <c r="P30" s="38">
        <f t="shared" si="9"/>
        <v>8678</v>
      </c>
      <c r="Q30" s="38">
        <f t="shared" si="9"/>
        <v>8728</v>
      </c>
      <c r="R30" s="38">
        <f t="shared" si="9"/>
        <v>8778</v>
      </c>
      <c r="S30" s="38">
        <f t="shared" si="9"/>
        <v>8828</v>
      </c>
      <c r="T30" s="38">
        <f t="shared" si="9"/>
        <v>8878</v>
      </c>
      <c r="U30" s="23"/>
      <c r="V30" s="23"/>
      <c r="W30" s="23"/>
      <c r="X30" s="23"/>
      <c r="Y30" s="23"/>
      <c r="Z30" s="23"/>
    </row>
    <row r="31" customHeight="1" spans="1:26">
      <c r="A31" s="23"/>
      <c r="B31" s="48"/>
      <c r="C31" s="48" t="s">
        <v>334</v>
      </c>
      <c r="D31" s="38"/>
      <c r="E31" s="38"/>
      <c r="F31" s="38"/>
      <c r="G31" s="51"/>
      <c r="H31" s="51"/>
      <c r="I31" s="51"/>
      <c r="J31" s="51"/>
      <c r="K31" s="38">
        <f t="shared" ref="K31:T31" si="10">-K45*AVERAGE(K28,K30)</f>
        <v>0</v>
      </c>
      <c r="L31" s="38">
        <f t="shared" si="10"/>
        <v>0</v>
      </c>
      <c r="M31" s="38">
        <f t="shared" si="10"/>
        <v>0</v>
      </c>
      <c r="N31" s="38">
        <f t="shared" si="10"/>
        <v>0</v>
      </c>
      <c r="O31" s="38">
        <f t="shared" si="10"/>
        <v>0</v>
      </c>
      <c r="P31" s="38">
        <f t="shared" si="10"/>
        <v>0</v>
      </c>
      <c r="Q31" s="38">
        <f t="shared" si="10"/>
        <v>0</v>
      </c>
      <c r="R31" s="38">
        <f t="shared" si="10"/>
        <v>0</v>
      </c>
      <c r="S31" s="38">
        <f t="shared" si="10"/>
        <v>0</v>
      </c>
      <c r="T31" s="38">
        <f t="shared" si="10"/>
        <v>0</v>
      </c>
      <c r="U31" s="23"/>
      <c r="V31" s="23"/>
      <c r="W31" s="23"/>
      <c r="X31" s="23"/>
      <c r="Y31" s="23"/>
      <c r="Z31" s="23"/>
    </row>
    <row r="32" customHeight="1" spans="1:26">
      <c r="A32" s="23"/>
      <c r="B32" s="49" t="s">
        <v>335</v>
      </c>
      <c r="C32" s="23"/>
      <c r="D32" s="27"/>
      <c r="E32" s="27"/>
      <c r="F32" s="38"/>
      <c r="G32" s="3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23"/>
      <c r="V32" s="23"/>
      <c r="W32" s="23"/>
      <c r="X32" s="23"/>
      <c r="Y32" s="23"/>
      <c r="Z32" s="23"/>
    </row>
    <row r="33" customHeight="1" spans="1:26">
      <c r="A33" s="23"/>
      <c r="B33" s="23"/>
      <c r="C33" s="23"/>
      <c r="D33" s="27"/>
      <c r="E33" s="27"/>
      <c r="F33" s="38"/>
      <c r="G33" s="3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23"/>
      <c r="V33" s="23"/>
      <c r="W33" s="23"/>
      <c r="X33" s="23"/>
      <c r="Y33" s="23"/>
      <c r="Z33" s="23"/>
    </row>
    <row r="34" customHeight="1" spans="1:26">
      <c r="A34" s="23"/>
      <c r="B34" s="48"/>
      <c r="C34" s="48" t="s">
        <v>331</v>
      </c>
      <c r="D34" s="38"/>
      <c r="E34" s="38"/>
      <c r="F34" s="38"/>
      <c r="G34" s="38">
        <f t="shared" ref="G34:T34" si="11">F36</f>
        <v>0</v>
      </c>
      <c r="H34" s="38">
        <f t="shared" si="11"/>
        <v>0</v>
      </c>
      <c r="I34" s="38">
        <f t="shared" si="11"/>
        <v>1048</v>
      </c>
      <c r="J34" s="38">
        <f t="shared" si="11"/>
        <v>1748</v>
      </c>
      <c r="K34" s="38">
        <f t="shared" si="11"/>
        <v>334</v>
      </c>
      <c r="L34" s="38">
        <f t="shared" si="11"/>
        <v>1025</v>
      </c>
      <c r="M34" s="38">
        <f t="shared" si="11"/>
        <v>674</v>
      </c>
      <c r="N34" s="38">
        <f t="shared" si="11"/>
        <v>323</v>
      </c>
      <c r="O34" s="38">
        <f t="shared" si="11"/>
        <v>-28</v>
      </c>
      <c r="P34" s="38">
        <f t="shared" si="11"/>
        <v>-379</v>
      </c>
      <c r="Q34" s="38">
        <f t="shared" si="11"/>
        <v>-730</v>
      </c>
      <c r="R34" s="38">
        <f t="shared" si="11"/>
        <v>-1081</v>
      </c>
      <c r="S34" s="38">
        <f t="shared" si="11"/>
        <v>-1432</v>
      </c>
      <c r="T34" s="38">
        <f t="shared" si="11"/>
        <v>-1783</v>
      </c>
      <c r="U34" s="23"/>
      <c r="V34" s="23"/>
      <c r="W34" s="23"/>
      <c r="X34" s="23"/>
      <c r="Y34" s="23"/>
      <c r="Z34" s="23"/>
    </row>
    <row r="35" customHeight="1" spans="1:26">
      <c r="A35" s="23"/>
      <c r="B35" s="48"/>
      <c r="C35" s="23" t="s">
        <v>332</v>
      </c>
      <c r="D35" s="50"/>
      <c r="E35" s="50"/>
      <c r="F35" s="50"/>
      <c r="G35" s="38">
        <f t="shared" ref="G35:L35" si="12">G36-G34</f>
        <v>0</v>
      </c>
      <c r="H35" s="38">
        <f t="shared" si="12"/>
        <v>1048</v>
      </c>
      <c r="I35" s="38">
        <f t="shared" si="12"/>
        <v>700</v>
      </c>
      <c r="J35" s="38">
        <f t="shared" si="12"/>
        <v>-1414</v>
      </c>
      <c r="K35" s="38">
        <f t="shared" si="12"/>
        <v>691</v>
      </c>
      <c r="L35" s="38">
        <f t="shared" si="12"/>
        <v>-351</v>
      </c>
      <c r="M35" s="39">
        <f t="shared" ref="M35:T35" si="13">L35</f>
        <v>-351</v>
      </c>
      <c r="N35" s="39">
        <f t="shared" si="13"/>
        <v>-351</v>
      </c>
      <c r="O35" s="39">
        <f t="shared" si="13"/>
        <v>-351</v>
      </c>
      <c r="P35" s="39">
        <f t="shared" si="13"/>
        <v>-351</v>
      </c>
      <c r="Q35" s="39">
        <f t="shared" si="13"/>
        <v>-351</v>
      </c>
      <c r="R35" s="39">
        <f t="shared" si="13"/>
        <v>-351</v>
      </c>
      <c r="S35" s="39">
        <f t="shared" si="13"/>
        <v>-351</v>
      </c>
      <c r="T35" s="39">
        <f t="shared" si="13"/>
        <v>-351</v>
      </c>
      <c r="U35" s="23"/>
      <c r="V35" s="23"/>
      <c r="W35" s="23"/>
      <c r="X35" s="23"/>
      <c r="Y35" s="23"/>
      <c r="Z35" s="23"/>
    </row>
    <row r="36" customHeight="1" spans="1:26">
      <c r="A36" s="23"/>
      <c r="B36" s="48"/>
      <c r="C36" s="48" t="s">
        <v>336</v>
      </c>
      <c r="D36" s="38"/>
      <c r="E36" s="38"/>
      <c r="F36" s="38">
        <f>'PL-CF-BS'!F113</f>
        <v>0</v>
      </c>
      <c r="G36" s="38">
        <f>'PL-CF-BS'!G113</f>
        <v>0</v>
      </c>
      <c r="H36" s="38">
        <f>'PL-CF-BS'!H113</f>
        <v>1048</v>
      </c>
      <c r="I36" s="38">
        <f>'PL-CF-BS'!I113</f>
        <v>1748</v>
      </c>
      <c r="J36" s="38">
        <f>'PL-CF-BS'!J113</f>
        <v>334</v>
      </c>
      <c r="K36" s="38">
        <f>'PL-CF-BS'!K113</f>
        <v>1025</v>
      </c>
      <c r="L36" s="38">
        <f>'PL-CF-BS'!L113</f>
        <v>674</v>
      </c>
      <c r="M36" s="38">
        <f t="shared" ref="M36:T36" si="14">M35+M34</f>
        <v>323</v>
      </c>
      <c r="N36" s="38">
        <f t="shared" si="14"/>
        <v>-28</v>
      </c>
      <c r="O36" s="38">
        <f t="shared" si="14"/>
        <v>-379</v>
      </c>
      <c r="P36" s="38">
        <f t="shared" si="14"/>
        <v>-730</v>
      </c>
      <c r="Q36" s="38">
        <f t="shared" si="14"/>
        <v>-1081</v>
      </c>
      <c r="R36" s="38">
        <f t="shared" si="14"/>
        <v>-1432</v>
      </c>
      <c r="S36" s="38">
        <f t="shared" si="14"/>
        <v>-1783</v>
      </c>
      <c r="T36" s="38">
        <f t="shared" si="14"/>
        <v>-2134</v>
      </c>
      <c r="U36" s="38"/>
      <c r="V36" s="23"/>
      <c r="W36" s="23"/>
      <c r="X36" s="23"/>
      <c r="Y36" s="23"/>
      <c r="Z36" s="23"/>
    </row>
    <row r="37" customHeight="1" spans="1:26">
      <c r="A37" s="23"/>
      <c r="B37" s="48"/>
      <c r="C37" s="48" t="s">
        <v>334</v>
      </c>
      <c r="D37" s="38"/>
      <c r="E37" s="38"/>
      <c r="F37" s="38">
        <f>'PL-CF-BS'!F154</f>
        <v>0</v>
      </c>
      <c r="G37" s="38">
        <f>'PL-CF-BS'!G154</f>
        <v>0</v>
      </c>
      <c r="H37" s="38">
        <f>'PL-CF-BS'!H154</f>
        <v>-149</v>
      </c>
      <c r="I37" s="38">
        <f>'PL-CF-BS'!I154</f>
        <v>-144</v>
      </c>
      <c r="J37" s="38">
        <f>'PL-CF-BS'!J154</f>
        <v>-144</v>
      </c>
      <c r="K37" s="38">
        <f>'PL-CF-BS'!K154</f>
        <v>-151</v>
      </c>
      <c r="L37" s="38" t="str">
        <f ca="1">'PL-CF-BS'!L154</f>
        <v>#REF!</v>
      </c>
      <c r="M37" s="38">
        <f t="shared" ref="M37:T37" si="15">-M46*AVERAGE(M34,M36,M28,M30)</f>
        <v>-151.665532247266</v>
      </c>
      <c r="N37" s="38">
        <f t="shared" si="15"/>
        <v>-146.594008033921</v>
      </c>
      <c r="O37" s="38">
        <f t="shared" si="15"/>
        <v>-141.522483820576</v>
      </c>
      <c r="P37" s="38">
        <f t="shared" si="15"/>
        <v>-136.450959607231</v>
      </c>
      <c r="Q37" s="38">
        <f t="shared" si="15"/>
        <v>-131.379435393885</v>
      </c>
      <c r="R37" s="38">
        <f t="shared" si="15"/>
        <v>-126.30791118054</v>
      </c>
      <c r="S37" s="38">
        <f t="shared" si="15"/>
        <v>-121.236386967195</v>
      </c>
      <c r="T37" s="38">
        <f t="shared" si="15"/>
        <v>-116.16486275385</v>
      </c>
      <c r="U37" s="23"/>
      <c r="V37" s="23"/>
      <c r="W37" s="23"/>
      <c r="X37" s="23"/>
      <c r="Y37" s="23"/>
      <c r="Z37" s="23"/>
    </row>
    <row r="38" customHeight="1" spans="1:26">
      <c r="A38" s="23"/>
      <c r="B38" s="48"/>
      <c r="C38" s="48"/>
      <c r="D38" s="38"/>
      <c r="E38" s="38"/>
      <c r="F38" s="38"/>
      <c r="G38" s="3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23"/>
      <c r="V38" s="23"/>
      <c r="W38" s="23"/>
      <c r="X38" s="23"/>
      <c r="Y38" s="23"/>
      <c r="Z38" s="23"/>
    </row>
    <row r="39" customHeight="1" spans="1:26">
      <c r="A39" s="23"/>
      <c r="B39" s="49" t="s">
        <v>337</v>
      </c>
      <c r="C39" s="48"/>
      <c r="D39" s="38"/>
      <c r="E39" s="38"/>
      <c r="F39" s="38"/>
      <c r="G39" s="3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23"/>
      <c r="V39" s="23"/>
      <c r="W39" s="23"/>
      <c r="X39" s="23"/>
      <c r="Y39" s="23"/>
      <c r="Z39" s="23"/>
    </row>
    <row r="40" customHeight="1" spans="1:26">
      <c r="A40" s="23"/>
      <c r="B40" s="49"/>
      <c r="C40" s="48" t="s">
        <v>108</v>
      </c>
      <c r="D40" s="38"/>
      <c r="E40" s="38"/>
      <c r="F40" s="38">
        <f>'PL-CF-BS'!F94</f>
        <v>0</v>
      </c>
      <c r="G40" s="38">
        <f>'PL-CF-BS'!G94</f>
        <v>0</v>
      </c>
      <c r="H40" s="38">
        <f>'PL-CF-BS'!H94</f>
        <v>438</v>
      </c>
      <c r="I40" s="38">
        <f>'PL-CF-BS'!I94</f>
        <v>297</v>
      </c>
      <c r="J40" s="38">
        <f>'PL-CF-BS'!J94</f>
        <v>294</v>
      </c>
      <c r="K40" s="38">
        <f>'PL-CF-BS'!K94</f>
        <v>488</v>
      </c>
      <c r="L40" s="38">
        <f>'PL-CF-BS'!L94</f>
        <v>555</v>
      </c>
      <c r="M40" s="38">
        <f>'PL-CF-BS'!M94</f>
        <v>622</v>
      </c>
      <c r="N40" s="38">
        <f>'PL-CF-BS'!N94</f>
        <v>1278.99540925476</v>
      </c>
      <c r="O40" s="38">
        <f>'PL-CF-BS'!O94</f>
        <v>582.97086263575</v>
      </c>
      <c r="P40" s="38">
        <f>'PL-CF-BS'!P94</f>
        <v>1028.22186646307</v>
      </c>
      <c r="Q40" s="38">
        <f>'PL-CF-BS'!Q94</f>
        <v>572.878293370874</v>
      </c>
      <c r="R40" s="38">
        <f>'PL-CF-BS'!R94</f>
        <v>1159.91521579918</v>
      </c>
      <c r="S40" s="38">
        <f>'PL-CF-BS'!S94</f>
        <v>656.092510332844</v>
      </c>
      <c r="T40" s="38">
        <f>'PL-CF-BS'!T94</f>
        <v>1900.68816192036</v>
      </c>
      <c r="U40" s="23"/>
      <c r="V40" s="23"/>
      <c r="W40" s="23"/>
      <c r="X40" s="23"/>
      <c r="Y40" s="23"/>
      <c r="Z40" s="23"/>
    </row>
    <row r="41" customHeight="1" spans="1:26">
      <c r="A41" s="23"/>
      <c r="B41" s="49"/>
      <c r="C41" s="48" t="s">
        <v>338</v>
      </c>
      <c r="D41" s="38"/>
      <c r="E41" s="38"/>
      <c r="F41" s="38">
        <f>'PL-CF-BS'!F95</f>
        <v>0</v>
      </c>
      <c r="G41" s="38">
        <f>'PL-CF-BS'!G95</f>
        <v>0</v>
      </c>
      <c r="H41" s="38">
        <f>'PL-CF-BS'!H95</f>
        <v>664</v>
      </c>
      <c r="I41" s="38">
        <f>'PL-CF-BS'!I95</f>
        <v>271</v>
      </c>
      <c r="J41" s="38">
        <f>'PL-CF-BS'!J95</f>
        <v>261</v>
      </c>
      <c r="K41" s="38">
        <f>'PL-CF-BS'!K95</f>
        <v>2121</v>
      </c>
      <c r="L41" s="38">
        <f>'PL-CF-BS'!L95</f>
        <v>1525</v>
      </c>
      <c r="M41" s="38">
        <f>'PL-CF-BS'!M95</f>
        <v>181</v>
      </c>
      <c r="N41" s="38">
        <f>'PL-CF-BS'!N95</f>
        <v>381</v>
      </c>
      <c r="O41" s="38">
        <f>'PL-CF-BS'!O95</f>
        <v>581</v>
      </c>
      <c r="P41" s="38">
        <f>'PL-CF-BS'!P95</f>
        <v>781</v>
      </c>
      <c r="Q41" s="38">
        <f>'PL-CF-BS'!Q95</f>
        <v>981</v>
      </c>
      <c r="R41" s="38">
        <f>'PL-CF-BS'!R95</f>
        <v>1181</v>
      </c>
      <c r="S41" s="38">
        <f>'PL-CF-BS'!S95</f>
        <v>1381</v>
      </c>
      <c r="T41" s="38">
        <f>'PL-CF-BS'!T95</f>
        <v>1581</v>
      </c>
      <c r="U41" s="23"/>
      <c r="V41" s="23"/>
      <c r="W41" s="23"/>
      <c r="X41" s="23"/>
      <c r="Y41" s="23"/>
      <c r="Z41" s="23"/>
    </row>
    <row r="42" customHeight="1" spans="1:26">
      <c r="A42" s="23"/>
      <c r="B42" s="48"/>
      <c r="C42" s="48" t="s">
        <v>339</v>
      </c>
      <c r="D42" s="38"/>
      <c r="E42" s="38"/>
      <c r="F42" s="38">
        <f>'PL-CF-BS'!F151+'PL-CF-BS'!F152</f>
        <v>0</v>
      </c>
      <c r="G42" s="38">
        <f>'PL-CF-BS'!G151+'PL-CF-BS'!G152</f>
        <v>0</v>
      </c>
      <c r="H42" s="38">
        <f>'PL-CF-BS'!H152</f>
        <v>0</v>
      </c>
      <c r="I42" s="38">
        <f>'PL-CF-BS'!I152</f>
        <v>0</v>
      </c>
      <c r="J42" s="38">
        <f>'PL-CF-BS'!J152</f>
        <v>0</v>
      </c>
      <c r="K42" s="38">
        <f t="shared" ref="K42:T42" si="16">SUM(J40:K41)/2*K47</f>
        <v>0</v>
      </c>
      <c r="L42" s="38">
        <f t="shared" si="16"/>
        <v>0</v>
      </c>
      <c r="M42" s="38">
        <f t="shared" si="16"/>
        <v>0</v>
      </c>
      <c r="N42" s="38">
        <f t="shared" si="16"/>
        <v>0</v>
      </c>
      <c r="O42" s="38">
        <f t="shared" si="16"/>
        <v>0</v>
      </c>
      <c r="P42" s="38">
        <f t="shared" si="16"/>
        <v>0</v>
      </c>
      <c r="Q42" s="38">
        <f t="shared" si="16"/>
        <v>0</v>
      </c>
      <c r="R42" s="38">
        <f t="shared" si="16"/>
        <v>0</v>
      </c>
      <c r="S42" s="38">
        <f t="shared" si="16"/>
        <v>0</v>
      </c>
      <c r="T42" s="38">
        <f t="shared" si="16"/>
        <v>0</v>
      </c>
      <c r="U42" s="38"/>
      <c r="V42" s="23"/>
      <c r="W42" s="23"/>
      <c r="X42" s="23"/>
      <c r="Y42" s="23"/>
      <c r="Z42" s="23"/>
    </row>
    <row r="43" customHeight="1" spans="1:26">
      <c r="A43" s="23"/>
      <c r="B43" s="23"/>
      <c r="C43" s="23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23"/>
      <c r="V43" s="23"/>
      <c r="W43" s="23"/>
      <c r="X43" s="23"/>
      <c r="Y43" s="23"/>
      <c r="Z43" s="23"/>
    </row>
    <row r="44" customHeight="1" spans="1:26">
      <c r="A44" s="23"/>
      <c r="B44" s="49" t="s">
        <v>340</v>
      </c>
      <c r="C44" s="4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23"/>
      <c r="V44" s="23"/>
      <c r="W44" s="23"/>
      <c r="X44" s="23"/>
      <c r="Y44" s="23"/>
      <c r="Z44" s="23"/>
    </row>
    <row r="45" customHeight="1" spans="1:26">
      <c r="A45" s="23"/>
      <c r="B45" s="48"/>
      <c r="C45" s="48" t="s">
        <v>341</v>
      </c>
      <c r="D45" s="52"/>
      <c r="E45" s="52"/>
      <c r="F45" s="52"/>
      <c r="G45" s="52"/>
      <c r="H45" s="52"/>
      <c r="I45" s="52"/>
      <c r="J45" s="52"/>
      <c r="K45" s="52">
        <v>0</v>
      </c>
      <c r="L45" s="52">
        <f t="shared" ref="L45:T45" si="17">K45</f>
        <v>0</v>
      </c>
      <c r="M45" s="52">
        <f t="shared" si="17"/>
        <v>0</v>
      </c>
      <c r="N45" s="52">
        <f t="shared" si="17"/>
        <v>0</v>
      </c>
      <c r="O45" s="52">
        <f t="shared" si="17"/>
        <v>0</v>
      </c>
      <c r="P45" s="52">
        <f t="shared" si="17"/>
        <v>0</v>
      </c>
      <c r="Q45" s="52">
        <f t="shared" si="17"/>
        <v>0</v>
      </c>
      <c r="R45" s="52">
        <f t="shared" si="17"/>
        <v>0</v>
      </c>
      <c r="S45" s="52">
        <f t="shared" si="17"/>
        <v>0</v>
      </c>
      <c r="T45" s="52">
        <f t="shared" si="17"/>
        <v>0</v>
      </c>
      <c r="U45" s="23"/>
      <c r="V45" s="23"/>
      <c r="W45" s="23"/>
      <c r="X45" s="23"/>
      <c r="Y45" s="23"/>
      <c r="Z45" s="23"/>
    </row>
    <row r="46" customHeight="1" spans="1:26">
      <c r="A46" s="23"/>
      <c r="B46" s="48"/>
      <c r="C46" s="48" t="s">
        <v>342</v>
      </c>
      <c r="D46" s="52"/>
      <c r="E46" s="52"/>
      <c r="F46" s="52"/>
      <c r="G46" s="53" t="e">
        <f>-G37*2/(G34+G36)</f>
        <v>#DIV/0!</v>
      </c>
      <c r="H46" s="53">
        <f t="shared" ref="H46:K46" si="18">-H37*4/(H34+H36+H28+H30)</f>
        <v>0.073963762720278</v>
      </c>
      <c r="I46" s="53">
        <f t="shared" si="18"/>
        <v>0.0346216264951614</v>
      </c>
      <c r="J46" s="53">
        <f t="shared" si="18"/>
        <v>0.0334223047464315</v>
      </c>
      <c r="K46" s="53">
        <f t="shared" si="18"/>
        <v>0.0336978353046195</v>
      </c>
      <c r="L46" s="52">
        <f t="shared" ref="L46:T46" si="19">K46</f>
        <v>0.0336978353046195</v>
      </c>
      <c r="M46" s="52">
        <f t="shared" si="19"/>
        <v>0.0336978353046195</v>
      </c>
      <c r="N46" s="52">
        <f t="shared" si="19"/>
        <v>0.0336978353046195</v>
      </c>
      <c r="O46" s="52">
        <f t="shared" si="19"/>
        <v>0.0336978353046195</v>
      </c>
      <c r="P46" s="52">
        <f t="shared" si="19"/>
        <v>0.0336978353046195</v>
      </c>
      <c r="Q46" s="52">
        <f t="shared" si="19"/>
        <v>0.0336978353046195</v>
      </c>
      <c r="R46" s="52">
        <f t="shared" si="19"/>
        <v>0.0336978353046195</v>
      </c>
      <c r="S46" s="52">
        <f t="shared" si="19"/>
        <v>0.0336978353046195</v>
      </c>
      <c r="T46" s="52">
        <f t="shared" si="19"/>
        <v>0.0336978353046195</v>
      </c>
      <c r="U46" s="23"/>
      <c r="V46" s="23"/>
      <c r="W46" s="23"/>
      <c r="X46" s="23"/>
      <c r="Y46" s="23"/>
      <c r="Z46" s="23"/>
    </row>
    <row r="47" customHeight="1" spans="1:26">
      <c r="A47" s="23"/>
      <c r="B47" s="48"/>
      <c r="C47" s="48" t="s">
        <v>343</v>
      </c>
      <c r="D47" s="52"/>
      <c r="E47" s="52"/>
      <c r="F47" s="53"/>
      <c r="G47" s="53" t="e">
        <f t="shared" ref="G47:J47" si="20">G42*2/SUM(F40:G41)</f>
        <v>#DIV/0!</v>
      </c>
      <c r="H47" s="53">
        <f t="shared" si="20"/>
        <v>0</v>
      </c>
      <c r="I47" s="53">
        <f t="shared" si="20"/>
        <v>0</v>
      </c>
      <c r="J47" s="53">
        <f t="shared" si="20"/>
        <v>0</v>
      </c>
      <c r="K47" s="52">
        <v>0</v>
      </c>
      <c r="L47" s="52">
        <f t="shared" ref="L47:T47" si="21">K47</f>
        <v>0</v>
      </c>
      <c r="M47" s="52">
        <f t="shared" si="21"/>
        <v>0</v>
      </c>
      <c r="N47" s="52">
        <f t="shared" si="21"/>
        <v>0</v>
      </c>
      <c r="O47" s="52">
        <f t="shared" si="21"/>
        <v>0</v>
      </c>
      <c r="P47" s="52">
        <f t="shared" si="21"/>
        <v>0</v>
      </c>
      <c r="Q47" s="52">
        <f t="shared" si="21"/>
        <v>0</v>
      </c>
      <c r="R47" s="52">
        <f t="shared" si="21"/>
        <v>0</v>
      </c>
      <c r="S47" s="52">
        <f t="shared" si="21"/>
        <v>0</v>
      </c>
      <c r="T47" s="52">
        <f t="shared" si="21"/>
        <v>0</v>
      </c>
      <c r="U47" s="23"/>
      <c r="V47" s="23"/>
      <c r="W47" s="23"/>
      <c r="X47" s="23"/>
      <c r="Y47" s="23"/>
      <c r="Z47" s="23"/>
    </row>
    <row r="48" customHeight="1" spans="1:26">
      <c r="A48" s="23"/>
      <c r="B48" s="48"/>
      <c r="C48" s="4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23"/>
      <c r="W48" s="23"/>
      <c r="X48" s="23"/>
      <c r="Y48" s="23"/>
      <c r="Z48" s="23"/>
    </row>
    <row r="49" customHeight="1" spans="1:26">
      <c r="A49" s="23"/>
      <c r="B49" s="49" t="s">
        <v>67</v>
      </c>
      <c r="C49" s="48"/>
      <c r="D49" s="38"/>
      <c r="E49" s="38"/>
      <c r="F49" s="38"/>
      <c r="G49" s="38"/>
      <c r="H49" s="38"/>
      <c r="I49" s="38"/>
      <c r="J49" s="38"/>
      <c r="K49" s="38">
        <f t="shared" ref="K49:T49" si="22">K31+K37+K42</f>
        <v>-151</v>
      </c>
      <c r="L49" s="38" t="str">
        <f ca="1" t="shared" si="22"/>
        <v>#REF!</v>
      </c>
      <c r="M49" s="38">
        <f t="shared" si="22"/>
        <v>-151.665532247266</v>
      </c>
      <c r="N49" s="38">
        <f t="shared" si="22"/>
        <v>-146.594008033921</v>
      </c>
      <c r="O49" s="38">
        <f t="shared" si="22"/>
        <v>-141.522483820576</v>
      </c>
      <c r="P49" s="38">
        <f t="shared" si="22"/>
        <v>-136.450959607231</v>
      </c>
      <c r="Q49" s="38">
        <f t="shared" si="22"/>
        <v>-131.379435393885</v>
      </c>
      <c r="R49" s="38">
        <f t="shared" si="22"/>
        <v>-126.30791118054</v>
      </c>
      <c r="S49" s="38">
        <f t="shared" si="22"/>
        <v>-121.236386967195</v>
      </c>
      <c r="T49" s="38">
        <f t="shared" si="22"/>
        <v>-116.16486275385</v>
      </c>
      <c r="U49" s="38"/>
      <c r="V49" s="23"/>
      <c r="W49" s="23"/>
      <c r="X49" s="23"/>
      <c r="Y49" s="23"/>
      <c r="Z49" s="23"/>
    </row>
    <row r="50" customHeight="1" spans="1:26">
      <c r="A50" s="23"/>
      <c r="B50" s="48"/>
      <c r="C50" s="4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23"/>
      <c r="W50" s="23"/>
      <c r="X50" s="23"/>
      <c r="Y50" s="23"/>
      <c r="Z50" s="23"/>
    </row>
    <row r="51" customHeight="1" spans="1:26">
      <c r="A51" s="54"/>
      <c r="B51" s="55" t="s">
        <v>344</v>
      </c>
      <c r="C51" s="54"/>
      <c r="D51" s="31"/>
      <c r="E51" s="31"/>
      <c r="F51" s="56"/>
      <c r="G51" s="56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4"/>
      <c r="V51" s="54"/>
      <c r="W51" s="54"/>
      <c r="X51" s="54"/>
      <c r="Y51" s="54"/>
      <c r="Z51" s="54"/>
    </row>
    <row r="52" customHeight="1" spans="1:26">
      <c r="A52" s="23"/>
      <c r="B52" s="34"/>
      <c r="C52" s="23"/>
      <c r="D52" s="27"/>
      <c r="E52" s="27"/>
      <c r="F52" s="38"/>
      <c r="G52" s="3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23"/>
      <c r="V52" s="23"/>
      <c r="W52" s="23"/>
      <c r="X52" s="23"/>
      <c r="Y52" s="23"/>
      <c r="Z52" s="23"/>
    </row>
    <row r="53" customHeight="1" spans="1:26">
      <c r="A53" s="34"/>
      <c r="B53" s="34" t="s">
        <v>95</v>
      </c>
      <c r="C53" s="49"/>
      <c r="D53" s="58"/>
      <c r="E53" s="58"/>
      <c r="F53" s="58"/>
      <c r="G53" s="58"/>
      <c r="H53" s="59">
        <v>389</v>
      </c>
      <c r="I53" s="59">
        <v>575</v>
      </c>
      <c r="J53" s="59">
        <v>598</v>
      </c>
      <c r="K53" s="59">
        <v>757</v>
      </c>
      <c r="L53" s="58">
        <v>808</v>
      </c>
      <c r="M53" s="58">
        <v>919</v>
      </c>
      <c r="N53" s="58">
        <f t="shared" ref="N53:T53" si="23">N54+N55</f>
        <v>1029</v>
      </c>
      <c r="O53" s="58">
        <f t="shared" si="23"/>
        <v>1039</v>
      </c>
      <c r="P53" s="58">
        <f t="shared" si="23"/>
        <v>1049</v>
      </c>
      <c r="Q53" s="58">
        <f t="shared" si="23"/>
        <v>1059</v>
      </c>
      <c r="R53" s="58">
        <f t="shared" si="23"/>
        <v>1069</v>
      </c>
      <c r="S53" s="58">
        <f t="shared" si="23"/>
        <v>1079</v>
      </c>
      <c r="T53" s="58">
        <f t="shared" si="23"/>
        <v>1089</v>
      </c>
      <c r="U53" s="34"/>
      <c r="V53" s="34"/>
      <c r="W53" s="34"/>
      <c r="X53" s="34"/>
      <c r="Y53" s="34"/>
      <c r="Z53" s="34"/>
    </row>
    <row r="54" customHeight="1" spans="1:26">
      <c r="A54" s="23"/>
      <c r="B54" s="23"/>
      <c r="C54" s="48" t="s">
        <v>345</v>
      </c>
      <c r="D54" s="38"/>
      <c r="E54" s="38"/>
      <c r="F54" s="38"/>
      <c r="G54" s="38"/>
      <c r="H54" s="23"/>
      <c r="I54" s="23"/>
      <c r="J54" s="23"/>
      <c r="K54" s="39">
        <v>700</v>
      </c>
      <c r="L54" s="39">
        <f t="shared" ref="L54:N54" si="24">K54+100</f>
        <v>800</v>
      </c>
      <c r="M54" s="39">
        <f t="shared" si="24"/>
        <v>900</v>
      </c>
      <c r="N54" s="39">
        <f t="shared" si="24"/>
        <v>1000</v>
      </c>
      <c r="O54" s="39">
        <v>1000</v>
      </c>
      <c r="P54" s="39">
        <f t="shared" ref="P54:T54" si="25">O54</f>
        <v>1000</v>
      </c>
      <c r="Q54" s="39">
        <f t="shared" si="25"/>
        <v>1000</v>
      </c>
      <c r="R54" s="39">
        <f t="shared" si="25"/>
        <v>1000</v>
      </c>
      <c r="S54" s="39">
        <f t="shared" si="25"/>
        <v>1000</v>
      </c>
      <c r="T54" s="39">
        <f t="shared" si="25"/>
        <v>1000</v>
      </c>
      <c r="U54" s="23"/>
      <c r="V54" s="23"/>
      <c r="W54" s="23"/>
      <c r="X54" s="23"/>
      <c r="Y54" s="23"/>
      <c r="Z54" s="23"/>
    </row>
    <row r="55" customHeight="1" spans="1:26">
      <c r="A55" s="23"/>
      <c r="B55" s="23"/>
      <c r="C55" s="48" t="s">
        <v>117</v>
      </c>
      <c r="D55" s="38"/>
      <c r="E55" s="38"/>
      <c r="F55" s="38"/>
      <c r="G55" s="38"/>
      <c r="H55" s="38"/>
      <c r="I55" s="38"/>
      <c r="J55" s="38"/>
      <c r="K55" s="39">
        <v>57</v>
      </c>
      <c r="L55" s="39">
        <v>8</v>
      </c>
      <c r="M55" s="39">
        <v>19</v>
      </c>
      <c r="N55" s="39">
        <f t="shared" ref="N55:T55" si="26">M55+10</f>
        <v>29</v>
      </c>
      <c r="O55" s="39">
        <f t="shared" si="26"/>
        <v>39</v>
      </c>
      <c r="P55" s="39">
        <f t="shared" si="26"/>
        <v>49</v>
      </c>
      <c r="Q55" s="39">
        <f t="shared" si="26"/>
        <v>59</v>
      </c>
      <c r="R55" s="39">
        <f t="shared" si="26"/>
        <v>69</v>
      </c>
      <c r="S55" s="39">
        <f t="shared" si="26"/>
        <v>79</v>
      </c>
      <c r="T55" s="39">
        <f t="shared" si="26"/>
        <v>89</v>
      </c>
      <c r="U55" s="23"/>
      <c r="V55" s="23"/>
      <c r="W55" s="23"/>
      <c r="X55" s="23"/>
      <c r="Y55" s="23"/>
      <c r="Z55" s="23"/>
    </row>
    <row r="56" customHeight="1" spans="1:26">
      <c r="A56" s="23"/>
      <c r="B56" s="23"/>
      <c r="C56" s="48"/>
      <c r="D56" s="38"/>
      <c r="E56" s="38"/>
      <c r="F56" s="38"/>
      <c r="G56" s="38"/>
      <c r="H56" s="38"/>
      <c r="I56" s="38"/>
      <c r="J56" s="38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23"/>
      <c r="V56" s="23"/>
      <c r="W56" s="23"/>
      <c r="X56" s="23"/>
      <c r="Y56" s="23"/>
      <c r="Z56" s="23"/>
    </row>
    <row r="57" customHeight="1" spans="1:26">
      <c r="A57" s="23"/>
      <c r="B57" s="23" t="s">
        <v>346</v>
      </c>
      <c r="C57" s="49"/>
      <c r="D57" s="38"/>
      <c r="E57" s="38"/>
      <c r="F57" s="38"/>
      <c r="G57" s="38"/>
      <c r="H57" s="38">
        <f t="shared" ref="H57:J57" si="27">H59-H58</f>
        <v>3418.66</v>
      </c>
      <c r="I57" s="38">
        <f t="shared" si="27"/>
        <v>7818</v>
      </c>
      <c r="J57" s="38">
        <f t="shared" si="27"/>
        <v>8013</v>
      </c>
      <c r="K57" s="38">
        <f t="shared" ref="K57:T57" si="28">J57+K54</f>
        <v>8713</v>
      </c>
      <c r="L57" s="38">
        <f t="shared" si="28"/>
        <v>9513</v>
      </c>
      <c r="M57" s="38">
        <f t="shared" si="28"/>
        <v>10413</v>
      </c>
      <c r="N57" s="38">
        <f t="shared" si="28"/>
        <v>11413</v>
      </c>
      <c r="O57" s="38">
        <f t="shared" si="28"/>
        <v>12413</v>
      </c>
      <c r="P57" s="38">
        <f t="shared" si="28"/>
        <v>13413</v>
      </c>
      <c r="Q57" s="38">
        <f t="shared" si="28"/>
        <v>14413</v>
      </c>
      <c r="R57" s="38">
        <f t="shared" si="28"/>
        <v>15413</v>
      </c>
      <c r="S57" s="38">
        <f t="shared" si="28"/>
        <v>16413</v>
      </c>
      <c r="T57" s="38">
        <f t="shared" si="28"/>
        <v>17413</v>
      </c>
      <c r="U57" s="23"/>
      <c r="V57" s="23"/>
      <c r="W57" s="23"/>
      <c r="X57" s="23"/>
      <c r="Y57" s="23"/>
      <c r="Z57" s="23"/>
    </row>
    <row r="58" customHeight="1" spans="1:26">
      <c r="A58" s="23"/>
      <c r="B58" s="23"/>
      <c r="C58" s="23" t="s">
        <v>347</v>
      </c>
      <c r="D58" s="38"/>
      <c r="E58" s="38"/>
      <c r="F58" s="51"/>
      <c r="G58" s="51"/>
      <c r="H58" s="60">
        <v>-454.66</v>
      </c>
      <c r="I58" s="61">
        <v>-4754</v>
      </c>
      <c r="J58" s="61">
        <v>-4867</v>
      </c>
      <c r="K58" s="61">
        <v>-5208</v>
      </c>
      <c r="L58" s="38">
        <f t="shared" ref="L58:T58" si="29">K58+L61</f>
        <v>-5541</v>
      </c>
      <c r="M58" s="38">
        <f t="shared" si="29"/>
        <v>-5905</v>
      </c>
      <c r="N58" s="38">
        <f t="shared" si="29"/>
        <v>-6303.95630461923</v>
      </c>
      <c r="O58" s="38">
        <f t="shared" si="29"/>
        <v>-6737.86891385768</v>
      </c>
      <c r="P58" s="38">
        <f t="shared" si="29"/>
        <v>-7206.73782771536</v>
      </c>
      <c r="Q58" s="38">
        <f t="shared" si="29"/>
        <v>-7710.56304619226</v>
      </c>
      <c r="R58" s="38">
        <f t="shared" si="29"/>
        <v>-8249.34456928839</v>
      </c>
      <c r="S58" s="38">
        <f t="shared" si="29"/>
        <v>-8823.08239700375</v>
      </c>
      <c r="T58" s="38">
        <f t="shared" si="29"/>
        <v>-9431.77652933833</v>
      </c>
      <c r="U58" s="23"/>
      <c r="V58" s="23"/>
      <c r="W58" s="23"/>
      <c r="X58" s="23"/>
      <c r="Y58" s="23"/>
      <c r="Z58" s="23"/>
    </row>
    <row r="59" customHeight="1" spans="1:26">
      <c r="A59" s="34"/>
      <c r="B59" s="34" t="s">
        <v>116</v>
      </c>
      <c r="C59" s="34"/>
      <c r="D59" s="62"/>
      <c r="E59" s="62"/>
      <c r="F59" s="58"/>
      <c r="G59" s="58"/>
      <c r="H59" s="58">
        <f>'PL-CF-BS'!H104</f>
        <v>2964</v>
      </c>
      <c r="I59" s="58">
        <f>'PL-CF-BS'!I104</f>
        <v>3064</v>
      </c>
      <c r="J59" s="58">
        <f>'PL-CF-BS'!J104</f>
        <v>3146</v>
      </c>
      <c r="K59" s="58">
        <f>'PL-CF-BS'!K104</f>
        <v>3530</v>
      </c>
      <c r="L59" s="58">
        <f>'PL-CF-BS'!L104</f>
        <v>3729</v>
      </c>
      <c r="M59" s="58">
        <f t="shared" ref="M59:T59" si="30">M57+M58</f>
        <v>4508</v>
      </c>
      <c r="N59" s="58">
        <f t="shared" si="30"/>
        <v>5109.04369538077</v>
      </c>
      <c r="O59" s="58">
        <f t="shared" si="30"/>
        <v>5675.13108614232</v>
      </c>
      <c r="P59" s="58">
        <f t="shared" si="30"/>
        <v>6206.26217228464</v>
      </c>
      <c r="Q59" s="58">
        <f t="shared" si="30"/>
        <v>6702.43695380774</v>
      </c>
      <c r="R59" s="58">
        <f t="shared" si="30"/>
        <v>7163.65543071161</v>
      </c>
      <c r="S59" s="58">
        <f t="shared" si="30"/>
        <v>7589.91760299625</v>
      </c>
      <c r="T59" s="58">
        <f t="shared" si="30"/>
        <v>7981.22347066167</v>
      </c>
      <c r="U59" s="34"/>
      <c r="V59" s="63"/>
      <c r="W59" s="34"/>
      <c r="X59" s="34"/>
      <c r="Y59" s="34"/>
      <c r="Z59" s="34"/>
    </row>
    <row r="60" customHeight="1" spans="1:26">
      <c r="A60" s="23"/>
      <c r="B60" s="23"/>
      <c r="C60" s="23"/>
      <c r="D60" s="27"/>
      <c r="E60" s="27"/>
      <c r="F60" s="38"/>
      <c r="G60" s="38"/>
      <c r="H60" s="38"/>
      <c r="I60" s="38"/>
      <c r="J60" s="3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23"/>
      <c r="V60" s="23"/>
      <c r="W60" s="23"/>
      <c r="X60" s="23"/>
      <c r="Y60" s="23"/>
      <c r="Z60" s="23"/>
    </row>
    <row r="61" customHeight="1" spans="1:26">
      <c r="A61" s="23"/>
      <c r="B61" s="23"/>
      <c r="C61" s="23" t="s">
        <v>348</v>
      </c>
      <c r="D61" s="64"/>
      <c r="E61" s="64"/>
      <c r="F61" s="38"/>
      <c r="G61" s="38"/>
      <c r="H61" s="38">
        <f t="shared" ref="H61:K61" si="31">H58-G58</f>
        <v>-454.66</v>
      </c>
      <c r="I61" s="38">
        <f t="shared" si="31"/>
        <v>-4299.34</v>
      </c>
      <c r="J61" s="38">
        <f t="shared" si="31"/>
        <v>-113</v>
      </c>
      <c r="K61" s="38">
        <f t="shared" si="31"/>
        <v>-341</v>
      </c>
      <c r="L61" s="38">
        <v>-333</v>
      </c>
      <c r="M61" s="38">
        <v>-364</v>
      </c>
      <c r="N61" s="38">
        <f t="shared" ref="N61:T61" si="32">-N62*N57</f>
        <v>-398.956304619226</v>
      </c>
      <c r="O61" s="38">
        <f t="shared" si="32"/>
        <v>-433.912609238452</v>
      </c>
      <c r="P61" s="38">
        <f t="shared" si="32"/>
        <v>-468.868913857678</v>
      </c>
      <c r="Q61" s="38">
        <f t="shared" si="32"/>
        <v>-503.825218476904</v>
      </c>
      <c r="R61" s="38">
        <f t="shared" si="32"/>
        <v>-538.78152309613</v>
      </c>
      <c r="S61" s="38">
        <f t="shared" si="32"/>
        <v>-573.737827715356</v>
      </c>
      <c r="T61" s="38">
        <f t="shared" si="32"/>
        <v>-608.694132334582</v>
      </c>
      <c r="U61" s="23"/>
      <c r="V61" s="23"/>
      <c r="W61" s="23"/>
      <c r="X61" s="23"/>
      <c r="Y61" s="23"/>
      <c r="Z61" s="23"/>
    </row>
    <row r="62" customHeight="1" spans="1:26">
      <c r="A62" s="23"/>
      <c r="B62" s="23"/>
      <c r="C62" s="23" t="s">
        <v>349</v>
      </c>
      <c r="D62" s="65"/>
      <c r="E62" s="65"/>
      <c r="F62" s="65"/>
      <c r="G62" s="65"/>
      <c r="H62" s="65">
        <f t="shared" ref="H62:M62" si="33">-H61/H57</f>
        <v>0.13299362908274</v>
      </c>
      <c r="I62" s="65">
        <f t="shared" si="33"/>
        <v>0.549928370427219</v>
      </c>
      <c r="J62" s="65">
        <f t="shared" si="33"/>
        <v>0.0141020841133159</v>
      </c>
      <c r="K62" s="65">
        <f t="shared" si="33"/>
        <v>0.0391369218409273</v>
      </c>
      <c r="L62" s="65">
        <f t="shared" si="33"/>
        <v>0.0350047303689688</v>
      </c>
      <c r="M62" s="65">
        <f t="shared" si="33"/>
        <v>0.034956304619226</v>
      </c>
      <c r="N62" s="66">
        <f t="shared" ref="N62:T62" si="34">M62</f>
        <v>0.034956304619226</v>
      </c>
      <c r="O62" s="66">
        <f t="shared" si="34"/>
        <v>0.034956304619226</v>
      </c>
      <c r="P62" s="66">
        <f t="shared" si="34"/>
        <v>0.034956304619226</v>
      </c>
      <c r="Q62" s="66">
        <f t="shared" si="34"/>
        <v>0.034956304619226</v>
      </c>
      <c r="R62" s="66">
        <f t="shared" si="34"/>
        <v>0.034956304619226</v>
      </c>
      <c r="S62" s="66">
        <f t="shared" si="34"/>
        <v>0.034956304619226</v>
      </c>
      <c r="T62" s="66">
        <f t="shared" si="34"/>
        <v>0.034956304619226</v>
      </c>
      <c r="U62" s="23"/>
      <c r="V62" s="23"/>
      <c r="W62" s="23"/>
      <c r="X62" s="23"/>
      <c r="Y62" s="23"/>
      <c r="Z62" s="23"/>
    </row>
    <row r="63" customHeight="1" spans="1:26">
      <c r="A63" s="23"/>
      <c r="B63" s="23"/>
      <c r="C63" s="23"/>
      <c r="D63" s="65"/>
      <c r="E63" s="65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23"/>
      <c r="V63" s="23"/>
      <c r="W63" s="23"/>
      <c r="X63" s="23"/>
      <c r="Y63" s="23"/>
      <c r="Z63" s="23"/>
    </row>
    <row r="64" customHeight="1" spans="1:26">
      <c r="A64" s="23"/>
      <c r="B64" s="23" t="s">
        <v>350</v>
      </c>
      <c r="C64" s="23"/>
      <c r="D64" s="38"/>
      <c r="E64" s="38"/>
      <c r="F64" s="38"/>
      <c r="G64" s="38"/>
      <c r="H64" s="38">
        <f t="shared" ref="H64:J64" si="35">H66-H65</f>
        <v>4219.79</v>
      </c>
      <c r="I64" s="38">
        <f t="shared" si="35"/>
        <v>9121</v>
      </c>
      <c r="J64" s="38">
        <f t="shared" si="35"/>
        <v>9152</v>
      </c>
      <c r="K64" s="38">
        <f t="shared" ref="K64:T64" si="36">J64+K55</f>
        <v>9209</v>
      </c>
      <c r="L64" s="38">
        <f t="shared" si="36"/>
        <v>9217</v>
      </c>
      <c r="M64" s="38">
        <f t="shared" si="36"/>
        <v>9236</v>
      </c>
      <c r="N64" s="38">
        <f t="shared" si="36"/>
        <v>9265</v>
      </c>
      <c r="O64" s="38">
        <f t="shared" si="36"/>
        <v>9304</v>
      </c>
      <c r="P64" s="38">
        <f t="shared" si="36"/>
        <v>9353</v>
      </c>
      <c r="Q64" s="38">
        <f t="shared" si="36"/>
        <v>9412</v>
      </c>
      <c r="R64" s="38">
        <f t="shared" si="36"/>
        <v>9481</v>
      </c>
      <c r="S64" s="38">
        <f t="shared" si="36"/>
        <v>9560</v>
      </c>
      <c r="T64" s="38">
        <f t="shared" si="36"/>
        <v>9649</v>
      </c>
      <c r="U64" s="23"/>
      <c r="V64" s="23"/>
      <c r="W64" s="23"/>
      <c r="X64" s="23"/>
      <c r="Y64" s="23"/>
      <c r="Z64" s="23"/>
    </row>
    <row r="65" customHeight="1" spans="1:26">
      <c r="A65" s="23"/>
      <c r="B65" s="23"/>
      <c r="C65" s="23" t="s">
        <v>351</v>
      </c>
      <c r="D65" s="38"/>
      <c r="E65" s="38"/>
      <c r="F65" s="51"/>
      <c r="G65" s="51"/>
      <c r="H65" s="60">
        <v>-44.79</v>
      </c>
      <c r="I65" s="61">
        <v>-3266</v>
      </c>
      <c r="J65" s="61">
        <v>-3667</v>
      </c>
      <c r="K65" s="61">
        <v>-4146</v>
      </c>
      <c r="L65" s="38">
        <f t="shared" ref="L65:T65" si="37">K65+L68</f>
        <v>-4734</v>
      </c>
      <c r="M65" s="38">
        <f t="shared" si="37"/>
        <v>-5376</v>
      </c>
      <c r="N65" s="38">
        <f t="shared" si="37"/>
        <v>-5746.6</v>
      </c>
      <c r="O65" s="38">
        <f t="shared" si="37"/>
        <v>-6118.76</v>
      </c>
      <c r="P65" s="38">
        <f t="shared" si="37"/>
        <v>-6492.88</v>
      </c>
      <c r="Q65" s="38">
        <f t="shared" si="37"/>
        <v>-6869.36</v>
      </c>
      <c r="R65" s="38">
        <f t="shared" si="37"/>
        <v>-7248.6</v>
      </c>
      <c r="S65" s="38">
        <f t="shared" si="37"/>
        <v>-7631</v>
      </c>
      <c r="T65" s="38">
        <f t="shared" si="37"/>
        <v>-8016.96</v>
      </c>
      <c r="U65" s="23"/>
      <c r="V65" s="23"/>
      <c r="W65" s="23"/>
      <c r="X65" s="23"/>
      <c r="Y65" s="23"/>
      <c r="Z65" s="23"/>
    </row>
    <row r="66" customHeight="1" spans="1:26">
      <c r="A66" s="34"/>
      <c r="B66" s="34" t="s">
        <v>352</v>
      </c>
      <c r="C66" s="34"/>
      <c r="D66" s="58"/>
      <c r="E66" s="58"/>
      <c r="F66" s="58"/>
      <c r="G66" s="58"/>
      <c r="H66" s="58">
        <f>'PL-CF-BS'!H105</f>
        <v>4175</v>
      </c>
      <c r="I66" s="58">
        <f>'PL-CF-BS'!I105</f>
        <v>5855</v>
      </c>
      <c r="J66" s="58">
        <f>'PL-CF-BS'!J105</f>
        <v>5485</v>
      </c>
      <c r="K66" s="58">
        <f>'PL-CF-BS'!K105</f>
        <v>5091</v>
      </c>
      <c r="L66" s="58">
        <f>'PL-CF-BS'!L105</f>
        <v>4657</v>
      </c>
      <c r="M66" s="58">
        <f t="shared" ref="M66:T66" si="38">M64+M65</f>
        <v>3860</v>
      </c>
      <c r="N66" s="58">
        <f t="shared" si="38"/>
        <v>3518.4</v>
      </c>
      <c r="O66" s="58">
        <f t="shared" si="38"/>
        <v>3185.24</v>
      </c>
      <c r="P66" s="58">
        <f t="shared" si="38"/>
        <v>2860.12</v>
      </c>
      <c r="Q66" s="58">
        <f t="shared" si="38"/>
        <v>2542.64</v>
      </c>
      <c r="R66" s="58">
        <f t="shared" si="38"/>
        <v>2232.4</v>
      </c>
      <c r="S66" s="58">
        <f t="shared" si="38"/>
        <v>1929</v>
      </c>
      <c r="T66" s="58">
        <f t="shared" si="38"/>
        <v>1632.04</v>
      </c>
      <c r="U66" s="34"/>
      <c r="V66" s="34"/>
      <c r="W66" s="34"/>
      <c r="X66" s="34"/>
      <c r="Y66" s="34"/>
      <c r="Z66" s="34"/>
    </row>
    <row r="67" customHeight="1" spans="1:26">
      <c r="A67" s="23"/>
      <c r="B67" s="23"/>
      <c r="C67" s="23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23"/>
      <c r="V67" s="23"/>
      <c r="W67" s="23"/>
      <c r="X67" s="23"/>
      <c r="Y67" s="23"/>
      <c r="Z67" s="23"/>
    </row>
    <row r="68" customHeight="1" spans="1:26">
      <c r="A68" s="23"/>
      <c r="B68" s="23"/>
      <c r="C68" s="23" t="s">
        <v>353</v>
      </c>
      <c r="D68" s="38"/>
      <c r="E68" s="38"/>
      <c r="F68" s="38"/>
      <c r="G68" s="38"/>
      <c r="H68" s="38">
        <f t="shared" ref="H68:K68" si="39">H65-G65</f>
        <v>-44.79</v>
      </c>
      <c r="I68" s="38">
        <f t="shared" si="39"/>
        <v>-3221.21</v>
      </c>
      <c r="J68" s="38">
        <f t="shared" si="39"/>
        <v>-401</v>
      </c>
      <c r="K68" s="38">
        <f t="shared" si="39"/>
        <v>-479</v>
      </c>
      <c r="L68" s="38">
        <f>(-921)-L61</f>
        <v>-588</v>
      </c>
      <c r="M68" s="38">
        <f>(-1006)-M61</f>
        <v>-642</v>
      </c>
      <c r="N68" s="38">
        <f t="shared" ref="N68:T68" si="40">-N69*N64</f>
        <v>-370.6</v>
      </c>
      <c r="O68" s="38">
        <f t="shared" si="40"/>
        <v>-372.16</v>
      </c>
      <c r="P68" s="38">
        <f t="shared" si="40"/>
        <v>-374.12</v>
      </c>
      <c r="Q68" s="38">
        <f t="shared" si="40"/>
        <v>-376.48</v>
      </c>
      <c r="R68" s="38">
        <f t="shared" si="40"/>
        <v>-379.24</v>
      </c>
      <c r="S68" s="38">
        <f t="shared" si="40"/>
        <v>-382.4</v>
      </c>
      <c r="T68" s="38">
        <f t="shared" si="40"/>
        <v>-385.96</v>
      </c>
      <c r="U68" s="23"/>
      <c r="V68" s="23"/>
      <c r="W68" s="23"/>
      <c r="X68" s="23"/>
      <c r="Y68" s="23"/>
      <c r="Z68" s="23"/>
    </row>
    <row r="69" customHeight="1" spans="1:26">
      <c r="A69" s="23"/>
      <c r="B69" s="23"/>
      <c r="C69" s="23" t="s">
        <v>354</v>
      </c>
      <c r="D69" s="67"/>
      <c r="E69" s="67"/>
      <c r="F69" s="67"/>
      <c r="G69" s="67"/>
      <c r="H69" s="67">
        <f t="shared" ref="H69:M69" si="41">-H68/H64</f>
        <v>0.0106142722742127</v>
      </c>
      <c r="I69" s="67">
        <f t="shared" si="41"/>
        <v>0.353164126740489</v>
      </c>
      <c r="J69" s="67">
        <f t="shared" si="41"/>
        <v>0.0438155594405594</v>
      </c>
      <c r="K69" s="67">
        <f t="shared" si="41"/>
        <v>0.0520143338038875</v>
      </c>
      <c r="L69" s="67">
        <f t="shared" si="41"/>
        <v>0.0637951611153304</v>
      </c>
      <c r="M69" s="67">
        <f t="shared" si="41"/>
        <v>0.0695106106539628</v>
      </c>
      <c r="N69" s="68">
        <v>0.04</v>
      </c>
      <c r="O69" s="68">
        <v>0.04</v>
      </c>
      <c r="P69" s="68">
        <v>0.04</v>
      </c>
      <c r="Q69" s="68">
        <v>0.04</v>
      </c>
      <c r="R69" s="68">
        <v>0.04</v>
      </c>
      <c r="S69" s="68">
        <v>0.04</v>
      </c>
      <c r="T69" s="68">
        <v>0.04</v>
      </c>
      <c r="U69" s="23"/>
      <c r="V69" s="23"/>
      <c r="W69" s="23"/>
      <c r="X69" s="23"/>
      <c r="Y69" s="23"/>
      <c r="Z69" s="23"/>
    </row>
    <row r="70" customHeight="1" spans="1:26">
      <c r="A70" s="23"/>
      <c r="B70" s="23"/>
      <c r="C70" s="34"/>
      <c r="D70" s="67"/>
      <c r="E70" s="67"/>
      <c r="F70" s="67"/>
      <c r="G70" s="69"/>
      <c r="H70" s="70"/>
      <c r="I70" s="23"/>
      <c r="J70" s="48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customHeight="1" spans="1:26">
      <c r="A71" s="23"/>
      <c r="B71" s="23"/>
      <c r="C71" s="23"/>
      <c r="D71" s="64"/>
      <c r="E71" s="64"/>
      <c r="F71" s="64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 spans="1:26">
      <c r="A72" s="23"/>
      <c r="B72" s="23"/>
      <c r="C72" s="23"/>
      <c r="D72" s="27"/>
      <c r="E72" s="27"/>
      <c r="F72" s="27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 spans="1:26">
      <c r="A73" s="23"/>
      <c r="B73" s="23"/>
      <c r="C73" s="23"/>
      <c r="D73" s="27"/>
      <c r="E73" s="27"/>
      <c r="F73" s="27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 spans="1:26">
      <c r="A74" s="23"/>
      <c r="B74" s="23"/>
      <c r="C74" s="23"/>
      <c r="D74" s="27"/>
      <c r="E74" s="27"/>
      <c r="F74" s="27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 spans="1:26">
      <c r="A75" s="23"/>
      <c r="B75" s="23"/>
      <c r="C75" s="23"/>
      <c r="D75" s="27"/>
      <c r="E75" s="27"/>
      <c r="F75" s="27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 spans="1:26">
      <c r="A76" s="23"/>
      <c r="B76" s="23"/>
      <c r="C76" s="23"/>
      <c r="D76" s="27"/>
      <c r="E76" s="27"/>
      <c r="F76" s="27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 spans="1:26">
      <c r="A77" s="23"/>
      <c r="B77" s="23"/>
      <c r="C77" s="23"/>
      <c r="D77" s="27"/>
      <c r="E77" s="27"/>
      <c r="F77" s="27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 spans="1:26">
      <c r="A78" s="23"/>
      <c r="B78" s="23"/>
      <c r="C78" s="23"/>
      <c r="D78" s="27"/>
      <c r="E78" s="27"/>
      <c r="F78" s="27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 spans="1:26">
      <c r="A79" s="23"/>
      <c r="B79" s="23"/>
      <c r="C79" s="23"/>
      <c r="D79" s="27"/>
      <c r="E79" s="27"/>
      <c r="F79" s="27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 spans="1:26">
      <c r="A80" s="23"/>
      <c r="B80" s="23"/>
      <c r="C80" s="23"/>
      <c r="D80" s="27"/>
      <c r="E80" s="27"/>
      <c r="F80" s="27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 spans="1:26">
      <c r="A81" s="23"/>
      <c r="B81" s="23"/>
      <c r="C81" s="23"/>
      <c r="D81" s="27"/>
      <c r="E81" s="27"/>
      <c r="F81" s="27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 spans="1:26">
      <c r="A82" s="23"/>
      <c r="B82" s="23"/>
      <c r="C82" s="23"/>
      <c r="D82" s="27"/>
      <c r="E82" s="27"/>
      <c r="F82" s="27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 spans="1:26">
      <c r="A83" s="23"/>
      <c r="B83" s="23"/>
      <c r="C83" s="23"/>
      <c r="D83" s="27"/>
      <c r="E83" s="27"/>
      <c r="F83" s="27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 spans="1:26">
      <c r="A84" s="23"/>
      <c r="B84" s="23"/>
      <c r="C84" s="23"/>
      <c r="D84" s="27"/>
      <c r="E84" s="27"/>
      <c r="F84" s="27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 spans="1:26">
      <c r="A85" s="23"/>
      <c r="B85" s="23"/>
      <c r="C85" s="23"/>
      <c r="D85" s="27"/>
      <c r="E85" s="27"/>
      <c r="F85" s="27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 spans="1:26">
      <c r="A86" s="23"/>
      <c r="B86" s="23"/>
      <c r="C86" s="23"/>
      <c r="D86" s="27"/>
      <c r="E86" s="27"/>
      <c r="F86" s="27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 spans="1:26">
      <c r="A87" s="23"/>
      <c r="B87" s="23"/>
      <c r="C87" s="23"/>
      <c r="D87" s="27"/>
      <c r="E87" s="27"/>
      <c r="F87" s="27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 spans="1:26">
      <c r="A88" s="23"/>
      <c r="B88" s="23"/>
      <c r="C88" s="23"/>
      <c r="D88" s="27"/>
      <c r="E88" s="27"/>
      <c r="F88" s="27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 spans="1:26">
      <c r="A89" s="23"/>
      <c r="B89" s="23"/>
      <c r="C89" s="23"/>
      <c r="D89" s="27"/>
      <c r="E89" s="27"/>
      <c r="F89" s="27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 spans="1:26">
      <c r="A90" s="23"/>
      <c r="B90" s="23"/>
      <c r="C90" s="23"/>
      <c r="D90" s="27"/>
      <c r="E90" s="27"/>
      <c r="F90" s="27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 spans="1:26">
      <c r="A91" s="23"/>
      <c r="B91" s="23"/>
      <c r="C91" s="23"/>
      <c r="D91" s="27"/>
      <c r="E91" s="27"/>
      <c r="F91" s="27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 spans="1:26">
      <c r="A92" s="23"/>
      <c r="B92" s="23"/>
      <c r="C92" s="23"/>
      <c r="D92" s="27"/>
      <c r="E92" s="27"/>
      <c r="F92" s="27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 spans="1:26">
      <c r="A93" s="23"/>
      <c r="B93" s="23"/>
      <c r="C93" s="23"/>
      <c r="D93" s="27"/>
      <c r="E93" s="27"/>
      <c r="F93" s="27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 spans="1:26">
      <c r="A94" s="23"/>
      <c r="B94" s="23"/>
      <c r="C94" s="23"/>
      <c r="D94" s="27"/>
      <c r="E94" s="27"/>
      <c r="F94" s="27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 spans="1:26">
      <c r="A95" s="23"/>
      <c r="B95" s="23"/>
      <c r="C95" s="23"/>
      <c r="D95" s="27"/>
      <c r="E95" s="27"/>
      <c r="F95" s="27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 spans="1:26">
      <c r="A96" s="23"/>
      <c r="B96" s="23"/>
      <c r="C96" s="23"/>
      <c r="D96" s="27"/>
      <c r="E96" s="27"/>
      <c r="F96" s="27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 spans="1:26">
      <c r="A97" s="23"/>
      <c r="B97" s="23"/>
      <c r="C97" s="23"/>
      <c r="D97" s="27"/>
      <c r="E97" s="27"/>
      <c r="F97" s="27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 spans="1:26">
      <c r="A98" s="23"/>
      <c r="B98" s="23"/>
      <c r="C98" s="23"/>
      <c r="D98" s="27"/>
      <c r="E98" s="27"/>
      <c r="F98" s="27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 spans="1:26">
      <c r="A99" s="23"/>
      <c r="B99" s="23"/>
      <c r="C99" s="23"/>
      <c r="D99" s="27"/>
      <c r="E99" s="27"/>
      <c r="F99" s="27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 spans="1:26">
      <c r="A100" s="23"/>
      <c r="B100" s="23"/>
      <c r="C100" s="23"/>
      <c r="D100" s="27"/>
      <c r="E100" s="27"/>
      <c r="F100" s="27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 spans="1:26">
      <c r="A101" s="23"/>
      <c r="B101" s="23"/>
      <c r="C101" s="23"/>
      <c r="D101" s="27"/>
      <c r="E101" s="27"/>
      <c r="F101" s="27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 spans="1:26">
      <c r="A102" s="23"/>
      <c r="B102" s="23"/>
      <c r="C102" s="23"/>
      <c r="D102" s="27"/>
      <c r="E102" s="27"/>
      <c r="F102" s="27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 spans="1:26">
      <c r="A103" s="23"/>
      <c r="B103" s="23"/>
      <c r="C103" s="23"/>
      <c r="D103" s="27"/>
      <c r="E103" s="27"/>
      <c r="F103" s="27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 spans="1:26">
      <c r="A104" s="23"/>
      <c r="B104" s="23"/>
      <c r="C104" s="23"/>
      <c r="D104" s="27"/>
      <c r="E104" s="27"/>
      <c r="F104" s="27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 spans="1:26">
      <c r="A105" s="23"/>
      <c r="B105" s="23"/>
      <c r="C105" s="23"/>
      <c r="D105" s="27"/>
      <c r="E105" s="27"/>
      <c r="F105" s="27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 spans="1:26">
      <c r="A106" s="23"/>
      <c r="B106" s="23"/>
      <c r="C106" s="23"/>
      <c r="D106" s="27"/>
      <c r="E106" s="27"/>
      <c r="F106" s="27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 spans="1:26">
      <c r="A107" s="23"/>
      <c r="B107" s="23"/>
      <c r="C107" s="23"/>
      <c r="D107" s="27"/>
      <c r="E107" s="27"/>
      <c r="F107" s="27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 spans="1:26">
      <c r="A108" s="23"/>
      <c r="B108" s="23"/>
      <c r="C108" s="23"/>
      <c r="D108" s="27"/>
      <c r="E108" s="27"/>
      <c r="F108" s="27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 spans="1:26">
      <c r="A109" s="23"/>
      <c r="B109" s="23"/>
      <c r="C109" s="23"/>
      <c r="D109" s="27"/>
      <c r="E109" s="27"/>
      <c r="F109" s="27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 spans="1:26">
      <c r="A110" s="23"/>
      <c r="B110" s="23"/>
      <c r="C110" s="23"/>
      <c r="D110" s="27"/>
      <c r="E110" s="27"/>
      <c r="F110" s="27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 spans="1:26">
      <c r="A111" s="23"/>
      <c r="B111" s="23"/>
      <c r="C111" s="23"/>
      <c r="D111" s="27"/>
      <c r="E111" s="27"/>
      <c r="F111" s="27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 spans="1:26">
      <c r="A112" s="23"/>
      <c r="B112" s="23"/>
      <c r="C112" s="23"/>
      <c r="D112" s="27"/>
      <c r="E112" s="27"/>
      <c r="F112" s="27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 spans="1:26">
      <c r="A113" s="23"/>
      <c r="B113" s="23"/>
      <c r="C113" s="23"/>
      <c r="D113" s="27"/>
      <c r="E113" s="27"/>
      <c r="F113" s="27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 spans="1:26">
      <c r="A114" s="23"/>
      <c r="B114" s="23"/>
      <c r="C114" s="23"/>
      <c r="D114" s="27"/>
      <c r="E114" s="27"/>
      <c r="F114" s="27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 spans="1:26">
      <c r="A115" s="23"/>
      <c r="B115" s="23"/>
      <c r="C115" s="23"/>
      <c r="D115" s="27"/>
      <c r="E115" s="27"/>
      <c r="F115" s="27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 spans="1:26">
      <c r="A116" s="23"/>
      <c r="B116" s="23"/>
      <c r="C116" s="23"/>
      <c r="D116" s="27"/>
      <c r="E116" s="27"/>
      <c r="F116" s="27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 spans="1:26">
      <c r="A117" s="23"/>
      <c r="B117" s="23"/>
      <c r="C117" s="23"/>
      <c r="D117" s="27"/>
      <c r="E117" s="27"/>
      <c r="F117" s="27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 spans="1:26">
      <c r="A118" s="23"/>
      <c r="B118" s="23"/>
      <c r="C118" s="23"/>
      <c r="D118" s="27"/>
      <c r="E118" s="27"/>
      <c r="F118" s="27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 spans="1:26">
      <c r="A119" s="23"/>
      <c r="B119" s="23"/>
      <c r="C119" s="23"/>
      <c r="D119" s="27"/>
      <c r="E119" s="27"/>
      <c r="F119" s="27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 spans="1:26">
      <c r="A120" s="23"/>
      <c r="B120" s="23"/>
      <c r="C120" s="23"/>
      <c r="D120" s="27"/>
      <c r="E120" s="27"/>
      <c r="F120" s="27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 spans="1:26">
      <c r="A121" s="23"/>
      <c r="B121" s="23"/>
      <c r="C121" s="23"/>
      <c r="D121" s="27"/>
      <c r="E121" s="27"/>
      <c r="F121" s="27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 spans="1:26">
      <c r="A122" s="23"/>
      <c r="B122" s="23"/>
      <c r="C122" s="23"/>
      <c r="D122" s="27"/>
      <c r="E122" s="27"/>
      <c r="F122" s="27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 spans="1:26">
      <c r="A123" s="23"/>
      <c r="B123" s="23"/>
      <c r="C123" s="23"/>
      <c r="D123" s="27"/>
      <c r="E123" s="27"/>
      <c r="F123" s="27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 spans="1:26">
      <c r="A124" s="23"/>
      <c r="B124" s="23"/>
      <c r="C124" s="23"/>
      <c r="D124" s="27"/>
      <c r="E124" s="27"/>
      <c r="F124" s="27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 spans="1:26">
      <c r="A125" s="23"/>
      <c r="B125" s="23"/>
      <c r="C125" s="23"/>
      <c r="D125" s="27"/>
      <c r="E125" s="27"/>
      <c r="F125" s="27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 spans="1:26">
      <c r="A126" s="23"/>
      <c r="B126" s="23"/>
      <c r="C126" s="23"/>
      <c r="D126" s="27"/>
      <c r="E126" s="27"/>
      <c r="F126" s="27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 spans="1:26">
      <c r="A127" s="23"/>
      <c r="B127" s="23"/>
      <c r="C127" s="23"/>
      <c r="D127" s="27"/>
      <c r="E127" s="27"/>
      <c r="F127" s="27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 spans="1:26">
      <c r="A128" s="23"/>
      <c r="B128" s="23"/>
      <c r="C128" s="23"/>
      <c r="D128" s="27"/>
      <c r="E128" s="27"/>
      <c r="F128" s="27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 spans="1:26">
      <c r="A129" s="23"/>
      <c r="B129" s="23"/>
      <c r="C129" s="23"/>
      <c r="D129" s="27"/>
      <c r="E129" s="27"/>
      <c r="F129" s="27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 spans="1:26">
      <c r="A130" s="23"/>
      <c r="B130" s="23"/>
      <c r="C130" s="23"/>
      <c r="D130" s="27"/>
      <c r="E130" s="27"/>
      <c r="F130" s="27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 spans="1:26">
      <c r="A131" s="23"/>
      <c r="B131" s="23"/>
      <c r="C131" s="23"/>
      <c r="D131" s="27"/>
      <c r="E131" s="27"/>
      <c r="F131" s="27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 spans="1:26">
      <c r="A132" s="23"/>
      <c r="B132" s="23"/>
      <c r="C132" s="23"/>
      <c r="D132" s="27"/>
      <c r="E132" s="27"/>
      <c r="F132" s="27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 spans="1:26">
      <c r="A133" s="23"/>
      <c r="B133" s="23"/>
      <c r="C133" s="23"/>
      <c r="D133" s="27"/>
      <c r="E133" s="27"/>
      <c r="F133" s="27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 spans="1:26">
      <c r="A134" s="23"/>
      <c r="B134" s="23"/>
      <c r="C134" s="23"/>
      <c r="D134" s="27"/>
      <c r="E134" s="27"/>
      <c r="F134" s="27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 spans="1:26">
      <c r="A135" s="23"/>
      <c r="B135" s="23"/>
      <c r="C135" s="23"/>
      <c r="D135" s="27"/>
      <c r="E135" s="27"/>
      <c r="F135" s="27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 spans="1:26">
      <c r="A136" s="23"/>
      <c r="B136" s="23"/>
      <c r="C136" s="23"/>
      <c r="D136" s="27"/>
      <c r="E136" s="27"/>
      <c r="F136" s="27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 spans="1:26">
      <c r="A137" s="23"/>
      <c r="B137" s="23"/>
      <c r="C137" s="23"/>
      <c r="D137" s="27"/>
      <c r="E137" s="27"/>
      <c r="F137" s="27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 spans="1:26">
      <c r="A138" s="23"/>
      <c r="B138" s="23"/>
      <c r="C138" s="23"/>
      <c r="D138" s="27"/>
      <c r="E138" s="27"/>
      <c r="F138" s="27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 spans="1:26">
      <c r="A139" s="23"/>
      <c r="B139" s="23"/>
      <c r="C139" s="23"/>
      <c r="D139" s="27"/>
      <c r="E139" s="27"/>
      <c r="F139" s="27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 spans="1:26">
      <c r="A140" s="23"/>
      <c r="B140" s="23"/>
      <c r="C140" s="23"/>
      <c r="D140" s="27"/>
      <c r="E140" s="27"/>
      <c r="F140" s="27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 spans="1:26">
      <c r="A141" s="23"/>
      <c r="B141" s="23"/>
      <c r="C141" s="23"/>
      <c r="D141" s="27"/>
      <c r="E141" s="27"/>
      <c r="F141" s="27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 spans="1:26">
      <c r="A142" s="23"/>
      <c r="B142" s="23"/>
      <c r="C142" s="23"/>
      <c r="D142" s="27"/>
      <c r="E142" s="27"/>
      <c r="F142" s="27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 spans="1:26">
      <c r="A143" s="23"/>
      <c r="B143" s="23"/>
      <c r="C143" s="23"/>
      <c r="D143" s="27"/>
      <c r="E143" s="27"/>
      <c r="F143" s="27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 spans="1:26">
      <c r="A144" s="23"/>
      <c r="B144" s="23"/>
      <c r="C144" s="23"/>
      <c r="D144" s="27"/>
      <c r="E144" s="27"/>
      <c r="F144" s="27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 spans="1:26">
      <c r="A145" s="23"/>
      <c r="B145" s="23"/>
      <c r="C145" s="23"/>
      <c r="D145" s="27"/>
      <c r="E145" s="27"/>
      <c r="F145" s="27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 spans="1:26">
      <c r="A146" s="23"/>
      <c r="B146" s="23"/>
      <c r="C146" s="23"/>
      <c r="D146" s="27"/>
      <c r="E146" s="27"/>
      <c r="F146" s="27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 spans="1:26">
      <c r="A147" s="23"/>
      <c r="B147" s="23"/>
      <c r="C147" s="23"/>
      <c r="D147" s="27"/>
      <c r="E147" s="27"/>
      <c r="F147" s="27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 spans="1:26">
      <c r="A148" s="23"/>
      <c r="B148" s="23"/>
      <c r="C148" s="23"/>
      <c r="D148" s="27"/>
      <c r="E148" s="27"/>
      <c r="F148" s="27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 spans="1:26">
      <c r="A149" s="23"/>
      <c r="B149" s="23"/>
      <c r="C149" s="23"/>
      <c r="D149" s="27"/>
      <c r="E149" s="27"/>
      <c r="F149" s="27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 spans="1:26">
      <c r="A150" s="23"/>
      <c r="B150" s="23"/>
      <c r="C150" s="23"/>
      <c r="D150" s="27"/>
      <c r="E150" s="27"/>
      <c r="F150" s="27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 spans="1:26">
      <c r="A151" s="23"/>
      <c r="B151" s="23"/>
      <c r="C151" s="23"/>
      <c r="D151" s="27"/>
      <c r="E151" s="27"/>
      <c r="F151" s="27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 spans="1:26">
      <c r="A152" s="23"/>
      <c r="B152" s="23"/>
      <c r="C152" s="23"/>
      <c r="D152" s="27"/>
      <c r="E152" s="27"/>
      <c r="F152" s="27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 spans="1:26">
      <c r="A153" s="23"/>
      <c r="B153" s="23"/>
      <c r="C153" s="23"/>
      <c r="D153" s="27"/>
      <c r="E153" s="27"/>
      <c r="F153" s="27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 spans="1:26">
      <c r="A154" s="23"/>
      <c r="B154" s="23"/>
      <c r="C154" s="23"/>
      <c r="D154" s="27"/>
      <c r="E154" s="27"/>
      <c r="F154" s="27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 spans="1:26">
      <c r="A155" s="23"/>
      <c r="B155" s="23"/>
      <c r="C155" s="23"/>
      <c r="D155" s="27"/>
      <c r="E155" s="27"/>
      <c r="F155" s="27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 spans="1:26">
      <c r="A156" s="23"/>
      <c r="B156" s="23"/>
      <c r="C156" s="23"/>
      <c r="D156" s="27"/>
      <c r="E156" s="27"/>
      <c r="F156" s="27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 spans="1:26">
      <c r="A157" s="23"/>
      <c r="B157" s="23"/>
      <c r="C157" s="23"/>
      <c r="D157" s="27"/>
      <c r="E157" s="27"/>
      <c r="F157" s="27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 spans="1:26">
      <c r="A158" s="23"/>
      <c r="B158" s="23"/>
      <c r="C158" s="23"/>
      <c r="D158" s="27"/>
      <c r="E158" s="27"/>
      <c r="F158" s="27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 spans="1:26">
      <c r="A159" s="23"/>
      <c r="B159" s="23"/>
      <c r="C159" s="23"/>
      <c r="D159" s="27"/>
      <c r="E159" s="27"/>
      <c r="F159" s="27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 spans="1:26">
      <c r="A160" s="23"/>
      <c r="B160" s="23"/>
      <c r="C160" s="23"/>
      <c r="D160" s="27"/>
      <c r="E160" s="27"/>
      <c r="F160" s="27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 spans="1:26">
      <c r="A161" s="23"/>
      <c r="B161" s="23"/>
      <c r="C161" s="23"/>
      <c r="D161" s="27"/>
      <c r="E161" s="27"/>
      <c r="F161" s="27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 spans="1:26">
      <c r="A162" s="23"/>
      <c r="B162" s="23"/>
      <c r="C162" s="23"/>
      <c r="D162" s="27"/>
      <c r="E162" s="27"/>
      <c r="F162" s="27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 spans="1:26">
      <c r="A163" s="23"/>
      <c r="B163" s="23"/>
      <c r="C163" s="23"/>
      <c r="D163" s="27"/>
      <c r="E163" s="27"/>
      <c r="F163" s="27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 spans="1:26">
      <c r="A164" s="23"/>
      <c r="B164" s="23"/>
      <c r="C164" s="23"/>
      <c r="D164" s="27"/>
      <c r="E164" s="27"/>
      <c r="F164" s="27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 spans="1:26">
      <c r="A165" s="23"/>
      <c r="B165" s="23"/>
      <c r="C165" s="23"/>
      <c r="D165" s="27"/>
      <c r="E165" s="27"/>
      <c r="F165" s="27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 spans="1:26">
      <c r="A166" s="23"/>
      <c r="B166" s="23"/>
      <c r="C166" s="23"/>
      <c r="D166" s="27"/>
      <c r="E166" s="27"/>
      <c r="F166" s="27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 spans="1:26">
      <c r="A167" s="23"/>
      <c r="B167" s="23"/>
      <c r="C167" s="23"/>
      <c r="D167" s="27"/>
      <c r="E167" s="27"/>
      <c r="F167" s="27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 spans="1:26">
      <c r="A168" s="23"/>
      <c r="B168" s="23"/>
      <c r="C168" s="23"/>
      <c r="D168" s="27"/>
      <c r="E168" s="27"/>
      <c r="F168" s="27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 spans="1:26">
      <c r="A169" s="23"/>
      <c r="B169" s="23"/>
      <c r="C169" s="23"/>
      <c r="D169" s="27"/>
      <c r="E169" s="27"/>
      <c r="F169" s="27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 spans="1:26">
      <c r="A170" s="23"/>
      <c r="B170" s="23"/>
      <c r="C170" s="23"/>
      <c r="D170" s="27"/>
      <c r="E170" s="27"/>
      <c r="F170" s="27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 spans="1:26">
      <c r="A171" s="23"/>
      <c r="B171" s="23"/>
      <c r="C171" s="23"/>
      <c r="D171" s="27"/>
      <c r="E171" s="27"/>
      <c r="F171" s="27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 spans="1:26">
      <c r="A172" s="23"/>
      <c r="B172" s="23"/>
      <c r="C172" s="23"/>
      <c r="D172" s="27"/>
      <c r="E172" s="27"/>
      <c r="F172" s="27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 spans="1:26">
      <c r="A173" s="23"/>
      <c r="B173" s="23"/>
      <c r="C173" s="23"/>
      <c r="D173" s="27"/>
      <c r="E173" s="27"/>
      <c r="F173" s="27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 spans="1:26">
      <c r="A174" s="23"/>
      <c r="B174" s="23"/>
      <c r="C174" s="23"/>
      <c r="D174" s="27"/>
      <c r="E174" s="27"/>
      <c r="F174" s="27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 spans="1:26">
      <c r="A175" s="23"/>
      <c r="B175" s="23"/>
      <c r="C175" s="23"/>
      <c r="D175" s="27"/>
      <c r="E175" s="27"/>
      <c r="F175" s="27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 spans="1:26">
      <c r="A176" s="23"/>
      <c r="B176" s="23"/>
      <c r="C176" s="23"/>
      <c r="D176" s="27"/>
      <c r="E176" s="27"/>
      <c r="F176" s="27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 spans="1:26">
      <c r="A177" s="23"/>
      <c r="B177" s="23"/>
      <c r="C177" s="23"/>
      <c r="D177" s="27"/>
      <c r="E177" s="27"/>
      <c r="F177" s="27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 spans="1:26">
      <c r="A178" s="23"/>
      <c r="B178" s="23"/>
      <c r="C178" s="23"/>
      <c r="D178" s="27"/>
      <c r="E178" s="27"/>
      <c r="F178" s="27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 spans="1:26">
      <c r="A179" s="23"/>
      <c r="B179" s="23"/>
      <c r="C179" s="23"/>
      <c r="D179" s="27"/>
      <c r="E179" s="27"/>
      <c r="F179" s="27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 spans="1:26">
      <c r="A180" s="23"/>
      <c r="B180" s="23"/>
      <c r="C180" s="23"/>
      <c r="D180" s="27"/>
      <c r="E180" s="27"/>
      <c r="F180" s="27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 spans="1:26">
      <c r="A181" s="23"/>
      <c r="B181" s="23"/>
      <c r="C181" s="23"/>
      <c r="D181" s="27"/>
      <c r="E181" s="27"/>
      <c r="F181" s="27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 spans="1:26">
      <c r="A182" s="23"/>
      <c r="B182" s="23"/>
      <c r="C182" s="23"/>
      <c r="D182" s="27"/>
      <c r="E182" s="27"/>
      <c r="F182" s="27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 spans="1:26">
      <c r="A183" s="23"/>
      <c r="B183" s="23"/>
      <c r="C183" s="23"/>
      <c r="D183" s="27"/>
      <c r="E183" s="27"/>
      <c r="F183" s="27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 spans="1:26">
      <c r="A184" s="23"/>
      <c r="B184" s="23"/>
      <c r="C184" s="23"/>
      <c r="D184" s="27"/>
      <c r="E184" s="27"/>
      <c r="F184" s="27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 spans="1:26">
      <c r="A185" s="23"/>
      <c r="B185" s="23"/>
      <c r="C185" s="23"/>
      <c r="D185" s="27"/>
      <c r="E185" s="27"/>
      <c r="F185" s="27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 spans="1:26">
      <c r="A186" s="23"/>
      <c r="B186" s="23"/>
      <c r="C186" s="23"/>
      <c r="D186" s="27"/>
      <c r="E186" s="27"/>
      <c r="F186" s="27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 spans="1:26">
      <c r="A187" s="23"/>
      <c r="B187" s="23"/>
      <c r="C187" s="23"/>
      <c r="D187" s="27"/>
      <c r="E187" s="27"/>
      <c r="F187" s="27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 spans="1:26">
      <c r="A188" s="23"/>
      <c r="B188" s="23"/>
      <c r="C188" s="23"/>
      <c r="D188" s="27"/>
      <c r="E188" s="27"/>
      <c r="F188" s="27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 spans="1:26">
      <c r="A189" s="23"/>
      <c r="B189" s="23"/>
      <c r="C189" s="23"/>
      <c r="D189" s="27"/>
      <c r="E189" s="27"/>
      <c r="F189" s="27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 spans="1:26">
      <c r="A190" s="23"/>
      <c r="B190" s="23"/>
      <c r="C190" s="23"/>
      <c r="D190" s="27"/>
      <c r="E190" s="27"/>
      <c r="F190" s="27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 spans="1:26">
      <c r="A191" s="23"/>
      <c r="B191" s="23"/>
      <c r="C191" s="23"/>
      <c r="D191" s="27"/>
      <c r="E191" s="27"/>
      <c r="F191" s="27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 spans="1:26">
      <c r="A192" s="23"/>
      <c r="B192" s="23"/>
      <c r="C192" s="23"/>
      <c r="D192" s="27"/>
      <c r="E192" s="27"/>
      <c r="F192" s="27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 spans="1:26">
      <c r="A193" s="23"/>
      <c r="B193" s="23"/>
      <c r="C193" s="23"/>
      <c r="D193" s="27"/>
      <c r="E193" s="27"/>
      <c r="F193" s="27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 spans="1:26">
      <c r="A194" s="23"/>
      <c r="B194" s="23"/>
      <c r="C194" s="23"/>
      <c r="D194" s="27"/>
      <c r="E194" s="27"/>
      <c r="F194" s="27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 spans="1:26">
      <c r="A195" s="23"/>
      <c r="B195" s="23"/>
      <c r="C195" s="23"/>
      <c r="D195" s="27"/>
      <c r="E195" s="27"/>
      <c r="F195" s="27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 spans="1:26">
      <c r="A196" s="23"/>
      <c r="B196" s="23"/>
      <c r="C196" s="23"/>
      <c r="D196" s="27"/>
      <c r="E196" s="27"/>
      <c r="F196" s="27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 spans="1:26">
      <c r="A197" s="23"/>
      <c r="B197" s="23"/>
      <c r="C197" s="23"/>
      <c r="D197" s="27"/>
      <c r="E197" s="27"/>
      <c r="F197" s="27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 spans="1:26">
      <c r="A198" s="23"/>
      <c r="B198" s="23"/>
      <c r="C198" s="23"/>
      <c r="D198" s="27"/>
      <c r="E198" s="27"/>
      <c r="F198" s="27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 spans="1:26">
      <c r="A199" s="23"/>
      <c r="B199" s="23"/>
      <c r="C199" s="23"/>
      <c r="D199" s="27"/>
      <c r="E199" s="27"/>
      <c r="F199" s="27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 spans="1:26">
      <c r="A200" s="23"/>
      <c r="B200" s="23"/>
      <c r="C200" s="23"/>
      <c r="D200" s="27"/>
      <c r="E200" s="27"/>
      <c r="F200" s="27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 spans="1:26">
      <c r="A201" s="23"/>
      <c r="B201" s="23"/>
      <c r="C201" s="23"/>
      <c r="D201" s="27"/>
      <c r="E201" s="27"/>
      <c r="F201" s="27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 spans="1:26">
      <c r="A202" s="23"/>
      <c r="B202" s="23"/>
      <c r="C202" s="23"/>
      <c r="D202" s="27"/>
      <c r="E202" s="27"/>
      <c r="F202" s="27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 spans="1:26">
      <c r="A203" s="23"/>
      <c r="B203" s="23"/>
      <c r="C203" s="23"/>
      <c r="D203" s="27"/>
      <c r="E203" s="27"/>
      <c r="F203" s="27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 spans="1:26">
      <c r="A204" s="23"/>
      <c r="B204" s="23"/>
      <c r="C204" s="23"/>
      <c r="D204" s="27"/>
      <c r="E204" s="27"/>
      <c r="F204" s="27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 spans="1:26">
      <c r="A205" s="23"/>
      <c r="B205" s="23"/>
      <c r="C205" s="23"/>
      <c r="D205" s="27"/>
      <c r="E205" s="27"/>
      <c r="F205" s="27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 spans="1:26">
      <c r="A206" s="23"/>
      <c r="B206" s="23"/>
      <c r="C206" s="23"/>
      <c r="D206" s="27"/>
      <c r="E206" s="27"/>
      <c r="F206" s="27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 spans="1:26">
      <c r="A207" s="23"/>
      <c r="B207" s="23"/>
      <c r="C207" s="23"/>
      <c r="D207" s="27"/>
      <c r="E207" s="27"/>
      <c r="F207" s="27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 spans="1:26">
      <c r="A208" s="23"/>
      <c r="B208" s="23"/>
      <c r="C208" s="23"/>
      <c r="D208" s="27"/>
      <c r="E208" s="27"/>
      <c r="F208" s="27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 spans="1:26">
      <c r="A209" s="23"/>
      <c r="B209" s="23"/>
      <c r="C209" s="23"/>
      <c r="D209" s="27"/>
      <c r="E209" s="27"/>
      <c r="F209" s="27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 spans="1:26">
      <c r="A210" s="23"/>
      <c r="B210" s="23"/>
      <c r="C210" s="23"/>
      <c r="D210" s="27"/>
      <c r="E210" s="27"/>
      <c r="F210" s="27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 spans="1:26">
      <c r="A211" s="23"/>
      <c r="B211" s="23"/>
      <c r="C211" s="23"/>
      <c r="D211" s="27"/>
      <c r="E211" s="27"/>
      <c r="F211" s="27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 spans="1:26">
      <c r="A212" s="23"/>
      <c r="B212" s="23"/>
      <c r="C212" s="23"/>
      <c r="D212" s="27"/>
      <c r="E212" s="27"/>
      <c r="F212" s="27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 spans="1:26">
      <c r="A213" s="23"/>
      <c r="B213" s="23"/>
      <c r="C213" s="23"/>
      <c r="D213" s="27"/>
      <c r="E213" s="27"/>
      <c r="F213" s="27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 spans="1:26">
      <c r="A214" s="23"/>
      <c r="B214" s="23"/>
      <c r="C214" s="23"/>
      <c r="D214" s="27"/>
      <c r="E214" s="27"/>
      <c r="F214" s="27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 spans="1:26">
      <c r="A215" s="23"/>
      <c r="B215" s="23"/>
      <c r="C215" s="23"/>
      <c r="D215" s="27"/>
      <c r="E215" s="27"/>
      <c r="F215" s="27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 spans="1:26">
      <c r="A216" s="23"/>
      <c r="B216" s="23"/>
      <c r="C216" s="23"/>
      <c r="D216" s="27"/>
      <c r="E216" s="27"/>
      <c r="F216" s="27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 spans="1:26">
      <c r="A217" s="23"/>
      <c r="B217" s="23"/>
      <c r="C217" s="23"/>
      <c r="D217" s="27"/>
      <c r="E217" s="27"/>
      <c r="F217" s="27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 spans="1:26">
      <c r="A218" s="23"/>
      <c r="B218" s="23"/>
      <c r="C218" s="23"/>
      <c r="D218" s="27"/>
      <c r="E218" s="27"/>
      <c r="F218" s="27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 spans="1:26">
      <c r="A219" s="23"/>
      <c r="B219" s="23"/>
      <c r="C219" s="23"/>
      <c r="D219" s="27"/>
      <c r="E219" s="27"/>
      <c r="F219" s="27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 spans="1:26">
      <c r="A220" s="23"/>
      <c r="B220" s="23"/>
      <c r="C220" s="23"/>
      <c r="D220" s="27"/>
      <c r="E220" s="27"/>
      <c r="F220" s="27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 spans="1:26">
      <c r="A221" s="23"/>
      <c r="B221" s="23"/>
      <c r="C221" s="23"/>
      <c r="D221" s="27"/>
      <c r="E221" s="27"/>
      <c r="F221" s="27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 spans="1:26">
      <c r="A222" s="23"/>
      <c r="B222" s="23"/>
      <c r="C222" s="23"/>
      <c r="D222" s="27"/>
      <c r="E222" s="27"/>
      <c r="F222" s="27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 spans="1:26">
      <c r="A223" s="23"/>
      <c r="B223" s="23"/>
      <c r="C223" s="23"/>
      <c r="D223" s="27"/>
      <c r="E223" s="27"/>
      <c r="F223" s="27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 spans="1:26">
      <c r="A224" s="23"/>
      <c r="B224" s="23"/>
      <c r="C224" s="23"/>
      <c r="D224" s="27"/>
      <c r="E224" s="27"/>
      <c r="F224" s="27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 spans="1:26">
      <c r="A225" s="23"/>
      <c r="B225" s="23"/>
      <c r="C225" s="23"/>
      <c r="D225" s="27"/>
      <c r="E225" s="27"/>
      <c r="F225" s="27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 spans="1:26">
      <c r="A226" s="23"/>
      <c r="B226" s="23"/>
      <c r="C226" s="23"/>
      <c r="D226" s="27"/>
      <c r="E226" s="27"/>
      <c r="F226" s="27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 spans="1:26">
      <c r="A227" s="23"/>
      <c r="B227" s="23"/>
      <c r="C227" s="23"/>
      <c r="D227" s="27"/>
      <c r="E227" s="27"/>
      <c r="F227" s="27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 spans="1:26">
      <c r="A228" s="23"/>
      <c r="B228" s="23"/>
      <c r="C228" s="23"/>
      <c r="D228" s="27"/>
      <c r="E228" s="27"/>
      <c r="F228" s="27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 spans="1:26">
      <c r="A229" s="23"/>
      <c r="B229" s="23"/>
      <c r="C229" s="23"/>
      <c r="D229" s="27"/>
      <c r="E229" s="27"/>
      <c r="F229" s="27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 spans="1:26">
      <c r="A230" s="23"/>
      <c r="B230" s="23"/>
      <c r="C230" s="23"/>
      <c r="D230" s="27"/>
      <c r="E230" s="27"/>
      <c r="F230" s="27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 spans="1:26">
      <c r="A231" s="23"/>
      <c r="B231" s="23"/>
      <c r="C231" s="23"/>
      <c r="D231" s="27"/>
      <c r="E231" s="27"/>
      <c r="F231" s="27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 spans="1:26">
      <c r="A232" s="23"/>
      <c r="B232" s="23"/>
      <c r="C232" s="23"/>
      <c r="D232" s="27"/>
      <c r="E232" s="27"/>
      <c r="F232" s="27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 spans="1:26">
      <c r="A233" s="23"/>
      <c r="B233" s="23"/>
      <c r="C233" s="23"/>
      <c r="D233" s="27"/>
      <c r="E233" s="27"/>
      <c r="F233" s="27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 spans="1:26">
      <c r="A234" s="23"/>
      <c r="B234" s="23"/>
      <c r="C234" s="23"/>
      <c r="D234" s="27"/>
      <c r="E234" s="27"/>
      <c r="F234" s="27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 spans="1:26">
      <c r="A235" s="23"/>
      <c r="B235" s="23"/>
      <c r="C235" s="23"/>
      <c r="D235" s="27"/>
      <c r="E235" s="27"/>
      <c r="F235" s="27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 spans="1:26">
      <c r="A236" s="23"/>
      <c r="B236" s="23"/>
      <c r="C236" s="23"/>
      <c r="D236" s="27"/>
      <c r="E236" s="27"/>
      <c r="F236" s="27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 spans="1:26">
      <c r="A237" s="23"/>
      <c r="B237" s="23"/>
      <c r="C237" s="23"/>
      <c r="D237" s="27"/>
      <c r="E237" s="27"/>
      <c r="F237" s="27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 spans="1:26">
      <c r="A238" s="23"/>
      <c r="B238" s="23"/>
      <c r="C238" s="23"/>
      <c r="D238" s="27"/>
      <c r="E238" s="27"/>
      <c r="F238" s="27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 spans="1:26">
      <c r="A239" s="23"/>
      <c r="B239" s="23"/>
      <c r="C239" s="23"/>
      <c r="D239" s="27"/>
      <c r="E239" s="27"/>
      <c r="F239" s="27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 spans="1:26">
      <c r="A240" s="23"/>
      <c r="B240" s="23"/>
      <c r="C240" s="23"/>
      <c r="D240" s="27"/>
      <c r="E240" s="27"/>
      <c r="F240" s="27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 spans="1:26">
      <c r="A241" s="23"/>
      <c r="B241" s="23"/>
      <c r="C241" s="23"/>
      <c r="D241" s="27"/>
      <c r="E241" s="27"/>
      <c r="F241" s="27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 spans="1:26">
      <c r="A242" s="23"/>
      <c r="B242" s="23"/>
      <c r="C242" s="23"/>
      <c r="D242" s="27"/>
      <c r="E242" s="27"/>
      <c r="F242" s="27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 spans="1:26">
      <c r="A243" s="23"/>
      <c r="B243" s="23"/>
      <c r="C243" s="23"/>
      <c r="D243" s="27"/>
      <c r="E243" s="27"/>
      <c r="F243" s="27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 spans="1:26">
      <c r="A244" s="23"/>
      <c r="B244" s="23"/>
      <c r="C244" s="23"/>
      <c r="D244" s="27"/>
      <c r="E244" s="27"/>
      <c r="F244" s="27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 spans="1:26">
      <c r="A245" s="23"/>
      <c r="B245" s="23"/>
      <c r="C245" s="23"/>
      <c r="D245" s="27"/>
      <c r="E245" s="27"/>
      <c r="F245" s="27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 spans="1:26">
      <c r="A246" s="23"/>
      <c r="B246" s="23"/>
      <c r="C246" s="23"/>
      <c r="D246" s="27"/>
      <c r="E246" s="27"/>
      <c r="F246" s="27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 spans="1:26">
      <c r="A247" s="23"/>
      <c r="B247" s="23"/>
      <c r="C247" s="23"/>
      <c r="D247" s="27"/>
      <c r="E247" s="27"/>
      <c r="F247" s="27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 spans="1:26">
      <c r="A248" s="23"/>
      <c r="B248" s="23"/>
      <c r="C248" s="23"/>
      <c r="D248" s="27"/>
      <c r="E248" s="27"/>
      <c r="F248" s="27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 spans="1:26">
      <c r="A249" s="23"/>
      <c r="B249" s="23"/>
      <c r="C249" s="23"/>
      <c r="D249" s="27"/>
      <c r="E249" s="27"/>
      <c r="F249" s="27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 spans="1:26">
      <c r="A250" s="23"/>
      <c r="B250" s="23"/>
      <c r="C250" s="23"/>
      <c r="D250" s="27"/>
      <c r="E250" s="27"/>
      <c r="F250" s="27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 spans="1:26">
      <c r="A251" s="23"/>
      <c r="B251" s="23"/>
      <c r="C251" s="23"/>
      <c r="D251" s="27"/>
      <c r="E251" s="27"/>
      <c r="F251" s="27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 spans="1:26">
      <c r="A252" s="23"/>
      <c r="B252" s="23"/>
      <c r="C252" s="23"/>
      <c r="D252" s="27"/>
      <c r="E252" s="27"/>
      <c r="F252" s="27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 spans="1:26">
      <c r="A253" s="23"/>
      <c r="B253" s="23"/>
      <c r="C253" s="23"/>
      <c r="D253" s="27"/>
      <c r="E253" s="27"/>
      <c r="F253" s="27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 spans="1:26">
      <c r="A254" s="23"/>
      <c r="B254" s="23"/>
      <c r="C254" s="23"/>
      <c r="D254" s="27"/>
      <c r="E254" s="27"/>
      <c r="F254" s="27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 spans="1:26">
      <c r="A255" s="23"/>
      <c r="B255" s="23"/>
      <c r="C255" s="23"/>
      <c r="D255" s="27"/>
      <c r="E255" s="27"/>
      <c r="F255" s="27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 spans="1:26">
      <c r="A256" s="23"/>
      <c r="B256" s="23"/>
      <c r="C256" s="23"/>
      <c r="D256" s="27"/>
      <c r="E256" s="27"/>
      <c r="F256" s="27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 spans="1:26">
      <c r="A257" s="23"/>
      <c r="B257" s="23"/>
      <c r="C257" s="23"/>
      <c r="D257" s="27"/>
      <c r="E257" s="27"/>
      <c r="F257" s="27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 spans="1:26">
      <c r="A258" s="23"/>
      <c r="B258" s="23"/>
      <c r="C258" s="23"/>
      <c r="D258" s="27"/>
      <c r="E258" s="27"/>
      <c r="F258" s="27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 spans="1:26">
      <c r="A259" s="23"/>
      <c r="B259" s="23"/>
      <c r="C259" s="23"/>
      <c r="D259" s="27"/>
      <c r="E259" s="27"/>
      <c r="F259" s="27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 spans="1:26">
      <c r="A260" s="23"/>
      <c r="B260" s="23"/>
      <c r="C260" s="23"/>
      <c r="D260" s="27"/>
      <c r="E260" s="27"/>
      <c r="F260" s="27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 spans="1:26">
      <c r="A261" s="23"/>
      <c r="B261" s="23"/>
      <c r="C261" s="23"/>
      <c r="D261" s="27"/>
      <c r="E261" s="27"/>
      <c r="F261" s="27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 spans="1:26">
      <c r="A262" s="23"/>
      <c r="B262" s="23"/>
      <c r="C262" s="23"/>
      <c r="D262" s="27"/>
      <c r="E262" s="27"/>
      <c r="F262" s="27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 spans="1:26">
      <c r="A263" s="23"/>
      <c r="B263" s="23"/>
      <c r="C263" s="23"/>
      <c r="D263" s="27"/>
      <c r="E263" s="27"/>
      <c r="F263" s="27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 spans="1:26">
      <c r="A264" s="23"/>
      <c r="B264" s="23"/>
      <c r="C264" s="23"/>
      <c r="D264" s="27"/>
      <c r="E264" s="27"/>
      <c r="F264" s="27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 spans="1:26">
      <c r="A265" s="23"/>
      <c r="B265" s="23"/>
      <c r="C265" s="23"/>
      <c r="D265" s="27"/>
      <c r="E265" s="27"/>
      <c r="F265" s="27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 spans="1:26">
      <c r="A266" s="23"/>
      <c r="B266" s="23"/>
      <c r="C266" s="23"/>
      <c r="D266" s="27"/>
      <c r="E266" s="27"/>
      <c r="F266" s="27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 spans="1:26">
      <c r="A267" s="23"/>
      <c r="B267" s="23"/>
      <c r="C267" s="23"/>
      <c r="D267" s="27"/>
      <c r="E267" s="27"/>
      <c r="F267" s="27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 spans="1:26">
      <c r="A268" s="23"/>
      <c r="B268" s="23"/>
      <c r="C268" s="23"/>
      <c r="D268" s="27"/>
      <c r="E268" s="27"/>
      <c r="F268" s="27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 spans="1:26">
      <c r="A269" s="23"/>
      <c r="B269" s="23"/>
      <c r="C269" s="23"/>
      <c r="D269" s="27"/>
      <c r="E269" s="27"/>
      <c r="F269" s="27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 spans="1:26">
      <c r="A270" s="23"/>
      <c r="B270" s="23"/>
      <c r="C270" s="23"/>
      <c r="D270" s="27"/>
      <c r="E270" s="27"/>
      <c r="F270" s="27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 spans="1:26">
      <c r="A271" s="23"/>
      <c r="B271" s="23"/>
      <c r="C271" s="23"/>
      <c r="D271" s="27"/>
      <c r="E271" s="27"/>
      <c r="F271" s="27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 spans="1:26">
      <c r="A272" s="23"/>
      <c r="B272" s="23"/>
      <c r="C272" s="23"/>
      <c r="D272" s="27"/>
      <c r="E272" s="27"/>
      <c r="F272" s="27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 spans="1:26">
      <c r="A273" s="23"/>
      <c r="B273" s="23"/>
      <c r="C273" s="23"/>
      <c r="D273" s="27"/>
      <c r="E273" s="27"/>
      <c r="F273" s="27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 spans="1:26">
      <c r="A274" s="23"/>
      <c r="B274" s="23"/>
      <c r="C274" s="23"/>
      <c r="D274" s="27"/>
      <c r="E274" s="27"/>
      <c r="F274" s="27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 spans="1:26">
      <c r="A275" s="23"/>
      <c r="B275" s="23"/>
      <c r="C275" s="23"/>
      <c r="D275" s="27"/>
      <c r="E275" s="27"/>
      <c r="F275" s="27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 spans="1:26">
      <c r="A276" s="23"/>
      <c r="B276" s="23"/>
      <c r="C276" s="23"/>
      <c r="D276" s="27"/>
      <c r="E276" s="27"/>
      <c r="F276" s="27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 spans="1:26">
      <c r="A277" s="23"/>
      <c r="B277" s="23"/>
      <c r="C277" s="23"/>
      <c r="D277" s="27"/>
      <c r="E277" s="27"/>
      <c r="F277" s="27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 spans="1:26">
      <c r="A278" s="23"/>
      <c r="B278" s="23"/>
      <c r="C278" s="23"/>
      <c r="D278" s="27"/>
      <c r="E278" s="27"/>
      <c r="F278" s="27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 spans="1:26">
      <c r="A279" s="23"/>
      <c r="B279" s="23"/>
      <c r="C279" s="23"/>
      <c r="D279" s="27"/>
      <c r="E279" s="27"/>
      <c r="F279" s="27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 spans="1:26">
      <c r="A280" s="23"/>
      <c r="B280" s="23"/>
      <c r="C280" s="23"/>
      <c r="D280" s="27"/>
      <c r="E280" s="27"/>
      <c r="F280" s="27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 spans="1:26">
      <c r="A281" s="23"/>
      <c r="B281" s="23"/>
      <c r="C281" s="23"/>
      <c r="D281" s="27"/>
      <c r="E281" s="27"/>
      <c r="F281" s="27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 spans="1:26">
      <c r="A282" s="23"/>
      <c r="B282" s="23"/>
      <c r="C282" s="23"/>
      <c r="D282" s="27"/>
      <c r="E282" s="27"/>
      <c r="F282" s="27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 spans="1:26">
      <c r="A283" s="23"/>
      <c r="B283" s="23"/>
      <c r="C283" s="23"/>
      <c r="D283" s="27"/>
      <c r="E283" s="27"/>
      <c r="F283" s="27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 spans="1:26">
      <c r="A284" s="23"/>
      <c r="B284" s="23"/>
      <c r="C284" s="23"/>
      <c r="D284" s="27"/>
      <c r="E284" s="27"/>
      <c r="F284" s="27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 spans="1:26">
      <c r="A285" s="23"/>
      <c r="B285" s="23"/>
      <c r="C285" s="23"/>
      <c r="D285" s="27"/>
      <c r="E285" s="27"/>
      <c r="F285" s="27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 spans="1:26">
      <c r="A286" s="23"/>
      <c r="B286" s="23"/>
      <c r="C286" s="23"/>
      <c r="D286" s="27"/>
      <c r="E286" s="27"/>
      <c r="F286" s="27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 spans="1:26">
      <c r="A287" s="23"/>
      <c r="B287" s="23"/>
      <c r="C287" s="23"/>
      <c r="D287" s="27"/>
      <c r="E287" s="27"/>
      <c r="F287" s="27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 spans="1:26">
      <c r="A288" s="23"/>
      <c r="B288" s="23"/>
      <c r="C288" s="23"/>
      <c r="D288" s="27"/>
      <c r="E288" s="27"/>
      <c r="F288" s="27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 spans="1:26">
      <c r="A289" s="23"/>
      <c r="B289" s="23"/>
      <c r="C289" s="23"/>
      <c r="D289" s="27"/>
      <c r="E289" s="27"/>
      <c r="F289" s="27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 spans="1:26">
      <c r="A290" s="23"/>
      <c r="B290" s="23"/>
      <c r="C290" s="23"/>
      <c r="D290" s="27"/>
      <c r="E290" s="27"/>
      <c r="F290" s="27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 spans="1:26">
      <c r="A291" s="23"/>
      <c r="B291" s="23"/>
      <c r="C291" s="23"/>
      <c r="D291" s="27"/>
      <c r="E291" s="27"/>
      <c r="F291" s="27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 spans="1:26">
      <c r="A292" s="23"/>
      <c r="B292" s="23"/>
      <c r="C292" s="23"/>
      <c r="D292" s="27"/>
      <c r="E292" s="27"/>
      <c r="F292" s="27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 spans="1:26">
      <c r="A293" s="23"/>
      <c r="B293" s="23"/>
      <c r="C293" s="23"/>
      <c r="D293" s="27"/>
      <c r="E293" s="27"/>
      <c r="F293" s="27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 spans="1:26">
      <c r="A294" s="23"/>
      <c r="B294" s="23"/>
      <c r="C294" s="23"/>
      <c r="D294" s="27"/>
      <c r="E294" s="27"/>
      <c r="F294" s="27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 spans="1:26">
      <c r="A295" s="23"/>
      <c r="B295" s="23"/>
      <c r="C295" s="23"/>
      <c r="D295" s="27"/>
      <c r="E295" s="27"/>
      <c r="F295" s="27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 spans="1:26">
      <c r="A296" s="23"/>
      <c r="B296" s="23"/>
      <c r="C296" s="23"/>
      <c r="D296" s="27"/>
      <c r="E296" s="27"/>
      <c r="F296" s="27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 spans="1:26">
      <c r="A297" s="23"/>
      <c r="B297" s="23"/>
      <c r="C297" s="23"/>
      <c r="D297" s="27"/>
      <c r="E297" s="27"/>
      <c r="F297" s="27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 spans="1:26">
      <c r="A298" s="23"/>
      <c r="B298" s="23"/>
      <c r="C298" s="23"/>
      <c r="D298" s="27"/>
      <c r="E298" s="27"/>
      <c r="F298" s="27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 spans="1:26">
      <c r="A299" s="23"/>
      <c r="B299" s="23"/>
      <c r="C299" s="23"/>
      <c r="D299" s="27"/>
      <c r="E299" s="27"/>
      <c r="F299" s="27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 spans="1:26">
      <c r="A300" s="23"/>
      <c r="B300" s="23"/>
      <c r="C300" s="23"/>
      <c r="D300" s="27"/>
      <c r="E300" s="27"/>
      <c r="F300" s="27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 spans="1:26">
      <c r="A301" s="23"/>
      <c r="B301" s="23"/>
      <c r="C301" s="23"/>
      <c r="D301" s="27"/>
      <c r="E301" s="27"/>
      <c r="F301" s="27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 spans="1:26">
      <c r="A302" s="23"/>
      <c r="B302" s="23"/>
      <c r="C302" s="23"/>
      <c r="D302" s="27"/>
      <c r="E302" s="27"/>
      <c r="F302" s="27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 spans="1:26">
      <c r="A303" s="23"/>
      <c r="B303" s="23"/>
      <c r="C303" s="23"/>
      <c r="D303" s="27"/>
      <c r="E303" s="27"/>
      <c r="F303" s="27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 spans="1:26">
      <c r="A304" s="23"/>
      <c r="B304" s="23"/>
      <c r="C304" s="23"/>
      <c r="D304" s="27"/>
      <c r="E304" s="27"/>
      <c r="F304" s="27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 spans="1:26">
      <c r="A305" s="23"/>
      <c r="B305" s="23"/>
      <c r="C305" s="23"/>
      <c r="D305" s="27"/>
      <c r="E305" s="27"/>
      <c r="F305" s="27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 spans="1:26">
      <c r="A306" s="23"/>
      <c r="B306" s="23"/>
      <c r="C306" s="23"/>
      <c r="D306" s="27"/>
      <c r="E306" s="27"/>
      <c r="F306" s="27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 spans="1:26">
      <c r="A307" s="23"/>
      <c r="B307" s="23"/>
      <c r="C307" s="23"/>
      <c r="D307" s="27"/>
      <c r="E307" s="27"/>
      <c r="F307" s="27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 spans="1:26">
      <c r="A308" s="23"/>
      <c r="B308" s="23"/>
      <c r="C308" s="23"/>
      <c r="D308" s="27"/>
      <c r="E308" s="27"/>
      <c r="F308" s="27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 spans="1:26">
      <c r="A309" s="23"/>
      <c r="B309" s="23"/>
      <c r="C309" s="23"/>
      <c r="D309" s="27"/>
      <c r="E309" s="27"/>
      <c r="F309" s="27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 spans="1:26">
      <c r="A310" s="23"/>
      <c r="B310" s="23"/>
      <c r="C310" s="23"/>
      <c r="D310" s="27"/>
      <c r="E310" s="27"/>
      <c r="F310" s="27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 spans="1:26">
      <c r="A311" s="23"/>
      <c r="B311" s="23"/>
      <c r="C311" s="23"/>
      <c r="D311" s="27"/>
      <c r="E311" s="27"/>
      <c r="F311" s="27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 spans="1:26">
      <c r="A312" s="23"/>
      <c r="B312" s="23"/>
      <c r="C312" s="23"/>
      <c r="D312" s="27"/>
      <c r="E312" s="27"/>
      <c r="F312" s="27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 spans="1:26">
      <c r="A313" s="23"/>
      <c r="B313" s="23"/>
      <c r="C313" s="23"/>
      <c r="D313" s="27"/>
      <c r="E313" s="27"/>
      <c r="F313" s="27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 spans="1:26">
      <c r="A314" s="23"/>
      <c r="B314" s="23"/>
      <c r="C314" s="23"/>
      <c r="D314" s="27"/>
      <c r="E314" s="27"/>
      <c r="F314" s="27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 spans="1:26">
      <c r="A315" s="23"/>
      <c r="B315" s="23"/>
      <c r="C315" s="23"/>
      <c r="D315" s="27"/>
      <c r="E315" s="27"/>
      <c r="F315" s="27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 spans="1:26">
      <c r="A316" s="23"/>
      <c r="B316" s="23"/>
      <c r="C316" s="23"/>
      <c r="D316" s="27"/>
      <c r="E316" s="27"/>
      <c r="F316" s="27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 spans="1:26">
      <c r="A317" s="23"/>
      <c r="B317" s="23"/>
      <c r="C317" s="23"/>
      <c r="D317" s="27"/>
      <c r="E317" s="27"/>
      <c r="F317" s="27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 spans="1:26">
      <c r="A318" s="23"/>
      <c r="B318" s="23"/>
      <c r="C318" s="23"/>
      <c r="D318" s="27"/>
      <c r="E318" s="27"/>
      <c r="F318" s="27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 spans="1:26">
      <c r="A319" s="23"/>
      <c r="B319" s="23"/>
      <c r="C319" s="23"/>
      <c r="D319" s="27"/>
      <c r="E319" s="27"/>
      <c r="F319" s="27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 spans="1:26">
      <c r="A320" s="23"/>
      <c r="B320" s="23"/>
      <c r="C320" s="23"/>
      <c r="D320" s="27"/>
      <c r="E320" s="27"/>
      <c r="F320" s="27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 spans="1:26">
      <c r="A321" s="23"/>
      <c r="B321" s="23"/>
      <c r="C321" s="23"/>
      <c r="D321" s="27"/>
      <c r="E321" s="27"/>
      <c r="F321" s="27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 spans="1:26">
      <c r="A322" s="23"/>
      <c r="B322" s="23"/>
      <c r="C322" s="23"/>
      <c r="D322" s="27"/>
      <c r="E322" s="27"/>
      <c r="F322" s="27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 spans="1:26">
      <c r="A323" s="23"/>
      <c r="B323" s="23"/>
      <c r="C323" s="23"/>
      <c r="D323" s="27"/>
      <c r="E323" s="27"/>
      <c r="F323" s="27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 spans="1:26">
      <c r="A324" s="23"/>
      <c r="B324" s="23"/>
      <c r="C324" s="23"/>
      <c r="D324" s="27"/>
      <c r="E324" s="27"/>
      <c r="F324" s="27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 spans="1:26">
      <c r="A325" s="23"/>
      <c r="B325" s="23"/>
      <c r="C325" s="23"/>
      <c r="D325" s="27"/>
      <c r="E325" s="27"/>
      <c r="F325" s="27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 spans="1:26">
      <c r="A326" s="23"/>
      <c r="B326" s="23"/>
      <c r="C326" s="23"/>
      <c r="D326" s="27"/>
      <c r="E326" s="27"/>
      <c r="F326" s="27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 spans="1:26">
      <c r="A327" s="23"/>
      <c r="B327" s="23"/>
      <c r="C327" s="23"/>
      <c r="D327" s="27"/>
      <c r="E327" s="27"/>
      <c r="F327" s="27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 spans="1:26">
      <c r="A328" s="23"/>
      <c r="B328" s="23"/>
      <c r="C328" s="23"/>
      <c r="D328" s="27"/>
      <c r="E328" s="27"/>
      <c r="F328" s="27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 spans="1:26">
      <c r="A329" s="23"/>
      <c r="B329" s="23"/>
      <c r="C329" s="23"/>
      <c r="D329" s="27"/>
      <c r="E329" s="27"/>
      <c r="F329" s="27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 spans="1:26">
      <c r="A330" s="23"/>
      <c r="B330" s="23"/>
      <c r="C330" s="23"/>
      <c r="D330" s="27"/>
      <c r="E330" s="27"/>
      <c r="F330" s="27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 spans="1:26">
      <c r="A331" s="23"/>
      <c r="B331" s="23"/>
      <c r="C331" s="23"/>
      <c r="D331" s="27"/>
      <c r="E331" s="27"/>
      <c r="F331" s="27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 spans="1:26">
      <c r="A332" s="23"/>
      <c r="B332" s="23"/>
      <c r="C332" s="23"/>
      <c r="D332" s="27"/>
      <c r="E332" s="27"/>
      <c r="F332" s="27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 spans="1:26">
      <c r="A333" s="23"/>
      <c r="B333" s="23"/>
      <c r="C333" s="23"/>
      <c r="D333" s="27"/>
      <c r="E333" s="27"/>
      <c r="F333" s="27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 spans="1:26">
      <c r="A334" s="23"/>
      <c r="B334" s="23"/>
      <c r="C334" s="23"/>
      <c r="D334" s="27"/>
      <c r="E334" s="27"/>
      <c r="F334" s="27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 spans="1:26">
      <c r="A335" s="23"/>
      <c r="B335" s="23"/>
      <c r="C335" s="23"/>
      <c r="D335" s="27"/>
      <c r="E335" s="27"/>
      <c r="F335" s="27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 spans="1:26">
      <c r="A336" s="23"/>
      <c r="B336" s="23"/>
      <c r="C336" s="23"/>
      <c r="D336" s="27"/>
      <c r="E336" s="27"/>
      <c r="F336" s="27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 spans="1:26">
      <c r="A337" s="23"/>
      <c r="B337" s="23"/>
      <c r="C337" s="23"/>
      <c r="D337" s="27"/>
      <c r="E337" s="27"/>
      <c r="F337" s="27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 spans="1:26">
      <c r="A338" s="23"/>
      <c r="B338" s="23"/>
      <c r="C338" s="23"/>
      <c r="D338" s="27"/>
      <c r="E338" s="27"/>
      <c r="F338" s="27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 spans="1:26">
      <c r="A339" s="23"/>
      <c r="B339" s="23"/>
      <c r="C339" s="23"/>
      <c r="D339" s="27"/>
      <c r="E339" s="27"/>
      <c r="F339" s="27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 spans="1:26">
      <c r="A340" s="23"/>
      <c r="B340" s="23"/>
      <c r="C340" s="23"/>
      <c r="D340" s="27"/>
      <c r="E340" s="27"/>
      <c r="F340" s="27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 spans="1:26">
      <c r="A341" s="23"/>
      <c r="B341" s="23"/>
      <c r="C341" s="23"/>
      <c r="D341" s="27"/>
      <c r="E341" s="27"/>
      <c r="F341" s="27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 spans="1:26">
      <c r="A342" s="23"/>
      <c r="B342" s="23"/>
      <c r="C342" s="23"/>
      <c r="D342" s="27"/>
      <c r="E342" s="27"/>
      <c r="F342" s="27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 spans="1:26">
      <c r="A343" s="23"/>
      <c r="B343" s="23"/>
      <c r="C343" s="23"/>
      <c r="D343" s="27"/>
      <c r="E343" s="27"/>
      <c r="F343" s="27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 spans="1:26">
      <c r="A344" s="23"/>
      <c r="B344" s="23"/>
      <c r="C344" s="23"/>
      <c r="D344" s="27"/>
      <c r="E344" s="27"/>
      <c r="F344" s="27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 spans="1:26">
      <c r="A345" s="23"/>
      <c r="B345" s="23"/>
      <c r="C345" s="23"/>
      <c r="D345" s="27"/>
      <c r="E345" s="27"/>
      <c r="F345" s="27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 spans="1:26">
      <c r="A346" s="23"/>
      <c r="B346" s="23"/>
      <c r="C346" s="23"/>
      <c r="D346" s="27"/>
      <c r="E346" s="27"/>
      <c r="F346" s="27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 spans="1:26">
      <c r="A347" s="23"/>
      <c r="B347" s="23"/>
      <c r="C347" s="23"/>
      <c r="D347" s="27"/>
      <c r="E347" s="27"/>
      <c r="F347" s="27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 spans="1:26">
      <c r="A348" s="23"/>
      <c r="B348" s="23"/>
      <c r="C348" s="23"/>
      <c r="D348" s="27"/>
      <c r="E348" s="27"/>
      <c r="F348" s="27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 spans="1:26">
      <c r="A349" s="23"/>
      <c r="B349" s="23"/>
      <c r="C349" s="23"/>
      <c r="D349" s="27"/>
      <c r="E349" s="27"/>
      <c r="F349" s="27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 spans="1:26">
      <c r="A350" s="23"/>
      <c r="B350" s="23"/>
      <c r="C350" s="23"/>
      <c r="D350" s="27"/>
      <c r="E350" s="27"/>
      <c r="F350" s="27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 spans="1:26">
      <c r="A351" s="23"/>
      <c r="B351" s="23"/>
      <c r="C351" s="23"/>
      <c r="D351" s="27"/>
      <c r="E351" s="27"/>
      <c r="F351" s="27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 spans="1:26">
      <c r="A352" s="23"/>
      <c r="B352" s="23"/>
      <c r="C352" s="23"/>
      <c r="D352" s="27"/>
      <c r="E352" s="27"/>
      <c r="F352" s="27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 spans="1:26">
      <c r="A353" s="23"/>
      <c r="B353" s="23"/>
      <c r="C353" s="23"/>
      <c r="D353" s="27"/>
      <c r="E353" s="27"/>
      <c r="F353" s="27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 spans="1:26">
      <c r="A354" s="23"/>
      <c r="B354" s="23"/>
      <c r="C354" s="23"/>
      <c r="D354" s="27"/>
      <c r="E354" s="27"/>
      <c r="F354" s="27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 spans="1:26">
      <c r="A355" s="23"/>
      <c r="B355" s="23"/>
      <c r="C355" s="23"/>
      <c r="D355" s="27"/>
      <c r="E355" s="27"/>
      <c r="F355" s="27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 spans="1:26">
      <c r="A356" s="23"/>
      <c r="B356" s="23"/>
      <c r="C356" s="23"/>
      <c r="D356" s="27"/>
      <c r="E356" s="27"/>
      <c r="F356" s="27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 spans="1:26">
      <c r="A357" s="23"/>
      <c r="B357" s="23"/>
      <c r="C357" s="23"/>
      <c r="D357" s="27"/>
      <c r="E357" s="27"/>
      <c r="F357" s="27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 spans="1:26">
      <c r="A358" s="23"/>
      <c r="B358" s="23"/>
      <c r="C358" s="23"/>
      <c r="D358" s="27"/>
      <c r="E358" s="27"/>
      <c r="F358" s="27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 spans="1:26">
      <c r="A359" s="23"/>
      <c r="B359" s="23"/>
      <c r="C359" s="23"/>
      <c r="D359" s="27"/>
      <c r="E359" s="27"/>
      <c r="F359" s="27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 spans="1:26">
      <c r="A360" s="23"/>
      <c r="B360" s="23"/>
      <c r="C360" s="23"/>
      <c r="D360" s="27"/>
      <c r="E360" s="27"/>
      <c r="F360" s="27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 spans="1:26">
      <c r="A361" s="23"/>
      <c r="B361" s="23"/>
      <c r="C361" s="23"/>
      <c r="D361" s="27"/>
      <c r="E361" s="27"/>
      <c r="F361" s="27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 spans="1:26">
      <c r="A362" s="23"/>
      <c r="B362" s="23"/>
      <c r="C362" s="23"/>
      <c r="D362" s="27"/>
      <c r="E362" s="27"/>
      <c r="F362" s="27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 spans="1:26">
      <c r="A363" s="23"/>
      <c r="B363" s="23"/>
      <c r="C363" s="23"/>
      <c r="D363" s="27"/>
      <c r="E363" s="27"/>
      <c r="F363" s="27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 spans="1:26">
      <c r="A364" s="23"/>
      <c r="B364" s="23"/>
      <c r="C364" s="23"/>
      <c r="D364" s="27"/>
      <c r="E364" s="27"/>
      <c r="F364" s="27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 spans="1:26">
      <c r="A365" s="23"/>
      <c r="B365" s="23"/>
      <c r="C365" s="23"/>
      <c r="D365" s="27"/>
      <c r="E365" s="27"/>
      <c r="F365" s="27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 spans="1:26">
      <c r="A366" s="23"/>
      <c r="B366" s="23"/>
      <c r="C366" s="23"/>
      <c r="D366" s="27"/>
      <c r="E366" s="27"/>
      <c r="F366" s="27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 spans="1:26">
      <c r="A367" s="23"/>
      <c r="B367" s="23"/>
      <c r="C367" s="23"/>
      <c r="D367" s="27"/>
      <c r="E367" s="27"/>
      <c r="F367" s="27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 spans="1:26">
      <c r="A368" s="23"/>
      <c r="B368" s="23"/>
      <c r="C368" s="23"/>
      <c r="D368" s="27"/>
      <c r="E368" s="27"/>
      <c r="F368" s="27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 spans="1:26">
      <c r="A369" s="23"/>
      <c r="B369" s="23"/>
      <c r="C369" s="23"/>
      <c r="D369" s="27"/>
      <c r="E369" s="27"/>
      <c r="F369" s="27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 spans="1:26">
      <c r="A370" s="23"/>
      <c r="B370" s="23"/>
      <c r="C370" s="23"/>
      <c r="D370" s="27"/>
      <c r="E370" s="27"/>
      <c r="F370" s="27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 spans="1:26">
      <c r="A371" s="23"/>
      <c r="B371" s="23"/>
      <c r="C371" s="23"/>
      <c r="D371" s="27"/>
      <c r="E371" s="27"/>
      <c r="F371" s="27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 spans="1:26">
      <c r="A372" s="23"/>
      <c r="B372" s="23"/>
      <c r="C372" s="23"/>
      <c r="D372" s="27"/>
      <c r="E372" s="27"/>
      <c r="F372" s="27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 spans="1:26">
      <c r="A373" s="23"/>
      <c r="B373" s="23"/>
      <c r="C373" s="23"/>
      <c r="D373" s="27"/>
      <c r="E373" s="27"/>
      <c r="F373" s="27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 spans="1:26">
      <c r="A374" s="23"/>
      <c r="B374" s="23"/>
      <c r="C374" s="23"/>
      <c r="D374" s="27"/>
      <c r="E374" s="27"/>
      <c r="F374" s="27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 spans="1:26">
      <c r="A375" s="23"/>
      <c r="B375" s="23"/>
      <c r="C375" s="23"/>
      <c r="D375" s="27"/>
      <c r="E375" s="27"/>
      <c r="F375" s="27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 spans="1:26">
      <c r="A376" s="23"/>
      <c r="B376" s="23"/>
      <c r="C376" s="23"/>
      <c r="D376" s="27"/>
      <c r="E376" s="27"/>
      <c r="F376" s="27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 spans="1:26">
      <c r="A377" s="23"/>
      <c r="B377" s="23"/>
      <c r="C377" s="23"/>
      <c r="D377" s="27"/>
      <c r="E377" s="27"/>
      <c r="F377" s="27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 spans="1:26">
      <c r="A378" s="23"/>
      <c r="B378" s="23"/>
      <c r="C378" s="23"/>
      <c r="D378" s="27"/>
      <c r="E378" s="27"/>
      <c r="F378" s="27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 spans="1:26">
      <c r="A379" s="23"/>
      <c r="B379" s="23"/>
      <c r="C379" s="23"/>
      <c r="D379" s="27"/>
      <c r="E379" s="27"/>
      <c r="F379" s="27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 spans="1:26">
      <c r="A380" s="23"/>
      <c r="B380" s="23"/>
      <c r="C380" s="23"/>
      <c r="D380" s="27"/>
      <c r="E380" s="27"/>
      <c r="F380" s="27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 spans="1:26">
      <c r="A381" s="23"/>
      <c r="B381" s="23"/>
      <c r="C381" s="23"/>
      <c r="D381" s="27"/>
      <c r="E381" s="27"/>
      <c r="F381" s="27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 spans="1:26">
      <c r="A382" s="23"/>
      <c r="B382" s="23"/>
      <c r="C382" s="23"/>
      <c r="D382" s="27"/>
      <c r="E382" s="27"/>
      <c r="F382" s="27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 spans="1:26">
      <c r="A383" s="23"/>
      <c r="B383" s="23"/>
      <c r="C383" s="23"/>
      <c r="D383" s="27"/>
      <c r="E383" s="27"/>
      <c r="F383" s="27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 spans="1:26">
      <c r="A384" s="23"/>
      <c r="B384" s="23"/>
      <c r="C384" s="23"/>
      <c r="D384" s="27"/>
      <c r="E384" s="27"/>
      <c r="F384" s="27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 spans="1:26">
      <c r="A385" s="23"/>
      <c r="B385" s="23"/>
      <c r="C385" s="23"/>
      <c r="D385" s="27"/>
      <c r="E385" s="27"/>
      <c r="F385" s="27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 spans="1:26">
      <c r="A386" s="23"/>
      <c r="B386" s="23"/>
      <c r="C386" s="23"/>
      <c r="D386" s="27"/>
      <c r="E386" s="27"/>
      <c r="F386" s="27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 spans="1:26">
      <c r="A387" s="23"/>
      <c r="B387" s="23"/>
      <c r="C387" s="23"/>
      <c r="D387" s="27"/>
      <c r="E387" s="27"/>
      <c r="F387" s="27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 spans="1:26">
      <c r="A388" s="23"/>
      <c r="B388" s="23"/>
      <c r="C388" s="23"/>
      <c r="D388" s="27"/>
      <c r="E388" s="27"/>
      <c r="F388" s="27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 spans="1:26">
      <c r="A389" s="23"/>
      <c r="B389" s="23"/>
      <c r="C389" s="23"/>
      <c r="D389" s="27"/>
      <c r="E389" s="27"/>
      <c r="F389" s="27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 spans="1:26">
      <c r="A390" s="23"/>
      <c r="B390" s="23"/>
      <c r="C390" s="23"/>
      <c r="D390" s="27"/>
      <c r="E390" s="27"/>
      <c r="F390" s="27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 spans="1:26">
      <c r="A391" s="23"/>
      <c r="B391" s="23"/>
      <c r="C391" s="23"/>
      <c r="D391" s="27"/>
      <c r="E391" s="27"/>
      <c r="F391" s="27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 spans="1:26">
      <c r="A392" s="23"/>
      <c r="B392" s="23"/>
      <c r="C392" s="23"/>
      <c r="D392" s="27"/>
      <c r="E392" s="27"/>
      <c r="F392" s="27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 spans="1:26">
      <c r="A393" s="23"/>
      <c r="B393" s="23"/>
      <c r="C393" s="23"/>
      <c r="D393" s="27"/>
      <c r="E393" s="27"/>
      <c r="F393" s="27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 spans="1:26">
      <c r="A394" s="23"/>
      <c r="B394" s="23"/>
      <c r="C394" s="23"/>
      <c r="D394" s="27"/>
      <c r="E394" s="27"/>
      <c r="F394" s="27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 spans="1:26">
      <c r="A395" s="23"/>
      <c r="B395" s="23"/>
      <c r="C395" s="23"/>
      <c r="D395" s="27"/>
      <c r="E395" s="27"/>
      <c r="F395" s="27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 spans="1:26">
      <c r="A396" s="23"/>
      <c r="B396" s="23"/>
      <c r="C396" s="23"/>
      <c r="D396" s="27"/>
      <c r="E396" s="27"/>
      <c r="F396" s="27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 spans="1:26">
      <c r="A397" s="23"/>
      <c r="B397" s="23"/>
      <c r="C397" s="23"/>
      <c r="D397" s="27"/>
      <c r="E397" s="27"/>
      <c r="F397" s="27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 spans="1:26">
      <c r="A398" s="23"/>
      <c r="B398" s="23"/>
      <c r="C398" s="23"/>
      <c r="D398" s="27"/>
      <c r="E398" s="27"/>
      <c r="F398" s="27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 spans="1:26">
      <c r="A399" s="23"/>
      <c r="B399" s="23"/>
      <c r="C399" s="23"/>
      <c r="D399" s="27"/>
      <c r="E399" s="27"/>
      <c r="F399" s="27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 spans="1:26">
      <c r="A400" s="23"/>
      <c r="B400" s="23"/>
      <c r="C400" s="23"/>
      <c r="D400" s="27"/>
      <c r="E400" s="27"/>
      <c r="F400" s="27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 spans="1:26">
      <c r="A401" s="23"/>
      <c r="B401" s="23"/>
      <c r="C401" s="23"/>
      <c r="D401" s="27"/>
      <c r="E401" s="27"/>
      <c r="F401" s="27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 spans="1:26">
      <c r="A402" s="23"/>
      <c r="B402" s="23"/>
      <c r="C402" s="23"/>
      <c r="D402" s="27"/>
      <c r="E402" s="27"/>
      <c r="F402" s="27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 spans="1:26">
      <c r="A403" s="23"/>
      <c r="B403" s="23"/>
      <c r="C403" s="23"/>
      <c r="D403" s="27"/>
      <c r="E403" s="27"/>
      <c r="F403" s="27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 spans="1:26">
      <c r="A404" s="23"/>
      <c r="B404" s="23"/>
      <c r="C404" s="23"/>
      <c r="D404" s="27"/>
      <c r="E404" s="27"/>
      <c r="F404" s="27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 spans="1:26">
      <c r="A405" s="23"/>
      <c r="B405" s="23"/>
      <c r="C405" s="23"/>
      <c r="D405" s="27"/>
      <c r="E405" s="27"/>
      <c r="F405" s="27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 spans="1:26">
      <c r="A406" s="23"/>
      <c r="B406" s="23"/>
      <c r="C406" s="23"/>
      <c r="D406" s="27"/>
      <c r="E406" s="27"/>
      <c r="F406" s="27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 spans="1:26">
      <c r="A407" s="23"/>
      <c r="B407" s="23"/>
      <c r="C407" s="23"/>
      <c r="D407" s="27"/>
      <c r="E407" s="27"/>
      <c r="F407" s="27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 spans="1:26">
      <c r="A408" s="23"/>
      <c r="B408" s="23"/>
      <c r="C408" s="23"/>
      <c r="D408" s="27"/>
      <c r="E408" s="27"/>
      <c r="F408" s="27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 spans="1:26">
      <c r="A409" s="23"/>
      <c r="B409" s="23"/>
      <c r="C409" s="23"/>
      <c r="D409" s="27"/>
      <c r="E409" s="27"/>
      <c r="F409" s="27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 spans="1:26">
      <c r="A410" s="23"/>
      <c r="B410" s="23"/>
      <c r="C410" s="23"/>
      <c r="D410" s="27"/>
      <c r="E410" s="27"/>
      <c r="F410" s="27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 spans="1:26">
      <c r="A411" s="23"/>
      <c r="B411" s="23"/>
      <c r="C411" s="23"/>
      <c r="D411" s="27"/>
      <c r="E411" s="27"/>
      <c r="F411" s="27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 spans="1:26">
      <c r="A412" s="23"/>
      <c r="B412" s="23"/>
      <c r="C412" s="23"/>
      <c r="D412" s="27"/>
      <c r="E412" s="27"/>
      <c r="F412" s="27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 spans="1:26">
      <c r="A413" s="23"/>
      <c r="B413" s="23"/>
      <c r="C413" s="23"/>
      <c r="D413" s="27"/>
      <c r="E413" s="27"/>
      <c r="F413" s="27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 spans="1:26">
      <c r="A414" s="23"/>
      <c r="B414" s="23"/>
      <c r="C414" s="23"/>
      <c r="D414" s="27"/>
      <c r="E414" s="27"/>
      <c r="F414" s="27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 spans="1:26">
      <c r="A415" s="23"/>
      <c r="B415" s="23"/>
      <c r="C415" s="23"/>
      <c r="D415" s="27"/>
      <c r="E415" s="27"/>
      <c r="F415" s="27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 spans="1:26">
      <c r="A416" s="23"/>
      <c r="B416" s="23"/>
      <c r="C416" s="23"/>
      <c r="D416" s="27"/>
      <c r="E416" s="27"/>
      <c r="F416" s="27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 spans="1:26">
      <c r="A417" s="23"/>
      <c r="B417" s="23"/>
      <c r="C417" s="23"/>
      <c r="D417" s="27"/>
      <c r="E417" s="27"/>
      <c r="F417" s="27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 spans="1:26">
      <c r="A418" s="23"/>
      <c r="B418" s="23"/>
      <c r="C418" s="23"/>
      <c r="D418" s="27"/>
      <c r="E418" s="27"/>
      <c r="F418" s="27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 spans="1:26">
      <c r="A419" s="23"/>
      <c r="B419" s="23"/>
      <c r="C419" s="23"/>
      <c r="D419" s="27"/>
      <c r="E419" s="27"/>
      <c r="F419" s="27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 spans="1:26">
      <c r="A420" s="23"/>
      <c r="B420" s="23"/>
      <c r="C420" s="23"/>
      <c r="D420" s="27"/>
      <c r="E420" s="27"/>
      <c r="F420" s="27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 spans="1:26">
      <c r="A421" s="23"/>
      <c r="B421" s="23"/>
      <c r="C421" s="23"/>
      <c r="D421" s="27"/>
      <c r="E421" s="27"/>
      <c r="F421" s="27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 spans="1:26">
      <c r="A422" s="23"/>
      <c r="B422" s="23"/>
      <c r="C422" s="23"/>
      <c r="D422" s="27"/>
      <c r="E422" s="27"/>
      <c r="F422" s="27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 spans="1:26">
      <c r="A423" s="23"/>
      <c r="B423" s="23"/>
      <c r="C423" s="23"/>
      <c r="D423" s="27"/>
      <c r="E423" s="27"/>
      <c r="F423" s="27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 spans="1:26">
      <c r="A424" s="23"/>
      <c r="B424" s="23"/>
      <c r="C424" s="23"/>
      <c r="D424" s="27"/>
      <c r="E424" s="27"/>
      <c r="F424" s="27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 spans="1:26">
      <c r="A425" s="23"/>
      <c r="B425" s="23"/>
      <c r="C425" s="23"/>
      <c r="D425" s="27"/>
      <c r="E425" s="27"/>
      <c r="F425" s="27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 spans="1:26">
      <c r="A426" s="23"/>
      <c r="B426" s="23"/>
      <c r="C426" s="23"/>
      <c r="D426" s="27"/>
      <c r="E426" s="27"/>
      <c r="F426" s="27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 spans="1:26">
      <c r="A427" s="23"/>
      <c r="B427" s="23"/>
      <c r="C427" s="23"/>
      <c r="D427" s="27"/>
      <c r="E427" s="27"/>
      <c r="F427" s="27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 spans="1:26">
      <c r="A428" s="23"/>
      <c r="B428" s="23"/>
      <c r="C428" s="23"/>
      <c r="D428" s="27"/>
      <c r="E428" s="27"/>
      <c r="F428" s="27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 spans="1:26">
      <c r="A429" s="23"/>
      <c r="B429" s="23"/>
      <c r="C429" s="23"/>
      <c r="D429" s="27"/>
      <c r="E429" s="27"/>
      <c r="F429" s="27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 spans="1:26">
      <c r="A430" s="23"/>
      <c r="B430" s="23"/>
      <c r="C430" s="23"/>
      <c r="D430" s="27"/>
      <c r="E430" s="27"/>
      <c r="F430" s="27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 spans="1:26">
      <c r="A431" s="23"/>
      <c r="B431" s="23"/>
      <c r="C431" s="23"/>
      <c r="D431" s="27"/>
      <c r="E431" s="27"/>
      <c r="F431" s="27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 spans="1:26">
      <c r="A432" s="23"/>
      <c r="B432" s="23"/>
      <c r="C432" s="23"/>
      <c r="D432" s="27"/>
      <c r="E432" s="27"/>
      <c r="F432" s="27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 spans="1:26">
      <c r="A433" s="23"/>
      <c r="B433" s="23"/>
      <c r="C433" s="23"/>
      <c r="D433" s="27"/>
      <c r="E433" s="27"/>
      <c r="F433" s="27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 spans="1:26">
      <c r="A434" s="23"/>
      <c r="B434" s="23"/>
      <c r="C434" s="23"/>
      <c r="D434" s="27"/>
      <c r="E434" s="27"/>
      <c r="F434" s="27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 spans="1:26">
      <c r="A435" s="23"/>
      <c r="B435" s="23"/>
      <c r="C435" s="23"/>
      <c r="D435" s="27"/>
      <c r="E435" s="27"/>
      <c r="F435" s="27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 spans="1:26">
      <c r="A436" s="23"/>
      <c r="B436" s="23"/>
      <c r="C436" s="23"/>
      <c r="D436" s="27"/>
      <c r="E436" s="27"/>
      <c r="F436" s="27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 spans="1:26">
      <c r="A437" s="23"/>
      <c r="B437" s="23"/>
      <c r="C437" s="23"/>
      <c r="D437" s="27"/>
      <c r="E437" s="27"/>
      <c r="F437" s="27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 spans="1:26">
      <c r="A438" s="23"/>
      <c r="B438" s="23"/>
      <c r="C438" s="23"/>
      <c r="D438" s="27"/>
      <c r="E438" s="27"/>
      <c r="F438" s="27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 spans="1:26">
      <c r="A439" s="23"/>
      <c r="B439" s="23"/>
      <c r="C439" s="23"/>
      <c r="D439" s="27"/>
      <c r="E439" s="27"/>
      <c r="F439" s="27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 spans="1:26">
      <c r="A440" s="23"/>
      <c r="B440" s="23"/>
      <c r="C440" s="23"/>
      <c r="D440" s="27"/>
      <c r="E440" s="27"/>
      <c r="F440" s="27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 spans="1:26">
      <c r="A441" s="23"/>
      <c r="B441" s="23"/>
      <c r="C441" s="23"/>
      <c r="D441" s="27"/>
      <c r="E441" s="27"/>
      <c r="F441" s="27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 spans="1:26">
      <c r="A442" s="23"/>
      <c r="B442" s="23"/>
      <c r="C442" s="23"/>
      <c r="D442" s="27"/>
      <c r="E442" s="27"/>
      <c r="F442" s="27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 spans="1:26">
      <c r="A443" s="23"/>
      <c r="B443" s="23"/>
      <c r="C443" s="23"/>
      <c r="D443" s="27"/>
      <c r="E443" s="27"/>
      <c r="F443" s="27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 spans="1:26">
      <c r="A444" s="23"/>
      <c r="B444" s="23"/>
      <c r="C444" s="23"/>
      <c r="D444" s="27"/>
      <c r="E444" s="27"/>
      <c r="F444" s="27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 spans="1:26">
      <c r="A445" s="23"/>
      <c r="B445" s="23"/>
      <c r="C445" s="23"/>
      <c r="D445" s="27"/>
      <c r="E445" s="27"/>
      <c r="F445" s="27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 spans="1:26">
      <c r="A446" s="23"/>
      <c r="B446" s="23"/>
      <c r="C446" s="23"/>
      <c r="D446" s="27"/>
      <c r="E446" s="27"/>
      <c r="F446" s="27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 spans="1:26">
      <c r="A447" s="23"/>
      <c r="B447" s="23"/>
      <c r="C447" s="23"/>
      <c r="D447" s="27"/>
      <c r="E447" s="27"/>
      <c r="F447" s="27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 spans="1:26">
      <c r="A448" s="23"/>
      <c r="B448" s="23"/>
      <c r="C448" s="23"/>
      <c r="D448" s="27"/>
      <c r="E448" s="27"/>
      <c r="F448" s="27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 spans="1:26">
      <c r="A449" s="23"/>
      <c r="B449" s="23"/>
      <c r="C449" s="23"/>
      <c r="D449" s="27"/>
      <c r="E449" s="27"/>
      <c r="F449" s="27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 spans="1:26">
      <c r="A450" s="23"/>
      <c r="B450" s="23"/>
      <c r="C450" s="23"/>
      <c r="D450" s="27"/>
      <c r="E450" s="27"/>
      <c r="F450" s="27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 spans="1:26">
      <c r="A451" s="23"/>
      <c r="B451" s="23"/>
      <c r="C451" s="23"/>
      <c r="D451" s="27"/>
      <c r="E451" s="27"/>
      <c r="F451" s="27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 spans="1:26">
      <c r="A452" s="23"/>
      <c r="B452" s="23"/>
      <c r="C452" s="23"/>
      <c r="D452" s="27"/>
      <c r="E452" s="27"/>
      <c r="F452" s="27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 spans="1:26">
      <c r="A453" s="23"/>
      <c r="B453" s="23"/>
      <c r="C453" s="23"/>
      <c r="D453" s="27"/>
      <c r="E453" s="27"/>
      <c r="F453" s="27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 spans="1:26">
      <c r="A454" s="23"/>
      <c r="B454" s="23"/>
      <c r="C454" s="23"/>
      <c r="D454" s="27"/>
      <c r="E454" s="27"/>
      <c r="F454" s="27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 spans="1:26">
      <c r="A455" s="23"/>
      <c r="B455" s="23"/>
      <c r="C455" s="23"/>
      <c r="D455" s="27"/>
      <c r="E455" s="27"/>
      <c r="F455" s="27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 spans="1:26">
      <c r="A456" s="23"/>
      <c r="B456" s="23"/>
      <c r="C456" s="23"/>
      <c r="D456" s="27"/>
      <c r="E456" s="27"/>
      <c r="F456" s="27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 spans="1:26">
      <c r="A457" s="23"/>
      <c r="B457" s="23"/>
      <c r="C457" s="23"/>
      <c r="D457" s="27"/>
      <c r="E457" s="27"/>
      <c r="F457" s="27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 spans="1:26">
      <c r="A458" s="23"/>
      <c r="B458" s="23"/>
      <c r="C458" s="23"/>
      <c r="D458" s="27"/>
      <c r="E458" s="27"/>
      <c r="F458" s="27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 spans="1:26">
      <c r="A459" s="23"/>
      <c r="B459" s="23"/>
      <c r="C459" s="23"/>
      <c r="D459" s="27"/>
      <c r="E459" s="27"/>
      <c r="F459" s="27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 spans="1:26">
      <c r="A460" s="23"/>
      <c r="B460" s="23"/>
      <c r="C460" s="23"/>
      <c r="D460" s="27"/>
      <c r="E460" s="27"/>
      <c r="F460" s="27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 spans="1:26">
      <c r="A461" s="23"/>
      <c r="B461" s="23"/>
      <c r="C461" s="23"/>
      <c r="D461" s="27"/>
      <c r="E461" s="27"/>
      <c r="F461" s="27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 spans="1:26">
      <c r="A462" s="23"/>
      <c r="B462" s="23"/>
      <c r="C462" s="23"/>
      <c r="D462" s="27"/>
      <c r="E462" s="27"/>
      <c r="F462" s="27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 spans="1:26">
      <c r="A463" s="23"/>
      <c r="B463" s="23"/>
      <c r="C463" s="23"/>
      <c r="D463" s="27"/>
      <c r="E463" s="27"/>
      <c r="F463" s="27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 spans="1:26">
      <c r="A464" s="23"/>
      <c r="B464" s="23"/>
      <c r="C464" s="23"/>
      <c r="D464" s="27"/>
      <c r="E464" s="27"/>
      <c r="F464" s="27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 spans="1:26">
      <c r="A465" s="23"/>
      <c r="B465" s="23"/>
      <c r="C465" s="23"/>
      <c r="D465" s="27"/>
      <c r="E465" s="27"/>
      <c r="F465" s="27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 spans="1:26">
      <c r="A466" s="23"/>
      <c r="B466" s="23"/>
      <c r="C466" s="23"/>
      <c r="D466" s="27"/>
      <c r="E466" s="27"/>
      <c r="F466" s="27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 spans="1:26">
      <c r="A467" s="23"/>
      <c r="B467" s="23"/>
      <c r="C467" s="23"/>
      <c r="D467" s="27"/>
      <c r="E467" s="27"/>
      <c r="F467" s="27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 spans="1:26">
      <c r="A468" s="23"/>
      <c r="B468" s="23"/>
      <c r="C468" s="23"/>
      <c r="D468" s="27"/>
      <c r="E468" s="27"/>
      <c r="F468" s="27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 spans="1:26">
      <c r="A469" s="23"/>
      <c r="B469" s="23"/>
      <c r="C469" s="23"/>
      <c r="D469" s="27"/>
      <c r="E469" s="27"/>
      <c r="F469" s="27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 spans="1:26">
      <c r="A470" s="23"/>
      <c r="B470" s="23"/>
      <c r="C470" s="23"/>
      <c r="D470" s="27"/>
      <c r="E470" s="27"/>
      <c r="F470" s="27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 spans="1:26">
      <c r="A471" s="23"/>
      <c r="B471" s="23"/>
      <c r="C471" s="23"/>
      <c r="D471" s="27"/>
      <c r="E471" s="27"/>
      <c r="F471" s="27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 spans="1:26">
      <c r="A472" s="23"/>
      <c r="B472" s="23"/>
      <c r="C472" s="23"/>
      <c r="D472" s="27"/>
      <c r="E472" s="27"/>
      <c r="F472" s="27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 spans="1:26">
      <c r="A473" s="23"/>
      <c r="B473" s="23"/>
      <c r="C473" s="23"/>
      <c r="D473" s="27"/>
      <c r="E473" s="27"/>
      <c r="F473" s="27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 spans="1:26">
      <c r="A474" s="23"/>
      <c r="B474" s="23"/>
      <c r="C474" s="23"/>
      <c r="D474" s="27"/>
      <c r="E474" s="27"/>
      <c r="F474" s="27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 spans="1:26">
      <c r="A475" s="23"/>
      <c r="B475" s="23"/>
      <c r="C475" s="23"/>
      <c r="D475" s="27"/>
      <c r="E475" s="27"/>
      <c r="F475" s="27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 spans="1:26">
      <c r="A476" s="23"/>
      <c r="B476" s="23"/>
      <c r="C476" s="23"/>
      <c r="D476" s="27"/>
      <c r="E476" s="27"/>
      <c r="F476" s="27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 spans="1:26">
      <c r="A477" s="23"/>
      <c r="B477" s="23"/>
      <c r="C477" s="23"/>
      <c r="D477" s="27"/>
      <c r="E477" s="27"/>
      <c r="F477" s="27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 spans="1:26">
      <c r="A478" s="23"/>
      <c r="B478" s="23"/>
      <c r="C478" s="23"/>
      <c r="D478" s="27"/>
      <c r="E478" s="27"/>
      <c r="F478" s="27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 spans="1:26">
      <c r="A479" s="23"/>
      <c r="B479" s="23"/>
      <c r="C479" s="23"/>
      <c r="D479" s="27"/>
      <c r="E479" s="27"/>
      <c r="F479" s="27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 spans="1:26">
      <c r="A480" s="23"/>
      <c r="B480" s="23"/>
      <c r="C480" s="23"/>
      <c r="D480" s="27"/>
      <c r="E480" s="27"/>
      <c r="F480" s="27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 spans="1:26">
      <c r="A481" s="23"/>
      <c r="B481" s="23"/>
      <c r="C481" s="23"/>
      <c r="D481" s="27"/>
      <c r="E481" s="27"/>
      <c r="F481" s="27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 spans="1:26">
      <c r="A482" s="23"/>
      <c r="B482" s="23"/>
      <c r="C482" s="23"/>
      <c r="D482" s="27"/>
      <c r="E482" s="27"/>
      <c r="F482" s="27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 spans="1:26">
      <c r="A483" s="23"/>
      <c r="B483" s="23"/>
      <c r="C483" s="23"/>
      <c r="D483" s="27"/>
      <c r="E483" s="27"/>
      <c r="F483" s="27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 spans="1:26">
      <c r="A484" s="23"/>
      <c r="B484" s="23"/>
      <c r="C484" s="23"/>
      <c r="D484" s="27"/>
      <c r="E484" s="27"/>
      <c r="F484" s="27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 spans="1:26">
      <c r="A485" s="23"/>
      <c r="B485" s="23"/>
      <c r="C485" s="23"/>
      <c r="D485" s="27"/>
      <c r="E485" s="27"/>
      <c r="F485" s="27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 spans="1:26">
      <c r="A486" s="23"/>
      <c r="B486" s="23"/>
      <c r="C486" s="23"/>
      <c r="D486" s="27"/>
      <c r="E486" s="27"/>
      <c r="F486" s="27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 spans="1:26">
      <c r="A487" s="23"/>
      <c r="B487" s="23"/>
      <c r="C487" s="23"/>
      <c r="D487" s="27"/>
      <c r="E487" s="27"/>
      <c r="F487" s="27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 spans="1:26">
      <c r="A488" s="23"/>
      <c r="B488" s="23"/>
      <c r="C488" s="23"/>
      <c r="D488" s="27"/>
      <c r="E488" s="27"/>
      <c r="F488" s="27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 spans="1:26">
      <c r="A489" s="23"/>
      <c r="B489" s="23"/>
      <c r="C489" s="23"/>
      <c r="D489" s="27"/>
      <c r="E489" s="27"/>
      <c r="F489" s="27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 spans="1:26">
      <c r="A490" s="23"/>
      <c r="B490" s="23"/>
      <c r="C490" s="23"/>
      <c r="D490" s="27"/>
      <c r="E490" s="27"/>
      <c r="F490" s="27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 spans="1:26">
      <c r="A491" s="23"/>
      <c r="B491" s="23"/>
      <c r="C491" s="23"/>
      <c r="D491" s="27"/>
      <c r="E491" s="27"/>
      <c r="F491" s="27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 spans="1:26">
      <c r="A492" s="23"/>
      <c r="B492" s="23"/>
      <c r="C492" s="23"/>
      <c r="D492" s="27"/>
      <c r="E492" s="27"/>
      <c r="F492" s="27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 spans="1:26">
      <c r="A493" s="23"/>
      <c r="B493" s="23"/>
      <c r="C493" s="23"/>
      <c r="D493" s="27"/>
      <c r="E493" s="27"/>
      <c r="F493" s="27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 spans="1:26">
      <c r="A494" s="23"/>
      <c r="B494" s="23"/>
      <c r="C494" s="23"/>
      <c r="D494" s="27"/>
      <c r="E494" s="27"/>
      <c r="F494" s="27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 spans="1:26">
      <c r="A495" s="23"/>
      <c r="B495" s="23"/>
      <c r="C495" s="23"/>
      <c r="D495" s="27"/>
      <c r="E495" s="27"/>
      <c r="F495" s="27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 spans="1:26">
      <c r="A496" s="23"/>
      <c r="B496" s="23"/>
      <c r="C496" s="23"/>
      <c r="D496" s="27"/>
      <c r="E496" s="27"/>
      <c r="F496" s="27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 spans="1:26">
      <c r="A497" s="23"/>
      <c r="B497" s="23"/>
      <c r="C497" s="23"/>
      <c r="D497" s="27"/>
      <c r="E497" s="27"/>
      <c r="F497" s="27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 spans="1:26">
      <c r="A498" s="23"/>
      <c r="B498" s="23"/>
      <c r="C498" s="23"/>
      <c r="D498" s="27"/>
      <c r="E498" s="27"/>
      <c r="F498" s="27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 spans="1:26">
      <c r="A499" s="23"/>
      <c r="B499" s="23"/>
      <c r="C499" s="23"/>
      <c r="D499" s="27"/>
      <c r="E499" s="27"/>
      <c r="F499" s="27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 spans="1:26">
      <c r="A500" s="23"/>
      <c r="B500" s="23"/>
      <c r="C500" s="23"/>
      <c r="D500" s="27"/>
      <c r="E500" s="27"/>
      <c r="F500" s="27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 spans="1:26">
      <c r="A501" s="23"/>
      <c r="B501" s="23"/>
      <c r="C501" s="23"/>
      <c r="D501" s="27"/>
      <c r="E501" s="27"/>
      <c r="F501" s="27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 spans="1:26">
      <c r="A502" s="23"/>
      <c r="B502" s="23"/>
      <c r="C502" s="23"/>
      <c r="D502" s="27"/>
      <c r="E502" s="27"/>
      <c r="F502" s="27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 spans="1:26">
      <c r="A503" s="23"/>
      <c r="B503" s="23"/>
      <c r="C503" s="23"/>
      <c r="D503" s="27"/>
      <c r="E503" s="27"/>
      <c r="F503" s="27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 spans="1:26">
      <c r="A504" s="23"/>
      <c r="B504" s="23"/>
      <c r="C504" s="23"/>
      <c r="D504" s="27"/>
      <c r="E504" s="27"/>
      <c r="F504" s="27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 spans="1:26">
      <c r="A505" s="23"/>
      <c r="B505" s="23"/>
      <c r="C505" s="23"/>
      <c r="D505" s="27"/>
      <c r="E505" s="27"/>
      <c r="F505" s="27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 spans="1:26">
      <c r="A506" s="23"/>
      <c r="B506" s="23"/>
      <c r="C506" s="23"/>
      <c r="D506" s="27"/>
      <c r="E506" s="27"/>
      <c r="F506" s="27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 spans="1:26">
      <c r="A507" s="23"/>
      <c r="B507" s="23"/>
      <c r="C507" s="23"/>
      <c r="D507" s="27"/>
      <c r="E507" s="27"/>
      <c r="F507" s="27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 spans="1:26">
      <c r="A508" s="23"/>
      <c r="B508" s="23"/>
      <c r="C508" s="23"/>
      <c r="D508" s="27"/>
      <c r="E508" s="27"/>
      <c r="F508" s="27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 spans="1:26">
      <c r="A509" s="23"/>
      <c r="B509" s="23"/>
      <c r="C509" s="23"/>
      <c r="D509" s="27"/>
      <c r="E509" s="27"/>
      <c r="F509" s="27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 spans="1:26">
      <c r="A510" s="23"/>
      <c r="B510" s="23"/>
      <c r="C510" s="23"/>
      <c r="D510" s="27"/>
      <c r="E510" s="27"/>
      <c r="F510" s="27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 spans="1:26">
      <c r="A511" s="23"/>
      <c r="B511" s="23"/>
      <c r="C511" s="23"/>
      <c r="D511" s="27"/>
      <c r="E511" s="27"/>
      <c r="F511" s="27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 spans="1:26">
      <c r="A512" s="23"/>
      <c r="B512" s="23"/>
      <c r="C512" s="23"/>
      <c r="D512" s="27"/>
      <c r="E512" s="27"/>
      <c r="F512" s="27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 spans="1:26">
      <c r="A513" s="23"/>
      <c r="B513" s="23"/>
      <c r="C513" s="23"/>
      <c r="D513" s="27"/>
      <c r="E513" s="27"/>
      <c r="F513" s="27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 spans="1:26">
      <c r="A514" s="23"/>
      <c r="B514" s="23"/>
      <c r="C514" s="23"/>
      <c r="D514" s="27"/>
      <c r="E514" s="27"/>
      <c r="F514" s="27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 spans="1:26">
      <c r="A515" s="23"/>
      <c r="B515" s="23"/>
      <c r="C515" s="23"/>
      <c r="D515" s="27"/>
      <c r="E515" s="27"/>
      <c r="F515" s="27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 spans="1:26">
      <c r="A516" s="23"/>
      <c r="B516" s="23"/>
      <c r="C516" s="23"/>
      <c r="D516" s="27"/>
      <c r="E516" s="27"/>
      <c r="F516" s="27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 spans="1:26">
      <c r="A517" s="23"/>
      <c r="B517" s="23"/>
      <c r="C517" s="23"/>
      <c r="D517" s="27"/>
      <c r="E517" s="27"/>
      <c r="F517" s="27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 spans="1:26">
      <c r="A518" s="23"/>
      <c r="B518" s="23"/>
      <c r="C518" s="23"/>
      <c r="D518" s="27"/>
      <c r="E518" s="27"/>
      <c r="F518" s="27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 spans="1:26">
      <c r="A519" s="23"/>
      <c r="B519" s="23"/>
      <c r="C519" s="23"/>
      <c r="D519" s="27"/>
      <c r="E519" s="27"/>
      <c r="F519" s="27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 spans="1:26">
      <c r="A520" s="23"/>
      <c r="B520" s="23"/>
      <c r="C520" s="23"/>
      <c r="D520" s="27"/>
      <c r="E520" s="27"/>
      <c r="F520" s="27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 spans="1:26">
      <c r="A521" s="23"/>
      <c r="B521" s="23"/>
      <c r="C521" s="23"/>
      <c r="D521" s="27"/>
      <c r="E521" s="27"/>
      <c r="F521" s="27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 spans="1:26">
      <c r="A522" s="23"/>
      <c r="B522" s="23"/>
      <c r="C522" s="23"/>
      <c r="D522" s="27"/>
      <c r="E522" s="27"/>
      <c r="F522" s="27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 spans="1:26">
      <c r="A523" s="23"/>
      <c r="B523" s="23"/>
      <c r="C523" s="23"/>
      <c r="D523" s="27"/>
      <c r="E523" s="27"/>
      <c r="F523" s="27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 spans="1:26">
      <c r="A524" s="23"/>
      <c r="B524" s="23"/>
      <c r="C524" s="23"/>
      <c r="D524" s="27"/>
      <c r="E524" s="27"/>
      <c r="F524" s="27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 spans="1:26">
      <c r="A525" s="23"/>
      <c r="B525" s="23"/>
      <c r="C525" s="23"/>
      <c r="D525" s="27"/>
      <c r="E525" s="27"/>
      <c r="F525" s="27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 spans="1:26">
      <c r="A526" s="23"/>
      <c r="B526" s="23"/>
      <c r="C526" s="23"/>
      <c r="D526" s="27"/>
      <c r="E526" s="27"/>
      <c r="F526" s="27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 spans="1:26">
      <c r="A527" s="23"/>
      <c r="B527" s="23"/>
      <c r="C527" s="23"/>
      <c r="D527" s="27"/>
      <c r="E527" s="27"/>
      <c r="F527" s="27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 spans="1:26">
      <c r="A528" s="23"/>
      <c r="B528" s="23"/>
      <c r="C528" s="23"/>
      <c r="D528" s="27"/>
      <c r="E528" s="27"/>
      <c r="F528" s="27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 spans="1:26">
      <c r="A529" s="23"/>
      <c r="B529" s="23"/>
      <c r="C529" s="23"/>
      <c r="D529" s="27"/>
      <c r="E529" s="27"/>
      <c r="F529" s="27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 spans="1:26">
      <c r="A530" s="23"/>
      <c r="B530" s="23"/>
      <c r="C530" s="23"/>
      <c r="D530" s="27"/>
      <c r="E530" s="27"/>
      <c r="F530" s="27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 spans="1:26">
      <c r="A531" s="23"/>
      <c r="B531" s="23"/>
      <c r="C531" s="23"/>
      <c r="D531" s="27"/>
      <c r="E531" s="27"/>
      <c r="F531" s="27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 spans="1:26">
      <c r="A532" s="23"/>
      <c r="B532" s="23"/>
      <c r="C532" s="23"/>
      <c r="D532" s="27"/>
      <c r="E532" s="27"/>
      <c r="F532" s="27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 spans="1:26">
      <c r="A533" s="23"/>
      <c r="B533" s="23"/>
      <c r="C533" s="23"/>
      <c r="D533" s="27"/>
      <c r="E533" s="27"/>
      <c r="F533" s="27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 spans="1:26">
      <c r="A534" s="23"/>
      <c r="B534" s="23"/>
      <c r="C534" s="23"/>
      <c r="D534" s="27"/>
      <c r="E534" s="27"/>
      <c r="F534" s="27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 spans="1:26">
      <c r="A535" s="23"/>
      <c r="B535" s="23"/>
      <c r="C535" s="23"/>
      <c r="D535" s="27"/>
      <c r="E535" s="27"/>
      <c r="F535" s="27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 spans="1:26">
      <c r="A536" s="23"/>
      <c r="B536" s="23"/>
      <c r="C536" s="23"/>
      <c r="D536" s="27"/>
      <c r="E536" s="27"/>
      <c r="F536" s="27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 spans="1:26">
      <c r="A537" s="23"/>
      <c r="B537" s="23"/>
      <c r="C537" s="23"/>
      <c r="D537" s="27"/>
      <c r="E537" s="27"/>
      <c r="F537" s="27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 spans="1:26">
      <c r="A538" s="23"/>
      <c r="B538" s="23"/>
      <c r="C538" s="23"/>
      <c r="D538" s="27"/>
      <c r="E538" s="27"/>
      <c r="F538" s="27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 spans="1:26">
      <c r="A539" s="23"/>
      <c r="B539" s="23"/>
      <c r="C539" s="23"/>
      <c r="D539" s="27"/>
      <c r="E539" s="27"/>
      <c r="F539" s="27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 spans="1:26">
      <c r="A540" s="23"/>
      <c r="B540" s="23"/>
      <c r="C540" s="23"/>
      <c r="D540" s="27"/>
      <c r="E540" s="27"/>
      <c r="F540" s="27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 spans="1:26">
      <c r="A541" s="23"/>
      <c r="B541" s="23"/>
      <c r="C541" s="23"/>
      <c r="D541" s="27"/>
      <c r="E541" s="27"/>
      <c r="F541" s="27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 spans="1:26">
      <c r="A542" s="23"/>
      <c r="B542" s="23"/>
      <c r="C542" s="23"/>
      <c r="D542" s="27"/>
      <c r="E542" s="27"/>
      <c r="F542" s="27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 spans="1:26">
      <c r="A543" s="23"/>
      <c r="B543" s="23"/>
      <c r="C543" s="23"/>
      <c r="D543" s="27"/>
      <c r="E543" s="27"/>
      <c r="F543" s="27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 spans="1:26">
      <c r="A544" s="23"/>
      <c r="B544" s="23"/>
      <c r="C544" s="23"/>
      <c r="D544" s="27"/>
      <c r="E544" s="27"/>
      <c r="F544" s="27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 spans="1:26">
      <c r="A545" s="23"/>
      <c r="B545" s="23"/>
      <c r="C545" s="23"/>
      <c r="D545" s="27"/>
      <c r="E545" s="27"/>
      <c r="F545" s="27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 spans="1:26">
      <c r="A546" s="23"/>
      <c r="B546" s="23"/>
      <c r="C546" s="23"/>
      <c r="D546" s="27"/>
      <c r="E546" s="27"/>
      <c r="F546" s="27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 spans="1:26">
      <c r="A547" s="23"/>
      <c r="B547" s="23"/>
      <c r="C547" s="23"/>
      <c r="D547" s="27"/>
      <c r="E547" s="27"/>
      <c r="F547" s="27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 spans="1:26">
      <c r="A548" s="23"/>
      <c r="B548" s="23"/>
      <c r="C548" s="23"/>
      <c r="D548" s="27"/>
      <c r="E548" s="27"/>
      <c r="F548" s="27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 spans="1:26">
      <c r="A549" s="23"/>
      <c r="B549" s="23"/>
      <c r="C549" s="23"/>
      <c r="D549" s="27"/>
      <c r="E549" s="27"/>
      <c r="F549" s="27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 spans="1:26">
      <c r="A550" s="23"/>
      <c r="B550" s="23"/>
      <c r="C550" s="23"/>
      <c r="D550" s="27"/>
      <c r="E550" s="27"/>
      <c r="F550" s="27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 spans="1:26">
      <c r="A551" s="23"/>
      <c r="B551" s="23"/>
      <c r="C551" s="23"/>
      <c r="D551" s="27"/>
      <c r="E551" s="27"/>
      <c r="F551" s="27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 spans="1:26">
      <c r="A552" s="23"/>
      <c r="B552" s="23"/>
      <c r="C552" s="23"/>
      <c r="D552" s="27"/>
      <c r="E552" s="27"/>
      <c r="F552" s="27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 spans="1:26">
      <c r="A553" s="23"/>
      <c r="B553" s="23"/>
      <c r="C553" s="23"/>
      <c r="D553" s="27"/>
      <c r="E553" s="27"/>
      <c r="F553" s="27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 spans="1:26">
      <c r="A554" s="23"/>
      <c r="B554" s="23"/>
      <c r="C554" s="23"/>
      <c r="D554" s="27"/>
      <c r="E554" s="27"/>
      <c r="F554" s="27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 spans="1:26">
      <c r="A555" s="23"/>
      <c r="B555" s="23"/>
      <c r="C555" s="23"/>
      <c r="D555" s="27"/>
      <c r="E555" s="27"/>
      <c r="F555" s="27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 spans="1:26">
      <c r="A556" s="23"/>
      <c r="B556" s="23"/>
      <c r="C556" s="23"/>
      <c r="D556" s="27"/>
      <c r="E556" s="27"/>
      <c r="F556" s="27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 spans="1:26">
      <c r="A557" s="23"/>
      <c r="B557" s="23"/>
      <c r="C557" s="23"/>
      <c r="D557" s="27"/>
      <c r="E557" s="27"/>
      <c r="F557" s="27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 spans="1:26">
      <c r="A558" s="23"/>
      <c r="B558" s="23"/>
      <c r="C558" s="23"/>
      <c r="D558" s="27"/>
      <c r="E558" s="27"/>
      <c r="F558" s="27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 spans="1:26">
      <c r="A559" s="23"/>
      <c r="B559" s="23"/>
      <c r="C559" s="23"/>
      <c r="D559" s="27"/>
      <c r="E559" s="27"/>
      <c r="F559" s="27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 spans="1:26">
      <c r="A560" s="23"/>
      <c r="B560" s="23"/>
      <c r="C560" s="23"/>
      <c r="D560" s="27"/>
      <c r="E560" s="27"/>
      <c r="F560" s="27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 spans="1:26">
      <c r="A561" s="23"/>
      <c r="B561" s="23"/>
      <c r="C561" s="23"/>
      <c r="D561" s="27"/>
      <c r="E561" s="27"/>
      <c r="F561" s="27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 spans="1:26">
      <c r="A562" s="23"/>
      <c r="B562" s="23"/>
      <c r="C562" s="23"/>
      <c r="D562" s="27"/>
      <c r="E562" s="27"/>
      <c r="F562" s="27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 spans="1:26">
      <c r="A563" s="23"/>
      <c r="B563" s="23"/>
      <c r="C563" s="23"/>
      <c r="D563" s="27"/>
      <c r="E563" s="27"/>
      <c r="F563" s="27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 spans="1:26">
      <c r="A564" s="23"/>
      <c r="B564" s="23"/>
      <c r="C564" s="23"/>
      <c r="D564" s="27"/>
      <c r="E564" s="27"/>
      <c r="F564" s="27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 spans="1:26">
      <c r="A565" s="23"/>
      <c r="B565" s="23"/>
      <c r="C565" s="23"/>
      <c r="D565" s="27"/>
      <c r="E565" s="27"/>
      <c r="F565" s="27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 spans="1:26">
      <c r="A566" s="23"/>
      <c r="B566" s="23"/>
      <c r="C566" s="23"/>
      <c r="D566" s="27"/>
      <c r="E566" s="27"/>
      <c r="F566" s="27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 spans="1:26">
      <c r="A567" s="23"/>
      <c r="B567" s="23"/>
      <c r="C567" s="23"/>
      <c r="D567" s="27"/>
      <c r="E567" s="27"/>
      <c r="F567" s="27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 spans="1:26">
      <c r="A568" s="23"/>
      <c r="B568" s="23"/>
      <c r="C568" s="23"/>
      <c r="D568" s="27"/>
      <c r="E568" s="27"/>
      <c r="F568" s="27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 spans="1:26">
      <c r="A569" s="23"/>
      <c r="B569" s="23"/>
      <c r="C569" s="23"/>
      <c r="D569" s="27"/>
      <c r="E569" s="27"/>
      <c r="F569" s="27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 spans="1:26">
      <c r="A570" s="23"/>
      <c r="B570" s="23"/>
      <c r="C570" s="23"/>
      <c r="D570" s="27"/>
      <c r="E570" s="27"/>
      <c r="F570" s="27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 spans="1:26">
      <c r="A571" s="23"/>
      <c r="B571" s="23"/>
      <c r="C571" s="23"/>
      <c r="D571" s="27"/>
      <c r="E571" s="27"/>
      <c r="F571" s="27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 spans="1:26">
      <c r="A572" s="23"/>
      <c r="B572" s="23"/>
      <c r="C572" s="23"/>
      <c r="D572" s="27"/>
      <c r="E572" s="27"/>
      <c r="F572" s="27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 spans="1:26">
      <c r="A573" s="23"/>
      <c r="B573" s="23"/>
      <c r="C573" s="23"/>
      <c r="D573" s="27"/>
      <c r="E573" s="27"/>
      <c r="F573" s="27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 spans="1:26">
      <c r="A574" s="23"/>
      <c r="B574" s="23"/>
      <c r="C574" s="23"/>
      <c r="D574" s="27"/>
      <c r="E574" s="27"/>
      <c r="F574" s="27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 spans="1:26">
      <c r="A575" s="23"/>
      <c r="B575" s="23"/>
      <c r="C575" s="23"/>
      <c r="D575" s="27"/>
      <c r="E575" s="27"/>
      <c r="F575" s="27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 spans="1:26">
      <c r="A576" s="23"/>
      <c r="B576" s="23"/>
      <c r="C576" s="23"/>
      <c r="D576" s="27"/>
      <c r="E576" s="27"/>
      <c r="F576" s="27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 spans="1:26">
      <c r="A577" s="23"/>
      <c r="B577" s="23"/>
      <c r="C577" s="23"/>
      <c r="D577" s="27"/>
      <c r="E577" s="27"/>
      <c r="F577" s="27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 spans="1:26">
      <c r="A578" s="23"/>
      <c r="B578" s="23"/>
      <c r="C578" s="23"/>
      <c r="D578" s="27"/>
      <c r="E578" s="27"/>
      <c r="F578" s="27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 spans="1:26">
      <c r="A579" s="23"/>
      <c r="B579" s="23"/>
      <c r="C579" s="23"/>
      <c r="D579" s="27"/>
      <c r="E579" s="27"/>
      <c r="F579" s="27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 spans="1:26">
      <c r="A580" s="23"/>
      <c r="B580" s="23"/>
      <c r="C580" s="23"/>
      <c r="D580" s="27"/>
      <c r="E580" s="27"/>
      <c r="F580" s="27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 spans="1:26">
      <c r="A581" s="23"/>
      <c r="B581" s="23"/>
      <c r="C581" s="23"/>
      <c r="D581" s="27"/>
      <c r="E581" s="27"/>
      <c r="F581" s="27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 spans="1:26">
      <c r="A582" s="23"/>
      <c r="B582" s="23"/>
      <c r="C582" s="23"/>
      <c r="D582" s="27"/>
      <c r="E582" s="27"/>
      <c r="F582" s="27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 spans="1:26">
      <c r="A583" s="23"/>
      <c r="B583" s="23"/>
      <c r="C583" s="23"/>
      <c r="D583" s="27"/>
      <c r="E583" s="27"/>
      <c r="F583" s="27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 spans="1:26">
      <c r="A584" s="23"/>
      <c r="B584" s="23"/>
      <c r="C584" s="23"/>
      <c r="D584" s="27"/>
      <c r="E584" s="27"/>
      <c r="F584" s="27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 spans="1:26">
      <c r="A585" s="23"/>
      <c r="B585" s="23"/>
      <c r="C585" s="23"/>
      <c r="D585" s="27"/>
      <c r="E585" s="27"/>
      <c r="F585" s="27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 spans="1:26">
      <c r="A586" s="23"/>
      <c r="B586" s="23"/>
      <c r="C586" s="23"/>
      <c r="D586" s="27"/>
      <c r="E586" s="27"/>
      <c r="F586" s="27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 spans="1:26">
      <c r="A587" s="23"/>
      <c r="B587" s="23"/>
      <c r="C587" s="23"/>
      <c r="D587" s="27"/>
      <c r="E587" s="27"/>
      <c r="F587" s="27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 spans="1:26">
      <c r="A588" s="23"/>
      <c r="B588" s="23"/>
      <c r="C588" s="23"/>
      <c r="D588" s="27"/>
      <c r="E588" s="27"/>
      <c r="F588" s="27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 spans="1:26">
      <c r="A589" s="23"/>
      <c r="B589" s="23"/>
      <c r="C589" s="23"/>
      <c r="D589" s="27"/>
      <c r="E589" s="27"/>
      <c r="F589" s="27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 spans="1:26">
      <c r="A590" s="23"/>
      <c r="B590" s="23"/>
      <c r="C590" s="23"/>
      <c r="D590" s="27"/>
      <c r="E590" s="27"/>
      <c r="F590" s="27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 spans="1:26">
      <c r="A591" s="23"/>
      <c r="B591" s="23"/>
      <c r="C591" s="23"/>
      <c r="D591" s="27"/>
      <c r="E591" s="27"/>
      <c r="F591" s="27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 spans="1:26">
      <c r="A592" s="23"/>
      <c r="B592" s="23"/>
      <c r="C592" s="23"/>
      <c r="D592" s="27"/>
      <c r="E592" s="27"/>
      <c r="F592" s="27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 spans="1:26">
      <c r="A593" s="23"/>
      <c r="B593" s="23"/>
      <c r="C593" s="23"/>
      <c r="D593" s="27"/>
      <c r="E593" s="27"/>
      <c r="F593" s="27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 spans="1:26">
      <c r="A594" s="23"/>
      <c r="B594" s="23"/>
      <c r="C594" s="23"/>
      <c r="D594" s="27"/>
      <c r="E594" s="27"/>
      <c r="F594" s="27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 spans="1:26">
      <c r="A595" s="23"/>
      <c r="B595" s="23"/>
      <c r="C595" s="23"/>
      <c r="D595" s="27"/>
      <c r="E595" s="27"/>
      <c r="F595" s="27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 spans="1:26">
      <c r="A596" s="23"/>
      <c r="B596" s="23"/>
      <c r="C596" s="23"/>
      <c r="D596" s="27"/>
      <c r="E596" s="27"/>
      <c r="F596" s="27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 spans="1:26">
      <c r="A597" s="23"/>
      <c r="B597" s="23"/>
      <c r="C597" s="23"/>
      <c r="D597" s="27"/>
      <c r="E597" s="27"/>
      <c r="F597" s="27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 spans="1:26">
      <c r="A598" s="23"/>
      <c r="B598" s="23"/>
      <c r="C598" s="23"/>
      <c r="D598" s="27"/>
      <c r="E598" s="27"/>
      <c r="F598" s="27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 spans="1:26">
      <c r="A599" s="23"/>
      <c r="B599" s="23"/>
      <c r="C599" s="23"/>
      <c r="D599" s="27"/>
      <c r="E599" s="27"/>
      <c r="F599" s="27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 spans="1:26">
      <c r="A600" s="23"/>
      <c r="B600" s="23"/>
      <c r="C600" s="23"/>
      <c r="D600" s="27"/>
      <c r="E600" s="27"/>
      <c r="F600" s="27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 spans="1:26">
      <c r="A601" s="23"/>
      <c r="B601" s="23"/>
      <c r="C601" s="23"/>
      <c r="D601" s="27"/>
      <c r="E601" s="27"/>
      <c r="F601" s="27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 spans="1:26">
      <c r="A602" s="23"/>
      <c r="B602" s="23"/>
      <c r="C602" s="23"/>
      <c r="D602" s="27"/>
      <c r="E602" s="27"/>
      <c r="F602" s="27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 spans="1:26">
      <c r="A603" s="23"/>
      <c r="B603" s="23"/>
      <c r="C603" s="23"/>
      <c r="D603" s="27"/>
      <c r="E603" s="27"/>
      <c r="F603" s="27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 spans="1:26">
      <c r="A604" s="23"/>
      <c r="B604" s="23"/>
      <c r="C604" s="23"/>
      <c r="D604" s="27"/>
      <c r="E604" s="27"/>
      <c r="F604" s="27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 spans="1:26">
      <c r="A605" s="23"/>
      <c r="B605" s="23"/>
      <c r="C605" s="23"/>
      <c r="D605" s="27"/>
      <c r="E605" s="27"/>
      <c r="F605" s="27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 spans="1:26">
      <c r="A606" s="23"/>
      <c r="B606" s="23"/>
      <c r="C606" s="23"/>
      <c r="D606" s="27"/>
      <c r="E606" s="27"/>
      <c r="F606" s="27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 spans="1:26">
      <c r="A607" s="23"/>
      <c r="B607" s="23"/>
      <c r="C607" s="23"/>
      <c r="D607" s="27"/>
      <c r="E607" s="27"/>
      <c r="F607" s="27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 spans="1:26">
      <c r="A608" s="23"/>
      <c r="B608" s="23"/>
      <c r="C608" s="23"/>
      <c r="D608" s="27"/>
      <c r="E608" s="27"/>
      <c r="F608" s="27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 spans="1:26">
      <c r="A609" s="23"/>
      <c r="B609" s="23"/>
      <c r="C609" s="23"/>
      <c r="D609" s="27"/>
      <c r="E609" s="27"/>
      <c r="F609" s="27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 spans="1:26">
      <c r="A610" s="23"/>
      <c r="B610" s="23"/>
      <c r="C610" s="23"/>
      <c r="D610" s="27"/>
      <c r="E610" s="27"/>
      <c r="F610" s="27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 spans="1:26">
      <c r="A611" s="23"/>
      <c r="B611" s="23"/>
      <c r="C611" s="23"/>
      <c r="D611" s="27"/>
      <c r="E611" s="27"/>
      <c r="F611" s="27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 spans="1:26">
      <c r="A612" s="23"/>
      <c r="B612" s="23"/>
      <c r="C612" s="23"/>
      <c r="D612" s="27"/>
      <c r="E612" s="27"/>
      <c r="F612" s="27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 spans="1:26">
      <c r="A613" s="23"/>
      <c r="B613" s="23"/>
      <c r="C613" s="23"/>
      <c r="D613" s="27"/>
      <c r="E613" s="27"/>
      <c r="F613" s="27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 spans="1:26">
      <c r="A614" s="23"/>
      <c r="B614" s="23"/>
      <c r="C614" s="23"/>
      <c r="D614" s="27"/>
      <c r="E614" s="27"/>
      <c r="F614" s="27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 spans="1:26">
      <c r="A615" s="23"/>
      <c r="B615" s="23"/>
      <c r="C615" s="23"/>
      <c r="D615" s="27"/>
      <c r="E615" s="27"/>
      <c r="F615" s="27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 spans="1:26">
      <c r="A616" s="23"/>
      <c r="B616" s="23"/>
      <c r="C616" s="23"/>
      <c r="D616" s="27"/>
      <c r="E616" s="27"/>
      <c r="F616" s="27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 spans="1:26">
      <c r="A617" s="23"/>
      <c r="B617" s="23"/>
      <c r="C617" s="23"/>
      <c r="D617" s="27"/>
      <c r="E617" s="27"/>
      <c r="F617" s="27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 spans="1:26">
      <c r="A618" s="23"/>
      <c r="B618" s="23"/>
      <c r="C618" s="23"/>
      <c r="D618" s="27"/>
      <c r="E618" s="27"/>
      <c r="F618" s="27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 spans="1:26">
      <c r="A619" s="23"/>
      <c r="B619" s="23"/>
      <c r="C619" s="23"/>
      <c r="D619" s="27"/>
      <c r="E619" s="27"/>
      <c r="F619" s="27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 spans="1:26">
      <c r="A620" s="23"/>
      <c r="B620" s="23"/>
      <c r="C620" s="23"/>
      <c r="D620" s="27"/>
      <c r="E620" s="27"/>
      <c r="F620" s="27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 spans="1:26">
      <c r="A621" s="23"/>
      <c r="B621" s="23"/>
      <c r="C621" s="23"/>
      <c r="D621" s="27"/>
      <c r="E621" s="27"/>
      <c r="F621" s="27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 spans="1:26">
      <c r="A622" s="23"/>
      <c r="B622" s="23"/>
      <c r="C622" s="23"/>
      <c r="D622" s="27"/>
      <c r="E622" s="27"/>
      <c r="F622" s="27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 spans="1:26">
      <c r="A623" s="23"/>
      <c r="B623" s="23"/>
      <c r="C623" s="23"/>
      <c r="D623" s="27"/>
      <c r="E623" s="27"/>
      <c r="F623" s="27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 spans="1:26">
      <c r="A624" s="23"/>
      <c r="B624" s="23"/>
      <c r="C624" s="23"/>
      <c r="D624" s="27"/>
      <c r="E624" s="27"/>
      <c r="F624" s="27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 spans="1:26">
      <c r="A625" s="23"/>
      <c r="B625" s="23"/>
      <c r="C625" s="23"/>
      <c r="D625" s="27"/>
      <c r="E625" s="27"/>
      <c r="F625" s="27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 spans="1:26">
      <c r="A626" s="23"/>
      <c r="B626" s="23"/>
      <c r="C626" s="23"/>
      <c r="D626" s="27"/>
      <c r="E626" s="27"/>
      <c r="F626" s="27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 spans="1:26">
      <c r="A627" s="23"/>
      <c r="B627" s="23"/>
      <c r="C627" s="23"/>
      <c r="D627" s="27"/>
      <c r="E627" s="27"/>
      <c r="F627" s="27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 spans="1:26">
      <c r="A628" s="23"/>
      <c r="B628" s="23"/>
      <c r="C628" s="23"/>
      <c r="D628" s="27"/>
      <c r="E628" s="27"/>
      <c r="F628" s="27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 spans="1:26">
      <c r="A629" s="23"/>
      <c r="B629" s="23"/>
      <c r="C629" s="23"/>
      <c r="D629" s="27"/>
      <c r="E629" s="27"/>
      <c r="F629" s="27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 spans="1:26">
      <c r="A630" s="23"/>
      <c r="B630" s="23"/>
      <c r="C630" s="23"/>
      <c r="D630" s="27"/>
      <c r="E630" s="27"/>
      <c r="F630" s="27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 spans="1:26">
      <c r="A631" s="23"/>
      <c r="B631" s="23"/>
      <c r="C631" s="23"/>
      <c r="D631" s="27"/>
      <c r="E631" s="27"/>
      <c r="F631" s="27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 spans="1:26">
      <c r="A632" s="23"/>
      <c r="B632" s="23"/>
      <c r="C632" s="23"/>
      <c r="D632" s="27"/>
      <c r="E632" s="27"/>
      <c r="F632" s="27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 spans="1:26">
      <c r="A633" s="23"/>
      <c r="B633" s="23"/>
      <c r="C633" s="23"/>
      <c r="D633" s="27"/>
      <c r="E633" s="27"/>
      <c r="F633" s="27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 spans="1:26">
      <c r="A634" s="23"/>
      <c r="B634" s="23"/>
      <c r="C634" s="23"/>
      <c r="D634" s="27"/>
      <c r="E634" s="27"/>
      <c r="F634" s="27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 spans="1:26">
      <c r="A635" s="23"/>
      <c r="B635" s="23"/>
      <c r="C635" s="23"/>
      <c r="D635" s="27"/>
      <c r="E635" s="27"/>
      <c r="F635" s="27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 spans="1:26">
      <c r="A636" s="23"/>
      <c r="B636" s="23"/>
      <c r="C636" s="23"/>
      <c r="D636" s="27"/>
      <c r="E636" s="27"/>
      <c r="F636" s="27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 spans="1:26">
      <c r="A637" s="23"/>
      <c r="B637" s="23"/>
      <c r="C637" s="23"/>
      <c r="D637" s="27"/>
      <c r="E637" s="27"/>
      <c r="F637" s="27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 spans="1:26">
      <c r="A638" s="23"/>
      <c r="B638" s="23"/>
      <c r="C638" s="23"/>
      <c r="D638" s="27"/>
      <c r="E638" s="27"/>
      <c r="F638" s="27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 spans="1:26">
      <c r="A639" s="23"/>
      <c r="B639" s="23"/>
      <c r="C639" s="23"/>
      <c r="D639" s="27"/>
      <c r="E639" s="27"/>
      <c r="F639" s="27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 spans="1:26">
      <c r="A640" s="23"/>
      <c r="B640" s="23"/>
      <c r="C640" s="23"/>
      <c r="D640" s="27"/>
      <c r="E640" s="27"/>
      <c r="F640" s="27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 spans="1:26">
      <c r="A641" s="23"/>
      <c r="B641" s="23"/>
      <c r="C641" s="23"/>
      <c r="D641" s="27"/>
      <c r="E641" s="27"/>
      <c r="F641" s="27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 spans="1:26">
      <c r="A642" s="23"/>
      <c r="B642" s="23"/>
      <c r="C642" s="23"/>
      <c r="D642" s="27"/>
      <c r="E642" s="27"/>
      <c r="F642" s="27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 spans="1:26">
      <c r="A643" s="23"/>
      <c r="B643" s="23"/>
      <c r="C643" s="23"/>
      <c r="D643" s="27"/>
      <c r="E643" s="27"/>
      <c r="F643" s="27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 spans="1:26">
      <c r="A644" s="23"/>
      <c r="B644" s="23"/>
      <c r="C644" s="23"/>
      <c r="D644" s="27"/>
      <c r="E644" s="27"/>
      <c r="F644" s="27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 spans="1:26">
      <c r="A645" s="23"/>
      <c r="B645" s="23"/>
      <c r="C645" s="23"/>
      <c r="D645" s="27"/>
      <c r="E645" s="27"/>
      <c r="F645" s="27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 spans="1:26">
      <c r="A646" s="23"/>
      <c r="B646" s="23"/>
      <c r="C646" s="23"/>
      <c r="D646" s="27"/>
      <c r="E646" s="27"/>
      <c r="F646" s="27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 spans="1:26">
      <c r="A647" s="23"/>
      <c r="B647" s="23"/>
      <c r="C647" s="23"/>
      <c r="D647" s="27"/>
      <c r="E647" s="27"/>
      <c r="F647" s="27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 spans="1:26">
      <c r="A648" s="23"/>
      <c r="B648" s="23"/>
      <c r="C648" s="23"/>
      <c r="D648" s="27"/>
      <c r="E648" s="27"/>
      <c r="F648" s="27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 spans="1:26">
      <c r="A649" s="23"/>
      <c r="B649" s="23"/>
      <c r="C649" s="23"/>
      <c r="D649" s="27"/>
      <c r="E649" s="27"/>
      <c r="F649" s="27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 spans="1:26">
      <c r="A650" s="23"/>
      <c r="B650" s="23"/>
      <c r="C650" s="23"/>
      <c r="D650" s="27"/>
      <c r="E650" s="27"/>
      <c r="F650" s="27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 spans="1:26">
      <c r="A651" s="23"/>
      <c r="B651" s="23"/>
      <c r="C651" s="23"/>
      <c r="D651" s="27"/>
      <c r="E651" s="27"/>
      <c r="F651" s="27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 spans="1:26">
      <c r="A652" s="23"/>
      <c r="B652" s="23"/>
      <c r="C652" s="23"/>
      <c r="D652" s="27"/>
      <c r="E652" s="27"/>
      <c r="F652" s="27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 spans="1:26">
      <c r="A653" s="23"/>
      <c r="B653" s="23"/>
      <c r="C653" s="23"/>
      <c r="D653" s="27"/>
      <c r="E653" s="27"/>
      <c r="F653" s="27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 spans="1:26">
      <c r="A654" s="23"/>
      <c r="B654" s="23"/>
      <c r="C654" s="23"/>
      <c r="D654" s="27"/>
      <c r="E654" s="27"/>
      <c r="F654" s="27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 spans="1:26">
      <c r="A655" s="23"/>
      <c r="B655" s="23"/>
      <c r="C655" s="23"/>
      <c r="D655" s="27"/>
      <c r="E655" s="27"/>
      <c r="F655" s="27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 spans="1:26">
      <c r="A656" s="23"/>
      <c r="B656" s="23"/>
      <c r="C656" s="23"/>
      <c r="D656" s="27"/>
      <c r="E656" s="27"/>
      <c r="F656" s="27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 spans="1:26">
      <c r="A657" s="23"/>
      <c r="B657" s="23"/>
      <c r="C657" s="23"/>
      <c r="D657" s="27"/>
      <c r="E657" s="27"/>
      <c r="F657" s="27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 spans="1:26">
      <c r="A658" s="23"/>
      <c r="B658" s="23"/>
      <c r="C658" s="23"/>
      <c r="D658" s="27"/>
      <c r="E658" s="27"/>
      <c r="F658" s="27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 spans="1:26">
      <c r="A659" s="23"/>
      <c r="B659" s="23"/>
      <c r="C659" s="23"/>
      <c r="D659" s="27"/>
      <c r="E659" s="27"/>
      <c r="F659" s="27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 spans="1:26">
      <c r="A660" s="23"/>
      <c r="B660" s="23"/>
      <c r="C660" s="23"/>
      <c r="D660" s="27"/>
      <c r="E660" s="27"/>
      <c r="F660" s="27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 spans="1:26">
      <c r="A661" s="23"/>
      <c r="B661" s="23"/>
      <c r="C661" s="23"/>
      <c r="D661" s="27"/>
      <c r="E661" s="27"/>
      <c r="F661" s="27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 spans="1:26">
      <c r="A662" s="23"/>
      <c r="B662" s="23"/>
      <c r="C662" s="23"/>
      <c r="D662" s="27"/>
      <c r="E662" s="27"/>
      <c r="F662" s="27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 spans="1:26">
      <c r="A663" s="23"/>
      <c r="B663" s="23"/>
      <c r="C663" s="23"/>
      <c r="D663" s="27"/>
      <c r="E663" s="27"/>
      <c r="F663" s="27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 spans="1:26">
      <c r="A664" s="23"/>
      <c r="B664" s="23"/>
      <c r="C664" s="23"/>
      <c r="D664" s="27"/>
      <c r="E664" s="27"/>
      <c r="F664" s="27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 spans="1:26">
      <c r="A665" s="23"/>
      <c r="B665" s="23"/>
      <c r="C665" s="23"/>
      <c r="D665" s="27"/>
      <c r="E665" s="27"/>
      <c r="F665" s="27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 spans="1:26">
      <c r="A666" s="23"/>
      <c r="B666" s="23"/>
      <c r="C666" s="23"/>
      <c r="D666" s="27"/>
      <c r="E666" s="27"/>
      <c r="F666" s="27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 spans="1:26">
      <c r="A667" s="23"/>
      <c r="B667" s="23"/>
      <c r="C667" s="23"/>
      <c r="D667" s="27"/>
      <c r="E667" s="27"/>
      <c r="F667" s="27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 spans="1:26">
      <c r="A668" s="23"/>
      <c r="B668" s="23"/>
      <c r="C668" s="23"/>
      <c r="D668" s="27"/>
      <c r="E668" s="27"/>
      <c r="F668" s="27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 spans="1:26">
      <c r="A669" s="23"/>
      <c r="B669" s="23"/>
      <c r="C669" s="23"/>
      <c r="D669" s="27"/>
      <c r="E669" s="27"/>
      <c r="F669" s="27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 spans="1:26">
      <c r="A670" s="23"/>
      <c r="B670" s="23"/>
      <c r="C670" s="23"/>
      <c r="D670" s="27"/>
      <c r="E670" s="27"/>
      <c r="F670" s="27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 spans="1:26">
      <c r="A671" s="23"/>
      <c r="B671" s="23"/>
      <c r="C671" s="23"/>
      <c r="D671" s="27"/>
      <c r="E671" s="27"/>
      <c r="F671" s="27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 spans="1:26">
      <c r="A672" s="23"/>
      <c r="B672" s="23"/>
      <c r="C672" s="23"/>
      <c r="D672" s="27"/>
      <c r="E672" s="27"/>
      <c r="F672" s="27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 spans="1:26">
      <c r="A673" s="23"/>
      <c r="B673" s="23"/>
      <c r="C673" s="23"/>
      <c r="D673" s="27"/>
      <c r="E673" s="27"/>
      <c r="F673" s="27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 spans="1:26">
      <c r="A674" s="23"/>
      <c r="B674" s="23"/>
      <c r="C674" s="23"/>
      <c r="D674" s="27"/>
      <c r="E674" s="27"/>
      <c r="F674" s="27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 spans="1:26">
      <c r="A675" s="23"/>
      <c r="B675" s="23"/>
      <c r="C675" s="23"/>
      <c r="D675" s="27"/>
      <c r="E675" s="27"/>
      <c r="F675" s="27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 spans="1:26">
      <c r="A676" s="23"/>
      <c r="B676" s="23"/>
      <c r="C676" s="23"/>
      <c r="D676" s="27"/>
      <c r="E676" s="27"/>
      <c r="F676" s="27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 spans="1:26">
      <c r="A677" s="23"/>
      <c r="B677" s="23"/>
      <c r="C677" s="23"/>
      <c r="D677" s="27"/>
      <c r="E677" s="27"/>
      <c r="F677" s="27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 spans="1:26">
      <c r="A678" s="23"/>
      <c r="B678" s="23"/>
      <c r="C678" s="23"/>
      <c r="D678" s="27"/>
      <c r="E678" s="27"/>
      <c r="F678" s="27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 spans="1:26">
      <c r="A679" s="23"/>
      <c r="B679" s="23"/>
      <c r="C679" s="23"/>
      <c r="D679" s="27"/>
      <c r="E679" s="27"/>
      <c r="F679" s="27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 spans="1:26">
      <c r="A680" s="23"/>
      <c r="B680" s="23"/>
      <c r="C680" s="23"/>
      <c r="D680" s="27"/>
      <c r="E680" s="27"/>
      <c r="F680" s="27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 spans="1:26">
      <c r="A681" s="23"/>
      <c r="B681" s="23"/>
      <c r="C681" s="23"/>
      <c r="D681" s="27"/>
      <c r="E681" s="27"/>
      <c r="F681" s="27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 spans="1:26">
      <c r="A682" s="23"/>
      <c r="B682" s="23"/>
      <c r="C682" s="23"/>
      <c r="D682" s="27"/>
      <c r="E682" s="27"/>
      <c r="F682" s="27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 spans="1:26">
      <c r="A683" s="23"/>
      <c r="B683" s="23"/>
      <c r="C683" s="23"/>
      <c r="D683" s="27"/>
      <c r="E683" s="27"/>
      <c r="F683" s="27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 spans="1:26">
      <c r="A684" s="23"/>
      <c r="B684" s="23"/>
      <c r="C684" s="23"/>
      <c r="D684" s="27"/>
      <c r="E684" s="27"/>
      <c r="F684" s="27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 spans="1:26">
      <c r="A685" s="23"/>
      <c r="B685" s="23"/>
      <c r="C685" s="23"/>
      <c r="D685" s="27"/>
      <c r="E685" s="27"/>
      <c r="F685" s="27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 spans="1:26">
      <c r="A686" s="23"/>
      <c r="B686" s="23"/>
      <c r="C686" s="23"/>
      <c r="D686" s="27"/>
      <c r="E686" s="27"/>
      <c r="F686" s="27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 spans="1:26">
      <c r="A687" s="23"/>
      <c r="B687" s="23"/>
      <c r="C687" s="23"/>
      <c r="D687" s="27"/>
      <c r="E687" s="27"/>
      <c r="F687" s="27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 spans="1:26">
      <c r="A688" s="23"/>
      <c r="B688" s="23"/>
      <c r="C688" s="23"/>
      <c r="D688" s="27"/>
      <c r="E688" s="27"/>
      <c r="F688" s="27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 spans="1:26">
      <c r="A689" s="23"/>
      <c r="B689" s="23"/>
      <c r="C689" s="23"/>
      <c r="D689" s="27"/>
      <c r="E689" s="27"/>
      <c r="F689" s="27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 spans="1:26">
      <c r="A690" s="23"/>
      <c r="B690" s="23"/>
      <c r="C690" s="23"/>
      <c r="D690" s="27"/>
      <c r="E690" s="27"/>
      <c r="F690" s="27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 spans="1:26">
      <c r="A691" s="23"/>
      <c r="B691" s="23"/>
      <c r="C691" s="23"/>
      <c r="D691" s="27"/>
      <c r="E691" s="27"/>
      <c r="F691" s="27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 spans="1:26">
      <c r="A692" s="23"/>
      <c r="B692" s="23"/>
      <c r="C692" s="23"/>
      <c r="D692" s="27"/>
      <c r="E692" s="27"/>
      <c r="F692" s="27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 spans="1:26">
      <c r="A693" s="23"/>
      <c r="B693" s="23"/>
      <c r="C693" s="23"/>
      <c r="D693" s="27"/>
      <c r="E693" s="27"/>
      <c r="F693" s="27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 spans="1:26">
      <c r="A694" s="23"/>
      <c r="B694" s="23"/>
      <c r="C694" s="23"/>
      <c r="D694" s="27"/>
      <c r="E694" s="27"/>
      <c r="F694" s="27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 spans="1:26">
      <c r="A695" s="23"/>
      <c r="B695" s="23"/>
      <c r="C695" s="23"/>
      <c r="D695" s="27"/>
      <c r="E695" s="27"/>
      <c r="F695" s="27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 spans="1:26">
      <c r="A696" s="23"/>
      <c r="B696" s="23"/>
      <c r="C696" s="23"/>
      <c r="D696" s="27"/>
      <c r="E696" s="27"/>
      <c r="F696" s="27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 spans="1:26">
      <c r="A697" s="23"/>
      <c r="B697" s="23"/>
      <c r="C697" s="23"/>
      <c r="D697" s="27"/>
      <c r="E697" s="27"/>
      <c r="F697" s="27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 spans="1:26">
      <c r="A698" s="23"/>
      <c r="B698" s="23"/>
      <c r="C698" s="23"/>
      <c r="D698" s="27"/>
      <c r="E698" s="27"/>
      <c r="F698" s="27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 spans="1:26">
      <c r="A699" s="23"/>
      <c r="B699" s="23"/>
      <c r="C699" s="23"/>
      <c r="D699" s="27"/>
      <c r="E699" s="27"/>
      <c r="F699" s="27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 spans="1:26">
      <c r="A700" s="23"/>
      <c r="B700" s="23"/>
      <c r="C700" s="23"/>
      <c r="D700" s="27"/>
      <c r="E700" s="27"/>
      <c r="F700" s="27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 spans="1:26">
      <c r="A701" s="23"/>
      <c r="B701" s="23"/>
      <c r="C701" s="23"/>
      <c r="D701" s="27"/>
      <c r="E701" s="27"/>
      <c r="F701" s="27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 spans="1:26">
      <c r="A702" s="23"/>
      <c r="B702" s="23"/>
      <c r="C702" s="23"/>
      <c r="D702" s="27"/>
      <c r="E702" s="27"/>
      <c r="F702" s="27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 spans="1:26">
      <c r="A703" s="23"/>
      <c r="B703" s="23"/>
      <c r="C703" s="23"/>
      <c r="D703" s="27"/>
      <c r="E703" s="27"/>
      <c r="F703" s="27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 spans="1:26">
      <c r="A704" s="23"/>
      <c r="B704" s="23"/>
      <c r="C704" s="23"/>
      <c r="D704" s="27"/>
      <c r="E704" s="27"/>
      <c r="F704" s="27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 spans="1:26">
      <c r="A705" s="23"/>
      <c r="B705" s="23"/>
      <c r="C705" s="23"/>
      <c r="D705" s="27"/>
      <c r="E705" s="27"/>
      <c r="F705" s="27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 spans="1:26">
      <c r="A706" s="23"/>
      <c r="B706" s="23"/>
      <c r="C706" s="23"/>
      <c r="D706" s="27"/>
      <c r="E706" s="27"/>
      <c r="F706" s="27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 spans="1:26">
      <c r="A707" s="23"/>
      <c r="B707" s="23"/>
      <c r="C707" s="23"/>
      <c r="D707" s="27"/>
      <c r="E707" s="27"/>
      <c r="F707" s="27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 spans="1:26">
      <c r="A708" s="23"/>
      <c r="B708" s="23"/>
      <c r="C708" s="23"/>
      <c r="D708" s="27"/>
      <c r="E708" s="27"/>
      <c r="F708" s="27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 spans="1:26">
      <c r="A709" s="23"/>
      <c r="B709" s="23"/>
      <c r="C709" s="23"/>
      <c r="D709" s="27"/>
      <c r="E709" s="27"/>
      <c r="F709" s="27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 spans="1:26">
      <c r="A710" s="23"/>
      <c r="B710" s="23"/>
      <c r="C710" s="23"/>
      <c r="D710" s="27"/>
      <c r="E710" s="27"/>
      <c r="F710" s="27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 spans="1:26">
      <c r="A711" s="23"/>
      <c r="B711" s="23"/>
      <c r="C711" s="23"/>
      <c r="D711" s="27"/>
      <c r="E711" s="27"/>
      <c r="F711" s="27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 spans="1:26">
      <c r="A712" s="23"/>
      <c r="B712" s="23"/>
      <c r="C712" s="23"/>
      <c r="D712" s="27"/>
      <c r="E712" s="27"/>
      <c r="F712" s="27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 spans="1:26">
      <c r="A713" s="23"/>
      <c r="B713" s="23"/>
      <c r="C713" s="23"/>
      <c r="D713" s="27"/>
      <c r="E713" s="27"/>
      <c r="F713" s="27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 spans="1:26">
      <c r="A714" s="23"/>
      <c r="B714" s="23"/>
      <c r="C714" s="23"/>
      <c r="D714" s="27"/>
      <c r="E714" s="27"/>
      <c r="F714" s="27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 spans="1:26">
      <c r="A715" s="23"/>
      <c r="B715" s="23"/>
      <c r="C715" s="23"/>
      <c r="D715" s="27"/>
      <c r="E715" s="27"/>
      <c r="F715" s="27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 spans="1:26">
      <c r="A716" s="23"/>
      <c r="B716" s="23"/>
      <c r="C716" s="23"/>
      <c r="D716" s="27"/>
      <c r="E716" s="27"/>
      <c r="F716" s="27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 spans="1:26">
      <c r="A717" s="23"/>
      <c r="B717" s="23"/>
      <c r="C717" s="23"/>
      <c r="D717" s="27"/>
      <c r="E717" s="27"/>
      <c r="F717" s="27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 spans="1:26">
      <c r="A718" s="23"/>
      <c r="B718" s="23"/>
      <c r="C718" s="23"/>
      <c r="D718" s="27"/>
      <c r="E718" s="27"/>
      <c r="F718" s="27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 spans="1:26">
      <c r="A719" s="23"/>
      <c r="B719" s="23"/>
      <c r="C719" s="23"/>
      <c r="D719" s="27"/>
      <c r="E719" s="27"/>
      <c r="F719" s="27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 spans="1:26">
      <c r="A720" s="23"/>
      <c r="B720" s="23"/>
      <c r="C720" s="23"/>
      <c r="D720" s="27"/>
      <c r="E720" s="27"/>
      <c r="F720" s="27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 spans="1:26">
      <c r="A721" s="23"/>
      <c r="B721" s="23"/>
      <c r="C721" s="23"/>
      <c r="D721" s="27"/>
      <c r="E721" s="27"/>
      <c r="F721" s="27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 spans="1:26">
      <c r="A722" s="23"/>
      <c r="B722" s="23"/>
      <c r="C722" s="23"/>
      <c r="D722" s="27"/>
      <c r="E722" s="27"/>
      <c r="F722" s="27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 spans="1:26">
      <c r="A723" s="23"/>
      <c r="B723" s="23"/>
      <c r="C723" s="23"/>
      <c r="D723" s="27"/>
      <c r="E723" s="27"/>
      <c r="F723" s="27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 spans="1:26">
      <c r="A724" s="23"/>
      <c r="B724" s="23"/>
      <c r="C724" s="23"/>
      <c r="D724" s="27"/>
      <c r="E724" s="27"/>
      <c r="F724" s="27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 spans="1:26">
      <c r="A725" s="23"/>
      <c r="B725" s="23"/>
      <c r="C725" s="23"/>
      <c r="D725" s="27"/>
      <c r="E725" s="27"/>
      <c r="F725" s="27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 spans="1:26">
      <c r="A726" s="23"/>
      <c r="B726" s="23"/>
      <c r="C726" s="23"/>
      <c r="D726" s="27"/>
      <c r="E726" s="27"/>
      <c r="F726" s="27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 spans="1:26">
      <c r="A727" s="23"/>
      <c r="B727" s="23"/>
      <c r="C727" s="23"/>
      <c r="D727" s="27"/>
      <c r="E727" s="27"/>
      <c r="F727" s="27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 spans="1:26">
      <c r="A728" s="23"/>
      <c r="B728" s="23"/>
      <c r="C728" s="23"/>
      <c r="D728" s="27"/>
      <c r="E728" s="27"/>
      <c r="F728" s="27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 spans="1:26">
      <c r="A729" s="23"/>
      <c r="B729" s="23"/>
      <c r="C729" s="23"/>
      <c r="D729" s="27"/>
      <c r="E729" s="27"/>
      <c r="F729" s="27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 spans="1:26">
      <c r="A730" s="23"/>
      <c r="B730" s="23"/>
      <c r="C730" s="23"/>
      <c r="D730" s="27"/>
      <c r="E730" s="27"/>
      <c r="F730" s="27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 spans="1:26">
      <c r="A731" s="23"/>
      <c r="B731" s="23"/>
      <c r="C731" s="23"/>
      <c r="D731" s="27"/>
      <c r="E731" s="27"/>
      <c r="F731" s="27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 spans="1:26">
      <c r="A732" s="23"/>
      <c r="B732" s="23"/>
      <c r="C732" s="23"/>
      <c r="D732" s="27"/>
      <c r="E732" s="27"/>
      <c r="F732" s="27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 spans="1:26">
      <c r="A733" s="23"/>
      <c r="B733" s="23"/>
      <c r="C733" s="23"/>
      <c r="D733" s="27"/>
      <c r="E733" s="27"/>
      <c r="F733" s="27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 spans="1:26">
      <c r="A734" s="23"/>
      <c r="B734" s="23"/>
      <c r="C734" s="23"/>
      <c r="D734" s="27"/>
      <c r="E734" s="27"/>
      <c r="F734" s="27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 spans="1:26">
      <c r="A735" s="23"/>
      <c r="B735" s="23"/>
      <c r="C735" s="23"/>
      <c r="D735" s="27"/>
      <c r="E735" s="27"/>
      <c r="F735" s="27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 spans="1:26">
      <c r="A736" s="23"/>
      <c r="B736" s="23"/>
      <c r="C736" s="23"/>
      <c r="D736" s="27"/>
      <c r="E736" s="27"/>
      <c r="F736" s="27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 spans="1:26">
      <c r="A737" s="23"/>
      <c r="B737" s="23"/>
      <c r="C737" s="23"/>
      <c r="D737" s="27"/>
      <c r="E737" s="27"/>
      <c r="F737" s="27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 spans="1:26">
      <c r="A738" s="23"/>
      <c r="B738" s="23"/>
      <c r="C738" s="23"/>
      <c r="D738" s="27"/>
      <c r="E738" s="27"/>
      <c r="F738" s="27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 spans="1:26">
      <c r="A739" s="23"/>
      <c r="B739" s="23"/>
      <c r="C739" s="23"/>
      <c r="D739" s="27"/>
      <c r="E739" s="27"/>
      <c r="F739" s="27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 spans="1:26">
      <c r="A740" s="23"/>
      <c r="B740" s="23"/>
      <c r="C740" s="23"/>
      <c r="D740" s="27"/>
      <c r="E740" s="27"/>
      <c r="F740" s="27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 spans="1:26">
      <c r="A741" s="23"/>
      <c r="B741" s="23"/>
      <c r="C741" s="23"/>
      <c r="D741" s="27"/>
      <c r="E741" s="27"/>
      <c r="F741" s="27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 spans="1:26">
      <c r="A742" s="23"/>
      <c r="B742" s="23"/>
      <c r="C742" s="23"/>
      <c r="D742" s="27"/>
      <c r="E742" s="27"/>
      <c r="F742" s="27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 spans="1:26">
      <c r="A743" s="23"/>
      <c r="B743" s="23"/>
      <c r="C743" s="23"/>
      <c r="D743" s="27"/>
      <c r="E743" s="27"/>
      <c r="F743" s="27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 spans="1:26">
      <c r="A744" s="23"/>
      <c r="B744" s="23"/>
      <c r="C744" s="23"/>
      <c r="D744" s="27"/>
      <c r="E744" s="27"/>
      <c r="F744" s="27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 spans="1:26">
      <c r="A745" s="23"/>
      <c r="B745" s="23"/>
      <c r="C745" s="23"/>
      <c r="D745" s="27"/>
      <c r="E745" s="27"/>
      <c r="F745" s="27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 spans="1:26">
      <c r="A746" s="23"/>
      <c r="B746" s="23"/>
      <c r="C746" s="23"/>
      <c r="D746" s="27"/>
      <c r="E746" s="27"/>
      <c r="F746" s="27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 spans="1:26">
      <c r="A747" s="23"/>
      <c r="B747" s="23"/>
      <c r="C747" s="23"/>
      <c r="D747" s="27"/>
      <c r="E747" s="27"/>
      <c r="F747" s="27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 spans="1:26">
      <c r="A748" s="23"/>
      <c r="B748" s="23"/>
      <c r="C748" s="23"/>
      <c r="D748" s="27"/>
      <c r="E748" s="27"/>
      <c r="F748" s="27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 spans="1:26">
      <c r="A749" s="23"/>
      <c r="B749" s="23"/>
      <c r="C749" s="23"/>
      <c r="D749" s="27"/>
      <c r="E749" s="27"/>
      <c r="F749" s="27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 spans="1:26">
      <c r="A750" s="23"/>
      <c r="B750" s="23"/>
      <c r="C750" s="23"/>
      <c r="D750" s="27"/>
      <c r="E750" s="27"/>
      <c r="F750" s="27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 spans="1:26">
      <c r="A751" s="23"/>
      <c r="B751" s="23"/>
      <c r="C751" s="23"/>
      <c r="D751" s="27"/>
      <c r="E751" s="27"/>
      <c r="F751" s="27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 spans="1:26">
      <c r="A752" s="23"/>
      <c r="B752" s="23"/>
      <c r="C752" s="23"/>
      <c r="D752" s="27"/>
      <c r="E752" s="27"/>
      <c r="F752" s="27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 spans="1:26">
      <c r="A753" s="23"/>
      <c r="B753" s="23"/>
      <c r="C753" s="23"/>
      <c r="D753" s="27"/>
      <c r="E753" s="27"/>
      <c r="F753" s="27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 spans="1:26">
      <c r="A754" s="23"/>
      <c r="B754" s="23"/>
      <c r="C754" s="23"/>
      <c r="D754" s="27"/>
      <c r="E754" s="27"/>
      <c r="F754" s="27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 spans="1:26">
      <c r="A755" s="23"/>
      <c r="B755" s="23"/>
      <c r="C755" s="23"/>
      <c r="D755" s="27"/>
      <c r="E755" s="27"/>
      <c r="F755" s="27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 spans="1:26">
      <c r="A756" s="23"/>
      <c r="B756" s="23"/>
      <c r="C756" s="23"/>
      <c r="D756" s="27"/>
      <c r="E756" s="27"/>
      <c r="F756" s="27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 spans="1:26">
      <c r="A757" s="23"/>
      <c r="B757" s="23"/>
      <c r="C757" s="23"/>
      <c r="D757" s="27"/>
      <c r="E757" s="27"/>
      <c r="F757" s="27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 spans="1:26">
      <c r="A758" s="23"/>
      <c r="B758" s="23"/>
      <c r="C758" s="23"/>
      <c r="D758" s="27"/>
      <c r="E758" s="27"/>
      <c r="F758" s="27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 spans="1:26">
      <c r="A759" s="23"/>
      <c r="B759" s="23"/>
      <c r="C759" s="23"/>
      <c r="D759" s="27"/>
      <c r="E759" s="27"/>
      <c r="F759" s="27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 spans="1:26">
      <c r="A760" s="23"/>
      <c r="B760" s="23"/>
      <c r="C760" s="23"/>
      <c r="D760" s="27"/>
      <c r="E760" s="27"/>
      <c r="F760" s="27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 spans="1:26">
      <c r="A761" s="23"/>
      <c r="B761" s="23"/>
      <c r="C761" s="23"/>
      <c r="D761" s="27"/>
      <c r="E761" s="27"/>
      <c r="F761" s="27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 spans="1:26">
      <c r="A762" s="23"/>
      <c r="B762" s="23"/>
      <c r="C762" s="23"/>
      <c r="D762" s="27"/>
      <c r="E762" s="27"/>
      <c r="F762" s="27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 spans="1:26">
      <c r="A763" s="23"/>
      <c r="B763" s="23"/>
      <c r="C763" s="23"/>
      <c r="D763" s="27"/>
      <c r="E763" s="27"/>
      <c r="F763" s="27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 spans="1:26">
      <c r="A764" s="23"/>
      <c r="B764" s="23"/>
      <c r="C764" s="23"/>
      <c r="D764" s="27"/>
      <c r="E764" s="27"/>
      <c r="F764" s="27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 spans="1:26">
      <c r="A765" s="23"/>
      <c r="B765" s="23"/>
      <c r="C765" s="23"/>
      <c r="D765" s="27"/>
      <c r="E765" s="27"/>
      <c r="F765" s="27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 spans="1:26">
      <c r="A766" s="23"/>
      <c r="B766" s="23"/>
      <c r="C766" s="23"/>
      <c r="D766" s="27"/>
      <c r="E766" s="27"/>
      <c r="F766" s="27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 spans="1:26">
      <c r="A767" s="23"/>
      <c r="B767" s="23"/>
      <c r="C767" s="23"/>
      <c r="D767" s="27"/>
      <c r="E767" s="27"/>
      <c r="F767" s="27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 spans="1:26">
      <c r="A768" s="23"/>
      <c r="B768" s="23"/>
      <c r="C768" s="23"/>
      <c r="D768" s="27"/>
      <c r="E768" s="27"/>
      <c r="F768" s="27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 spans="1:26">
      <c r="A769" s="23"/>
      <c r="B769" s="23"/>
      <c r="C769" s="23"/>
      <c r="D769" s="27"/>
      <c r="E769" s="27"/>
      <c r="F769" s="27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 spans="1:26">
      <c r="A770" s="23"/>
      <c r="B770" s="23"/>
      <c r="C770" s="23"/>
      <c r="D770" s="27"/>
      <c r="E770" s="27"/>
      <c r="F770" s="27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 spans="1:26">
      <c r="A771" s="23"/>
      <c r="B771" s="23"/>
      <c r="C771" s="23"/>
      <c r="D771" s="27"/>
      <c r="E771" s="27"/>
      <c r="F771" s="27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 spans="1:26">
      <c r="A772" s="23"/>
      <c r="B772" s="23"/>
      <c r="C772" s="23"/>
      <c r="D772" s="27"/>
      <c r="E772" s="27"/>
      <c r="F772" s="27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 spans="1:26">
      <c r="A773" s="23"/>
      <c r="B773" s="23"/>
      <c r="C773" s="23"/>
      <c r="D773" s="27"/>
      <c r="E773" s="27"/>
      <c r="F773" s="27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 spans="1:26">
      <c r="A774" s="23"/>
      <c r="B774" s="23"/>
      <c r="C774" s="23"/>
      <c r="D774" s="27"/>
      <c r="E774" s="27"/>
      <c r="F774" s="27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 spans="1:26">
      <c r="A775" s="23"/>
      <c r="B775" s="23"/>
      <c r="C775" s="23"/>
      <c r="D775" s="27"/>
      <c r="E775" s="27"/>
      <c r="F775" s="27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 spans="1:26">
      <c r="A776" s="23"/>
      <c r="B776" s="23"/>
      <c r="C776" s="23"/>
      <c r="D776" s="27"/>
      <c r="E776" s="27"/>
      <c r="F776" s="27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 spans="1:26">
      <c r="A777" s="23"/>
      <c r="B777" s="23"/>
      <c r="C777" s="23"/>
      <c r="D777" s="27"/>
      <c r="E777" s="27"/>
      <c r="F777" s="27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 spans="1:26">
      <c r="A778" s="23"/>
      <c r="B778" s="23"/>
      <c r="C778" s="23"/>
      <c r="D778" s="27"/>
      <c r="E778" s="27"/>
      <c r="F778" s="27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 spans="1:26">
      <c r="A779" s="23"/>
      <c r="B779" s="23"/>
      <c r="C779" s="23"/>
      <c r="D779" s="27"/>
      <c r="E779" s="27"/>
      <c r="F779" s="27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 spans="1:26">
      <c r="A780" s="23"/>
      <c r="B780" s="23"/>
      <c r="C780" s="23"/>
      <c r="D780" s="27"/>
      <c r="E780" s="27"/>
      <c r="F780" s="27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 spans="1:26">
      <c r="A781" s="23"/>
      <c r="B781" s="23"/>
      <c r="C781" s="23"/>
      <c r="D781" s="27"/>
      <c r="E781" s="27"/>
      <c r="F781" s="27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 spans="1:26">
      <c r="A782" s="23"/>
      <c r="B782" s="23"/>
      <c r="C782" s="23"/>
      <c r="D782" s="27"/>
      <c r="E782" s="27"/>
      <c r="F782" s="27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 spans="1:26">
      <c r="A783" s="23"/>
      <c r="B783" s="23"/>
      <c r="C783" s="23"/>
      <c r="D783" s="27"/>
      <c r="E783" s="27"/>
      <c r="F783" s="27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 spans="1:26">
      <c r="A784" s="23"/>
      <c r="B784" s="23"/>
      <c r="C784" s="23"/>
      <c r="D784" s="27"/>
      <c r="E784" s="27"/>
      <c r="F784" s="27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 spans="1:26">
      <c r="A785" s="23"/>
      <c r="B785" s="23"/>
      <c r="C785" s="23"/>
      <c r="D785" s="27"/>
      <c r="E785" s="27"/>
      <c r="F785" s="27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 spans="1:26">
      <c r="A786" s="23"/>
      <c r="B786" s="23"/>
      <c r="C786" s="23"/>
      <c r="D786" s="27"/>
      <c r="E786" s="27"/>
      <c r="F786" s="27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 spans="1:26">
      <c r="A787" s="23"/>
      <c r="B787" s="23"/>
      <c r="C787" s="23"/>
      <c r="D787" s="27"/>
      <c r="E787" s="27"/>
      <c r="F787" s="27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 spans="1:26">
      <c r="A788" s="23"/>
      <c r="B788" s="23"/>
      <c r="C788" s="23"/>
      <c r="D788" s="27"/>
      <c r="E788" s="27"/>
      <c r="F788" s="27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 spans="1:26">
      <c r="A789" s="23"/>
      <c r="B789" s="23"/>
      <c r="C789" s="23"/>
      <c r="D789" s="27"/>
      <c r="E789" s="27"/>
      <c r="F789" s="27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 spans="1:26">
      <c r="A790" s="23"/>
      <c r="B790" s="23"/>
      <c r="C790" s="23"/>
      <c r="D790" s="27"/>
      <c r="E790" s="27"/>
      <c r="F790" s="27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 spans="1:26">
      <c r="A791" s="23"/>
      <c r="B791" s="23"/>
      <c r="C791" s="23"/>
      <c r="D791" s="27"/>
      <c r="E791" s="27"/>
      <c r="F791" s="27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 spans="1:26">
      <c r="A792" s="23"/>
      <c r="B792" s="23"/>
      <c r="C792" s="23"/>
      <c r="D792" s="27"/>
      <c r="E792" s="27"/>
      <c r="F792" s="27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 spans="1:26">
      <c r="A793" s="23"/>
      <c r="B793" s="23"/>
      <c r="C793" s="23"/>
      <c r="D793" s="27"/>
      <c r="E793" s="27"/>
      <c r="F793" s="27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 spans="1:26">
      <c r="A794" s="23"/>
      <c r="B794" s="23"/>
      <c r="C794" s="23"/>
      <c r="D794" s="27"/>
      <c r="E794" s="27"/>
      <c r="F794" s="27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 spans="1:26">
      <c r="A795" s="23"/>
      <c r="B795" s="23"/>
      <c r="C795" s="23"/>
      <c r="D795" s="27"/>
      <c r="E795" s="27"/>
      <c r="F795" s="27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 spans="1:26">
      <c r="A796" s="23"/>
      <c r="B796" s="23"/>
      <c r="C796" s="23"/>
      <c r="D796" s="27"/>
      <c r="E796" s="27"/>
      <c r="F796" s="27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 spans="1:26">
      <c r="A797" s="23"/>
      <c r="B797" s="23"/>
      <c r="C797" s="23"/>
      <c r="D797" s="27"/>
      <c r="E797" s="27"/>
      <c r="F797" s="27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 spans="1:26">
      <c r="A798" s="23"/>
      <c r="B798" s="23"/>
      <c r="C798" s="23"/>
      <c r="D798" s="27"/>
      <c r="E798" s="27"/>
      <c r="F798" s="27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 spans="1:26">
      <c r="A799" s="23"/>
      <c r="B799" s="23"/>
      <c r="C799" s="23"/>
      <c r="D799" s="27"/>
      <c r="E799" s="27"/>
      <c r="F799" s="27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 spans="1:26">
      <c r="A800" s="23"/>
      <c r="B800" s="23"/>
      <c r="C800" s="23"/>
      <c r="D800" s="27"/>
      <c r="E800" s="27"/>
      <c r="F800" s="27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 spans="1:26">
      <c r="A801" s="23"/>
      <c r="B801" s="23"/>
      <c r="C801" s="23"/>
      <c r="D801" s="27"/>
      <c r="E801" s="27"/>
      <c r="F801" s="27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 spans="1:26">
      <c r="A802" s="23"/>
      <c r="B802" s="23"/>
      <c r="C802" s="23"/>
      <c r="D802" s="27"/>
      <c r="E802" s="27"/>
      <c r="F802" s="27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 spans="1:26">
      <c r="A803" s="23"/>
      <c r="B803" s="23"/>
      <c r="C803" s="23"/>
      <c r="D803" s="27"/>
      <c r="E803" s="27"/>
      <c r="F803" s="27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 spans="1:26">
      <c r="A804" s="23"/>
      <c r="B804" s="23"/>
      <c r="C804" s="23"/>
      <c r="D804" s="27"/>
      <c r="E804" s="27"/>
      <c r="F804" s="27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 spans="1:26">
      <c r="A805" s="23"/>
      <c r="B805" s="23"/>
      <c r="C805" s="23"/>
      <c r="D805" s="27"/>
      <c r="E805" s="27"/>
      <c r="F805" s="27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 spans="1:26">
      <c r="A806" s="23"/>
      <c r="B806" s="23"/>
      <c r="C806" s="23"/>
      <c r="D806" s="27"/>
      <c r="E806" s="27"/>
      <c r="F806" s="27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 spans="1:26">
      <c r="A807" s="23"/>
      <c r="B807" s="23"/>
      <c r="C807" s="23"/>
      <c r="D807" s="27"/>
      <c r="E807" s="27"/>
      <c r="F807" s="27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 spans="1:26">
      <c r="A808" s="23"/>
      <c r="B808" s="23"/>
      <c r="C808" s="23"/>
      <c r="D808" s="27"/>
      <c r="E808" s="27"/>
      <c r="F808" s="27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 spans="1:26">
      <c r="A809" s="23"/>
      <c r="B809" s="23"/>
      <c r="C809" s="23"/>
      <c r="D809" s="27"/>
      <c r="E809" s="27"/>
      <c r="F809" s="27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 spans="1:26">
      <c r="A810" s="23"/>
      <c r="B810" s="23"/>
      <c r="C810" s="23"/>
      <c r="D810" s="27"/>
      <c r="E810" s="27"/>
      <c r="F810" s="27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 spans="1:26">
      <c r="A811" s="23"/>
      <c r="B811" s="23"/>
      <c r="C811" s="23"/>
      <c r="D811" s="27"/>
      <c r="E811" s="27"/>
      <c r="F811" s="27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 spans="1:26">
      <c r="A812" s="23"/>
      <c r="B812" s="23"/>
      <c r="C812" s="23"/>
      <c r="D812" s="27"/>
      <c r="E812" s="27"/>
      <c r="F812" s="27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 spans="1:26">
      <c r="A813" s="23"/>
      <c r="B813" s="23"/>
      <c r="C813" s="23"/>
      <c r="D813" s="27"/>
      <c r="E813" s="27"/>
      <c r="F813" s="27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 spans="1:26">
      <c r="A814" s="23"/>
      <c r="B814" s="23"/>
      <c r="C814" s="23"/>
      <c r="D814" s="27"/>
      <c r="E814" s="27"/>
      <c r="F814" s="27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 spans="1:26">
      <c r="A815" s="23"/>
      <c r="B815" s="23"/>
      <c r="C815" s="23"/>
      <c r="D815" s="27"/>
      <c r="E815" s="27"/>
      <c r="F815" s="27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 spans="1:26">
      <c r="A816" s="23"/>
      <c r="B816" s="23"/>
      <c r="C816" s="23"/>
      <c r="D816" s="27"/>
      <c r="E816" s="27"/>
      <c r="F816" s="27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 spans="1:26">
      <c r="A817" s="23"/>
      <c r="B817" s="23"/>
      <c r="C817" s="23"/>
      <c r="D817" s="27"/>
      <c r="E817" s="27"/>
      <c r="F817" s="27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 spans="1:26">
      <c r="A818" s="23"/>
      <c r="B818" s="23"/>
      <c r="C818" s="23"/>
      <c r="D818" s="27"/>
      <c r="E818" s="27"/>
      <c r="F818" s="27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 spans="1:26">
      <c r="A819" s="23"/>
      <c r="B819" s="23"/>
      <c r="C819" s="23"/>
      <c r="D819" s="27"/>
      <c r="E819" s="27"/>
      <c r="F819" s="27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 spans="1:26">
      <c r="A820" s="23"/>
      <c r="B820" s="23"/>
      <c r="C820" s="23"/>
      <c r="D820" s="27"/>
      <c r="E820" s="27"/>
      <c r="F820" s="27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 spans="1:26">
      <c r="A821" s="23"/>
      <c r="B821" s="23"/>
      <c r="C821" s="23"/>
      <c r="D821" s="27"/>
      <c r="E821" s="27"/>
      <c r="F821" s="27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 spans="1:26">
      <c r="A822" s="23"/>
      <c r="B822" s="23"/>
      <c r="C822" s="23"/>
      <c r="D822" s="27"/>
      <c r="E822" s="27"/>
      <c r="F822" s="27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 spans="1:26">
      <c r="A823" s="23"/>
      <c r="B823" s="23"/>
      <c r="C823" s="23"/>
      <c r="D823" s="27"/>
      <c r="E823" s="27"/>
      <c r="F823" s="27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 spans="1:26">
      <c r="A824" s="23"/>
      <c r="B824" s="23"/>
      <c r="C824" s="23"/>
      <c r="D824" s="27"/>
      <c r="E824" s="27"/>
      <c r="F824" s="27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 spans="1:26">
      <c r="A825" s="23"/>
      <c r="B825" s="23"/>
      <c r="C825" s="23"/>
      <c r="D825" s="27"/>
      <c r="E825" s="27"/>
      <c r="F825" s="27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 spans="1:26">
      <c r="A826" s="23"/>
      <c r="B826" s="23"/>
      <c r="C826" s="23"/>
      <c r="D826" s="27"/>
      <c r="E826" s="27"/>
      <c r="F826" s="27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 spans="1:26">
      <c r="A827" s="23"/>
      <c r="B827" s="23"/>
      <c r="C827" s="23"/>
      <c r="D827" s="27"/>
      <c r="E827" s="27"/>
      <c r="F827" s="27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 spans="1:26">
      <c r="A828" s="23"/>
      <c r="B828" s="23"/>
      <c r="C828" s="23"/>
      <c r="D828" s="27"/>
      <c r="E828" s="27"/>
      <c r="F828" s="27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 spans="1:26">
      <c r="A829" s="23"/>
      <c r="B829" s="23"/>
      <c r="C829" s="23"/>
      <c r="D829" s="27"/>
      <c r="E829" s="27"/>
      <c r="F829" s="27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 spans="1:26">
      <c r="A830" s="23"/>
      <c r="B830" s="23"/>
      <c r="C830" s="23"/>
      <c r="D830" s="27"/>
      <c r="E830" s="27"/>
      <c r="F830" s="27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 spans="1:26">
      <c r="A831" s="23"/>
      <c r="B831" s="23"/>
      <c r="C831" s="23"/>
      <c r="D831" s="27"/>
      <c r="E831" s="27"/>
      <c r="F831" s="27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 spans="1:26">
      <c r="A832" s="23"/>
      <c r="B832" s="23"/>
      <c r="C832" s="23"/>
      <c r="D832" s="27"/>
      <c r="E832" s="27"/>
      <c r="F832" s="27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 spans="1:26">
      <c r="A833" s="23"/>
      <c r="B833" s="23"/>
      <c r="C833" s="23"/>
      <c r="D833" s="27"/>
      <c r="E833" s="27"/>
      <c r="F833" s="27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 spans="1:26">
      <c r="A834" s="23"/>
      <c r="B834" s="23"/>
      <c r="C834" s="23"/>
      <c r="D834" s="27"/>
      <c r="E834" s="27"/>
      <c r="F834" s="27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 spans="1:26">
      <c r="A835" s="23"/>
      <c r="B835" s="23"/>
      <c r="C835" s="23"/>
      <c r="D835" s="27"/>
      <c r="E835" s="27"/>
      <c r="F835" s="27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 spans="1:26">
      <c r="A836" s="23"/>
      <c r="B836" s="23"/>
      <c r="C836" s="23"/>
      <c r="D836" s="27"/>
      <c r="E836" s="27"/>
      <c r="F836" s="27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 spans="1:26">
      <c r="A837" s="23"/>
      <c r="B837" s="23"/>
      <c r="C837" s="23"/>
      <c r="D837" s="27"/>
      <c r="E837" s="27"/>
      <c r="F837" s="27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 spans="1:26">
      <c r="A838" s="23"/>
      <c r="B838" s="23"/>
      <c r="C838" s="23"/>
      <c r="D838" s="27"/>
      <c r="E838" s="27"/>
      <c r="F838" s="27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 spans="1:26">
      <c r="A839" s="23"/>
      <c r="B839" s="23"/>
      <c r="C839" s="23"/>
      <c r="D839" s="27"/>
      <c r="E839" s="27"/>
      <c r="F839" s="27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 spans="1:26">
      <c r="A840" s="23"/>
      <c r="B840" s="23"/>
      <c r="C840" s="23"/>
      <c r="D840" s="27"/>
      <c r="E840" s="27"/>
      <c r="F840" s="27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 spans="1:26">
      <c r="A841" s="23"/>
      <c r="B841" s="23"/>
      <c r="C841" s="23"/>
      <c r="D841" s="27"/>
      <c r="E841" s="27"/>
      <c r="F841" s="27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 spans="1:26">
      <c r="A842" s="23"/>
      <c r="B842" s="23"/>
      <c r="C842" s="23"/>
      <c r="D842" s="27"/>
      <c r="E842" s="27"/>
      <c r="F842" s="27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 spans="1:26">
      <c r="A843" s="23"/>
      <c r="B843" s="23"/>
      <c r="C843" s="23"/>
      <c r="D843" s="27"/>
      <c r="E843" s="27"/>
      <c r="F843" s="27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 spans="1:26">
      <c r="A844" s="23"/>
      <c r="B844" s="23"/>
      <c r="C844" s="23"/>
      <c r="D844" s="27"/>
      <c r="E844" s="27"/>
      <c r="F844" s="27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 spans="1:26">
      <c r="A845" s="23"/>
      <c r="B845" s="23"/>
      <c r="C845" s="23"/>
      <c r="D845" s="27"/>
      <c r="E845" s="27"/>
      <c r="F845" s="27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 spans="1:26">
      <c r="A846" s="23"/>
      <c r="B846" s="23"/>
      <c r="C846" s="23"/>
      <c r="D846" s="27"/>
      <c r="E846" s="27"/>
      <c r="F846" s="27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 spans="1:26">
      <c r="A847" s="23"/>
      <c r="B847" s="23"/>
      <c r="C847" s="23"/>
      <c r="D847" s="27"/>
      <c r="E847" s="27"/>
      <c r="F847" s="27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 spans="1:26">
      <c r="A848" s="23"/>
      <c r="B848" s="23"/>
      <c r="C848" s="23"/>
      <c r="D848" s="27"/>
      <c r="E848" s="27"/>
      <c r="F848" s="27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 spans="1:26">
      <c r="A849" s="23"/>
      <c r="B849" s="23"/>
      <c r="C849" s="23"/>
      <c r="D849" s="27"/>
      <c r="E849" s="27"/>
      <c r="F849" s="27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 spans="1:26">
      <c r="A850" s="23"/>
      <c r="B850" s="23"/>
      <c r="C850" s="23"/>
      <c r="D850" s="27"/>
      <c r="E850" s="27"/>
      <c r="F850" s="27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 spans="1:26">
      <c r="A851" s="23"/>
      <c r="B851" s="23"/>
      <c r="C851" s="23"/>
      <c r="D851" s="27"/>
      <c r="E851" s="27"/>
      <c r="F851" s="27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 spans="1:26">
      <c r="A852" s="23"/>
      <c r="B852" s="23"/>
      <c r="C852" s="23"/>
      <c r="D852" s="27"/>
      <c r="E852" s="27"/>
      <c r="F852" s="27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 spans="1:26">
      <c r="A853" s="23"/>
      <c r="B853" s="23"/>
      <c r="C853" s="23"/>
      <c r="D853" s="27"/>
      <c r="E853" s="27"/>
      <c r="F853" s="27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 spans="1:26">
      <c r="A854" s="23"/>
      <c r="B854" s="23"/>
      <c r="C854" s="23"/>
      <c r="D854" s="27"/>
      <c r="E854" s="27"/>
      <c r="F854" s="27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 spans="1:26">
      <c r="A855" s="23"/>
      <c r="B855" s="23"/>
      <c r="C855" s="23"/>
      <c r="D855" s="27"/>
      <c r="E855" s="27"/>
      <c r="F855" s="27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 spans="1:26">
      <c r="A856" s="23"/>
      <c r="B856" s="23"/>
      <c r="C856" s="23"/>
      <c r="D856" s="27"/>
      <c r="E856" s="27"/>
      <c r="F856" s="27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 spans="1:26">
      <c r="A857" s="23"/>
      <c r="B857" s="23"/>
      <c r="C857" s="23"/>
      <c r="D857" s="27"/>
      <c r="E857" s="27"/>
      <c r="F857" s="27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 spans="1:26">
      <c r="A858" s="23"/>
      <c r="B858" s="23"/>
      <c r="C858" s="23"/>
      <c r="D858" s="27"/>
      <c r="E858" s="27"/>
      <c r="F858" s="27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 spans="1:26">
      <c r="A859" s="23"/>
      <c r="B859" s="23"/>
      <c r="C859" s="23"/>
      <c r="D859" s="27"/>
      <c r="E859" s="27"/>
      <c r="F859" s="27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 spans="1:26">
      <c r="A860" s="23"/>
      <c r="B860" s="23"/>
      <c r="C860" s="23"/>
      <c r="D860" s="27"/>
      <c r="E860" s="27"/>
      <c r="F860" s="27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 spans="1:26">
      <c r="A861" s="23"/>
      <c r="B861" s="23"/>
      <c r="C861" s="23"/>
      <c r="D861" s="27"/>
      <c r="E861" s="27"/>
      <c r="F861" s="27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 spans="1:26">
      <c r="A862" s="23"/>
      <c r="B862" s="23"/>
      <c r="C862" s="23"/>
      <c r="D862" s="27"/>
      <c r="E862" s="27"/>
      <c r="F862" s="27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 spans="1:26">
      <c r="A863" s="23"/>
      <c r="B863" s="23"/>
      <c r="C863" s="23"/>
      <c r="D863" s="27"/>
      <c r="E863" s="27"/>
      <c r="F863" s="27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 spans="1:26">
      <c r="A864" s="23"/>
      <c r="B864" s="23"/>
      <c r="C864" s="23"/>
      <c r="D864" s="27"/>
      <c r="E864" s="27"/>
      <c r="F864" s="27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 spans="1:26">
      <c r="A865" s="23"/>
      <c r="B865" s="23"/>
      <c r="C865" s="23"/>
      <c r="D865" s="27"/>
      <c r="E865" s="27"/>
      <c r="F865" s="27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 spans="1:26">
      <c r="A866" s="23"/>
      <c r="B866" s="23"/>
      <c r="C866" s="23"/>
      <c r="D866" s="27"/>
      <c r="E866" s="27"/>
      <c r="F866" s="27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 spans="1:26">
      <c r="A867" s="23"/>
      <c r="B867" s="23"/>
      <c r="C867" s="23"/>
      <c r="D867" s="27"/>
      <c r="E867" s="27"/>
      <c r="F867" s="27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 spans="1:26">
      <c r="A868" s="23"/>
      <c r="B868" s="23"/>
      <c r="C868" s="23"/>
      <c r="D868" s="27"/>
      <c r="E868" s="27"/>
      <c r="F868" s="27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 spans="1:26">
      <c r="A869" s="23"/>
      <c r="B869" s="23"/>
      <c r="C869" s="23"/>
      <c r="D869" s="27"/>
      <c r="E869" s="27"/>
      <c r="F869" s="27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 spans="1:26">
      <c r="A870" s="23"/>
      <c r="B870" s="23"/>
      <c r="C870" s="23"/>
      <c r="D870" s="27"/>
      <c r="E870" s="27"/>
      <c r="F870" s="27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 spans="1:26">
      <c r="A871" s="23"/>
      <c r="B871" s="23"/>
      <c r="C871" s="23"/>
      <c r="D871" s="27"/>
      <c r="E871" s="27"/>
      <c r="F871" s="27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 spans="1:26">
      <c r="A872" s="23"/>
      <c r="B872" s="23"/>
      <c r="C872" s="23"/>
      <c r="D872" s="27"/>
      <c r="E872" s="27"/>
      <c r="F872" s="27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 spans="1:26">
      <c r="A873" s="23"/>
      <c r="B873" s="23"/>
      <c r="C873" s="23"/>
      <c r="D873" s="27"/>
      <c r="E873" s="27"/>
      <c r="F873" s="27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 spans="1:26">
      <c r="A874" s="23"/>
      <c r="B874" s="23"/>
      <c r="C874" s="23"/>
      <c r="D874" s="27"/>
      <c r="E874" s="27"/>
      <c r="F874" s="27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 spans="1:26">
      <c r="A875" s="23"/>
      <c r="B875" s="23"/>
      <c r="C875" s="23"/>
      <c r="D875" s="27"/>
      <c r="E875" s="27"/>
      <c r="F875" s="27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 spans="1:26">
      <c r="A876" s="23"/>
      <c r="B876" s="23"/>
      <c r="C876" s="23"/>
      <c r="D876" s="27"/>
      <c r="E876" s="27"/>
      <c r="F876" s="27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 spans="1:26">
      <c r="A877" s="23"/>
      <c r="B877" s="23"/>
      <c r="C877" s="23"/>
      <c r="D877" s="27"/>
      <c r="E877" s="27"/>
      <c r="F877" s="27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 spans="1:26">
      <c r="A878" s="23"/>
      <c r="B878" s="23"/>
      <c r="C878" s="23"/>
      <c r="D878" s="27"/>
      <c r="E878" s="27"/>
      <c r="F878" s="27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 spans="1:26">
      <c r="A879" s="23"/>
      <c r="B879" s="23"/>
      <c r="C879" s="23"/>
      <c r="D879" s="27"/>
      <c r="E879" s="27"/>
      <c r="F879" s="27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 spans="1:26">
      <c r="A880" s="23"/>
      <c r="B880" s="23"/>
      <c r="C880" s="23"/>
      <c r="D880" s="27"/>
      <c r="E880" s="27"/>
      <c r="F880" s="27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 spans="1:26">
      <c r="A881" s="23"/>
      <c r="B881" s="23"/>
      <c r="C881" s="23"/>
      <c r="D881" s="27"/>
      <c r="E881" s="27"/>
      <c r="F881" s="27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 spans="1:26">
      <c r="A882" s="23"/>
      <c r="B882" s="23"/>
      <c r="C882" s="23"/>
      <c r="D882" s="27"/>
      <c r="E882" s="27"/>
      <c r="F882" s="27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 spans="1:26">
      <c r="A883" s="23"/>
      <c r="B883" s="23"/>
      <c r="C883" s="23"/>
      <c r="D883" s="27"/>
      <c r="E883" s="27"/>
      <c r="F883" s="27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 spans="1:26">
      <c r="A884" s="23"/>
      <c r="B884" s="23"/>
      <c r="C884" s="23"/>
      <c r="D884" s="27"/>
      <c r="E884" s="27"/>
      <c r="F884" s="27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 spans="1:26">
      <c r="A885" s="23"/>
      <c r="B885" s="23"/>
      <c r="C885" s="23"/>
      <c r="D885" s="27"/>
      <c r="E885" s="27"/>
      <c r="F885" s="27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 spans="1:26">
      <c r="A886" s="23"/>
      <c r="B886" s="23"/>
      <c r="C886" s="23"/>
      <c r="D886" s="27"/>
      <c r="E886" s="27"/>
      <c r="F886" s="27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 spans="1:26">
      <c r="A887" s="23"/>
      <c r="B887" s="23"/>
      <c r="C887" s="23"/>
      <c r="D887" s="27"/>
      <c r="E887" s="27"/>
      <c r="F887" s="27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 spans="1:26">
      <c r="A888" s="23"/>
      <c r="B888" s="23"/>
      <c r="C888" s="23"/>
      <c r="D888" s="27"/>
      <c r="E888" s="27"/>
      <c r="F888" s="27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 spans="1:26">
      <c r="A889" s="23"/>
      <c r="B889" s="23"/>
      <c r="C889" s="23"/>
      <c r="D889" s="27"/>
      <c r="E889" s="27"/>
      <c r="F889" s="27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 spans="1:26">
      <c r="A890" s="23"/>
      <c r="B890" s="23"/>
      <c r="C890" s="23"/>
      <c r="D890" s="27"/>
      <c r="E890" s="27"/>
      <c r="F890" s="27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 spans="1:26">
      <c r="A891" s="23"/>
      <c r="B891" s="23"/>
      <c r="C891" s="23"/>
      <c r="D891" s="27"/>
      <c r="E891" s="27"/>
      <c r="F891" s="27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 spans="1:26">
      <c r="A892" s="23"/>
      <c r="B892" s="23"/>
      <c r="C892" s="23"/>
      <c r="D892" s="27"/>
      <c r="E892" s="27"/>
      <c r="F892" s="27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 spans="1:26">
      <c r="A893" s="23"/>
      <c r="B893" s="23"/>
      <c r="C893" s="23"/>
      <c r="D893" s="27"/>
      <c r="E893" s="27"/>
      <c r="F893" s="27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 spans="1:26">
      <c r="A894" s="23"/>
      <c r="B894" s="23"/>
      <c r="C894" s="23"/>
      <c r="D894" s="27"/>
      <c r="E894" s="27"/>
      <c r="F894" s="27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 spans="1:26">
      <c r="A895" s="23"/>
      <c r="B895" s="23"/>
      <c r="C895" s="23"/>
      <c r="D895" s="27"/>
      <c r="E895" s="27"/>
      <c r="F895" s="27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 spans="1:26">
      <c r="A896" s="23"/>
      <c r="B896" s="23"/>
      <c r="C896" s="23"/>
      <c r="D896" s="27"/>
      <c r="E896" s="27"/>
      <c r="F896" s="27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 spans="1:26">
      <c r="A897" s="23"/>
      <c r="B897" s="23"/>
      <c r="C897" s="23"/>
      <c r="D897" s="27"/>
      <c r="E897" s="27"/>
      <c r="F897" s="27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 spans="1:26">
      <c r="A898" s="23"/>
      <c r="B898" s="23"/>
      <c r="C898" s="23"/>
      <c r="D898" s="27"/>
      <c r="E898" s="27"/>
      <c r="F898" s="27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 spans="1:26">
      <c r="A899" s="23"/>
      <c r="B899" s="23"/>
      <c r="C899" s="23"/>
      <c r="D899" s="27"/>
      <c r="E899" s="27"/>
      <c r="F899" s="27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 spans="1:26">
      <c r="A900" s="23"/>
      <c r="B900" s="23"/>
      <c r="C900" s="23"/>
      <c r="D900" s="27"/>
      <c r="E900" s="27"/>
      <c r="F900" s="27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 spans="1:26">
      <c r="A901" s="23"/>
      <c r="B901" s="23"/>
      <c r="C901" s="23"/>
      <c r="D901" s="27"/>
      <c r="E901" s="27"/>
      <c r="F901" s="27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 spans="1:26">
      <c r="A902" s="23"/>
      <c r="B902" s="23"/>
      <c r="C902" s="23"/>
      <c r="D902" s="27"/>
      <c r="E902" s="27"/>
      <c r="F902" s="27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 spans="1:26">
      <c r="A903" s="23"/>
      <c r="B903" s="23"/>
      <c r="C903" s="23"/>
      <c r="D903" s="27"/>
      <c r="E903" s="27"/>
      <c r="F903" s="27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 spans="1:26">
      <c r="A904" s="23"/>
      <c r="B904" s="23"/>
      <c r="C904" s="23"/>
      <c r="D904" s="27"/>
      <c r="E904" s="27"/>
      <c r="F904" s="27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 spans="1:26">
      <c r="A905" s="23"/>
      <c r="B905" s="23"/>
      <c r="C905" s="23"/>
      <c r="D905" s="27"/>
      <c r="E905" s="27"/>
      <c r="F905" s="27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 spans="1:26">
      <c r="A906" s="23"/>
      <c r="B906" s="23"/>
      <c r="C906" s="23"/>
      <c r="D906" s="27"/>
      <c r="E906" s="27"/>
      <c r="F906" s="27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 spans="1:26">
      <c r="A907" s="23"/>
      <c r="B907" s="23"/>
      <c r="C907" s="23"/>
      <c r="D907" s="27"/>
      <c r="E907" s="27"/>
      <c r="F907" s="27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 spans="1:26">
      <c r="A908" s="23"/>
      <c r="B908" s="23"/>
      <c r="C908" s="23"/>
      <c r="D908" s="27"/>
      <c r="E908" s="27"/>
      <c r="F908" s="27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 spans="1:26">
      <c r="A909" s="23"/>
      <c r="B909" s="23"/>
      <c r="C909" s="23"/>
      <c r="D909" s="27"/>
      <c r="E909" s="27"/>
      <c r="F909" s="27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 spans="1:26">
      <c r="A910" s="23"/>
      <c r="B910" s="23"/>
      <c r="C910" s="23"/>
      <c r="D910" s="27"/>
      <c r="E910" s="27"/>
      <c r="F910" s="27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 spans="1:26">
      <c r="A911" s="23"/>
      <c r="B911" s="23"/>
      <c r="C911" s="23"/>
      <c r="D911" s="27"/>
      <c r="E911" s="27"/>
      <c r="F911" s="27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 spans="1:26">
      <c r="A912" s="23"/>
      <c r="B912" s="23"/>
      <c r="C912" s="23"/>
      <c r="D912" s="27"/>
      <c r="E912" s="27"/>
      <c r="F912" s="27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 spans="1:26">
      <c r="A913" s="23"/>
      <c r="B913" s="23"/>
      <c r="C913" s="23"/>
      <c r="D913" s="27"/>
      <c r="E913" s="27"/>
      <c r="F913" s="27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 spans="1:26">
      <c r="A914" s="23"/>
      <c r="B914" s="23"/>
      <c r="C914" s="23"/>
      <c r="D914" s="27"/>
      <c r="E914" s="27"/>
      <c r="F914" s="27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 spans="1:26">
      <c r="A915" s="23"/>
      <c r="B915" s="23"/>
      <c r="C915" s="23"/>
      <c r="D915" s="27"/>
      <c r="E915" s="27"/>
      <c r="F915" s="27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 spans="1:26">
      <c r="A916" s="23"/>
      <c r="B916" s="23"/>
      <c r="C916" s="23"/>
      <c r="D916" s="27"/>
      <c r="E916" s="27"/>
      <c r="F916" s="27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 spans="1:26">
      <c r="A917" s="23"/>
      <c r="B917" s="23"/>
      <c r="C917" s="23"/>
      <c r="D917" s="27"/>
      <c r="E917" s="27"/>
      <c r="F917" s="27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 spans="1:26">
      <c r="A918" s="23"/>
      <c r="B918" s="23"/>
      <c r="C918" s="23"/>
      <c r="D918" s="27"/>
      <c r="E918" s="27"/>
      <c r="F918" s="27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 spans="1:26">
      <c r="A919" s="23"/>
      <c r="B919" s="23"/>
      <c r="C919" s="23"/>
      <c r="D919" s="27"/>
      <c r="E919" s="27"/>
      <c r="F919" s="27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 spans="1:26">
      <c r="A920" s="23"/>
      <c r="B920" s="23"/>
      <c r="C920" s="23"/>
      <c r="D920" s="27"/>
      <c r="E920" s="27"/>
      <c r="F920" s="27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 spans="1:26">
      <c r="A921" s="23"/>
      <c r="B921" s="23"/>
      <c r="C921" s="23"/>
      <c r="D921" s="27"/>
      <c r="E921" s="27"/>
      <c r="F921" s="27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 spans="1:26">
      <c r="A922" s="23"/>
      <c r="B922" s="23"/>
      <c r="C922" s="23"/>
      <c r="D922" s="27"/>
      <c r="E922" s="27"/>
      <c r="F922" s="27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 spans="1:26">
      <c r="A923" s="23"/>
      <c r="B923" s="23"/>
      <c r="C923" s="23"/>
      <c r="D923" s="27"/>
      <c r="E923" s="27"/>
      <c r="F923" s="27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 spans="1:26">
      <c r="A924" s="23"/>
      <c r="B924" s="23"/>
      <c r="C924" s="23"/>
      <c r="D924" s="27"/>
      <c r="E924" s="27"/>
      <c r="F924" s="27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 spans="1:26">
      <c r="A925" s="23"/>
      <c r="B925" s="23"/>
      <c r="C925" s="23"/>
      <c r="D925" s="27"/>
      <c r="E925" s="27"/>
      <c r="F925" s="27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 spans="1:26">
      <c r="A926" s="23"/>
      <c r="B926" s="23"/>
      <c r="C926" s="23"/>
      <c r="D926" s="27"/>
      <c r="E926" s="27"/>
      <c r="F926" s="27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 spans="1:26">
      <c r="A927" s="23"/>
      <c r="B927" s="23"/>
      <c r="C927" s="23"/>
      <c r="D927" s="27"/>
      <c r="E927" s="27"/>
      <c r="F927" s="27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 spans="1:26">
      <c r="A928" s="23"/>
      <c r="B928" s="23"/>
      <c r="C928" s="23"/>
      <c r="D928" s="27"/>
      <c r="E928" s="27"/>
      <c r="F928" s="27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 spans="1:26">
      <c r="A929" s="23"/>
      <c r="B929" s="23"/>
      <c r="C929" s="23"/>
      <c r="D929" s="27"/>
      <c r="E929" s="27"/>
      <c r="F929" s="27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 spans="1:26">
      <c r="A930" s="23"/>
      <c r="B930" s="23"/>
      <c r="C930" s="23"/>
      <c r="D930" s="27"/>
      <c r="E930" s="27"/>
      <c r="F930" s="27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 spans="1:26">
      <c r="A931" s="23"/>
      <c r="B931" s="23"/>
      <c r="C931" s="23"/>
      <c r="D931" s="27"/>
      <c r="E931" s="27"/>
      <c r="F931" s="27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 spans="1:26">
      <c r="A932" s="23"/>
      <c r="B932" s="23"/>
      <c r="C932" s="23"/>
      <c r="D932" s="27"/>
      <c r="E932" s="27"/>
      <c r="F932" s="27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 spans="1:26">
      <c r="A933" s="23"/>
      <c r="B933" s="23"/>
      <c r="C933" s="23"/>
      <c r="D933" s="27"/>
      <c r="E933" s="27"/>
      <c r="F933" s="27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 spans="1:26">
      <c r="A934" s="23"/>
      <c r="B934" s="23"/>
      <c r="C934" s="23"/>
      <c r="D934" s="27"/>
      <c r="E934" s="27"/>
      <c r="F934" s="27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 spans="1:26">
      <c r="A935" s="23"/>
      <c r="B935" s="23"/>
      <c r="C935" s="23"/>
      <c r="D935" s="27"/>
      <c r="E935" s="27"/>
      <c r="F935" s="27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 spans="1:26">
      <c r="A936" s="23"/>
      <c r="B936" s="23"/>
      <c r="C936" s="23"/>
      <c r="D936" s="27"/>
      <c r="E936" s="27"/>
      <c r="F936" s="27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 spans="1:26">
      <c r="A937" s="23"/>
      <c r="B937" s="23"/>
      <c r="C937" s="23"/>
      <c r="D937" s="27"/>
      <c r="E937" s="27"/>
      <c r="F937" s="27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 spans="1:26">
      <c r="A938" s="23"/>
      <c r="B938" s="23"/>
      <c r="C938" s="23"/>
      <c r="D938" s="27"/>
      <c r="E938" s="27"/>
      <c r="F938" s="27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 spans="1:26">
      <c r="A939" s="23"/>
      <c r="B939" s="23"/>
      <c r="C939" s="23"/>
      <c r="D939" s="27"/>
      <c r="E939" s="27"/>
      <c r="F939" s="27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 spans="1:26">
      <c r="A940" s="23"/>
      <c r="B940" s="23"/>
      <c r="C940" s="23"/>
      <c r="D940" s="27"/>
      <c r="E940" s="27"/>
      <c r="F940" s="27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 spans="1:26">
      <c r="A941" s="23"/>
      <c r="B941" s="23"/>
      <c r="C941" s="23"/>
      <c r="D941" s="27"/>
      <c r="E941" s="27"/>
      <c r="F941" s="27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 spans="1:26">
      <c r="A942" s="23"/>
      <c r="B942" s="23"/>
      <c r="C942" s="23"/>
      <c r="D942" s="27"/>
      <c r="E942" s="27"/>
      <c r="F942" s="27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 spans="1:26">
      <c r="A943" s="23"/>
      <c r="B943" s="23"/>
      <c r="C943" s="23"/>
      <c r="D943" s="27"/>
      <c r="E943" s="27"/>
      <c r="F943" s="27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 spans="1:26">
      <c r="A944" s="23"/>
      <c r="B944" s="23"/>
      <c r="C944" s="23"/>
      <c r="D944" s="27"/>
      <c r="E944" s="27"/>
      <c r="F944" s="27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 spans="1:26">
      <c r="A945" s="23"/>
      <c r="B945" s="23"/>
      <c r="C945" s="23"/>
      <c r="D945" s="27"/>
      <c r="E945" s="27"/>
      <c r="F945" s="27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 spans="1:26">
      <c r="A946" s="23"/>
      <c r="B946" s="23"/>
      <c r="C946" s="23"/>
      <c r="D946" s="27"/>
      <c r="E946" s="27"/>
      <c r="F946" s="27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 spans="1:26">
      <c r="A947" s="23"/>
      <c r="B947" s="23"/>
      <c r="C947" s="23"/>
      <c r="D947" s="27"/>
      <c r="E947" s="27"/>
      <c r="F947" s="27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 spans="1:26">
      <c r="A948" s="23"/>
      <c r="B948" s="23"/>
      <c r="C948" s="23"/>
      <c r="D948" s="27"/>
      <c r="E948" s="27"/>
      <c r="F948" s="27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 spans="1:26">
      <c r="A949" s="23"/>
      <c r="B949" s="23"/>
      <c r="C949" s="23"/>
      <c r="D949" s="27"/>
      <c r="E949" s="27"/>
      <c r="F949" s="27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 spans="1:26">
      <c r="A950" s="23"/>
      <c r="B950" s="23"/>
      <c r="C950" s="23"/>
      <c r="D950" s="27"/>
      <c r="E950" s="27"/>
      <c r="F950" s="27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 spans="1:26">
      <c r="A951" s="23"/>
      <c r="B951" s="23"/>
      <c r="C951" s="23"/>
      <c r="D951" s="27"/>
      <c r="E951" s="27"/>
      <c r="F951" s="27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 spans="1:26">
      <c r="A952" s="23"/>
      <c r="B952" s="23"/>
      <c r="C952" s="23"/>
      <c r="D952" s="27"/>
      <c r="E952" s="27"/>
      <c r="F952" s="27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 spans="1:26">
      <c r="A953" s="23"/>
      <c r="B953" s="23"/>
      <c r="C953" s="23"/>
      <c r="D953" s="27"/>
      <c r="E953" s="27"/>
      <c r="F953" s="27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 spans="1:26">
      <c r="A954" s="23"/>
      <c r="B954" s="23"/>
      <c r="C954" s="23"/>
      <c r="D954" s="27"/>
      <c r="E954" s="27"/>
      <c r="F954" s="27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 spans="1:26">
      <c r="A955" s="23"/>
      <c r="B955" s="23"/>
      <c r="C955" s="23"/>
      <c r="D955" s="27"/>
      <c r="E955" s="27"/>
      <c r="F955" s="27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 spans="1:26">
      <c r="A956" s="23"/>
      <c r="B956" s="23"/>
      <c r="C956" s="23"/>
      <c r="D956" s="27"/>
      <c r="E956" s="27"/>
      <c r="F956" s="27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 spans="1:26">
      <c r="A957" s="23"/>
      <c r="B957" s="23"/>
      <c r="C957" s="23"/>
      <c r="D957" s="27"/>
      <c r="E957" s="27"/>
      <c r="F957" s="27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 spans="1:26">
      <c r="A958" s="23"/>
      <c r="B958" s="23"/>
      <c r="C958" s="23"/>
      <c r="D958" s="27"/>
      <c r="E958" s="27"/>
      <c r="F958" s="27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 spans="1:26">
      <c r="A959" s="23"/>
      <c r="B959" s="23"/>
      <c r="C959" s="23"/>
      <c r="D959" s="27"/>
      <c r="E959" s="27"/>
      <c r="F959" s="27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 spans="1:26">
      <c r="A960" s="23"/>
      <c r="B960" s="23"/>
      <c r="C960" s="23"/>
      <c r="D960" s="27"/>
      <c r="E960" s="27"/>
      <c r="F960" s="27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 spans="1:26">
      <c r="A961" s="23"/>
      <c r="B961" s="23"/>
      <c r="C961" s="23"/>
      <c r="D961" s="27"/>
      <c r="E961" s="27"/>
      <c r="F961" s="27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 spans="1:26">
      <c r="A962" s="23"/>
      <c r="B962" s="23"/>
      <c r="C962" s="23"/>
      <c r="D962" s="27"/>
      <c r="E962" s="27"/>
      <c r="F962" s="27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 spans="1:26">
      <c r="A963" s="23"/>
      <c r="B963" s="23"/>
      <c r="C963" s="23"/>
      <c r="D963" s="27"/>
      <c r="E963" s="27"/>
      <c r="F963" s="27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 spans="1:26">
      <c r="A964" s="23"/>
      <c r="B964" s="23"/>
      <c r="C964" s="23"/>
      <c r="D964" s="27"/>
      <c r="E964" s="27"/>
      <c r="F964" s="27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 spans="1:26">
      <c r="A965" s="23"/>
      <c r="B965" s="23"/>
      <c r="C965" s="23"/>
      <c r="D965" s="27"/>
      <c r="E965" s="27"/>
      <c r="F965" s="27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 spans="1:26">
      <c r="A966" s="23"/>
      <c r="B966" s="23"/>
      <c r="C966" s="23"/>
      <c r="D966" s="27"/>
      <c r="E966" s="27"/>
      <c r="F966" s="27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 spans="1:26">
      <c r="A967" s="23"/>
      <c r="B967" s="23"/>
      <c r="C967" s="23"/>
      <c r="D967" s="27"/>
      <c r="E967" s="27"/>
      <c r="F967" s="27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 spans="1:26">
      <c r="A968" s="23"/>
      <c r="B968" s="23"/>
      <c r="C968" s="23"/>
      <c r="D968" s="27"/>
      <c r="E968" s="27"/>
      <c r="F968" s="27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 spans="1:26">
      <c r="A969" s="23"/>
      <c r="B969" s="23"/>
      <c r="C969" s="23"/>
      <c r="D969" s="27"/>
      <c r="E969" s="27"/>
      <c r="F969" s="27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 spans="1:26">
      <c r="A970" s="23"/>
      <c r="B970" s="23"/>
      <c r="C970" s="23"/>
      <c r="D970" s="27"/>
      <c r="E970" s="27"/>
      <c r="F970" s="27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 spans="1:26">
      <c r="A971" s="23"/>
      <c r="B971" s="23"/>
      <c r="C971" s="23"/>
      <c r="D971" s="27"/>
      <c r="E971" s="27"/>
      <c r="F971" s="27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 spans="1:26">
      <c r="A972" s="23"/>
      <c r="B972" s="23"/>
      <c r="C972" s="23"/>
      <c r="D972" s="27"/>
      <c r="E972" s="27"/>
      <c r="F972" s="27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 spans="1:26">
      <c r="A973" s="23"/>
      <c r="B973" s="23"/>
      <c r="C973" s="23"/>
      <c r="D973" s="27"/>
      <c r="E973" s="27"/>
      <c r="F973" s="27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 spans="1:26">
      <c r="A974" s="23"/>
      <c r="B974" s="23"/>
      <c r="C974" s="23"/>
      <c r="D974" s="27"/>
      <c r="E974" s="27"/>
      <c r="F974" s="27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 spans="1:26">
      <c r="A975" s="23"/>
      <c r="B975" s="23"/>
      <c r="C975" s="23"/>
      <c r="D975" s="27"/>
      <c r="E975" s="27"/>
      <c r="F975" s="27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 spans="1:26">
      <c r="A976" s="23"/>
      <c r="B976" s="23"/>
      <c r="C976" s="23"/>
      <c r="D976" s="27"/>
      <c r="E976" s="27"/>
      <c r="F976" s="27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 spans="1:26">
      <c r="A977" s="23"/>
      <c r="B977" s="23"/>
      <c r="C977" s="23"/>
      <c r="D977" s="27"/>
      <c r="E977" s="27"/>
      <c r="F977" s="27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 spans="1:26">
      <c r="A978" s="23"/>
      <c r="B978" s="23"/>
      <c r="C978" s="23"/>
      <c r="D978" s="27"/>
      <c r="E978" s="27"/>
      <c r="F978" s="27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 spans="1:26">
      <c r="A979" s="23"/>
      <c r="B979" s="23"/>
      <c r="C979" s="23"/>
      <c r="D979" s="27"/>
      <c r="E979" s="27"/>
      <c r="F979" s="27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 spans="1:26">
      <c r="A980" s="23"/>
      <c r="B980" s="23"/>
      <c r="C980" s="23"/>
      <c r="D980" s="27"/>
      <c r="E980" s="27"/>
      <c r="F980" s="27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 spans="1:26">
      <c r="A981" s="23"/>
      <c r="B981" s="23"/>
      <c r="C981" s="23"/>
      <c r="D981" s="27"/>
      <c r="E981" s="27"/>
      <c r="F981" s="27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 spans="1:26">
      <c r="A982" s="23"/>
      <c r="B982" s="23"/>
      <c r="C982" s="23"/>
      <c r="D982" s="27"/>
      <c r="E982" s="27"/>
      <c r="F982" s="27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 spans="1:26">
      <c r="A983" s="23"/>
      <c r="B983" s="23"/>
      <c r="C983" s="23"/>
      <c r="D983" s="27"/>
      <c r="E983" s="27"/>
      <c r="F983" s="27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 spans="1:26">
      <c r="A984" s="23"/>
      <c r="B984" s="23"/>
      <c r="C984" s="23"/>
      <c r="D984" s="27"/>
      <c r="E984" s="27"/>
      <c r="F984" s="27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 spans="1:26">
      <c r="A985" s="23"/>
      <c r="B985" s="23"/>
      <c r="C985" s="23"/>
      <c r="D985" s="27"/>
      <c r="E985" s="27"/>
      <c r="F985" s="27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 spans="1:26">
      <c r="A986" s="23"/>
      <c r="B986" s="23"/>
      <c r="C986" s="23"/>
      <c r="D986" s="27"/>
      <c r="E986" s="27"/>
      <c r="F986" s="27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 spans="1:26">
      <c r="A987" s="23"/>
      <c r="B987" s="23"/>
      <c r="C987" s="23"/>
      <c r="D987" s="27"/>
      <c r="E987" s="27"/>
      <c r="F987" s="27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 spans="1:26">
      <c r="A988" s="23"/>
      <c r="B988" s="23"/>
      <c r="C988" s="23"/>
      <c r="D988" s="27"/>
      <c r="E988" s="27"/>
      <c r="F988" s="27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 spans="1:26">
      <c r="A989" s="23"/>
      <c r="B989" s="23"/>
      <c r="C989" s="23"/>
      <c r="D989" s="27"/>
      <c r="E989" s="27"/>
      <c r="F989" s="27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 spans="1:26">
      <c r="A990" s="23"/>
      <c r="B990" s="23"/>
      <c r="C990" s="23"/>
      <c r="D990" s="27"/>
      <c r="E990" s="27"/>
      <c r="F990" s="27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 spans="1:26">
      <c r="A991" s="23"/>
      <c r="B991" s="23"/>
      <c r="C991" s="23"/>
      <c r="D991" s="27"/>
      <c r="E991" s="27"/>
      <c r="F991" s="27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 spans="1:26">
      <c r="A992" s="23"/>
      <c r="B992" s="23"/>
      <c r="C992" s="23"/>
      <c r="D992" s="27"/>
      <c r="E992" s="27"/>
      <c r="F992" s="27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 spans="1:26">
      <c r="A993" s="23"/>
      <c r="B993" s="23"/>
      <c r="C993" s="23"/>
      <c r="D993" s="27"/>
      <c r="E993" s="27"/>
      <c r="F993" s="27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 spans="1:26">
      <c r="A994" s="23"/>
      <c r="B994" s="23"/>
      <c r="C994" s="23"/>
      <c r="D994" s="27"/>
      <c r="E994" s="27"/>
      <c r="F994" s="27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 spans="1:26">
      <c r="A995" s="23"/>
      <c r="B995" s="23"/>
      <c r="C995" s="23"/>
      <c r="D995" s="27"/>
      <c r="E995" s="27"/>
      <c r="F995" s="27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 spans="1:26">
      <c r="A996" s="23"/>
      <c r="B996" s="23"/>
      <c r="C996" s="23"/>
      <c r="D996" s="27"/>
      <c r="E996" s="27"/>
      <c r="F996" s="27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 spans="1:26">
      <c r="A997" s="23"/>
      <c r="B997" s="23"/>
      <c r="C997" s="23"/>
      <c r="D997" s="27"/>
      <c r="E997" s="27"/>
      <c r="F997" s="27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 spans="1:26">
      <c r="A998" s="23"/>
      <c r="B998" s="23"/>
      <c r="C998" s="23"/>
      <c r="D998" s="27"/>
      <c r="E998" s="27"/>
      <c r="F998" s="27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 spans="1:26">
      <c r="A999" s="23"/>
      <c r="B999" s="23"/>
      <c r="C999" s="23"/>
      <c r="D999" s="27"/>
      <c r="E999" s="27"/>
      <c r="F999" s="27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 spans="1:26">
      <c r="A1000" s="23"/>
      <c r="B1000" s="23"/>
      <c r="C1000" s="23"/>
      <c r="D1000" s="27"/>
      <c r="E1000" s="27"/>
      <c r="F1000" s="27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47916666666667" right="0.747916666666667" top="0.94375" bottom="0.984027777777778" header="0" footer="0"/>
  <pageSetup paperSize="1" orientation="landscape"/>
  <headerFooter/>
  <rowBreaks count="1" manualBreakCount="1">
    <brk id="25" max="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1.2166666666667" defaultRowHeight="15" customHeight="1"/>
  <cols>
    <col min="1" max="1" width="23.8916666666667" customWidth="1"/>
    <col min="2" max="4" width="15.6666666666667" customWidth="1"/>
    <col min="5" max="5" width="2.66666666666667" customWidth="1"/>
    <col min="6" max="6" width="2.89166666666667" customWidth="1"/>
    <col min="7" max="7" width="12.3333333333333" customWidth="1"/>
    <col min="8" max="8" width="24.4416666666667" customWidth="1"/>
    <col min="9" max="9" width="14.4416666666667" customWidth="1"/>
    <col min="10" max="11" width="11.8916666666667" customWidth="1"/>
    <col min="12" max="12" width="53.8916666666667" customWidth="1"/>
    <col min="13" max="26" width="9" customWidth="1"/>
  </cols>
  <sheetData>
    <row r="1" ht="12.75" customHeight="1" spans="1:26">
      <c r="A1" s="1" t="s">
        <v>355</v>
      </c>
      <c r="B1" s="1" t="s">
        <v>356</v>
      </c>
      <c r="C1" s="1" t="s">
        <v>357</v>
      </c>
      <c r="D1" s="1" t="s">
        <v>358</v>
      </c>
      <c r="E1" s="2"/>
      <c r="F1" s="2"/>
      <c r="G1" s="3"/>
      <c r="H1" s="1" t="s">
        <v>359</v>
      </c>
      <c r="I1" s="4">
        <v>8434233000</v>
      </c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 spans="1:26">
      <c r="A2" s="6" t="s">
        <v>360</v>
      </c>
      <c r="B2" s="7">
        <v>2627500000</v>
      </c>
      <c r="C2" s="8">
        <v>31.15</v>
      </c>
      <c r="D2" s="7">
        <v>-117875000</v>
      </c>
      <c r="E2" s="2"/>
      <c r="F2" s="2"/>
      <c r="G2" s="3"/>
      <c r="H2" s="2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 spans="1:26">
      <c r="A3" s="9" t="s">
        <v>361</v>
      </c>
      <c r="B3" s="7">
        <v>580877000</v>
      </c>
      <c r="C3" s="8">
        <v>6.89</v>
      </c>
      <c r="D3" s="7">
        <v>-76873000</v>
      </c>
      <c r="E3" s="2"/>
      <c r="F3" s="10" t="s">
        <v>362</v>
      </c>
      <c r="G3" s="3"/>
      <c r="H3" s="2"/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 spans="1:26">
      <c r="A4" s="9" t="s">
        <v>363</v>
      </c>
      <c r="B4" s="7">
        <v>573373000</v>
      </c>
      <c r="C4" s="8">
        <v>6.8</v>
      </c>
      <c r="D4" s="7">
        <v>-45252000</v>
      </c>
      <c r="E4" s="2"/>
      <c r="F4" s="11"/>
      <c r="G4" s="12" t="s">
        <v>364</v>
      </c>
      <c r="H4" s="13" t="s">
        <v>365</v>
      </c>
      <c r="I4" s="14" t="s">
        <v>356</v>
      </c>
      <c r="J4" s="15" t="s">
        <v>332</v>
      </c>
      <c r="K4" s="15" t="s">
        <v>366</v>
      </c>
      <c r="L4" s="13" t="s">
        <v>367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 spans="1:26">
      <c r="A5" s="2" t="s">
        <v>368</v>
      </c>
      <c r="B5" s="16">
        <v>422814793</v>
      </c>
      <c r="C5" s="17">
        <v>5.01</v>
      </c>
      <c r="D5" s="16">
        <v>0</v>
      </c>
      <c r="E5" s="2"/>
      <c r="F5" s="2"/>
      <c r="G5" s="18">
        <v>40800</v>
      </c>
      <c r="H5" s="3" t="s">
        <v>360</v>
      </c>
      <c r="I5" s="4">
        <v>2627500000</v>
      </c>
      <c r="J5" s="4">
        <v>-117875000</v>
      </c>
      <c r="K5" s="19">
        <f t="shared" ref="K5:K7" si="0">I5/$I$1</f>
        <v>0.311528031061034</v>
      </c>
      <c r="L5" s="20" t="s">
        <v>369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 spans="1:26">
      <c r="A6" s="2" t="s">
        <v>370</v>
      </c>
      <c r="B6" s="16">
        <v>188630748</v>
      </c>
      <c r="C6" s="17">
        <v>2.24</v>
      </c>
      <c r="D6" s="16">
        <v>1755894</v>
      </c>
      <c r="E6" s="2"/>
      <c r="F6" s="2"/>
      <c r="G6" s="18">
        <v>40800</v>
      </c>
      <c r="H6" s="286" t="s">
        <v>371</v>
      </c>
      <c r="I6" s="4">
        <v>580877000</v>
      </c>
      <c r="J6" s="4">
        <v>-76873000</v>
      </c>
      <c r="K6" s="19">
        <f t="shared" si="0"/>
        <v>0.0688713484676081</v>
      </c>
      <c r="L6" s="20" t="s">
        <v>372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 spans="1:26">
      <c r="A7" s="2" t="s">
        <v>373</v>
      </c>
      <c r="B7" s="16">
        <v>119885721</v>
      </c>
      <c r="C7" s="17">
        <v>1.42</v>
      </c>
      <c r="D7" s="16">
        <v>8814893</v>
      </c>
      <c r="E7" s="2"/>
      <c r="F7" s="2"/>
      <c r="G7" s="18">
        <v>40800</v>
      </c>
      <c r="H7" s="286" t="s">
        <v>374</v>
      </c>
      <c r="I7" s="4">
        <v>573373000</v>
      </c>
      <c r="J7" s="4">
        <v>-45252000</v>
      </c>
      <c r="K7" s="19">
        <f t="shared" si="0"/>
        <v>0.0679816410099176</v>
      </c>
      <c r="L7" s="20" t="s">
        <v>375</v>
      </c>
      <c r="M7" s="21" t="s">
        <v>376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 spans="1:26">
      <c r="A8" s="9" t="s">
        <v>377</v>
      </c>
      <c r="B8" s="7">
        <v>81842500</v>
      </c>
      <c r="C8" s="8">
        <v>0.97</v>
      </c>
      <c r="D8" s="7">
        <v>0</v>
      </c>
      <c r="E8" s="2"/>
      <c r="F8" s="2"/>
      <c r="G8" s="18">
        <v>40879</v>
      </c>
      <c r="H8" s="2" t="s">
        <v>378</v>
      </c>
      <c r="I8" s="4"/>
      <c r="J8" s="4">
        <v>-50000000</v>
      </c>
      <c r="K8" s="19"/>
      <c r="L8" s="2" t="s">
        <v>379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 spans="1:26">
      <c r="A9" s="2" t="s">
        <v>380</v>
      </c>
      <c r="B9" s="16">
        <v>81200000</v>
      </c>
      <c r="C9" s="17">
        <v>0.96</v>
      </c>
      <c r="D9" s="16">
        <v>54500000</v>
      </c>
      <c r="E9" s="2"/>
      <c r="F9" s="2"/>
      <c r="G9" s="3"/>
      <c r="H9" s="2"/>
      <c r="I9" s="5"/>
      <c r="J9" s="4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 spans="1:26">
      <c r="A10" s="2" t="s">
        <v>381</v>
      </c>
      <c r="B10" s="16">
        <v>75071000</v>
      </c>
      <c r="C10" s="17">
        <v>0.89</v>
      </c>
      <c r="D10" s="16">
        <v>-5765000</v>
      </c>
      <c r="E10" s="2"/>
      <c r="F10" s="2"/>
      <c r="G10" s="3"/>
      <c r="H10" s="2"/>
      <c r="I10" s="5"/>
      <c r="J10" s="4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spans="1:26">
      <c r="A11" s="9" t="s">
        <v>382</v>
      </c>
      <c r="B11" s="7">
        <v>75000000</v>
      </c>
      <c r="C11" s="8">
        <v>0.89</v>
      </c>
      <c r="D11" s="7">
        <v>0</v>
      </c>
      <c r="E11" s="2"/>
      <c r="F11" s="2"/>
      <c r="G11" s="3"/>
      <c r="H11" s="2"/>
      <c r="I11" s="5"/>
      <c r="J11" s="4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spans="1:26">
      <c r="A12" s="2" t="s">
        <v>383</v>
      </c>
      <c r="B12" s="16">
        <v>65837000</v>
      </c>
      <c r="C12" s="17">
        <v>0.78</v>
      </c>
      <c r="D12" s="16">
        <v>2964000</v>
      </c>
      <c r="E12" s="2"/>
      <c r="F12" s="2"/>
      <c r="G12" s="3"/>
      <c r="H12" s="2"/>
      <c r="I12" s="5"/>
      <c r="J12" s="4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spans="1:26">
      <c r="A13" s="2" t="s">
        <v>384</v>
      </c>
      <c r="B13" s="16">
        <v>50160000</v>
      </c>
      <c r="C13" s="17">
        <v>0.59</v>
      </c>
      <c r="D13" s="16">
        <v>74000</v>
      </c>
      <c r="E13" s="2"/>
      <c r="F13" s="2"/>
      <c r="G13" s="3"/>
      <c r="H13" s="2"/>
      <c r="I13" s="5"/>
      <c r="J13" s="4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spans="1:26">
      <c r="A14" s="2" t="s">
        <v>385</v>
      </c>
      <c r="B14" s="16">
        <v>41469525</v>
      </c>
      <c r="C14" s="17">
        <v>0.49</v>
      </c>
      <c r="D14" s="16">
        <v>659502</v>
      </c>
      <c r="E14" s="2"/>
      <c r="F14" s="2"/>
      <c r="G14" s="3"/>
      <c r="H14" s="2"/>
      <c r="I14" s="5"/>
      <c r="J14" s="4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spans="1:26">
      <c r="A15" s="2" t="s">
        <v>386</v>
      </c>
      <c r="B15" s="16">
        <v>38279000</v>
      </c>
      <c r="C15" s="17">
        <v>0.45</v>
      </c>
      <c r="D15" s="16">
        <v>-1031000</v>
      </c>
      <c r="E15" s="2"/>
      <c r="F15" s="2"/>
      <c r="G15" s="3" t="s">
        <v>387</v>
      </c>
      <c r="H15" s="2"/>
      <c r="I15" s="5"/>
      <c r="J15" s="4"/>
      <c r="K15" s="22" t="s">
        <v>366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spans="1:26">
      <c r="A16" s="2" t="s">
        <v>388</v>
      </c>
      <c r="B16" s="16">
        <v>38103000</v>
      </c>
      <c r="C16" s="17">
        <v>0.45</v>
      </c>
      <c r="D16" s="16">
        <v>19343000</v>
      </c>
      <c r="E16" s="2"/>
      <c r="F16" s="2"/>
      <c r="G16" s="3"/>
      <c r="H16" s="2" t="s">
        <v>378</v>
      </c>
      <c r="I16" s="5"/>
      <c r="J16" s="4">
        <v>330875000</v>
      </c>
      <c r="K16" s="19">
        <v>0.04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spans="1:26">
      <c r="A17" s="2" t="s">
        <v>389</v>
      </c>
      <c r="B17" s="16">
        <v>34993000</v>
      </c>
      <c r="C17" s="17">
        <v>0.41</v>
      </c>
      <c r="D17" s="16">
        <v>12048000</v>
      </c>
      <c r="E17" s="2"/>
      <c r="F17" s="2"/>
      <c r="G17" s="3"/>
      <c r="H17" s="2" t="s">
        <v>390</v>
      </c>
      <c r="I17" s="5"/>
      <c r="J17" s="4">
        <v>312500000</v>
      </c>
      <c r="K17" s="19">
        <v>0.038</v>
      </c>
      <c r="L17" s="2" t="s">
        <v>391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spans="1:26">
      <c r="A18" s="2" t="s">
        <v>392</v>
      </c>
      <c r="B18" s="16">
        <v>33955000</v>
      </c>
      <c r="C18" s="17">
        <v>0.4</v>
      </c>
      <c r="D18" s="16">
        <v>-16808000</v>
      </c>
      <c r="E18" s="2"/>
      <c r="F18" s="2"/>
      <c r="G18" s="3"/>
      <c r="H18" s="2" t="s">
        <v>393</v>
      </c>
      <c r="I18" s="5"/>
      <c r="J18" s="4">
        <v>18375000</v>
      </c>
      <c r="K18" s="19">
        <v>0.002</v>
      </c>
      <c r="L18" s="2" t="s">
        <v>391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spans="1:26">
      <c r="A19" s="2" t="s">
        <v>394</v>
      </c>
      <c r="B19" s="16">
        <v>27348000</v>
      </c>
      <c r="C19" s="17">
        <v>0.32</v>
      </c>
      <c r="D19" s="16">
        <v>-4571000</v>
      </c>
      <c r="E19" s="2"/>
      <c r="F19" s="2"/>
      <c r="G19" s="3"/>
      <c r="H19" s="2"/>
      <c r="I19" s="5"/>
      <c r="J19" s="4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 spans="1:26">
      <c r="A20" s="2" t="s">
        <v>395</v>
      </c>
      <c r="B20" s="16">
        <v>25700000</v>
      </c>
      <c r="C20" s="17">
        <v>0.3</v>
      </c>
      <c r="D20" s="16">
        <v>21800000</v>
      </c>
      <c r="E20" s="2"/>
      <c r="F20" s="2"/>
      <c r="G20" s="3"/>
      <c r="H20" s="2"/>
      <c r="I20" s="5"/>
      <c r="J20" s="4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 spans="1:26">
      <c r="A21" s="2" t="s">
        <v>396</v>
      </c>
      <c r="B21" s="16">
        <v>19676000</v>
      </c>
      <c r="C21" s="17">
        <v>0.23</v>
      </c>
      <c r="D21" s="16">
        <v>-4093000</v>
      </c>
      <c r="E21" s="2"/>
      <c r="F21" s="2"/>
      <c r="G21" s="3"/>
      <c r="H21" s="2"/>
      <c r="I21" s="5"/>
      <c r="J21" s="4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 spans="1:26">
      <c r="A22" s="5"/>
      <c r="B22" s="4"/>
      <c r="C22" s="5"/>
      <c r="D22" s="2"/>
      <c r="E22" s="2"/>
      <c r="F22" s="2"/>
      <c r="G22" s="3"/>
      <c r="H22" s="2"/>
      <c r="I22" s="5"/>
      <c r="J22" s="4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 spans="1:26">
      <c r="A23" s="3" t="s">
        <v>397</v>
      </c>
      <c r="B23" s="4"/>
      <c r="C23" s="5"/>
      <c r="D23" s="2"/>
      <c r="E23" s="2"/>
      <c r="F23" s="2"/>
      <c r="G23" s="3"/>
      <c r="H23" s="2"/>
      <c r="I23" s="5"/>
      <c r="J23" s="4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 spans="1:26">
      <c r="A24" s="5"/>
      <c r="B24" s="4"/>
      <c r="C24" s="5"/>
      <c r="D24" s="2"/>
      <c r="E24" s="2"/>
      <c r="F24" s="2"/>
      <c r="G24" s="3"/>
      <c r="H24" s="2"/>
      <c r="I24" s="5"/>
      <c r="J24" s="5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 spans="1:26">
      <c r="A25" s="5"/>
      <c r="B25" s="4"/>
      <c r="C25" s="5"/>
      <c r="D25" s="2"/>
      <c r="E25" s="2"/>
      <c r="F25" s="2"/>
      <c r="G25" s="3"/>
      <c r="H25" s="2"/>
      <c r="I25" s="5"/>
      <c r="J25" s="5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 spans="1:26">
      <c r="A26" s="5"/>
      <c r="B26" s="4"/>
      <c r="C26" s="5"/>
      <c r="D26" s="2"/>
      <c r="E26" s="2"/>
      <c r="F26" s="2"/>
      <c r="G26" s="3"/>
      <c r="H26" s="2"/>
      <c r="I26" s="5"/>
      <c r="J26" s="5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 spans="1:26">
      <c r="A27" s="5"/>
      <c r="B27" s="4"/>
      <c r="C27" s="5"/>
      <c r="D27" s="2"/>
      <c r="E27" s="2"/>
      <c r="F27" s="2"/>
      <c r="G27" s="3"/>
      <c r="H27" s="2"/>
      <c r="I27" s="5"/>
      <c r="J27" s="5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 spans="1:26">
      <c r="A28" s="5"/>
      <c r="B28" s="4"/>
      <c r="C28" s="5"/>
      <c r="D28" s="2"/>
      <c r="E28" s="2"/>
      <c r="F28" s="2"/>
      <c r="G28" s="3"/>
      <c r="H28" s="2"/>
      <c r="I28" s="5"/>
      <c r="J28" s="5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 spans="1:26">
      <c r="A29" s="5"/>
      <c r="B29" s="4"/>
      <c r="C29" s="5"/>
      <c r="D29" s="2"/>
      <c r="E29" s="2"/>
      <c r="F29" s="2"/>
      <c r="G29" s="3"/>
      <c r="H29" s="2"/>
      <c r="I29" s="5"/>
      <c r="J29" s="5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 spans="1:26">
      <c r="A30" s="5"/>
      <c r="B30" s="4"/>
      <c r="C30" s="5"/>
      <c r="D30" s="2"/>
      <c r="E30" s="2"/>
      <c r="F30" s="2"/>
      <c r="G30" s="3"/>
      <c r="H30" s="2"/>
      <c r="I30" s="5"/>
      <c r="J30" s="5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 spans="1:26">
      <c r="A31" s="5"/>
      <c r="B31" s="4"/>
      <c r="C31" s="5"/>
      <c r="D31" s="2"/>
      <c r="E31" s="2"/>
      <c r="F31" s="2"/>
      <c r="G31" s="3"/>
      <c r="H31" s="2"/>
      <c r="I31" s="5"/>
      <c r="J31" s="5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spans="1:26">
      <c r="A32" s="5"/>
      <c r="B32" s="4"/>
      <c r="C32" s="5"/>
      <c r="D32" s="2"/>
      <c r="E32" s="2"/>
      <c r="F32" s="2"/>
      <c r="G32" s="3"/>
      <c r="H32" s="2"/>
      <c r="I32" s="5"/>
      <c r="J32" s="5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 spans="1:26">
      <c r="A33" s="5"/>
      <c r="B33" s="4"/>
      <c r="C33" s="5"/>
      <c r="D33" s="2"/>
      <c r="E33" s="2"/>
      <c r="F33" s="2"/>
      <c r="G33" s="3"/>
      <c r="H33" s="2"/>
      <c r="I33" s="5"/>
      <c r="J33" s="5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 spans="1:26">
      <c r="A34" s="5"/>
      <c r="B34" s="4"/>
      <c r="C34" s="5"/>
      <c r="D34" s="2"/>
      <c r="E34" s="2"/>
      <c r="F34" s="2"/>
      <c r="G34" s="3"/>
      <c r="H34" s="2"/>
      <c r="I34" s="5"/>
      <c r="J34" s="5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 spans="1:26">
      <c r="A35" s="5"/>
      <c r="B35" s="4"/>
      <c r="C35" s="5"/>
      <c r="D35" s="2"/>
      <c r="E35" s="2"/>
      <c r="F35" s="2"/>
      <c r="G35" s="3"/>
      <c r="H35" s="2"/>
      <c r="I35" s="5"/>
      <c r="J35" s="5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 spans="1:26">
      <c r="A36" s="5"/>
      <c r="B36" s="4"/>
      <c r="C36" s="5"/>
      <c r="D36" s="2"/>
      <c r="E36" s="2"/>
      <c r="F36" s="2"/>
      <c r="G36" s="3"/>
      <c r="H36" s="2"/>
      <c r="I36" s="5"/>
      <c r="J36" s="5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 spans="1:26">
      <c r="A37" s="5"/>
      <c r="B37" s="4"/>
      <c r="C37" s="5"/>
      <c r="D37" s="2"/>
      <c r="E37" s="2"/>
      <c r="F37" s="2"/>
      <c r="G37" s="3"/>
      <c r="H37" s="2"/>
      <c r="I37" s="5"/>
      <c r="J37" s="5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 spans="1:26">
      <c r="A38" s="5"/>
      <c r="B38" s="4"/>
      <c r="C38" s="5"/>
      <c r="D38" s="2"/>
      <c r="E38" s="2"/>
      <c r="F38" s="2"/>
      <c r="G38" s="3"/>
      <c r="H38" s="2"/>
      <c r="I38" s="5"/>
      <c r="J38" s="5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 spans="1:26">
      <c r="A39" s="5"/>
      <c r="B39" s="4"/>
      <c r="C39" s="5"/>
      <c r="D39" s="2"/>
      <c r="E39" s="2"/>
      <c r="F39" s="2"/>
      <c r="G39" s="3"/>
      <c r="H39" s="2"/>
      <c r="I39" s="5"/>
      <c r="J39" s="5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 spans="1:26">
      <c r="A40" s="5"/>
      <c r="B40" s="4"/>
      <c r="C40" s="5"/>
      <c r="D40" s="2"/>
      <c r="E40" s="2"/>
      <c r="F40" s="2"/>
      <c r="G40" s="3"/>
      <c r="H40" s="2"/>
      <c r="I40" s="5"/>
      <c r="J40" s="5"/>
      <c r="K40" s="1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 spans="1:26">
      <c r="A41" s="5"/>
      <c r="B41" s="4"/>
      <c r="C41" s="5"/>
      <c r="D41" s="2"/>
      <c r="E41" s="2"/>
      <c r="F41" s="2"/>
      <c r="G41" s="3"/>
      <c r="H41" s="2"/>
      <c r="I41" s="5"/>
      <c r="J41" s="5"/>
      <c r="K41" s="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spans="1:26">
      <c r="A42" s="5"/>
      <c r="B42" s="4"/>
      <c r="C42" s="5"/>
      <c r="D42" s="2"/>
      <c r="E42" s="2"/>
      <c r="F42" s="2"/>
      <c r="G42" s="3"/>
      <c r="H42" s="2"/>
      <c r="I42" s="5"/>
      <c r="J42" s="5"/>
      <c r="K42" s="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 spans="1:26">
      <c r="A43" s="5"/>
      <c r="B43" s="4"/>
      <c r="C43" s="5"/>
      <c r="D43" s="2"/>
      <c r="E43" s="2"/>
      <c r="F43" s="2"/>
      <c r="G43" s="3"/>
      <c r="H43" s="2"/>
      <c r="I43" s="5"/>
      <c r="J43" s="5"/>
      <c r="K43" s="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 spans="1:26">
      <c r="A44" s="5"/>
      <c r="B44" s="4"/>
      <c r="C44" s="5"/>
      <c r="D44" s="2"/>
      <c r="E44" s="2"/>
      <c r="F44" s="2"/>
      <c r="G44" s="3"/>
      <c r="H44" s="2"/>
      <c r="I44" s="5"/>
      <c r="J44" s="5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 spans="1:26">
      <c r="A45" s="5"/>
      <c r="B45" s="4"/>
      <c r="C45" s="5"/>
      <c r="D45" s="2"/>
      <c r="E45" s="2"/>
      <c r="F45" s="2"/>
      <c r="G45" s="3"/>
      <c r="H45" s="2"/>
      <c r="I45" s="5"/>
      <c r="J45" s="5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 spans="1:26">
      <c r="A46" s="5"/>
      <c r="B46" s="4"/>
      <c r="C46" s="5"/>
      <c r="D46" s="2"/>
      <c r="E46" s="2"/>
      <c r="F46" s="2"/>
      <c r="G46" s="3"/>
      <c r="H46" s="2"/>
      <c r="I46" s="5"/>
      <c r="J46" s="5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 spans="1:26">
      <c r="A47" s="5"/>
      <c r="B47" s="4"/>
      <c r="C47" s="5"/>
      <c r="D47" s="2"/>
      <c r="E47" s="2"/>
      <c r="F47" s="2"/>
      <c r="G47" s="3"/>
      <c r="H47" s="2"/>
      <c r="I47" s="5"/>
      <c r="J47" s="5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 spans="1:26">
      <c r="A48" s="5"/>
      <c r="B48" s="4"/>
      <c r="C48" s="5"/>
      <c r="D48" s="2"/>
      <c r="E48" s="2"/>
      <c r="F48" s="2"/>
      <c r="G48" s="3"/>
      <c r="H48" s="2"/>
      <c r="I48" s="5"/>
      <c r="J48" s="5"/>
      <c r="K48" s="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 spans="1:26">
      <c r="A49" s="5"/>
      <c r="B49" s="4"/>
      <c r="C49" s="5"/>
      <c r="D49" s="2"/>
      <c r="E49" s="2"/>
      <c r="F49" s="2"/>
      <c r="G49" s="3"/>
      <c r="H49" s="2"/>
      <c r="I49" s="5"/>
      <c r="J49" s="5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 spans="1:26">
      <c r="A50" s="5"/>
      <c r="B50" s="4"/>
      <c r="C50" s="5"/>
      <c r="D50" s="2"/>
      <c r="E50" s="2"/>
      <c r="F50" s="2"/>
      <c r="G50" s="3"/>
      <c r="H50" s="2"/>
      <c r="I50" s="5"/>
      <c r="J50" s="5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 spans="1:26">
      <c r="A51" s="5"/>
      <c r="B51" s="4"/>
      <c r="C51" s="5"/>
      <c r="D51" s="2"/>
      <c r="E51" s="2"/>
      <c r="F51" s="2"/>
      <c r="G51" s="3"/>
      <c r="H51" s="2"/>
      <c r="I51" s="5"/>
      <c r="J51" s="5"/>
      <c r="K51" s="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 spans="1:26">
      <c r="A52" s="5"/>
      <c r="B52" s="4"/>
      <c r="C52" s="5"/>
      <c r="D52" s="2"/>
      <c r="E52" s="2"/>
      <c r="F52" s="2"/>
      <c r="G52" s="3"/>
      <c r="H52" s="2"/>
      <c r="I52" s="5"/>
      <c r="J52" s="5"/>
      <c r="K52" s="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 spans="1:26">
      <c r="A53" s="5"/>
      <c r="B53" s="4"/>
      <c r="C53" s="5"/>
      <c r="D53" s="2"/>
      <c r="E53" s="2"/>
      <c r="F53" s="2"/>
      <c r="G53" s="3"/>
      <c r="H53" s="2"/>
      <c r="I53" s="5"/>
      <c r="J53" s="5"/>
      <c r="K53" s="1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 spans="1:26">
      <c r="A54" s="5"/>
      <c r="B54" s="4"/>
      <c r="C54" s="5"/>
      <c r="D54" s="2"/>
      <c r="E54" s="2"/>
      <c r="F54" s="2"/>
      <c r="G54" s="3"/>
      <c r="H54" s="2"/>
      <c r="I54" s="5"/>
      <c r="J54" s="5"/>
      <c r="K54" s="1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 spans="1:26">
      <c r="A55" s="5"/>
      <c r="B55" s="4"/>
      <c r="C55" s="5"/>
      <c r="D55" s="2"/>
      <c r="E55" s="2"/>
      <c r="F55" s="2"/>
      <c r="G55" s="3"/>
      <c r="H55" s="2"/>
      <c r="I55" s="5"/>
      <c r="J55" s="5"/>
      <c r="K55" s="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 spans="1:26">
      <c r="A56" s="5"/>
      <c r="B56" s="4"/>
      <c r="C56" s="5"/>
      <c r="D56" s="2"/>
      <c r="E56" s="2"/>
      <c r="F56" s="2"/>
      <c r="G56" s="3"/>
      <c r="H56" s="2"/>
      <c r="I56" s="5"/>
      <c r="J56" s="5"/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 spans="1:26">
      <c r="A57" s="5"/>
      <c r="B57" s="4"/>
      <c r="C57" s="5"/>
      <c r="D57" s="2"/>
      <c r="E57" s="2"/>
      <c r="F57" s="2"/>
      <c r="G57" s="3"/>
      <c r="H57" s="2"/>
      <c r="I57" s="5"/>
      <c r="J57" s="5"/>
      <c r="K57" s="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 spans="1:26">
      <c r="A58" s="5"/>
      <c r="B58" s="4"/>
      <c r="C58" s="5"/>
      <c r="D58" s="2"/>
      <c r="E58" s="2"/>
      <c r="F58" s="2"/>
      <c r="G58" s="3"/>
      <c r="H58" s="2"/>
      <c r="I58" s="5"/>
      <c r="J58" s="5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 spans="1:26">
      <c r="A59" s="5"/>
      <c r="B59" s="4"/>
      <c r="C59" s="5"/>
      <c r="D59" s="2"/>
      <c r="E59" s="2"/>
      <c r="F59" s="2"/>
      <c r="G59" s="3"/>
      <c r="H59" s="2"/>
      <c r="I59" s="5"/>
      <c r="J59" s="5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spans="1:26">
      <c r="A60" s="5"/>
      <c r="B60" s="4"/>
      <c r="C60" s="5"/>
      <c r="D60" s="2"/>
      <c r="E60" s="2"/>
      <c r="F60" s="2"/>
      <c r="G60" s="3"/>
      <c r="H60" s="2"/>
      <c r="I60" s="5"/>
      <c r="J60" s="5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 spans="1:26">
      <c r="A61" s="5"/>
      <c r="B61" s="4"/>
      <c r="C61" s="5"/>
      <c r="D61" s="2"/>
      <c r="E61" s="2"/>
      <c r="F61" s="2"/>
      <c r="G61" s="3"/>
      <c r="H61" s="2"/>
      <c r="I61" s="5"/>
      <c r="J61" s="5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 spans="1:26">
      <c r="A62" s="5"/>
      <c r="B62" s="4"/>
      <c r="C62" s="5"/>
      <c r="D62" s="2"/>
      <c r="E62" s="2"/>
      <c r="F62" s="2"/>
      <c r="G62" s="3"/>
      <c r="H62" s="2"/>
      <c r="I62" s="5"/>
      <c r="J62" s="5"/>
      <c r="K62" s="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 spans="1:26">
      <c r="A63" s="5"/>
      <c r="B63" s="4"/>
      <c r="C63" s="5"/>
      <c r="D63" s="2"/>
      <c r="E63" s="2"/>
      <c r="F63" s="2"/>
      <c r="G63" s="3"/>
      <c r="H63" s="2"/>
      <c r="I63" s="5"/>
      <c r="J63" s="5"/>
      <c r="K63" s="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 spans="1:26">
      <c r="A64" s="5"/>
      <c r="B64" s="4"/>
      <c r="C64" s="5"/>
      <c r="D64" s="2"/>
      <c r="E64" s="2"/>
      <c r="F64" s="2"/>
      <c r="G64" s="3"/>
      <c r="H64" s="2"/>
      <c r="I64" s="5"/>
      <c r="J64" s="5"/>
      <c r="K64" s="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 spans="1:26">
      <c r="A65" s="5"/>
      <c r="B65" s="4"/>
      <c r="C65" s="5"/>
      <c r="D65" s="2"/>
      <c r="E65" s="2"/>
      <c r="F65" s="2"/>
      <c r="G65" s="3"/>
      <c r="H65" s="2"/>
      <c r="I65" s="5"/>
      <c r="J65" s="5"/>
      <c r="K65" s="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 spans="1:26">
      <c r="A66" s="5"/>
      <c r="B66" s="4"/>
      <c r="C66" s="5"/>
      <c r="D66" s="2"/>
      <c r="E66" s="2"/>
      <c r="F66" s="2"/>
      <c r="G66" s="3"/>
      <c r="H66" s="2"/>
      <c r="I66" s="5"/>
      <c r="J66" s="5"/>
      <c r="K66" s="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 spans="1:26">
      <c r="A67" s="5"/>
      <c r="B67" s="4"/>
      <c r="C67" s="5"/>
      <c r="D67" s="2"/>
      <c r="E67" s="2"/>
      <c r="F67" s="2"/>
      <c r="G67" s="3"/>
      <c r="H67" s="2"/>
      <c r="I67" s="5"/>
      <c r="J67" s="5"/>
      <c r="K67" s="1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 spans="1:26">
      <c r="A68" s="5"/>
      <c r="B68" s="4"/>
      <c r="C68" s="5"/>
      <c r="D68" s="2"/>
      <c r="E68" s="2"/>
      <c r="F68" s="2"/>
      <c r="G68" s="3"/>
      <c r="H68" s="2"/>
      <c r="I68" s="5"/>
      <c r="J68" s="5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 spans="1:26">
      <c r="A69" s="5"/>
      <c r="B69" s="4"/>
      <c r="C69" s="5"/>
      <c r="D69" s="2"/>
      <c r="E69" s="2"/>
      <c r="F69" s="2"/>
      <c r="G69" s="3"/>
      <c r="H69" s="2"/>
      <c r="I69" s="5"/>
      <c r="J69" s="5"/>
      <c r="K69" s="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 spans="1:26">
      <c r="A70" s="5"/>
      <c r="B70" s="4"/>
      <c r="C70" s="5"/>
      <c r="D70" s="2"/>
      <c r="E70" s="2"/>
      <c r="F70" s="2"/>
      <c r="G70" s="3"/>
      <c r="H70" s="2"/>
      <c r="I70" s="5"/>
      <c r="J70" s="5"/>
      <c r="K70" s="1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 spans="1:26">
      <c r="A71" s="5"/>
      <c r="B71" s="4"/>
      <c r="C71" s="5"/>
      <c r="D71" s="2"/>
      <c r="E71" s="2"/>
      <c r="F71" s="2"/>
      <c r="G71" s="3"/>
      <c r="H71" s="2"/>
      <c r="I71" s="5"/>
      <c r="J71" s="5"/>
      <c r="K71" s="1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 spans="1:26">
      <c r="A72" s="5"/>
      <c r="B72" s="4"/>
      <c r="C72" s="5"/>
      <c r="D72" s="2"/>
      <c r="E72" s="2"/>
      <c r="F72" s="2"/>
      <c r="G72" s="3"/>
      <c r="H72" s="2"/>
      <c r="I72" s="5"/>
      <c r="J72" s="5"/>
      <c r="K72" s="1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 spans="1:26">
      <c r="A73" s="5"/>
      <c r="B73" s="4"/>
      <c r="C73" s="5"/>
      <c r="D73" s="2"/>
      <c r="E73" s="2"/>
      <c r="F73" s="2"/>
      <c r="G73" s="3"/>
      <c r="H73" s="2"/>
      <c r="I73" s="5"/>
      <c r="J73" s="5"/>
      <c r="K73" s="1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 spans="1:26">
      <c r="A74" s="5"/>
      <c r="B74" s="4"/>
      <c r="C74" s="5"/>
      <c r="D74" s="2"/>
      <c r="E74" s="2"/>
      <c r="F74" s="2"/>
      <c r="G74" s="3"/>
      <c r="H74" s="2"/>
      <c r="I74" s="5"/>
      <c r="J74" s="5"/>
      <c r="K74" s="1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 spans="1:26">
      <c r="A75" s="5"/>
      <c r="B75" s="4"/>
      <c r="C75" s="5"/>
      <c r="D75" s="2"/>
      <c r="E75" s="2"/>
      <c r="F75" s="2"/>
      <c r="G75" s="3"/>
      <c r="H75" s="2"/>
      <c r="I75" s="5"/>
      <c r="J75" s="5"/>
      <c r="K75" s="1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 spans="1:26">
      <c r="A76" s="5"/>
      <c r="B76" s="4"/>
      <c r="C76" s="5"/>
      <c r="D76" s="2"/>
      <c r="E76" s="2"/>
      <c r="F76" s="2"/>
      <c r="G76" s="3"/>
      <c r="H76" s="2"/>
      <c r="I76" s="5"/>
      <c r="J76" s="5"/>
      <c r="K76" s="1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 spans="1:26">
      <c r="A77" s="5"/>
      <c r="B77" s="4"/>
      <c r="C77" s="5"/>
      <c r="D77" s="2"/>
      <c r="E77" s="2"/>
      <c r="F77" s="2"/>
      <c r="G77" s="3"/>
      <c r="H77" s="2"/>
      <c r="I77" s="5"/>
      <c r="J77" s="5"/>
      <c r="K77" s="1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 spans="1:26">
      <c r="A78" s="5"/>
      <c r="B78" s="4"/>
      <c r="C78" s="5"/>
      <c r="D78" s="2"/>
      <c r="E78" s="2"/>
      <c r="F78" s="2"/>
      <c r="G78" s="3"/>
      <c r="H78" s="2"/>
      <c r="I78" s="5"/>
      <c r="J78" s="5"/>
      <c r="K78" s="1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 spans="1:26">
      <c r="A79" s="5"/>
      <c r="B79" s="4"/>
      <c r="C79" s="5"/>
      <c r="D79" s="2"/>
      <c r="E79" s="2"/>
      <c r="F79" s="2"/>
      <c r="G79" s="3"/>
      <c r="H79" s="2"/>
      <c r="I79" s="5"/>
      <c r="J79" s="5"/>
      <c r="K79" s="1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 spans="1:26">
      <c r="A80" s="5"/>
      <c r="B80" s="4"/>
      <c r="C80" s="5"/>
      <c r="D80" s="2"/>
      <c r="E80" s="2"/>
      <c r="F80" s="2"/>
      <c r="G80" s="3"/>
      <c r="H80" s="2"/>
      <c r="I80" s="5"/>
      <c r="J80" s="5"/>
      <c r="K80" s="1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 spans="1:26">
      <c r="A81" s="5"/>
      <c r="B81" s="4"/>
      <c r="C81" s="5"/>
      <c r="D81" s="2"/>
      <c r="E81" s="2"/>
      <c r="F81" s="2"/>
      <c r="G81" s="3"/>
      <c r="H81" s="2"/>
      <c r="I81" s="5"/>
      <c r="J81" s="5"/>
      <c r="K81" s="1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 spans="1:26">
      <c r="A82" s="5"/>
      <c r="B82" s="4"/>
      <c r="C82" s="5"/>
      <c r="D82" s="2"/>
      <c r="E82" s="2"/>
      <c r="F82" s="2"/>
      <c r="G82" s="3"/>
      <c r="H82" s="2"/>
      <c r="I82" s="5"/>
      <c r="J82" s="5"/>
      <c r="K82" s="1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 spans="1:26">
      <c r="A83" s="5"/>
      <c r="B83" s="4"/>
      <c r="C83" s="5"/>
      <c r="D83" s="2"/>
      <c r="E83" s="2"/>
      <c r="F83" s="2"/>
      <c r="G83" s="3"/>
      <c r="H83" s="2"/>
      <c r="I83" s="5"/>
      <c r="J83" s="5"/>
      <c r="K83" s="1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 spans="1:26">
      <c r="A84" s="5"/>
      <c r="B84" s="4"/>
      <c r="C84" s="5"/>
      <c r="D84" s="2"/>
      <c r="E84" s="2"/>
      <c r="F84" s="2"/>
      <c r="G84" s="3"/>
      <c r="H84" s="2"/>
      <c r="I84" s="5"/>
      <c r="J84" s="5"/>
      <c r="K84" s="1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 spans="1:26">
      <c r="A85" s="5"/>
      <c r="B85" s="4"/>
      <c r="C85" s="5"/>
      <c r="D85" s="2"/>
      <c r="E85" s="2"/>
      <c r="F85" s="2"/>
      <c r="G85" s="3"/>
      <c r="H85" s="2"/>
      <c r="I85" s="5"/>
      <c r="J85" s="5"/>
      <c r="K85" s="1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 spans="1:26">
      <c r="A86" s="5"/>
      <c r="B86" s="4"/>
      <c r="C86" s="5"/>
      <c r="D86" s="2"/>
      <c r="E86" s="2"/>
      <c r="F86" s="2"/>
      <c r="G86" s="3"/>
      <c r="H86" s="2"/>
      <c r="I86" s="5"/>
      <c r="J86" s="5"/>
      <c r="K86" s="1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 spans="1:26">
      <c r="A87" s="5"/>
      <c r="B87" s="4"/>
      <c r="C87" s="5"/>
      <c r="D87" s="2"/>
      <c r="E87" s="2"/>
      <c r="F87" s="2"/>
      <c r="G87" s="3"/>
      <c r="H87" s="2"/>
      <c r="I87" s="5"/>
      <c r="J87" s="5"/>
      <c r="K87" s="1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 spans="1:26">
      <c r="A88" s="5"/>
      <c r="B88" s="4"/>
      <c r="C88" s="5"/>
      <c r="D88" s="2"/>
      <c r="E88" s="2"/>
      <c r="F88" s="2"/>
      <c r="G88" s="3"/>
      <c r="H88" s="2"/>
      <c r="I88" s="5"/>
      <c r="J88" s="5"/>
      <c r="K88" s="1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 spans="1:26">
      <c r="A89" s="5"/>
      <c r="B89" s="4"/>
      <c r="C89" s="5"/>
      <c r="D89" s="2"/>
      <c r="E89" s="2"/>
      <c r="F89" s="2"/>
      <c r="G89" s="3"/>
      <c r="H89" s="2"/>
      <c r="I89" s="5"/>
      <c r="J89" s="5"/>
      <c r="K89" s="1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 spans="1:26">
      <c r="A90" s="5"/>
      <c r="B90" s="4"/>
      <c r="C90" s="5"/>
      <c r="D90" s="2"/>
      <c r="E90" s="2"/>
      <c r="F90" s="2"/>
      <c r="G90" s="3"/>
      <c r="H90" s="2"/>
      <c r="I90" s="5"/>
      <c r="J90" s="5"/>
      <c r="K90" s="1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 spans="1:26">
      <c r="A91" s="5"/>
      <c r="B91" s="4"/>
      <c r="C91" s="5"/>
      <c r="D91" s="2"/>
      <c r="E91" s="2"/>
      <c r="F91" s="2"/>
      <c r="G91" s="3"/>
      <c r="H91" s="2"/>
      <c r="I91" s="5"/>
      <c r="J91" s="5"/>
      <c r="K91" s="1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 spans="1:26">
      <c r="A92" s="5"/>
      <c r="B92" s="4"/>
      <c r="C92" s="5"/>
      <c r="D92" s="2"/>
      <c r="E92" s="2"/>
      <c r="F92" s="2"/>
      <c r="G92" s="3"/>
      <c r="H92" s="2"/>
      <c r="I92" s="5"/>
      <c r="J92" s="5"/>
      <c r="K92" s="1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 spans="1:26">
      <c r="A93" s="5"/>
      <c r="B93" s="4"/>
      <c r="C93" s="5"/>
      <c r="D93" s="2"/>
      <c r="E93" s="2"/>
      <c r="F93" s="2"/>
      <c r="G93" s="3"/>
      <c r="H93" s="2"/>
      <c r="I93" s="5"/>
      <c r="J93" s="5"/>
      <c r="K93" s="1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 spans="1:26">
      <c r="A94" s="5"/>
      <c r="B94" s="4"/>
      <c r="C94" s="5"/>
      <c r="D94" s="2"/>
      <c r="E94" s="2"/>
      <c r="F94" s="2"/>
      <c r="G94" s="3"/>
      <c r="H94" s="2"/>
      <c r="I94" s="5"/>
      <c r="J94" s="5"/>
      <c r="K94" s="1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 spans="1:26">
      <c r="A95" s="5"/>
      <c r="B95" s="4"/>
      <c r="C95" s="5"/>
      <c r="D95" s="2"/>
      <c r="E95" s="2"/>
      <c r="F95" s="2"/>
      <c r="G95" s="3"/>
      <c r="H95" s="2"/>
      <c r="I95" s="5"/>
      <c r="J95" s="5"/>
      <c r="K95" s="1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 spans="1:26">
      <c r="A96" s="5"/>
      <c r="B96" s="4"/>
      <c r="C96" s="5"/>
      <c r="D96" s="2"/>
      <c r="E96" s="2"/>
      <c r="F96" s="2"/>
      <c r="G96" s="3"/>
      <c r="H96" s="2"/>
      <c r="I96" s="5"/>
      <c r="J96" s="5"/>
      <c r="K96" s="1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 spans="1:26">
      <c r="A97" s="5"/>
      <c r="B97" s="4"/>
      <c r="C97" s="5"/>
      <c r="D97" s="2"/>
      <c r="E97" s="2"/>
      <c r="F97" s="2"/>
      <c r="G97" s="3"/>
      <c r="H97" s="2"/>
      <c r="I97" s="5"/>
      <c r="J97" s="5"/>
      <c r="K97" s="1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 spans="1:26">
      <c r="A98" s="5"/>
      <c r="B98" s="4"/>
      <c r="C98" s="5"/>
      <c r="D98" s="2"/>
      <c r="E98" s="2"/>
      <c r="F98" s="2"/>
      <c r="G98" s="3"/>
      <c r="H98" s="2"/>
      <c r="I98" s="5"/>
      <c r="J98" s="5"/>
      <c r="K98" s="1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 spans="1:26">
      <c r="A99" s="5"/>
      <c r="B99" s="4"/>
      <c r="C99" s="5"/>
      <c r="D99" s="2"/>
      <c r="E99" s="2"/>
      <c r="F99" s="2"/>
      <c r="G99" s="3"/>
      <c r="H99" s="2"/>
      <c r="I99" s="5"/>
      <c r="J99" s="5"/>
      <c r="K99" s="1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 spans="1:26">
      <c r="A100" s="5"/>
      <c r="B100" s="4"/>
      <c r="C100" s="5"/>
      <c r="D100" s="2"/>
      <c r="E100" s="2"/>
      <c r="F100" s="2"/>
      <c r="G100" s="3"/>
      <c r="H100" s="2"/>
      <c r="I100" s="5"/>
      <c r="J100" s="5"/>
      <c r="K100" s="1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 spans="1:26">
      <c r="A101" s="5"/>
      <c r="B101" s="4"/>
      <c r="C101" s="5"/>
      <c r="D101" s="2"/>
      <c r="E101" s="2"/>
      <c r="F101" s="2"/>
      <c r="G101" s="3"/>
      <c r="H101" s="2"/>
      <c r="I101" s="5"/>
      <c r="J101" s="5"/>
      <c r="K101" s="1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 spans="1:26">
      <c r="A102" s="5"/>
      <c r="B102" s="4"/>
      <c r="C102" s="5"/>
      <c r="D102" s="2"/>
      <c r="E102" s="2"/>
      <c r="F102" s="2"/>
      <c r="G102" s="3"/>
      <c r="H102" s="2"/>
      <c r="I102" s="5"/>
      <c r="J102" s="5"/>
      <c r="K102" s="19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 spans="1:26">
      <c r="A103" s="5"/>
      <c r="B103" s="4"/>
      <c r="C103" s="5"/>
      <c r="D103" s="2"/>
      <c r="E103" s="2"/>
      <c r="F103" s="2"/>
      <c r="G103" s="3"/>
      <c r="H103" s="2"/>
      <c r="I103" s="5"/>
      <c r="J103" s="5"/>
      <c r="K103" s="19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 spans="1:26">
      <c r="A104" s="5"/>
      <c r="B104" s="4"/>
      <c r="C104" s="5"/>
      <c r="D104" s="2"/>
      <c r="E104" s="2"/>
      <c r="F104" s="2"/>
      <c r="G104" s="3"/>
      <c r="H104" s="2"/>
      <c r="I104" s="5"/>
      <c r="J104" s="5"/>
      <c r="K104" s="19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 spans="1:26">
      <c r="A105" s="5"/>
      <c r="B105" s="4"/>
      <c r="C105" s="5"/>
      <c r="D105" s="2"/>
      <c r="E105" s="2"/>
      <c r="F105" s="2"/>
      <c r="G105" s="3"/>
      <c r="H105" s="2"/>
      <c r="I105" s="5"/>
      <c r="J105" s="5"/>
      <c r="K105" s="19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 spans="1:26">
      <c r="A106" s="5"/>
      <c r="B106" s="4"/>
      <c r="C106" s="5"/>
      <c r="D106" s="2"/>
      <c r="E106" s="2"/>
      <c r="F106" s="2"/>
      <c r="G106" s="3"/>
      <c r="H106" s="2"/>
      <c r="I106" s="5"/>
      <c r="J106" s="5"/>
      <c r="K106" s="19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 spans="1:26">
      <c r="A107" s="5"/>
      <c r="B107" s="4"/>
      <c r="C107" s="5"/>
      <c r="D107" s="2"/>
      <c r="E107" s="2"/>
      <c r="F107" s="2"/>
      <c r="G107" s="3"/>
      <c r="H107" s="2"/>
      <c r="I107" s="5"/>
      <c r="J107" s="5"/>
      <c r="K107" s="1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 spans="1:26">
      <c r="A108" s="5"/>
      <c r="B108" s="4"/>
      <c r="C108" s="5"/>
      <c r="D108" s="2"/>
      <c r="E108" s="2"/>
      <c r="F108" s="2"/>
      <c r="G108" s="3"/>
      <c r="H108" s="2"/>
      <c r="I108" s="5"/>
      <c r="J108" s="5"/>
      <c r="K108" s="19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 spans="1:26">
      <c r="A109" s="5"/>
      <c r="B109" s="4"/>
      <c r="C109" s="5"/>
      <c r="D109" s="2"/>
      <c r="E109" s="2"/>
      <c r="F109" s="2"/>
      <c r="G109" s="3"/>
      <c r="H109" s="2"/>
      <c r="I109" s="5"/>
      <c r="J109" s="5"/>
      <c r="K109" s="1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 spans="1:26">
      <c r="A110" s="5"/>
      <c r="B110" s="4"/>
      <c r="C110" s="5"/>
      <c r="D110" s="2"/>
      <c r="E110" s="2"/>
      <c r="F110" s="2"/>
      <c r="G110" s="3"/>
      <c r="H110" s="2"/>
      <c r="I110" s="5"/>
      <c r="J110" s="5"/>
      <c r="K110" s="19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 spans="1:26">
      <c r="A111" s="5"/>
      <c r="B111" s="4"/>
      <c r="C111" s="5"/>
      <c r="D111" s="2"/>
      <c r="E111" s="2"/>
      <c r="F111" s="2"/>
      <c r="G111" s="3"/>
      <c r="H111" s="2"/>
      <c r="I111" s="5"/>
      <c r="J111" s="5"/>
      <c r="K111" s="19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 spans="1:26">
      <c r="A112" s="5"/>
      <c r="B112" s="4"/>
      <c r="C112" s="5"/>
      <c r="D112" s="2"/>
      <c r="E112" s="2"/>
      <c r="F112" s="2"/>
      <c r="G112" s="3"/>
      <c r="H112" s="2"/>
      <c r="I112" s="5"/>
      <c r="J112" s="5"/>
      <c r="K112" s="19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 spans="1:26">
      <c r="A113" s="5"/>
      <c r="B113" s="4"/>
      <c r="C113" s="5"/>
      <c r="D113" s="2"/>
      <c r="E113" s="2"/>
      <c r="F113" s="2"/>
      <c r="G113" s="3"/>
      <c r="H113" s="2"/>
      <c r="I113" s="5"/>
      <c r="J113" s="5"/>
      <c r="K113" s="19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 spans="1:26">
      <c r="A114" s="5"/>
      <c r="B114" s="4"/>
      <c r="C114" s="5"/>
      <c r="D114" s="2"/>
      <c r="E114" s="2"/>
      <c r="F114" s="2"/>
      <c r="G114" s="3"/>
      <c r="H114" s="2"/>
      <c r="I114" s="5"/>
      <c r="J114" s="5"/>
      <c r="K114" s="1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 spans="1:26">
      <c r="A115" s="5"/>
      <c r="B115" s="4"/>
      <c r="C115" s="5"/>
      <c r="D115" s="2"/>
      <c r="E115" s="2"/>
      <c r="F115" s="2"/>
      <c r="G115" s="3"/>
      <c r="H115" s="2"/>
      <c r="I115" s="5"/>
      <c r="J115" s="5"/>
      <c r="K115" s="1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 spans="1:26">
      <c r="A116" s="5"/>
      <c r="B116" s="4"/>
      <c r="C116" s="5"/>
      <c r="D116" s="2"/>
      <c r="E116" s="2"/>
      <c r="F116" s="2"/>
      <c r="G116" s="3"/>
      <c r="H116" s="2"/>
      <c r="I116" s="5"/>
      <c r="J116" s="5"/>
      <c r="K116" s="19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 spans="1:26">
      <c r="A117" s="5"/>
      <c r="B117" s="4"/>
      <c r="C117" s="5"/>
      <c r="D117" s="2"/>
      <c r="E117" s="2"/>
      <c r="F117" s="2"/>
      <c r="G117" s="3"/>
      <c r="H117" s="2"/>
      <c r="I117" s="5"/>
      <c r="J117" s="5"/>
      <c r="K117" s="1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 spans="1:26">
      <c r="A118" s="5"/>
      <c r="B118" s="4"/>
      <c r="C118" s="5"/>
      <c r="D118" s="2"/>
      <c r="E118" s="2"/>
      <c r="F118" s="2"/>
      <c r="G118" s="3"/>
      <c r="H118" s="2"/>
      <c r="I118" s="5"/>
      <c r="J118" s="5"/>
      <c r="K118" s="19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 spans="1:26">
      <c r="A119" s="5"/>
      <c r="B119" s="4"/>
      <c r="C119" s="5"/>
      <c r="D119" s="2"/>
      <c r="E119" s="2"/>
      <c r="F119" s="2"/>
      <c r="G119" s="3"/>
      <c r="H119" s="2"/>
      <c r="I119" s="5"/>
      <c r="J119" s="5"/>
      <c r="K119" s="1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 spans="1:26">
      <c r="A120" s="5"/>
      <c r="B120" s="4"/>
      <c r="C120" s="5"/>
      <c r="D120" s="2"/>
      <c r="E120" s="2"/>
      <c r="F120" s="2"/>
      <c r="G120" s="3"/>
      <c r="H120" s="2"/>
      <c r="I120" s="5"/>
      <c r="J120" s="5"/>
      <c r="K120" s="19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 spans="1:26">
      <c r="A121" s="5"/>
      <c r="B121" s="4"/>
      <c r="C121" s="5"/>
      <c r="D121" s="2"/>
      <c r="E121" s="2"/>
      <c r="F121" s="2"/>
      <c r="G121" s="3"/>
      <c r="H121" s="2"/>
      <c r="I121" s="5"/>
      <c r="J121" s="5"/>
      <c r="K121" s="19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 spans="1:26">
      <c r="A122" s="5"/>
      <c r="B122" s="4"/>
      <c r="C122" s="5"/>
      <c r="D122" s="2"/>
      <c r="E122" s="2"/>
      <c r="F122" s="2"/>
      <c r="G122" s="3"/>
      <c r="H122" s="2"/>
      <c r="I122" s="5"/>
      <c r="J122" s="5"/>
      <c r="K122" s="19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 spans="1:26">
      <c r="A123" s="5"/>
      <c r="B123" s="4"/>
      <c r="C123" s="5"/>
      <c r="D123" s="2"/>
      <c r="E123" s="2"/>
      <c r="F123" s="2"/>
      <c r="G123" s="3"/>
      <c r="H123" s="2"/>
      <c r="I123" s="5"/>
      <c r="J123" s="5"/>
      <c r="K123" s="19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 spans="1:26">
      <c r="A124" s="5"/>
      <c r="B124" s="4"/>
      <c r="C124" s="5"/>
      <c r="D124" s="2"/>
      <c r="E124" s="2"/>
      <c r="F124" s="2"/>
      <c r="G124" s="3"/>
      <c r="H124" s="2"/>
      <c r="I124" s="5"/>
      <c r="J124" s="5"/>
      <c r="K124" s="19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 spans="1:26">
      <c r="A125" s="5"/>
      <c r="B125" s="4"/>
      <c r="C125" s="5"/>
      <c r="D125" s="2"/>
      <c r="E125" s="2"/>
      <c r="F125" s="2"/>
      <c r="G125" s="3"/>
      <c r="H125" s="2"/>
      <c r="I125" s="5"/>
      <c r="J125" s="5"/>
      <c r="K125" s="19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 spans="1:26">
      <c r="A126" s="5"/>
      <c r="B126" s="4"/>
      <c r="C126" s="5"/>
      <c r="D126" s="2"/>
      <c r="E126" s="2"/>
      <c r="F126" s="2"/>
      <c r="G126" s="3"/>
      <c r="H126" s="2"/>
      <c r="I126" s="5"/>
      <c r="J126" s="5"/>
      <c r="K126" s="19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 spans="1:26">
      <c r="A127" s="5"/>
      <c r="B127" s="4"/>
      <c r="C127" s="5"/>
      <c r="D127" s="2"/>
      <c r="E127" s="2"/>
      <c r="F127" s="2"/>
      <c r="G127" s="3"/>
      <c r="H127" s="2"/>
      <c r="I127" s="5"/>
      <c r="J127" s="5"/>
      <c r="K127" s="19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 spans="1:26">
      <c r="A128" s="5"/>
      <c r="B128" s="4"/>
      <c r="C128" s="5"/>
      <c r="D128" s="2"/>
      <c r="E128" s="2"/>
      <c r="F128" s="2"/>
      <c r="G128" s="3"/>
      <c r="H128" s="2"/>
      <c r="I128" s="5"/>
      <c r="J128" s="5"/>
      <c r="K128" s="19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 spans="1:26">
      <c r="A129" s="5"/>
      <c r="B129" s="4"/>
      <c r="C129" s="5"/>
      <c r="D129" s="2"/>
      <c r="E129" s="2"/>
      <c r="F129" s="2"/>
      <c r="G129" s="3"/>
      <c r="H129" s="2"/>
      <c r="I129" s="5"/>
      <c r="J129" s="5"/>
      <c r="K129" s="19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 spans="1:26">
      <c r="A130" s="5"/>
      <c r="B130" s="4"/>
      <c r="C130" s="5"/>
      <c r="D130" s="2"/>
      <c r="E130" s="2"/>
      <c r="F130" s="2"/>
      <c r="G130" s="3"/>
      <c r="H130" s="2"/>
      <c r="I130" s="5"/>
      <c r="J130" s="5"/>
      <c r="K130" s="19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 spans="1:26">
      <c r="A131" s="5"/>
      <c r="B131" s="4"/>
      <c r="C131" s="5"/>
      <c r="D131" s="2"/>
      <c r="E131" s="2"/>
      <c r="F131" s="2"/>
      <c r="G131" s="3"/>
      <c r="H131" s="2"/>
      <c r="I131" s="5"/>
      <c r="J131" s="5"/>
      <c r="K131" s="19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 spans="1:26">
      <c r="A132" s="5"/>
      <c r="B132" s="4"/>
      <c r="C132" s="5"/>
      <c r="D132" s="2"/>
      <c r="E132" s="2"/>
      <c r="F132" s="2"/>
      <c r="G132" s="3"/>
      <c r="H132" s="2"/>
      <c r="I132" s="5"/>
      <c r="J132" s="5"/>
      <c r="K132" s="19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 spans="1:26">
      <c r="A133" s="5"/>
      <c r="B133" s="4"/>
      <c r="C133" s="5"/>
      <c r="D133" s="2"/>
      <c r="E133" s="2"/>
      <c r="F133" s="2"/>
      <c r="G133" s="3"/>
      <c r="H133" s="2"/>
      <c r="I133" s="5"/>
      <c r="J133" s="5"/>
      <c r="K133" s="19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 spans="1:26">
      <c r="A134" s="5"/>
      <c r="B134" s="4"/>
      <c r="C134" s="5"/>
      <c r="D134" s="2"/>
      <c r="E134" s="2"/>
      <c r="F134" s="2"/>
      <c r="G134" s="3"/>
      <c r="H134" s="2"/>
      <c r="I134" s="5"/>
      <c r="J134" s="5"/>
      <c r="K134" s="19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 spans="1:26">
      <c r="A135" s="5"/>
      <c r="B135" s="4"/>
      <c r="C135" s="5"/>
      <c r="D135" s="2"/>
      <c r="E135" s="2"/>
      <c r="F135" s="2"/>
      <c r="G135" s="3"/>
      <c r="H135" s="2"/>
      <c r="I135" s="5"/>
      <c r="J135" s="5"/>
      <c r="K135" s="19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 spans="1:26">
      <c r="A136" s="5"/>
      <c r="B136" s="4"/>
      <c r="C136" s="5"/>
      <c r="D136" s="2"/>
      <c r="E136" s="2"/>
      <c r="F136" s="2"/>
      <c r="G136" s="3"/>
      <c r="H136" s="2"/>
      <c r="I136" s="5"/>
      <c r="J136" s="5"/>
      <c r="K136" s="19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 spans="1:26">
      <c r="A137" s="5"/>
      <c r="B137" s="4"/>
      <c r="C137" s="5"/>
      <c r="D137" s="2"/>
      <c r="E137" s="2"/>
      <c r="F137" s="2"/>
      <c r="G137" s="3"/>
      <c r="H137" s="2"/>
      <c r="I137" s="5"/>
      <c r="J137" s="5"/>
      <c r="K137" s="19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 spans="1:26">
      <c r="A138" s="5"/>
      <c r="B138" s="4"/>
      <c r="C138" s="5"/>
      <c r="D138" s="2"/>
      <c r="E138" s="2"/>
      <c r="F138" s="2"/>
      <c r="G138" s="3"/>
      <c r="H138" s="2"/>
      <c r="I138" s="5"/>
      <c r="J138" s="5"/>
      <c r="K138" s="19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 spans="1:26">
      <c r="A139" s="5"/>
      <c r="B139" s="4"/>
      <c r="C139" s="5"/>
      <c r="D139" s="2"/>
      <c r="E139" s="2"/>
      <c r="F139" s="2"/>
      <c r="G139" s="3"/>
      <c r="H139" s="2"/>
      <c r="I139" s="5"/>
      <c r="J139" s="5"/>
      <c r="K139" s="19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 spans="1:26">
      <c r="A140" s="5"/>
      <c r="B140" s="4"/>
      <c r="C140" s="5"/>
      <c r="D140" s="2"/>
      <c r="E140" s="2"/>
      <c r="F140" s="2"/>
      <c r="G140" s="3"/>
      <c r="H140" s="2"/>
      <c r="I140" s="5"/>
      <c r="J140" s="5"/>
      <c r="K140" s="19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 spans="1:26">
      <c r="A141" s="5"/>
      <c r="B141" s="4"/>
      <c r="C141" s="5"/>
      <c r="D141" s="2"/>
      <c r="E141" s="2"/>
      <c r="F141" s="2"/>
      <c r="G141" s="3"/>
      <c r="H141" s="2"/>
      <c r="I141" s="5"/>
      <c r="J141" s="5"/>
      <c r="K141" s="19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 spans="1:26">
      <c r="A142" s="5"/>
      <c r="B142" s="4"/>
      <c r="C142" s="5"/>
      <c r="D142" s="2"/>
      <c r="E142" s="2"/>
      <c r="F142" s="2"/>
      <c r="G142" s="3"/>
      <c r="H142" s="2"/>
      <c r="I142" s="5"/>
      <c r="J142" s="5"/>
      <c r="K142" s="19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 spans="1:26">
      <c r="A143" s="5"/>
      <c r="B143" s="4"/>
      <c r="C143" s="5"/>
      <c r="D143" s="2"/>
      <c r="E143" s="2"/>
      <c r="F143" s="2"/>
      <c r="G143" s="3"/>
      <c r="H143" s="2"/>
      <c r="I143" s="5"/>
      <c r="J143" s="5"/>
      <c r="K143" s="19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 spans="1:26">
      <c r="A144" s="5"/>
      <c r="B144" s="4"/>
      <c r="C144" s="5"/>
      <c r="D144" s="2"/>
      <c r="E144" s="2"/>
      <c r="F144" s="2"/>
      <c r="G144" s="3"/>
      <c r="H144" s="2"/>
      <c r="I144" s="5"/>
      <c r="J144" s="5"/>
      <c r="K144" s="19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 spans="1:26">
      <c r="A145" s="5"/>
      <c r="B145" s="4"/>
      <c r="C145" s="5"/>
      <c r="D145" s="2"/>
      <c r="E145" s="2"/>
      <c r="F145" s="2"/>
      <c r="G145" s="3"/>
      <c r="H145" s="2"/>
      <c r="I145" s="5"/>
      <c r="J145" s="5"/>
      <c r="K145" s="19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 spans="1:26">
      <c r="A146" s="5"/>
      <c r="B146" s="4"/>
      <c r="C146" s="5"/>
      <c r="D146" s="2"/>
      <c r="E146" s="2"/>
      <c r="F146" s="2"/>
      <c r="G146" s="3"/>
      <c r="H146" s="2"/>
      <c r="I146" s="5"/>
      <c r="J146" s="5"/>
      <c r="K146" s="19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 spans="1:26">
      <c r="A147" s="5"/>
      <c r="B147" s="4"/>
      <c r="C147" s="5"/>
      <c r="D147" s="2"/>
      <c r="E147" s="2"/>
      <c r="F147" s="2"/>
      <c r="G147" s="3"/>
      <c r="H147" s="2"/>
      <c r="I147" s="5"/>
      <c r="J147" s="5"/>
      <c r="K147" s="19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 spans="1:26">
      <c r="A148" s="5"/>
      <c r="B148" s="4"/>
      <c r="C148" s="5"/>
      <c r="D148" s="2"/>
      <c r="E148" s="2"/>
      <c r="F148" s="2"/>
      <c r="G148" s="3"/>
      <c r="H148" s="2"/>
      <c r="I148" s="5"/>
      <c r="J148" s="5"/>
      <c r="K148" s="19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 spans="1:26">
      <c r="A149" s="5"/>
      <c r="B149" s="4"/>
      <c r="C149" s="5"/>
      <c r="D149" s="2"/>
      <c r="E149" s="2"/>
      <c r="F149" s="2"/>
      <c r="G149" s="3"/>
      <c r="H149" s="2"/>
      <c r="I149" s="5"/>
      <c r="J149" s="5"/>
      <c r="K149" s="19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 spans="1:26">
      <c r="A150" s="5"/>
      <c r="B150" s="4"/>
      <c r="C150" s="5"/>
      <c r="D150" s="2"/>
      <c r="E150" s="2"/>
      <c r="F150" s="2"/>
      <c r="G150" s="3"/>
      <c r="H150" s="2"/>
      <c r="I150" s="5"/>
      <c r="J150" s="5"/>
      <c r="K150" s="19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 spans="1:26">
      <c r="A151" s="5"/>
      <c r="B151" s="4"/>
      <c r="C151" s="5"/>
      <c r="D151" s="2"/>
      <c r="E151" s="2"/>
      <c r="F151" s="2"/>
      <c r="G151" s="3"/>
      <c r="H151" s="2"/>
      <c r="I151" s="5"/>
      <c r="J151" s="5"/>
      <c r="K151" s="19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 spans="1:26">
      <c r="A152" s="5"/>
      <c r="B152" s="4"/>
      <c r="C152" s="5"/>
      <c r="D152" s="2"/>
      <c r="E152" s="2"/>
      <c r="F152" s="2"/>
      <c r="G152" s="3"/>
      <c r="H152" s="2"/>
      <c r="I152" s="5"/>
      <c r="J152" s="5"/>
      <c r="K152" s="19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 spans="1:26">
      <c r="A153" s="5"/>
      <c r="B153" s="4"/>
      <c r="C153" s="5"/>
      <c r="D153" s="2"/>
      <c r="E153" s="2"/>
      <c r="F153" s="2"/>
      <c r="G153" s="3"/>
      <c r="H153" s="2"/>
      <c r="I153" s="5"/>
      <c r="J153" s="5"/>
      <c r="K153" s="19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 spans="1:26">
      <c r="A154" s="5"/>
      <c r="B154" s="4"/>
      <c r="C154" s="5"/>
      <c r="D154" s="2"/>
      <c r="E154" s="2"/>
      <c r="F154" s="2"/>
      <c r="G154" s="3"/>
      <c r="H154" s="2"/>
      <c r="I154" s="5"/>
      <c r="J154" s="5"/>
      <c r="K154" s="19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 spans="1:26">
      <c r="A155" s="5"/>
      <c r="B155" s="4"/>
      <c r="C155" s="5"/>
      <c r="D155" s="2"/>
      <c r="E155" s="2"/>
      <c r="F155" s="2"/>
      <c r="G155" s="3"/>
      <c r="H155" s="2"/>
      <c r="I155" s="5"/>
      <c r="J155" s="5"/>
      <c r="K155" s="19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 spans="1:26">
      <c r="A156" s="5"/>
      <c r="B156" s="4"/>
      <c r="C156" s="5"/>
      <c r="D156" s="2"/>
      <c r="E156" s="2"/>
      <c r="F156" s="2"/>
      <c r="G156" s="3"/>
      <c r="H156" s="2"/>
      <c r="I156" s="5"/>
      <c r="J156" s="5"/>
      <c r="K156" s="19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 spans="1:26">
      <c r="A157" s="5"/>
      <c r="B157" s="4"/>
      <c r="C157" s="5"/>
      <c r="D157" s="2"/>
      <c r="E157" s="2"/>
      <c r="F157" s="2"/>
      <c r="G157" s="3"/>
      <c r="H157" s="2"/>
      <c r="I157" s="5"/>
      <c r="J157" s="5"/>
      <c r="K157" s="19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 spans="1:26">
      <c r="A158" s="5"/>
      <c r="B158" s="4"/>
      <c r="C158" s="5"/>
      <c r="D158" s="2"/>
      <c r="E158" s="2"/>
      <c r="F158" s="2"/>
      <c r="G158" s="3"/>
      <c r="H158" s="2"/>
      <c r="I158" s="5"/>
      <c r="J158" s="5"/>
      <c r="K158" s="19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 spans="1:26">
      <c r="A159" s="5"/>
      <c r="B159" s="4"/>
      <c r="C159" s="5"/>
      <c r="D159" s="2"/>
      <c r="E159" s="2"/>
      <c r="F159" s="2"/>
      <c r="G159" s="3"/>
      <c r="H159" s="2"/>
      <c r="I159" s="5"/>
      <c r="J159" s="5"/>
      <c r="K159" s="19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 spans="1:26">
      <c r="A160" s="5"/>
      <c r="B160" s="4"/>
      <c r="C160" s="5"/>
      <c r="D160" s="2"/>
      <c r="E160" s="2"/>
      <c r="F160" s="2"/>
      <c r="G160" s="3"/>
      <c r="H160" s="2"/>
      <c r="I160" s="5"/>
      <c r="J160" s="5"/>
      <c r="K160" s="19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 spans="1:26">
      <c r="A161" s="5"/>
      <c r="B161" s="4"/>
      <c r="C161" s="5"/>
      <c r="D161" s="2"/>
      <c r="E161" s="2"/>
      <c r="F161" s="2"/>
      <c r="G161" s="3"/>
      <c r="H161" s="2"/>
      <c r="I161" s="5"/>
      <c r="J161" s="5"/>
      <c r="K161" s="19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 spans="1:26">
      <c r="A162" s="5"/>
      <c r="B162" s="4"/>
      <c r="C162" s="5"/>
      <c r="D162" s="2"/>
      <c r="E162" s="2"/>
      <c r="F162" s="2"/>
      <c r="G162" s="3"/>
      <c r="H162" s="2"/>
      <c r="I162" s="5"/>
      <c r="J162" s="5"/>
      <c r="K162" s="19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 spans="1:26">
      <c r="A163" s="5"/>
      <c r="B163" s="4"/>
      <c r="C163" s="5"/>
      <c r="D163" s="2"/>
      <c r="E163" s="2"/>
      <c r="F163" s="2"/>
      <c r="G163" s="3"/>
      <c r="H163" s="2"/>
      <c r="I163" s="5"/>
      <c r="J163" s="5"/>
      <c r="K163" s="19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 spans="1:26">
      <c r="A164" s="5"/>
      <c r="B164" s="4"/>
      <c r="C164" s="5"/>
      <c r="D164" s="2"/>
      <c r="E164" s="2"/>
      <c r="F164" s="2"/>
      <c r="G164" s="3"/>
      <c r="H164" s="2"/>
      <c r="I164" s="5"/>
      <c r="J164" s="5"/>
      <c r="K164" s="19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 spans="1:26">
      <c r="A165" s="5"/>
      <c r="B165" s="4"/>
      <c r="C165" s="5"/>
      <c r="D165" s="2"/>
      <c r="E165" s="2"/>
      <c r="F165" s="2"/>
      <c r="G165" s="3"/>
      <c r="H165" s="2"/>
      <c r="I165" s="5"/>
      <c r="J165" s="5"/>
      <c r="K165" s="19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 spans="1:26">
      <c r="A166" s="5"/>
      <c r="B166" s="4"/>
      <c r="C166" s="5"/>
      <c r="D166" s="2"/>
      <c r="E166" s="2"/>
      <c r="F166" s="2"/>
      <c r="G166" s="3"/>
      <c r="H166" s="2"/>
      <c r="I166" s="5"/>
      <c r="J166" s="5"/>
      <c r="K166" s="19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 spans="1:26">
      <c r="A167" s="5"/>
      <c r="B167" s="4"/>
      <c r="C167" s="5"/>
      <c r="D167" s="2"/>
      <c r="E167" s="2"/>
      <c r="F167" s="2"/>
      <c r="G167" s="3"/>
      <c r="H167" s="2"/>
      <c r="I167" s="5"/>
      <c r="J167" s="5"/>
      <c r="K167" s="19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 spans="1:26">
      <c r="A168" s="5"/>
      <c r="B168" s="4"/>
      <c r="C168" s="5"/>
      <c r="D168" s="2"/>
      <c r="E168" s="2"/>
      <c r="F168" s="2"/>
      <c r="G168" s="3"/>
      <c r="H168" s="2"/>
      <c r="I168" s="5"/>
      <c r="J168" s="5"/>
      <c r="K168" s="19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 spans="1:26">
      <c r="A169" s="5"/>
      <c r="B169" s="4"/>
      <c r="C169" s="5"/>
      <c r="D169" s="2"/>
      <c r="E169" s="2"/>
      <c r="F169" s="2"/>
      <c r="G169" s="3"/>
      <c r="H169" s="2"/>
      <c r="I169" s="5"/>
      <c r="J169" s="5"/>
      <c r="K169" s="19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 spans="1:26">
      <c r="A170" s="5"/>
      <c r="B170" s="4"/>
      <c r="C170" s="5"/>
      <c r="D170" s="2"/>
      <c r="E170" s="2"/>
      <c r="F170" s="2"/>
      <c r="G170" s="3"/>
      <c r="H170" s="2"/>
      <c r="I170" s="5"/>
      <c r="J170" s="5"/>
      <c r="K170" s="19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 spans="1:26">
      <c r="A171" s="5"/>
      <c r="B171" s="4"/>
      <c r="C171" s="5"/>
      <c r="D171" s="2"/>
      <c r="E171" s="2"/>
      <c r="F171" s="2"/>
      <c r="G171" s="3"/>
      <c r="H171" s="2"/>
      <c r="I171" s="5"/>
      <c r="J171" s="5"/>
      <c r="K171" s="19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 spans="1:26">
      <c r="A172" s="5"/>
      <c r="B172" s="4"/>
      <c r="C172" s="5"/>
      <c r="D172" s="2"/>
      <c r="E172" s="2"/>
      <c r="F172" s="2"/>
      <c r="G172" s="3"/>
      <c r="H172" s="2"/>
      <c r="I172" s="5"/>
      <c r="J172" s="5"/>
      <c r="K172" s="19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 spans="1:26">
      <c r="A173" s="5"/>
      <c r="B173" s="4"/>
      <c r="C173" s="5"/>
      <c r="D173" s="2"/>
      <c r="E173" s="2"/>
      <c r="F173" s="2"/>
      <c r="G173" s="3"/>
      <c r="H173" s="2"/>
      <c r="I173" s="5"/>
      <c r="J173" s="5"/>
      <c r="K173" s="19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 spans="1:26">
      <c r="A174" s="5"/>
      <c r="B174" s="4"/>
      <c r="C174" s="5"/>
      <c r="D174" s="2"/>
      <c r="E174" s="2"/>
      <c r="F174" s="2"/>
      <c r="G174" s="3"/>
      <c r="H174" s="2"/>
      <c r="I174" s="5"/>
      <c r="J174" s="5"/>
      <c r="K174" s="19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 spans="1:26">
      <c r="A175" s="5"/>
      <c r="B175" s="4"/>
      <c r="C175" s="5"/>
      <c r="D175" s="2"/>
      <c r="E175" s="2"/>
      <c r="F175" s="2"/>
      <c r="G175" s="3"/>
      <c r="H175" s="2"/>
      <c r="I175" s="5"/>
      <c r="J175" s="5"/>
      <c r="K175" s="19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 spans="1:26">
      <c r="A176" s="5"/>
      <c r="B176" s="4"/>
      <c r="C176" s="5"/>
      <c r="D176" s="2"/>
      <c r="E176" s="2"/>
      <c r="F176" s="2"/>
      <c r="G176" s="3"/>
      <c r="H176" s="2"/>
      <c r="I176" s="5"/>
      <c r="J176" s="5"/>
      <c r="K176" s="19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 spans="1:26">
      <c r="A177" s="5"/>
      <c r="B177" s="4"/>
      <c r="C177" s="5"/>
      <c r="D177" s="2"/>
      <c r="E177" s="2"/>
      <c r="F177" s="2"/>
      <c r="G177" s="3"/>
      <c r="H177" s="2"/>
      <c r="I177" s="5"/>
      <c r="J177" s="5"/>
      <c r="K177" s="19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 spans="1:26">
      <c r="A178" s="5"/>
      <c r="B178" s="4"/>
      <c r="C178" s="5"/>
      <c r="D178" s="2"/>
      <c r="E178" s="2"/>
      <c r="F178" s="2"/>
      <c r="G178" s="3"/>
      <c r="H178" s="2"/>
      <c r="I178" s="5"/>
      <c r="J178" s="5"/>
      <c r="K178" s="19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 spans="1:26">
      <c r="A179" s="5"/>
      <c r="B179" s="4"/>
      <c r="C179" s="5"/>
      <c r="D179" s="2"/>
      <c r="E179" s="2"/>
      <c r="F179" s="2"/>
      <c r="G179" s="3"/>
      <c r="H179" s="2"/>
      <c r="I179" s="5"/>
      <c r="J179" s="5"/>
      <c r="K179" s="19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 spans="1:26">
      <c r="A180" s="5"/>
      <c r="B180" s="4"/>
      <c r="C180" s="5"/>
      <c r="D180" s="2"/>
      <c r="E180" s="2"/>
      <c r="F180" s="2"/>
      <c r="G180" s="3"/>
      <c r="H180" s="2"/>
      <c r="I180" s="5"/>
      <c r="J180" s="5"/>
      <c r="K180" s="19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 spans="1:26">
      <c r="A181" s="5"/>
      <c r="B181" s="4"/>
      <c r="C181" s="5"/>
      <c r="D181" s="2"/>
      <c r="E181" s="2"/>
      <c r="F181" s="2"/>
      <c r="G181" s="3"/>
      <c r="H181" s="2"/>
      <c r="I181" s="5"/>
      <c r="J181" s="5"/>
      <c r="K181" s="19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 spans="1:26">
      <c r="A182" s="5"/>
      <c r="B182" s="4"/>
      <c r="C182" s="5"/>
      <c r="D182" s="2"/>
      <c r="E182" s="2"/>
      <c r="F182" s="2"/>
      <c r="G182" s="3"/>
      <c r="H182" s="2"/>
      <c r="I182" s="5"/>
      <c r="J182" s="5"/>
      <c r="K182" s="19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 spans="1:26">
      <c r="A183" s="5"/>
      <c r="B183" s="4"/>
      <c r="C183" s="5"/>
      <c r="D183" s="2"/>
      <c r="E183" s="2"/>
      <c r="F183" s="2"/>
      <c r="G183" s="3"/>
      <c r="H183" s="2"/>
      <c r="I183" s="5"/>
      <c r="J183" s="5"/>
      <c r="K183" s="19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 spans="1:26">
      <c r="A184" s="5"/>
      <c r="B184" s="4"/>
      <c r="C184" s="5"/>
      <c r="D184" s="2"/>
      <c r="E184" s="2"/>
      <c r="F184" s="2"/>
      <c r="G184" s="3"/>
      <c r="H184" s="2"/>
      <c r="I184" s="5"/>
      <c r="J184" s="5"/>
      <c r="K184" s="19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 spans="1:26">
      <c r="A185" s="5"/>
      <c r="B185" s="4"/>
      <c r="C185" s="5"/>
      <c r="D185" s="2"/>
      <c r="E185" s="2"/>
      <c r="F185" s="2"/>
      <c r="G185" s="3"/>
      <c r="H185" s="2"/>
      <c r="I185" s="5"/>
      <c r="J185" s="5"/>
      <c r="K185" s="19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 spans="1:26">
      <c r="A186" s="5"/>
      <c r="B186" s="4"/>
      <c r="C186" s="5"/>
      <c r="D186" s="2"/>
      <c r="E186" s="2"/>
      <c r="F186" s="2"/>
      <c r="G186" s="3"/>
      <c r="H186" s="2"/>
      <c r="I186" s="5"/>
      <c r="J186" s="5"/>
      <c r="K186" s="19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 spans="1:26">
      <c r="A187" s="5"/>
      <c r="B187" s="4"/>
      <c r="C187" s="5"/>
      <c r="D187" s="2"/>
      <c r="E187" s="2"/>
      <c r="F187" s="2"/>
      <c r="G187" s="3"/>
      <c r="H187" s="2"/>
      <c r="I187" s="5"/>
      <c r="J187" s="5"/>
      <c r="K187" s="19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 spans="1:26">
      <c r="A188" s="5"/>
      <c r="B188" s="4"/>
      <c r="C188" s="5"/>
      <c r="D188" s="2"/>
      <c r="E188" s="2"/>
      <c r="F188" s="2"/>
      <c r="G188" s="3"/>
      <c r="H188" s="2"/>
      <c r="I188" s="5"/>
      <c r="J188" s="5"/>
      <c r="K188" s="19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 spans="1:26">
      <c r="A189" s="5"/>
      <c r="B189" s="4"/>
      <c r="C189" s="5"/>
      <c r="D189" s="2"/>
      <c r="E189" s="2"/>
      <c r="F189" s="2"/>
      <c r="G189" s="3"/>
      <c r="H189" s="2"/>
      <c r="I189" s="5"/>
      <c r="J189" s="5"/>
      <c r="K189" s="19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 spans="1:26">
      <c r="A190" s="5"/>
      <c r="B190" s="4"/>
      <c r="C190" s="5"/>
      <c r="D190" s="2"/>
      <c r="E190" s="2"/>
      <c r="F190" s="2"/>
      <c r="G190" s="3"/>
      <c r="H190" s="2"/>
      <c r="I190" s="5"/>
      <c r="J190" s="5"/>
      <c r="K190" s="19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 spans="1:26">
      <c r="A191" s="5"/>
      <c r="B191" s="4"/>
      <c r="C191" s="5"/>
      <c r="D191" s="2"/>
      <c r="E191" s="2"/>
      <c r="F191" s="2"/>
      <c r="G191" s="3"/>
      <c r="H191" s="2"/>
      <c r="I191" s="5"/>
      <c r="J191" s="5"/>
      <c r="K191" s="19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 spans="1:26">
      <c r="A192" s="5"/>
      <c r="B192" s="4"/>
      <c r="C192" s="5"/>
      <c r="D192" s="2"/>
      <c r="E192" s="2"/>
      <c r="F192" s="2"/>
      <c r="G192" s="3"/>
      <c r="H192" s="2"/>
      <c r="I192" s="5"/>
      <c r="J192" s="5"/>
      <c r="K192" s="19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 spans="1:26">
      <c r="A193" s="5"/>
      <c r="B193" s="4"/>
      <c r="C193" s="5"/>
      <c r="D193" s="2"/>
      <c r="E193" s="2"/>
      <c r="F193" s="2"/>
      <c r="G193" s="3"/>
      <c r="H193" s="2"/>
      <c r="I193" s="5"/>
      <c r="J193" s="5"/>
      <c r="K193" s="19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 spans="1:26">
      <c r="A194" s="5"/>
      <c r="B194" s="4"/>
      <c r="C194" s="5"/>
      <c r="D194" s="2"/>
      <c r="E194" s="2"/>
      <c r="F194" s="2"/>
      <c r="G194" s="3"/>
      <c r="H194" s="2"/>
      <c r="I194" s="5"/>
      <c r="J194" s="5"/>
      <c r="K194" s="19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 spans="1:26">
      <c r="A195" s="5"/>
      <c r="B195" s="4"/>
      <c r="C195" s="5"/>
      <c r="D195" s="2"/>
      <c r="E195" s="2"/>
      <c r="F195" s="2"/>
      <c r="G195" s="3"/>
      <c r="H195" s="2"/>
      <c r="I195" s="5"/>
      <c r="J195" s="5"/>
      <c r="K195" s="19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 spans="1:26">
      <c r="A196" s="5"/>
      <c r="B196" s="4"/>
      <c r="C196" s="5"/>
      <c r="D196" s="2"/>
      <c r="E196" s="2"/>
      <c r="F196" s="2"/>
      <c r="G196" s="3"/>
      <c r="H196" s="2"/>
      <c r="I196" s="5"/>
      <c r="J196" s="5"/>
      <c r="K196" s="19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 spans="1:26">
      <c r="A197" s="5"/>
      <c r="B197" s="4"/>
      <c r="C197" s="5"/>
      <c r="D197" s="2"/>
      <c r="E197" s="2"/>
      <c r="F197" s="2"/>
      <c r="G197" s="3"/>
      <c r="H197" s="2"/>
      <c r="I197" s="5"/>
      <c r="J197" s="5"/>
      <c r="K197" s="19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 spans="1:26">
      <c r="A198" s="5"/>
      <c r="B198" s="4"/>
      <c r="C198" s="5"/>
      <c r="D198" s="2"/>
      <c r="E198" s="2"/>
      <c r="F198" s="2"/>
      <c r="G198" s="3"/>
      <c r="H198" s="2"/>
      <c r="I198" s="5"/>
      <c r="J198" s="5"/>
      <c r="K198" s="19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 spans="1:26">
      <c r="A199" s="5"/>
      <c r="B199" s="4"/>
      <c r="C199" s="5"/>
      <c r="D199" s="2"/>
      <c r="E199" s="2"/>
      <c r="F199" s="2"/>
      <c r="G199" s="3"/>
      <c r="H199" s="2"/>
      <c r="I199" s="5"/>
      <c r="J199" s="5"/>
      <c r="K199" s="19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 spans="1:26">
      <c r="A200" s="5"/>
      <c r="B200" s="4"/>
      <c r="C200" s="5"/>
      <c r="D200" s="2"/>
      <c r="E200" s="2"/>
      <c r="F200" s="2"/>
      <c r="G200" s="3"/>
      <c r="H200" s="2"/>
      <c r="I200" s="5"/>
      <c r="J200" s="5"/>
      <c r="K200" s="19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 spans="1:26">
      <c r="A201" s="5"/>
      <c r="B201" s="4"/>
      <c r="C201" s="5"/>
      <c r="D201" s="2"/>
      <c r="E201" s="2"/>
      <c r="F201" s="2"/>
      <c r="G201" s="3"/>
      <c r="H201" s="2"/>
      <c r="I201" s="5"/>
      <c r="J201" s="5"/>
      <c r="K201" s="19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 spans="1:26">
      <c r="A202" s="5"/>
      <c r="B202" s="4"/>
      <c r="C202" s="5"/>
      <c r="D202" s="2"/>
      <c r="E202" s="2"/>
      <c r="F202" s="2"/>
      <c r="G202" s="3"/>
      <c r="H202" s="2"/>
      <c r="I202" s="5"/>
      <c r="J202" s="5"/>
      <c r="K202" s="19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 spans="1:26">
      <c r="A203" s="5"/>
      <c r="B203" s="4"/>
      <c r="C203" s="5"/>
      <c r="D203" s="2"/>
      <c r="E203" s="2"/>
      <c r="F203" s="2"/>
      <c r="G203" s="3"/>
      <c r="H203" s="2"/>
      <c r="I203" s="5"/>
      <c r="J203" s="5"/>
      <c r="K203" s="19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 spans="1:26">
      <c r="A204" s="5"/>
      <c r="B204" s="4"/>
      <c r="C204" s="5"/>
      <c r="D204" s="2"/>
      <c r="E204" s="2"/>
      <c r="F204" s="2"/>
      <c r="G204" s="3"/>
      <c r="H204" s="2"/>
      <c r="I204" s="5"/>
      <c r="J204" s="5"/>
      <c r="K204" s="19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 spans="1:26">
      <c r="A205" s="5"/>
      <c r="B205" s="4"/>
      <c r="C205" s="5"/>
      <c r="D205" s="2"/>
      <c r="E205" s="2"/>
      <c r="F205" s="2"/>
      <c r="G205" s="3"/>
      <c r="H205" s="2"/>
      <c r="I205" s="5"/>
      <c r="J205" s="5"/>
      <c r="K205" s="19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 spans="1:26">
      <c r="A206" s="5"/>
      <c r="B206" s="4"/>
      <c r="C206" s="5"/>
      <c r="D206" s="2"/>
      <c r="E206" s="2"/>
      <c r="F206" s="2"/>
      <c r="G206" s="3"/>
      <c r="H206" s="2"/>
      <c r="I206" s="5"/>
      <c r="J206" s="5"/>
      <c r="K206" s="19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 spans="1:26">
      <c r="A207" s="5"/>
      <c r="B207" s="4"/>
      <c r="C207" s="5"/>
      <c r="D207" s="2"/>
      <c r="E207" s="2"/>
      <c r="F207" s="2"/>
      <c r="G207" s="3"/>
      <c r="H207" s="2"/>
      <c r="I207" s="5"/>
      <c r="J207" s="5"/>
      <c r="K207" s="19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 spans="1:26">
      <c r="A208" s="5"/>
      <c r="B208" s="4"/>
      <c r="C208" s="5"/>
      <c r="D208" s="2"/>
      <c r="E208" s="2"/>
      <c r="F208" s="2"/>
      <c r="G208" s="3"/>
      <c r="H208" s="2"/>
      <c r="I208" s="5"/>
      <c r="J208" s="5"/>
      <c r="K208" s="19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 spans="1:26">
      <c r="A209" s="5"/>
      <c r="B209" s="4"/>
      <c r="C209" s="5"/>
      <c r="D209" s="2"/>
      <c r="E209" s="2"/>
      <c r="F209" s="2"/>
      <c r="G209" s="3"/>
      <c r="H209" s="2"/>
      <c r="I209" s="5"/>
      <c r="J209" s="5"/>
      <c r="K209" s="19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 spans="1:26">
      <c r="A210" s="5"/>
      <c r="B210" s="4"/>
      <c r="C210" s="5"/>
      <c r="D210" s="2"/>
      <c r="E210" s="2"/>
      <c r="F210" s="2"/>
      <c r="G210" s="3"/>
      <c r="H210" s="2"/>
      <c r="I210" s="5"/>
      <c r="J210" s="5"/>
      <c r="K210" s="19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 spans="1:26">
      <c r="A211" s="5"/>
      <c r="B211" s="4"/>
      <c r="C211" s="5"/>
      <c r="D211" s="2"/>
      <c r="E211" s="2"/>
      <c r="F211" s="2"/>
      <c r="G211" s="3"/>
      <c r="H211" s="2"/>
      <c r="I211" s="5"/>
      <c r="J211" s="5"/>
      <c r="K211" s="19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 spans="1:26">
      <c r="A212" s="5"/>
      <c r="B212" s="4"/>
      <c r="C212" s="5"/>
      <c r="D212" s="2"/>
      <c r="E212" s="2"/>
      <c r="F212" s="2"/>
      <c r="G212" s="3"/>
      <c r="H212" s="2"/>
      <c r="I212" s="5"/>
      <c r="J212" s="5"/>
      <c r="K212" s="19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 spans="1:26">
      <c r="A213" s="5"/>
      <c r="B213" s="4"/>
      <c r="C213" s="5"/>
      <c r="D213" s="2"/>
      <c r="E213" s="2"/>
      <c r="F213" s="2"/>
      <c r="G213" s="3"/>
      <c r="H213" s="2"/>
      <c r="I213" s="5"/>
      <c r="J213" s="5"/>
      <c r="K213" s="19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 spans="1:26">
      <c r="A214" s="5"/>
      <c r="B214" s="4"/>
      <c r="C214" s="5"/>
      <c r="D214" s="2"/>
      <c r="E214" s="2"/>
      <c r="F214" s="2"/>
      <c r="G214" s="3"/>
      <c r="H214" s="2"/>
      <c r="I214" s="5"/>
      <c r="J214" s="5"/>
      <c r="K214" s="19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 spans="1:26">
      <c r="A215" s="5"/>
      <c r="B215" s="4"/>
      <c r="C215" s="5"/>
      <c r="D215" s="2"/>
      <c r="E215" s="2"/>
      <c r="F215" s="2"/>
      <c r="G215" s="3"/>
      <c r="H215" s="2"/>
      <c r="I215" s="5"/>
      <c r="J215" s="5"/>
      <c r="K215" s="19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 spans="1:26">
      <c r="A216" s="5"/>
      <c r="B216" s="4"/>
      <c r="C216" s="5"/>
      <c r="D216" s="2"/>
      <c r="E216" s="2"/>
      <c r="F216" s="2"/>
      <c r="G216" s="3"/>
      <c r="H216" s="2"/>
      <c r="I216" s="5"/>
      <c r="J216" s="5"/>
      <c r="K216" s="19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 spans="1:26">
      <c r="A217" s="5"/>
      <c r="B217" s="4"/>
      <c r="C217" s="5"/>
      <c r="D217" s="2"/>
      <c r="E217" s="2"/>
      <c r="F217" s="2"/>
      <c r="G217" s="3"/>
      <c r="H217" s="2"/>
      <c r="I217" s="5"/>
      <c r="J217" s="5"/>
      <c r="K217" s="19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 spans="1:26">
      <c r="A218" s="5"/>
      <c r="B218" s="4"/>
      <c r="C218" s="5"/>
      <c r="D218" s="2"/>
      <c r="E218" s="2"/>
      <c r="F218" s="2"/>
      <c r="G218" s="3"/>
      <c r="H218" s="2"/>
      <c r="I218" s="5"/>
      <c r="J218" s="5"/>
      <c r="K218" s="19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 spans="1:26">
      <c r="A219" s="5"/>
      <c r="B219" s="4"/>
      <c r="C219" s="5"/>
      <c r="D219" s="2"/>
      <c r="E219" s="2"/>
      <c r="F219" s="2"/>
      <c r="G219" s="3"/>
      <c r="H219" s="2"/>
      <c r="I219" s="5"/>
      <c r="J219" s="5"/>
      <c r="K219" s="19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 spans="1:26">
      <c r="A220" s="5"/>
      <c r="B220" s="4"/>
      <c r="C220" s="5"/>
      <c r="D220" s="2"/>
      <c r="E220" s="2"/>
      <c r="F220" s="2"/>
      <c r="G220" s="3"/>
      <c r="H220" s="2"/>
      <c r="I220" s="5"/>
      <c r="J220" s="5"/>
      <c r="K220" s="19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 spans="1:26">
      <c r="A221" s="5"/>
      <c r="B221" s="4"/>
      <c r="C221" s="5"/>
      <c r="D221" s="2"/>
      <c r="E221" s="2"/>
      <c r="F221" s="2"/>
      <c r="G221" s="3"/>
      <c r="H221" s="2"/>
      <c r="I221" s="5"/>
      <c r="J221" s="5"/>
      <c r="K221" s="19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 spans="1:26">
      <c r="A222" s="5"/>
      <c r="B222" s="4"/>
      <c r="C222" s="5"/>
      <c r="D222" s="2"/>
      <c r="E222" s="2"/>
      <c r="F222" s="2"/>
      <c r="G222" s="3"/>
      <c r="H222" s="2"/>
      <c r="I222" s="5"/>
      <c r="J222" s="5"/>
      <c r="K222" s="19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 spans="1:26">
      <c r="A223" s="5"/>
      <c r="B223" s="4"/>
      <c r="C223" s="5"/>
      <c r="D223" s="2"/>
      <c r="E223" s="2"/>
      <c r="F223" s="2"/>
      <c r="G223" s="3"/>
      <c r="H223" s="2"/>
      <c r="I223" s="5"/>
      <c r="J223" s="5"/>
      <c r="K223" s="19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 spans="1:26">
      <c r="A224" s="5"/>
      <c r="B224" s="4"/>
      <c r="C224" s="5"/>
      <c r="D224" s="2"/>
      <c r="E224" s="2"/>
      <c r="F224" s="2"/>
      <c r="G224" s="3"/>
      <c r="H224" s="2"/>
      <c r="I224" s="5"/>
      <c r="J224" s="5"/>
      <c r="K224" s="19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 spans="1:26">
      <c r="A225" s="5"/>
      <c r="B225" s="4"/>
      <c r="C225" s="5"/>
      <c r="D225" s="2"/>
      <c r="E225" s="2"/>
      <c r="F225" s="2"/>
      <c r="G225" s="3"/>
      <c r="H225" s="2"/>
      <c r="I225" s="5"/>
      <c r="J225" s="5"/>
      <c r="K225" s="19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 spans="1:26">
      <c r="A226" s="5"/>
      <c r="B226" s="4"/>
      <c r="C226" s="5"/>
      <c r="D226" s="2"/>
      <c r="E226" s="2"/>
      <c r="F226" s="2"/>
      <c r="G226" s="3"/>
      <c r="H226" s="2"/>
      <c r="I226" s="5"/>
      <c r="J226" s="5"/>
      <c r="K226" s="19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 spans="1:26">
      <c r="A227" s="5"/>
      <c r="B227" s="4"/>
      <c r="C227" s="5"/>
      <c r="D227" s="2"/>
      <c r="E227" s="2"/>
      <c r="F227" s="2"/>
      <c r="G227" s="3"/>
      <c r="H227" s="2"/>
      <c r="I227" s="5"/>
      <c r="J227" s="5"/>
      <c r="K227" s="19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 spans="1:26">
      <c r="A228" s="5"/>
      <c r="B228" s="4"/>
      <c r="C228" s="5"/>
      <c r="D228" s="2"/>
      <c r="E228" s="2"/>
      <c r="F228" s="2"/>
      <c r="G228" s="3"/>
      <c r="H228" s="2"/>
      <c r="I228" s="5"/>
      <c r="J228" s="5"/>
      <c r="K228" s="19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 spans="1:26">
      <c r="A229" s="5"/>
      <c r="B229" s="4"/>
      <c r="C229" s="5"/>
      <c r="D229" s="2"/>
      <c r="E229" s="2"/>
      <c r="F229" s="2"/>
      <c r="G229" s="3"/>
      <c r="H229" s="2"/>
      <c r="I229" s="5"/>
      <c r="J229" s="5"/>
      <c r="K229" s="19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 spans="1:26">
      <c r="A230" s="5"/>
      <c r="B230" s="4"/>
      <c r="C230" s="5"/>
      <c r="D230" s="2"/>
      <c r="E230" s="2"/>
      <c r="F230" s="2"/>
      <c r="G230" s="3"/>
      <c r="H230" s="2"/>
      <c r="I230" s="5"/>
      <c r="J230" s="5"/>
      <c r="K230" s="19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 spans="1:26">
      <c r="A231" s="5"/>
      <c r="B231" s="4"/>
      <c r="C231" s="5"/>
      <c r="D231" s="2"/>
      <c r="E231" s="2"/>
      <c r="F231" s="2"/>
      <c r="G231" s="3"/>
      <c r="H231" s="2"/>
      <c r="I231" s="5"/>
      <c r="J231" s="5"/>
      <c r="K231" s="19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 spans="1:26">
      <c r="A232" s="5"/>
      <c r="B232" s="4"/>
      <c r="C232" s="5"/>
      <c r="D232" s="2"/>
      <c r="E232" s="2"/>
      <c r="F232" s="2"/>
      <c r="G232" s="3"/>
      <c r="H232" s="2"/>
      <c r="I232" s="5"/>
      <c r="J232" s="5"/>
      <c r="K232" s="19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 spans="1:26">
      <c r="A233" s="5"/>
      <c r="B233" s="4"/>
      <c r="C233" s="5"/>
      <c r="D233" s="2"/>
      <c r="E233" s="2"/>
      <c r="F233" s="2"/>
      <c r="G233" s="3"/>
      <c r="H233" s="2"/>
      <c r="I233" s="5"/>
      <c r="J233" s="5"/>
      <c r="K233" s="19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 spans="1:26">
      <c r="A234" s="5"/>
      <c r="B234" s="4"/>
      <c r="C234" s="5"/>
      <c r="D234" s="2"/>
      <c r="E234" s="2"/>
      <c r="F234" s="2"/>
      <c r="G234" s="3"/>
      <c r="H234" s="2"/>
      <c r="I234" s="5"/>
      <c r="J234" s="5"/>
      <c r="K234" s="19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 spans="1:26">
      <c r="A235" s="5"/>
      <c r="B235" s="4"/>
      <c r="C235" s="5"/>
      <c r="D235" s="2"/>
      <c r="E235" s="2"/>
      <c r="F235" s="2"/>
      <c r="G235" s="3"/>
      <c r="H235" s="2"/>
      <c r="I235" s="5"/>
      <c r="J235" s="5"/>
      <c r="K235" s="19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 spans="1:26">
      <c r="A236" s="5"/>
      <c r="B236" s="4"/>
      <c r="C236" s="5"/>
      <c r="D236" s="2"/>
      <c r="E236" s="2"/>
      <c r="F236" s="2"/>
      <c r="G236" s="3"/>
      <c r="H236" s="2"/>
      <c r="I236" s="5"/>
      <c r="J236" s="5"/>
      <c r="K236" s="19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 spans="1:26">
      <c r="A237" s="5"/>
      <c r="B237" s="4"/>
      <c r="C237" s="5"/>
      <c r="D237" s="2"/>
      <c r="E237" s="2"/>
      <c r="F237" s="2"/>
      <c r="G237" s="3"/>
      <c r="H237" s="2"/>
      <c r="I237" s="5"/>
      <c r="J237" s="5"/>
      <c r="K237" s="19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 spans="1:26">
      <c r="A238" s="5"/>
      <c r="B238" s="4"/>
      <c r="C238" s="5"/>
      <c r="D238" s="2"/>
      <c r="E238" s="2"/>
      <c r="F238" s="2"/>
      <c r="G238" s="3"/>
      <c r="H238" s="2"/>
      <c r="I238" s="5"/>
      <c r="J238" s="5"/>
      <c r="K238" s="19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 spans="1:26">
      <c r="A239" s="5"/>
      <c r="B239" s="4"/>
      <c r="C239" s="5"/>
      <c r="D239" s="2"/>
      <c r="E239" s="2"/>
      <c r="F239" s="2"/>
      <c r="G239" s="3"/>
      <c r="H239" s="2"/>
      <c r="I239" s="5"/>
      <c r="J239" s="5"/>
      <c r="K239" s="19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 spans="1:26">
      <c r="A240" s="5"/>
      <c r="B240" s="4"/>
      <c r="C240" s="5"/>
      <c r="D240" s="2"/>
      <c r="E240" s="2"/>
      <c r="F240" s="2"/>
      <c r="G240" s="3"/>
      <c r="H240" s="2"/>
      <c r="I240" s="5"/>
      <c r="J240" s="5"/>
      <c r="K240" s="19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 spans="1:26">
      <c r="A241" s="5"/>
      <c r="B241" s="4"/>
      <c r="C241" s="5"/>
      <c r="D241" s="2"/>
      <c r="E241" s="2"/>
      <c r="F241" s="2"/>
      <c r="G241" s="3"/>
      <c r="H241" s="2"/>
      <c r="I241" s="5"/>
      <c r="J241" s="5"/>
      <c r="K241" s="19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 spans="1:26">
      <c r="A242" s="5"/>
      <c r="B242" s="4"/>
      <c r="C242" s="5"/>
      <c r="D242" s="2"/>
      <c r="E242" s="2"/>
      <c r="F242" s="2"/>
      <c r="G242" s="3"/>
      <c r="H242" s="2"/>
      <c r="I242" s="5"/>
      <c r="J242" s="5"/>
      <c r="K242" s="19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 spans="1:26">
      <c r="A243" s="5"/>
      <c r="B243" s="4"/>
      <c r="C243" s="5"/>
      <c r="D243" s="2"/>
      <c r="E243" s="2"/>
      <c r="F243" s="2"/>
      <c r="G243" s="3"/>
      <c r="H243" s="2"/>
      <c r="I243" s="5"/>
      <c r="J243" s="5"/>
      <c r="K243" s="19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 spans="1:26">
      <c r="A244" s="5"/>
      <c r="B244" s="4"/>
      <c r="C244" s="5"/>
      <c r="D244" s="2"/>
      <c r="E244" s="2"/>
      <c r="F244" s="2"/>
      <c r="G244" s="3"/>
      <c r="H244" s="2"/>
      <c r="I244" s="5"/>
      <c r="J244" s="5"/>
      <c r="K244" s="19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 spans="1:26">
      <c r="A245" s="5"/>
      <c r="B245" s="4"/>
      <c r="C245" s="5"/>
      <c r="D245" s="2"/>
      <c r="E245" s="2"/>
      <c r="F245" s="2"/>
      <c r="G245" s="3"/>
      <c r="H245" s="2"/>
      <c r="I245" s="5"/>
      <c r="J245" s="5"/>
      <c r="K245" s="19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 spans="1:26">
      <c r="A246" s="5"/>
      <c r="B246" s="4"/>
      <c r="C246" s="5"/>
      <c r="D246" s="2"/>
      <c r="E246" s="2"/>
      <c r="F246" s="2"/>
      <c r="G246" s="3"/>
      <c r="H246" s="2"/>
      <c r="I246" s="5"/>
      <c r="J246" s="5"/>
      <c r="K246" s="19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 spans="1:26">
      <c r="A247" s="5"/>
      <c r="B247" s="4"/>
      <c r="C247" s="5"/>
      <c r="D247" s="2"/>
      <c r="E247" s="2"/>
      <c r="F247" s="2"/>
      <c r="G247" s="3"/>
      <c r="H247" s="2"/>
      <c r="I247" s="5"/>
      <c r="J247" s="5"/>
      <c r="K247" s="19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 spans="1:26">
      <c r="A248" s="5"/>
      <c r="B248" s="4"/>
      <c r="C248" s="5"/>
      <c r="D248" s="2"/>
      <c r="E248" s="2"/>
      <c r="F248" s="2"/>
      <c r="G248" s="3"/>
      <c r="H248" s="2"/>
      <c r="I248" s="5"/>
      <c r="J248" s="5"/>
      <c r="K248" s="19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 spans="1:26">
      <c r="A249" s="5"/>
      <c r="B249" s="4"/>
      <c r="C249" s="5"/>
      <c r="D249" s="2"/>
      <c r="E249" s="2"/>
      <c r="F249" s="2"/>
      <c r="G249" s="3"/>
      <c r="H249" s="2"/>
      <c r="I249" s="5"/>
      <c r="J249" s="5"/>
      <c r="K249" s="19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 spans="1:26">
      <c r="A250" s="5"/>
      <c r="B250" s="4"/>
      <c r="C250" s="5"/>
      <c r="D250" s="2"/>
      <c r="E250" s="2"/>
      <c r="F250" s="2"/>
      <c r="G250" s="3"/>
      <c r="H250" s="2"/>
      <c r="I250" s="5"/>
      <c r="J250" s="5"/>
      <c r="K250" s="19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 spans="1:26">
      <c r="A251" s="5"/>
      <c r="B251" s="4"/>
      <c r="C251" s="5"/>
      <c r="D251" s="2"/>
      <c r="E251" s="2"/>
      <c r="F251" s="2"/>
      <c r="G251" s="3"/>
      <c r="H251" s="2"/>
      <c r="I251" s="5"/>
      <c r="J251" s="5"/>
      <c r="K251" s="19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 spans="1:26">
      <c r="A252" s="5"/>
      <c r="B252" s="4"/>
      <c r="C252" s="5"/>
      <c r="D252" s="2"/>
      <c r="E252" s="2"/>
      <c r="F252" s="2"/>
      <c r="G252" s="3"/>
      <c r="H252" s="2"/>
      <c r="I252" s="5"/>
      <c r="J252" s="5"/>
      <c r="K252" s="19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 spans="1:26">
      <c r="A253" s="5"/>
      <c r="B253" s="4"/>
      <c r="C253" s="5"/>
      <c r="D253" s="2"/>
      <c r="E253" s="2"/>
      <c r="F253" s="2"/>
      <c r="G253" s="3"/>
      <c r="H253" s="2"/>
      <c r="I253" s="5"/>
      <c r="J253" s="5"/>
      <c r="K253" s="19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 spans="1:26">
      <c r="A254" s="5"/>
      <c r="B254" s="4"/>
      <c r="C254" s="5"/>
      <c r="D254" s="2"/>
      <c r="E254" s="2"/>
      <c r="F254" s="2"/>
      <c r="G254" s="3"/>
      <c r="H254" s="2"/>
      <c r="I254" s="5"/>
      <c r="J254" s="5"/>
      <c r="K254" s="19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 spans="1:26">
      <c r="A255" s="5"/>
      <c r="B255" s="4"/>
      <c r="C255" s="5"/>
      <c r="D255" s="2"/>
      <c r="E255" s="2"/>
      <c r="F255" s="2"/>
      <c r="G255" s="3"/>
      <c r="H255" s="2"/>
      <c r="I255" s="5"/>
      <c r="J255" s="5"/>
      <c r="K255" s="19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 spans="1:26">
      <c r="A256" s="5"/>
      <c r="B256" s="4"/>
      <c r="C256" s="5"/>
      <c r="D256" s="2"/>
      <c r="E256" s="2"/>
      <c r="F256" s="2"/>
      <c r="G256" s="3"/>
      <c r="H256" s="2"/>
      <c r="I256" s="5"/>
      <c r="J256" s="5"/>
      <c r="K256" s="19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 spans="1:26">
      <c r="A257" s="5"/>
      <c r="B257" s="4"/>
      <c r="C257" s="5"/>
      <c r="D257" s="2"/>
      <c r="E257" s="2"/>
      <c r="F257" s="2"/>
      <c r="G257" s="3"/>
      <c r="H257" s="2"/>
      <c r="I257" s="5"/>
      <c r="J257" s="5"/>
      <c r="K257" s="19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 spans="1:26">
      <c r="A258" s="5"/>
      <c r="B258" s="4"/>
      <c r="C258" s="5"/>
      <c r="D258" s="2"/>
      <c r="E258" s="2"/>
      <c r="F258" s="2"/>
      <c r="G258" s="3"/>
      <c r="H258" s="2"/>
      <c r="I258" s="5"/>
      <c r="J258" s="5"/>
      <c r="K258" s="19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 spans="1:26">
      <c r="A259" s="5"/>
      <c r="B259" s="4"/>
      <c r="C259" s="5"/>
      <c r="D259" s="2"/>
      <c r="E259" s="2"/>
      <c r="F259" s="2"/>
      <c r="G259" s="3"/>
      <c r="H259" s="2"/>
      <c r="I259" s="5"/>
      <c r="J259" s="5"/>
      <c r="K259" s="19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 spans="1:26">
      <c r="A260" s="5"/>
      <c r="B260" s="4"/>
      <c r="C260" s="5"/>
      <c r="D260" s="2"/>
      <c r="E260" s="2"/>
      <c r="F260" s="2"/>
      <c r="G260" s="3"/>
      <c r="H260" s="2"/>
      <c r="I260" s="5"/>
      <c r="J260" s="5"/>
      <c r="K260" s="19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 spans="1:26">
      <c r="A261" s="5"/>
      <c r="B261" s="4"/>
      <c r="C261" s="5"/>
      <c r="D261" s="2"/>
      <c r="E261" s="2"/>
      <c r="F261" s="2"/>
      <c r="G261" s="3"/>
      <c r="H261" s="2"/>
      <c r="I261" s="5"/>
      <c r="J261" s="5"/>
      <c r="K261" s="19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 spans="1:26">
      <c r="A262" s="5"/>
      <c r="B262" s="4"/>
      <c r="C262" s="5"/>
      <c r="D262" s="2"/>
      <c r="E262" s="2"/>
      <c r="F262" s="2"/>
      <c r="G262" s="3"/>
      <c r="H262" s="2"/>
      <c r="I262" s="5"/>
      <c r="J262" s="5"/>
      <c r="K262" s="19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 spans="1:26">
      <c r="A263" s="5"/>
      <c r="B263" s="4"/>
      <c r="C263" s="5"/>
      <c r="D263" s="2"/>
      <c r="E263" s="2"/>
      <c r="F263" s="2"/>
      <c r="G263" s="3"/>
      <c r="H263" s="2"/>
      <c r="I263" s="5"/>
      <c r="J263" s="5"/>
      <c r="K263" s="19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 spans="1:26">
      <c r="A264" s="5"/>
      <c r="B264" s="4"/>
      <c r="C264" s="5"/>
      <c r="D264" s="2"/>
      <c r="E264" s="2"/>
      <c r="F264" s="2"/>
      <c r="G264" s="3"/>
      <c r="H264" s="2"/>
      <c r="I264" s="5"/>
      <c r="J264" s="5"/>
      <c r="K264" s="19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 spans="1:26">
      <c r="A265" s="5"/>
      <c r="B265" s="4"/>
      <c r="C265" s="5"/>
      <c r="D265" s="2"/>
      <c r="E265" s="2"/>
      <c r="F265" s="2"/>
      <c r="G265" s="3"/>
      <c r="H265" s="2"/>
      <c r="I265" s="5"/>
      <c r="J265" s="5"/>
      <c r="K265" s="19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 spans="1:26">
      <c r="A266" s="5"/>
      <c r="B266" s="4"/>
      <c r="C266" s="5"/>
      <c r="D266" s="2"/>
      <c r="E266" s="2"/>
      <c r="F266" s="2"/>
      <c r="G266" s="3"/>
      <c r="H266" s="2"/>
      <c r="I266" s="5"/>
      <c r="J266" s="5"/>
      <c r="K266" s="19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 spans="1:26">
      <c r="A267" s="5"/>
      <c r="B267" s="4"/>
      <c r="C267" s="5"/>
      <c r="D267" s="2"/>
      <c r="E267" s="2"/>
      <c r="F267" s="2"/>
      <c r="G267" s="3"/>
      <c r="H267" s="2"/>
      <c r="I267" s="5"/>
      <c r="J267" s="5"/>
      <c r="K267" s="19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 spans="1:26">
      <c r="A268" s="5"/>
      <c r="B268" s="4"/>
      <c r="C268" s="5"/>
      <c r="D268" s="2"/>
      <c r="E268" s="2"/>
      <c r="F268" s="2"/>
      <c r="G268" s="3"/>
      <c r="H268" s="2"/>
      <c r="I268" s="5"/>
      <c r="J268" s="5"/>
      <c r="K268" s="19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 spans="1:26">
      <c r="A269" s="5"/>
      <c r="B269" s="4"/>
      <c r="C269" s="5"/>
      <c r="D269" s="2"/>
      <c r="E269" s="2"/>
      <c r="F269" s="2"/>
      <c r="G269" s="3"/>
      <c r="H269" s="2"/>
      <c r="I269" s="5"/>
      <c r="J269" s="5"/>
      <c r="K269" s="19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 spans="1:26">
      <c r="A270" s="5"/>
      <c r="B270" s="4"/>
      <c r="C270" s="5"/>
      <c r="D270" s="2"/>
      <c r="E270" s="2"/>
      <c r="F270" s="2"/>
      <c r="G270" s="3"/>
      <c r="H270" s="2"/>
      <c r="I270" s="5"/>
      <c r="J270" s="5"/>
      <c r="K270" s="19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 spans="1:26">
      <c r="A271" s="5"/>
      <c r="B271" s="4"/>
      <c r="C271" s="5"/>
      <c r="D271" s="2"/>
      <c r="E271" s="2"/>
      <c r="F271" s="2"/>
      <c r="G271" s="3"/>
      <c r="H271" s="2"/>
      <c r="I271" s="5"/>
      <c r="J271" s="5"/>
      <c r="K271" s="19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 spans="1:26">
      <c r="A272" s="5"/>
      <c r="B272" s="4"/>
      <c r="C272" s="5"/>
      <c r="D272" s="2"/>
      <c r="E272" s="2"/>
      <c r="F272" s="2"/>
      <c r="G272" s="3"/>
      <c r="H272" s="2"/>
      <c r="I272" s="5"/>
      <c r="J272" s="5"/>
      <c r="K272" s="19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 spans="1:26">
      <c r="A273" s="5"/>
      <c r="B273" s="4"/>
      <c r="C273" s="5"/>
      <c r="D273" s="2"/>
      <c r="E273" s="2"/>
      <c r="F273" s="2"/>
      <c r="G273" s="3"/>
      <c r="H273" s="2"/>
      <c r="I273" s="5"/>
      <c r="J273" s="5"/>
      <c r="K273" s="19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 spans="1:26">
      <c r="A274" s="5"/>
      <c r="B274" s="4"/>
      <c r="C274" s="5"/>
      <c r="D274" s="2"/>
      <c r="E274" s="2"/>
      <c r="F274" s="2"/>
      <c r="G274" s="3"/>
      <c r="H274" s="2"/>
      <c r="I274" s="5"/>
      <c r="J274" s="5"/>
      <c r="K274" s="19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 spans="1:26">
      <c r="A275" s="5"/>
      <c r="B275" s="4"/>
      <c r="C275" s="5"/>
      <c r="D275" s="2"/>
      <c r="E275" s="2"/>
      <c r="F275" s="2"/>
      <c r="G275" s="3"/>
      <c r="H275" s="2"/>
      <c r="I275" s="5"/>
      <c r="J275" s="5"/>
      <c r="K275" s="19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 spans="1:26">
      <c r="A276" s="5"/>
      <c r="B276" s="4"/>
      <c r="C276" s="5"/>
      <c r="D276" s="2"/>
      <c r="E276" s="2"/>
      <c r="F276" s="2"/>
      <c r="G276" s="3"/>
      <c r="H276" s="2"/>
      <c r="I276" s="5"/>
      <c r="J276" s="5"/>
      <c r="K276" s="19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 spans="1:26">
      <c r="A277" s="5"/>
      <c r="B277" s="4"/>
      <c r="C277" s="5"/>
      <c r="D277" s="2"/>
      <c r="E277" s="2"/>
      <c r="F277" s="2"/>
      <c r="G277" s="3"/>
      <c r="H277" s="2"/>
      <c r="I277" s="5"/>
      <c r="J277" s="5"/>
      <c r="K277" s="19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 spans="1:26">
      <c r="A278" s="5"/>
      <c r="B278" s="4"/>
      <c r="C278" s="5"/>
      <c r="D278" s="2"/>
      <c r="E278" s="2"/>
      <c r="F278" s="2"/>
      <c r="G278" s="3"/>
      <c r="H278" s="2"/>
      <c r="I278" s="5"/>
      <c r="J278" s="5"/>
      <c r="K278" s="19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 spans="1:26">
      <c r="A279" s="5"/>
      <c r="B279" s="4"/>
      <c r="C279" s="5"/>
      <c r="D279" s="2"/>
      <c r="E279" s="2"/>
      <c r="F279" s="2"/>
      <c r="G279" s="3"/>
      <c r="H279" s="2"/>
      <c r="I279" s="5"/>
      <c r="J279" s="5"/>
      <c r="K279" s="19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 spans="1:26">
      <c r="A280" s="5"/>
      <c r="B280" s="4"/>
      <c r="C280" s="5"/>
      <c r="D280" s="2"/>
      <c r="E280" s="2"/>
      <c r="F280" s="2"/>
      <c r="G280" s="3"/>
      <c r="H280" s="2"/>
      <c r="I280" s="5"/>
      <c r="J280" s="5"/>
      <c r="K280" s="19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 spans="1:26">
      <c r="A281" s="5"/>
      <c r="B281" s="4"/>
      <c r="C281" s="5"/>
      <c r="D281" s="2"/>
      <c r="E281" s="2"/>
      <c r="F281" s="2"/>
      <c r="G281" s="3"/>
      <c r="H281" s="2"/>
      <c r="I281" s="5"/>
      <c r="J281" s="5"/>
      <c r="K281" s="19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 spans="1:26">
      <c r="A282" s="5"/>
      <c r="B282" s="4"/>
      <c r="C282" s="5"/>
      <c r="D282" s="2"/>
      <c r="E282" s="2"/>
      <c r="F282" s="2"/>
      <c r="G282" s="3"/>
      <c r="H282" s="2"/>
      <c r="I282" s="5"/>
      <c r="J282" s="5"/>
      <c r="K282" s="19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 spans="1:26">
      <c r="A283" s="5"/>
      <c r="B283" s="4"/>
      <c r="C283" s="5"/>
      <c r="D283" s="2"/>
      <c r="E283" s="2"/>
      <c r="F283" s="2"/>
      <c r="G283" s="3"/>
      <c r="H283" s="2"/>
      <c r="I283" s="5"/>
      <c r="J283" s="5"/>
      <c r="K283" s="19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 spans="1:26">
      <c r="A284" s="5"/>
      <c r="B284" s="4"/>
      <c r="C284" s="5"/>
      <c r="D284" s="2"/>
      <c r="E284" s="2"/>
      <c r="F284" s="2"/>
      <c r="G284" s="3"/>
      <c r="H284" s="2"/>
      <c r="I284" s="5"/>
      <c r="J284" s="5"/>
      <c r="K284" s="19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 spans="1:26">
      <c r="A285" s="5"/>
      <c r="B285" s="4"/>
      <c r="C285" s="5"/>
      <c r="D285" s="2"/>
      <c r="E285" s="2"/>
      <c r="F285" s="2"/>
      <c r="G285" s="3"/>
      <c r="H285" s="2"/>
      <c r="I285" s="5"/>
      <c r="J285" s="5"/>
      <c r="K285" s="19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 spans="1:26">
      <c r="A286" s="5"/>
      <c r="B286" s="4"/>
      <c r="C286" s="5"/>
      <c r="D286" s="2"/>
      <c r="E286" s="2"/>
      <c r="F286" s="2"/>
      <c r="G286" s="3"/>
      <c r="H286" s="2"/>
      <c r="I286" s="5"/>
      <c r="J286" s="5"/>
      <c r="K286" s="19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 spans="1:26">
      <c r="A287" s="5"/>
      <c r="B287" s="4"/>
      <c r="C287" s="5"/>
      <c r="D287" s="2"/>
      <c r="E287" s="2"/>
      <c r="F287" s="2"/>
      <c r="G287" s="3"/>
      <c r="H287" s="2"/>
      <c r="I287" s="5"/>
      <c r="J287" s="5"/>
      <c r="K287" s="19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 spans="1:26">
      <c r="A288" s="5"/>
      <c r="B288" s="4"/>
      <c r="C288" s="5"/>
      <c r="D288" s="2"/>
      <c r="E288" s="2"/>
      <c r="F288" s="2"/>
      <c r="G288" s="3"/>
      <c r="H288" s="2"/>
      <c r="I288" s="5"/>
      <c r="J288" s="5"/>
      <c r="K288" s="19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 spans="1:26">
      <c r="A289" s="5"/>
      <c r="B289" s="4"/>
      <c r="C289" s="5"/>
      <c r="D289" s="2"/>
      <c r="E289" s="2"/>
      <c r="F289" s="2"/>
      <c r="G289" s="3"/>
      <c r="H289" s="2"/>
      <c r="I289" s="5"/>
      <c r="J289" s="5"/>
      <c r="K289" s="19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 spans="1:26">
      <c r="A290" s="5"/>
      <c r="B290" s="4"/>
      <c r="C290" s="5"/>
      <c r="D290" s="2"/>
      <c r="E290" s="2"/>
      <c r="F290" s="2"/>
      <c r="G290" s="3"/>
      <c r="H290" s="2"/>
      <c r="I290" s="5"/>
      <c r="J290" s="5"/>
      <c r="K290" s="19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 spans="1:26">
      <c r="A291" s="5"/>
      <c r="B291" s="4"/>
      <c r="C291" s="5"/>
      <c r="D291" s="2"/>
      <c r="E291" s="2"/>
      <c r="F291" s="2"/>
      <c r="G291" s="3"/>
      <c r="H291" s="2"/>
      <c r="I291" s="5"/>
      <c r="J291" s="5"/>
      <c r="K291" s="19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 spans="1:26">
      <c r="A292" s="5"/>
      <c r="B292" s="4"/>
      <c r="C292" s="5"/>
      <c r="D292" s="2"/>
      <c r="E292" s="2"/>
      <c r="F292" s="2"/>
      <c r="G292" s="3"/>
      <c r="H292" s="2"/>
      <c r="I292" s="5"/>
      <c r="J292" s="5"/>
      <c r="K292" s="19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 spans="1:26">
      <c r="A293" s="5"/>
      <c r="B293" s="4"/>
      <c r="C293" s="5"/>
      <c r="D293" s="2"/>
      <c r="E293" s="2"/>
      <c r="F293" s="2"/>
      <c r="G293" s="3"/>
      <c r="H293" s="2"/>
      <c r="I293" s="5"/>
      <c r="J293" s="5"/>
      <c r="K293" s="19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 spans="1:26">
      <c r="A294" s="5"/>
      <c r="B294" s="4"/>
      <c r="C294" s="5"/>
      <c r="D294" s="2"/>
      <c r="E294" s="2"/>
      <c r="F294" s="2"/>
      <c r="G294" s="3"/>
      <c r="H294" s="2"/>
      <c r="I294" s="5"/>
      <c r="J294" s="5"/>
      <c r="K294" s="19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 spans="1:26">
      <c r="A295" s="5"/>
      <c r="B295" s="4"/>
      <c r="C295" s="5"/>
      <c r="D295" s="2"/>
      <c r="E295" s="2"/>
      <c r="F295" s="2"/>
      <c r="G295" s="3"/>
      <c r="H295" s="2"/>
      <c r="I295" s="5"/>
      <c r="J295" s="5"/>
      <c r="K295" s="19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 spans="1:26">
      <c r="A296" s="5"/>
      <c r="B296" s="4"/>
      <c r="C296" s="5"/>
      <c r="D296" s="2"/>
      <c r="E296" s="2"/>
      <c r="F296" s="2"/>
      <c r="G296" s="3"/>
      <c r="H296" s="2"/>
      <c r="I296" s="5"/>
      <c r="J296" s="5"/>
      <c r="K296" s="19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 spans="1:26">
      <c r="A297" s="5"/>
      <c r="B297" s="4"/>
      <c r="C297" s="5"/>
      <c r="D297" s="2"/>
      <c r="E297" s="2"/>
      <c r="F297" s="2"/>
      <c r="G297" s="3"/>
      <c r="H297" s="2"/>
      <c r="I297" s="5"/>
      <c r="J297" s="5"/>
      <c r="K297" s="19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 spans="1:26">
      <c r="A298" s="5"/>
      <c r="B298" s="4"/>
      <c r="C298" s="5"/>
      <c r="D298" s="2"/>
      <c r="E298" s="2"/>
      <c r="F298" s="2"/>
      <c r="G298" s="3"/>
      <c r="H298" s="2"/>
      <c r="I298" s="5"/>
      <c r="J298" s="5"/>
      <c r="K298" s="19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 spans="1:26">
      <c r="A299" s="5"/>
      <c r="B299" s="4"/>
      <c r="C299" s="5"/>
      <c r="D299" s="2"/>
      <c r="E299" s="2"/>
      <c r="F299" s="2"/>
      <c r="G299" s="3"/>
      <c r="H299" s="2"/>
      <c r="I299" s="5"/>
      <c r="J299" s="5"/>
      <c r="K299" s="19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 spans="1:26">
      <c r="A300" s="5"/>
      <c r="B300" s="4"/>
      <c r="C300" s="5"/>
      <c r="D300" s="2"/>
      <c r="E300" s="2"/>
      <c r="F300" s="2"/>
      <c r="G300" s="3"/>
      <c r="H300" s="2"/>
      <c r="I300" s="5"/>
      <c r="J300" s="5"/>
      <c r="K300" s="19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 spans="1:26">
      <c r="A301" s="5"/>
      <c r="B301" s="4"/>
      <c r="C301" s="5"/>
      <c r="D301" s="2"/>
      <c r="E301" s="2"/>
      <c r="F301" s="2"/>
      <c r="G301" s="3"/>
      <c r="H301" s="2"/>
      <c r="I301" s="5"/>
      <c r="J301" s="5"/>
      <c r="K301" s="19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 spans="1:26">
      <c r="A302" s="5"/>
      <c r="B302" s="4"/>
      <c r="C302" s="5"/>
      <c r="D302" s="2"/>
      <c r="E302" s="2"/>
      <c r="F302" s="2"/>
      <c r="G302" s="3"/>
      <c r="H302" s="2"/>
      <c r="I302" s="5"/>
      <c r="J302" s="5"/>
      <c r="K302" s="19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 spans="1:26">
      <c r="A303" s="5"/>
      <c r="B303" s="4"/>
      <c r="C303" s="5"/>
      <c r="D303" s="2"/>
      <c r="E303" s="2"/>
      <c r="F303" s="2"/>
      <c r="G303" s="3"/>
      <c r="H303" s="2"/>
      <c r="I303" s="5"/>
      <c r="J303" s="5"/>
      <c r="K303" s="19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 spans="1:26">
      <c r="A304" s="5"/>
      <c r="B304" s="4"/>
      <c r="C304" s="5"/>
      <c r="D304" s="2"/>
      <c r="E304" s="2"/>
      <c r="F304" s="2"/>
      <c r="G304" s="3"/>
      <c r="H304" s="2"/>
      <c r="I304" s="5"/>
      <c r="J304" s="5"/>
      <c r="K304" s="19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 spans="1:26">
      <c r="A305" s="5"/>
      <c r="B305" s="4"/>
      <c r="C305" s="5"/>
      <c r="D305" s="2"/>
      <c r="E305" s="2"/>
      <c r="F305" s="2"/>
      <c r="G305" s="3"/>
      <c r="H305" s="2"/>
      <c r="I305" s="5"/>
      <c r="J305" s="5"/>
      <c r="K305" s="19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 spans="1:26">
      <c r="A306" s="5"/>
      <c r="B306" s="4"/>
      <c r="C306" s="5"/>
      <c r="D306" s="2"/>
      <c r="E306" s="2"/>
      <c r="F306" s="2"/>
      <c r="G306" s="3"/>
      <c r="H306" s="2"/>
      <c r="I306" s="5"/>
      <c r="J306" s="5"/>
      <c r="K306" s="19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 spans="1:26">
      <c r="A307" s="5"/>
      <c r="B307" s="4"/>
      <c r="C307" s="5"/>
      <c r="D307" s="2"/>
      <c r="E307" s="2"/>
      <c r="F307" s="2"/>
      <c r="G307" s="3"/>
      <c r="H307" s="2"/>
      <c r="I307" s="5"/>
      <c r="J307" s="5"/>
      <c r="K307" s="19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 spans="1:26">
      <c r="A308" s="5"/>
      <c r="B308" s="4"/>
      <c r="C308" s="5"/>
      <c r="D308" s="2"/>
      <c r="E308" s="2"/>
      <c r="F308" s="2"/>
      <c r="G308" s="3"/>
      <c r="H308" s="2"/>
      <c r="I308" s="5"/>
      <c r="J308" s="5"/>
      <c r="K308" s="19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 spans="1:26">
      <c r="A309" s="5"/>
      <c r="B309" s="4"/>
      <c r="C309" s="5"/>
      <c r="D309" s="2"/>
      <c r="E309" s="2"/>
      <c r="F309" s="2"/>
      <c r="G309" s="3"/>
      <c r="H309" s="2"/>
      <c r="I309" s="5"/>
      <c r="J309" s="5"/>
      <c r="K309" s="19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 spans="1:26">
      <c r="A310" s="5"/>
      <c r="B310" s="4"/>
      <c r="C310" s="5"/>
      <c r="D310" s="2"/>
      <c r="E310" s="2"/>
      <c r="F310" s="2"/>
      <c r="G310" s="3"/>
      <c r="H310" s="2"/>
      <c r="I310" s="5"/>
      <c r="J310" s="5"/>
      <c r="K310" s="19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 spans="1:26">
      <c r="A311" s="5"/>
      <c r="B311" s="4"/>
      <c r="C311" s="5"/>
      <c r="D311" s="2"/>
      <c r="E311" s="2"/>
      <c r="F311" s="2"/>
      <c r="G311" s="3"/>
      <c r="H311" s="2"/>
      <c r="I311" s="5"/>
      <c r="J311" s="5"/>
      <c r="K311" s="19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 spans="1:26">
      <c r="A312" s="5"/>
      <c r="B312" s="4"/>
      <c r="C312" s="5"/>
      <c r="D312" s="2"/>
      <c r="E312" s="2"/>
      <c r="F312" s="2"/>
      <c r="G312" s="3"/>
      <c r="H312" s="2"/>
      <c r="I312" s="5"/>
      <c r="J312" s="5"/>
      <c r="K312" s="19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 spans="1:26">
      <c r="A313" s="5"/>
      <c r="B313" s="4"/>
      <c r="C313" s="5"/>
      <c r="D313" s="2"/>
      <c r="E313" s="2"/>
      <c r="F313" s="2"/>
      <c r="G313" s="3"/>
      <c r="H313" s="2"/>
      <c r="I313" s="5"/>
      <c r="J313" s="5"/>
      <c r="K313" s="19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 spans="1:26">
      <c r="A314" s="5"/>
      <c r="B314" s="4"/>
      <c r="C314" s="5"/>
      <c r="D314" s="2"/>
      <c r="E314" s="2"/>
      <c r="F314" s="2"/>
      <c r="G314" s="3"/>
      <c r="H314" s="2"/>
      <c r="I314" s="5"/>
      <c r="J314" s="5"/>
      <c r="K314" s="19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 spans="1:26">
      <c r="A315" s="5"/>
      <c r="B315" s="4"/>
      <c r="C315" s="5"/>
      <c r="D315" s="2"/>
      <c r="E315" s="2"/>
      <c r="F315" s="2"/>
      <c r="G315" s="3"/>
      <c r="H315" s="2"/>
      <c r="I315" s="5"/>
      <c r="J315" s="5"/>
      <c r="K315" s="19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 spans="1:26">
      <c r="A316" s="5"/>
      <c r="B316" s="4"/>
      <c r="C316" s="5"/>
      <c r="D316" s="2"/>
      <c r="E316" s="2"/>
      <c r="F316" s="2"/>
      <c r="G316" s="3"/>
      <c r="H316" s="2"/>
      <c r="I316" s="5"/>
      <c r="J316" s="5"/>
      <c r="K316" s="19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 spans="1:26">
      <c r="A317" s="5"/>
      <c r="B317" s="4"/>
      <c r="C317" s="5"/>
      <c r="D317" s="2"/>
      <c r="E317" s="2"/>
      <c r="F317" s="2"/>
      <c r="G317" s="3"/>
      <c r="H317" s="2"/>
      <c r="I317" s="5"/>
      <c r="J317" s="5"/>
      <c r="K317" s="19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 spans="1:26">
      <c r="A318" s="5"/>
      <c r="B318" s="4"/>
      <c r="C318" s="5"/>
      <c r="D318" s="2"/>
      <c r="E318" s="2"/>
      <c r="F318" s="2"/>
      <c r="G318" s="3"/>
      <c r="H318" s="2"/>
      <c r="I318" s="5"/>
      <c r="J318" s="5"/>
      <c r="K318" s="19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 spans="1:26">
      <c r="A319" s="5"/>
      <c r="B319" s="4"/>
      <c r="C319" s="5"/>
      <c r="D319" s="2"/>
      <c r="E319" s="2"/>
      <c r="F319" s="2"/>
      <c r="G319" s="3"/>
      <c r="H319" s="2"/>
      <c r="I319" s="5"/>
      <c r="J319" s="5"/>
      <c r="K319" s="19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 spans="1:26">
      <c r="A320" s="5"/>
      <c r="B320" s="4"/>
      <c r="C320" s="5"/>
      <c r="D320" s="2"/>
      <c r="E320" s="2"/>
      <c r="F320" s="2"/>
      <c r="G320" s="3"/>
      <c r="H320" s="2"/>
      <c r="I320" s="5"/>
      <c r="J320" s="5"/>
      <c r="K320" s="19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 spans="1:26">
      <c r="A321" s="5"/>
      <c r="B321" s="4"/>
      <c r="C321" s="5"/>
      <c r="D321" s="2"/>
      <c r="E321" s="2"/>
      <c r="F321" s="2"/>
      <c r="G321" s="3"/>
      <c r="H321" s="2"/>
      <c r="I321" s="5"/>
      <c r="J321" s="5"/>
      <c r="K321" s="19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 spans="1:26">
      <c r="A322" s="5"/>
      <c r="B322" s="4"/>
      <c r="C322" s="5"/>
      <c r="D322" s="2"/>
      <c r="E322" s="2"/>
      <c r="F322" s="2"/>
      <c r="G322" s="3"/>
      <c r="H322" s="2"/>
      <c r="I322" s="5"/>
      <c r="J322" s="5"/>
      <c r="K322" s="19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 spans="1:26">
      <c r="A323" s="5"/>
      <c r="B323" s="4"/>
      <c r="C323" s="5"/>
      <c r="D323" s="2"/>
      <c r="E323" s="2"/>
      <c r="F323" s="2"/>
      <c r="G323" s="3"/>
      <c r="H323" s="2"/>
      <c r="I323" s="5"/>
      <c r="J323" s="5"/>
      <c r="K323" s="19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 spans="1:26">
      <c r="A324" s="5"/>
      <c r="B324" s="4"/>
      <c r="C324" s="5"/>
      <c r="D324" s="2"/>
      <c r="E324" s="2"/>
      <c r="F324" s="2"/>
      <c r="G324" s="3"/>
      <c r="H324" s="2"/>
      <c r="I324" s="5"/>
      <c r="J324" s="5"/>
      <c r="K324" s="19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 spans="1:26">
      <c r="A325" s="5"/>
      <c r="B325" s="4"/>
      <c r="C325" s="5"/>
      <c r="D325" s="2"/>
      <c r="E325" s="2"/>
      <c r="F325" s="2"/>
      <c r="G325" s="3"/>
      <c r="H325" s="2"/>
      <c r="I325" s="5"/>
      <c r="J325" s="5"/>
      <c r="K325" s="19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 spans="1:26">
      <c r="A326" s="5"/>
      <c r="B326" s="4"/>
      <c r="C326" s="5"/>
      <c r="D326" s="2"/>
      <c r="E326" s="2"/>
      <c r="F326" s="2"/>
      <c r="G326" s="3"/>
      <c r="H326" s="2"/>
      <c r="I326" s="5"/>
      <c r="J326" s="5"/>
      <c r="K326" s="19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 spans="1:26">
      <c r="A327" s="5"/>
      <c r="B327" s="4"/>
      <c r="C327" s="5"/>
      <c r="D327" s="2"/>
      <c r="E327" s="2"/>
      <c r="F327" s="2"/>
      <c r="G327" s="3"/>
      <c r="H327" s="2"/>
      <c r="I327" s="5"/>
      <c r="J327" s="5"/>
      <c r="K327" s="19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 spans="1:26">
      <c r="A328" s="5"/>
      <c r="B328" s="4"/>
      <c r="C328" s="5"/>
      <c r="D328" s="2"/>
      <c r="E328" s="2"/>
      <c r="F328" s="2"/>
      <c r="G328" s="3"/>
      <c r="H328" s="2"/>
      <c r="I328" s="5"/>
      <c r="J328" s="5"/>
      <c r="K328" s="19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 spans="1:26">
      <c r="A329" s="5"/>
      <c r="B329" s="4"/>
      <c r="C329" s="5"/>
      <c r="D329" s="2"/>
      <c r="E329" s="2"/>
      <c r="F329" s="2"/>
      <c r="G329" s="3"/>
      <c r="H329" s="2"/>
      <c r="I329" s="5"/>
      <c r="J329" s="5"/>
      <c r="K329" s="19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 spans="1:26">
      <c r="A330" s="5"/>
      <c r="B330" s="4"/>
      <c r="C330" s="5"/>
      <c r="D330" s="2"/>
      <c r="E330" s="2"/>
      <c r="F330" s="2"/>
      <c r="G330" s="3"/>
      <c r="H330" s="2"/>
      <c r="I330" s="5"/>
      <c r="J330" s="5"/>
      <c r="K330" s="19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 spans="1:26">
      <c r="A331" s="5"/>
      <c r="B331" s="4"/>
      <c r="C331" s="5"/>
      <c r="D331" s="2"/>
      <c r="E331" s="2"/>
      <c r="F331" s="2"/>
      <c r="G331" s="3"/>
      <c r="H331" s="2"/>
      <c r="I331" s="5"/>
      <c r="J331" s="5"/>
      <c r="K331" s="19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 spans="1:26">
      <c r="A332" s="5"/>
      <c r="B332" s="4"/>
      <c r="C332" s="5"/>
      <c r="D332" s="2"/>
      <c r="E332" s="2"/>
      <c r="F332" s="2"/>
      <c r="G332" s="3"/>
      <c r="H332" s="2"/>
      <c r="I332" s="5"/>
      <c r="J332" s="5"/>
      <c r="K332" s="19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 spans="1:26">
      <c r="A333" s="5"/>
      <c r="B333" s="4"/>
      <c r="C333" s="5"/>
      <c r="D333" s="2"/>
      <c r="E333" s="2"/>
      <c r="F333" s="2"/>
      <c r="G333" s="3"/>
      <c r="H333" s="2"/>
      <c r="I333" s="5"/>
      <c r="J333" s="5"/>
      <c r="K333" s="19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 spans="1:26">
      <c r="A334" s="5"/>
      <c r="B334" s="4"/>
      <c r="C334" s="5"/>
      <c r="D334" s="2"/>
      <c r="E334" s="2"/>
      <c r="F334" s="2"/>
      <c r="G334" s="3"/>
      <c r="H334" s="2"/>
      <c r="I334" s="5"/>
      <c r="J334" s="5"/>
      <c r="K334" s="19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 spans="1:26">
      <c r="A335" s="5"/>
      <c r="B335" s="4"/>
      <c r="C335" s="5"/>
      <c r="D335" s="2"/>
      <c r="E335" s="2"/>
      <c r="F335" s="2"/>
      <c r="G335" s="3"/>
      <c r="H335" s="2"/>
      <c r="I335" s="5"/>
      <c r="J335" s="5"/>
      <c r="K335" s="19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 spans="1:26">
      <c r="A336" s="5"/>
      <c r="B336" s="4"/>
      <c r="C336" s="5"/>
      <c r="D336" s="2"/>
      <c r="E336" s="2"/>
      <c r="F336" s="2"/>
      <c r="G336" s="3"/>
      <c r="H336" s="2"/>
      <c r="I336" s="5"/>
      <c r="J336" s="5"/>
      <c r="K336" s="19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 spans="1:26">
      <c r="A337" s="5"/>
      <c r="B337" s="4"/>
      <c r="C337" s="5"/>
      <c r="D337" s="2"/>
      <c r="E337" s="2"/>
      <c r="F337" s="2"/>
      <c r="G337" s="3"/>
      <c r="H337" s="2"/>
      <c r="I337" s="5"/>
      <c r="J337" s="5"/>
      <c r="K337" s="19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 spans="1:26">
      <c r="A338" s="5"/>
      <c r="B338" s="4"/>
      <c r="C338" s="5"/>
      <c r="D338" s="2"/>
      <c r="E338" s="2"/>
      <c r="F338" s="2"/>
      <c r="G338" s="3"/>
      <c r="H338" s="2"/>
      <c r="I338" s="5"/>
      <c r="J338" s="5"/>
      <c r="K338" s="19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 spans="1:26">
      <c r="A339" s="5"/>
      <c r="B339" s="4"/>
      <c r="C339" s="5"/>
      <c r="D339" s="2"/>
      <c r="E339" s="2"/>
      <c r="F339" s="2"/>
      <c r="G339" s="3"/>
      <c r="H339" s="2"/>
      <c r="I339" s="5"/>
      <c r="J339" s="5"/>
      <c r="K339" s="19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 spans="1:26">
      <c r="A340" s="5"/>
      <c r="B340" s="4"/>
      <c r="C340" s="5"/>
      <c r="D340" s="2"/>
      <c r="E340" s="2"/>
      <c r="F340" s="2"/>
      <c r="G340" s="3"/>
      <c r="H340" s="2"/>
      <c r="I340" s="5"/>
      <c r="J340" s="5"/>
      <c r="K340" s="19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 spans="1:26">
      <c r="A341" s="5"/>
      <c r="B341" s="4"/>
      <c r="C341" s="5"/>
      <c r="D341" s="2"/>
      <c r="E341" s="2"/>
      <c r="F341" s="2"/>
      <c r="G341" s="3"/>
      <c r="H341" s="2"/>
      <c r="I341" s="5"/>
      <c r="J341" s="5"/>
      <c r="K341" s="19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 spans="1:26">
      <c r="A342" s="5"/>
      <c r="B342" s="4"/>
      <c r="C342" s="5"/>
      <c r="D342" s="2"/>
      <c r="E342" s="2"/>
      <c r="F342" s="2"/>
      <c r="G342" s="3"/>
      <c r="H342" s="2"/>
      <c r="I342" s="5"/>
      <c r="J342" s="5"/>
      <c r="K342" s="19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 spans="1:26">
      <c r="A343" s="5"/>
      <c r="B343" s="4"/>
      <c r="C343" s="5"/>
      <c r="D343" s="2"/>
      <c r="E343" s="2"/>
      <c r="F343" s="2"/>
      <c r="G343" s="3"/>
      <c r="H343" s="2"/>
      <c r="I343" s="5"/>
      <c r="J343" s="5"/>
      <c r="K343" s="19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 spans="1:26">
      <c r="A344" s="5"/>
      <c r="B344" s="4"/>
      <c r="C344" s="5"/>
      <c r="D344" s="2"/>
      <c r="E344" s="2"/>
      <c r="F344" s="2"/>
      <c r="G344" s="3"/>
      <c r="H344" s="2"/>
      <c r="I344" s="5"/>
      <c r="J344" s="5"/>
      <c r="K344" s="19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 spans="1:26">
      <c r="A345" s="5"/>
      <c r="B345" s="4"/>
      <c r="C345" s="5"/>
      <c r="D345" s="2"/>
      <c r="E345" s="2"/>
      <c r="F345" s="2"/>
      <c r="G345" s="3"/>
      <c r="H345" s="2"/>
      <c r="I345" s="5"/>
      <c r="J345" s="5"/>
      <c r="K345" s="19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 spans="1:26">
      <c r="A346" s="5"/>
      <c r="B346" s="4"/>
      <c r="C346" s="5"/>
      <c r="D346" s="2"/>
      <c r="E346" s="2"/>
      <c r="F346" s="2"/>
      <c r="G346" s="3"/>
      <c r="H346" s="2"/>
      <c r="I346" s="5"/>
      <c r="J346" s="5"/>
      <c r="K346" s="19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 spans="1:26">
      <c r="A347" s="5"/>
      <c r="B347" s="4"/>
      <c r="C347" s="5"/>
      <c r="D347" s="2"/>
      <c r="E347" s="2"/>
      <c r="F347" s="2"/>
      <c r="G347" s="3"/>
      <c r="H347" s="2"/>
      <c r="I347" s="5"/>
      <c r="J347" s="5"/>
      <c r="K347" s="19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 spans="1:26">
      <c r="A348" s="5"/>
      <c r="B348" s="4"/>
      <c r="C348" s="5"/>
      <c r="D348" s="2"/>
      <c r="E348" s="2"/>
      <c r="F348" s="2"/>
      <c r="G348" s="3"/>
      <c r="H348" s="2"/>
      <c r="I348" s="5"/>
      <c r="J348" s="5"/>
      <c r="K348" s="19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 spans="1:26">
      <c r="A349" s="5"/>
      <c r="B349" s="4"/>
      <c r="C349" s="5"/>
      <c r="D349" s="2"/>
      <c r="E349" s="2"/>
      <c r="F349" s="2"/>
      <c r="G349" s="3"/>
      <c r="H349" s="2"/>
      <c r="I349" s="5"/>
      <c r="J349" s="5"/>
      <c r="K349" s="19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 spans="1:26">
      <c r="A350" s="5"/>
      <c r="B350" s="4"/>
      <c r="C350" s="5"/>
      <c r="D350" s="2"/>
      <c r="E350" s="2"/>
      <c r="F350" s="2"/>
      <c r="G350" s="3"/>
      <c r="H350" s="2"/>
      <c r="I350" s="5"/>
      <c r="J350" s="5"/>
      <c r="K350" s="19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 spans="1:26">
      <c r="A351" s="5"/>
      <c r="B351" s="4"/>
      <c r="C351" s="5"/>
      <c r="D351" s="2"/>
      <c r="E351" s="2"/>
      <c r="F351" s="2"/>
      <c r="G351" s="3"/>
      <c r="H351" s="2"/>
      <c r="I351" s="5"/>
      <c r="J351" s="5"/>
      <c r="K351" s="19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 spans="1:26">
      <c r="A352" s="5"/>
      <c r="B352" s="4"/>
      <c r="C352" s="5"/>
      <c r="D352" s="2"/>
      <c r="E352" s="2"/>
      <c r="F352" s="2"/>
      <c r="G352" s="3"/>
      <c r="H352" s="2"/>
      <c r="I352" s="5"/>
      <c r="J352" s="5"/>
      <c r="K352" s="19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 spans="1:26">
      <c r="A353" s="5"/>
      <c r="B353" s="4"/>
      <c r="C353" s="5"/>
      <c r="D353" s="2"/>
      <c r="E353" s="2"/>
      <c r="F353" s="2"/>
      <c r="G353" s="3"/>
      <c r="H353" s="2"/>
      <c r="I353" s="5"/>
      <c r="J353" s="5"/>
      <c r="K353" s="19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 spans="1:26">
      <c r="A354" s="5"/>
      <c r="B354" s="4"/>
      <c r="C354" s="5"/>
      <c r="D354" s="2"/>
      <c r="E354" s="2"/>
      <c r="F354" s="2"/>
      <c r="G354" s="3"/>
      <c r="H354" s="2"/>
      <c r="I354" s="5"/>
      <c r="J354" s="5"/>
      <c r="K354" s="19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 spans="1:26">
      <c r="A355" s="5"/>
      <c r="B355" s="4"/>
      <c r="C355" s="5"/>
      <c r="D355" s="2"/>
      <c r="E355" s="2"/>
      <c r="F355" s="2"/>
      <c r="G355" s="3"/>
      <c r="H355" s="2"/>
      <c r="I355" s="5"/>
      <c r="J355" s="5"/>
      <c r="K355" s="19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 spans="1:26">
      <c r="A356" s="5"/>
      <c r="B356" s="4"/>
      <c r="C356" s="5"/>
      <c r="D356" s="2"/>
      <c r="E356" s="2"/>
      <c r="F356" s="2"/>
      <c r="G356" s="3"/>
      <c r="H356" s="2"/>
      <c r="I356" s="5"/>
      <c r="J356" s="5"/>
      <c r="K356" s="19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 spans="1:26">
      <c r="A357" s="5"/>
      <c r="B357" s="4"/>
      <c r="C357" s="5"/>
      <c r="D357" s="2"/>
      <c r="E357" s="2"/>
      <c r="F357" s="2"/>
      <c r="G357" s="3"/>
      <c r="H357" s="2"/>
      <c r="I357" s="5"/>
      <c r="J357" s="5"/>
      <c r="K357" s="19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 spans="1:26">
      <c r="A358" s="5"/>
      <c r="B358" s="4"/>
      <c r="C358" s="5"/>
      <c r="D358" s="2"/>
      <c r="E358" s="2"/>
      <c r="F358" s="2"/>
      <c r="G358" s="3"/>
      <c r="H358" s="2"/>
      <c r="I358" s="5"/>
      <c r="J358" s="5"/>
      <c r="K358" s="19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 spans="1:26">
      <c r="A359" s="5"/>
      <c r="B359" s="4"/>
      <c r="C359" s="5"/>
      <c r="D359" s="2"/>
      <c r="E359" s="2"/>
      <c r="F359" s="2"/>
      <c r="G359" s="3"/>
      <c r="H359" s="2"/>
      <c r="I359" s="5"/>
      <c r="J359" s="5"/>
      <c r="K359" s="19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 spans="1:26">
      <c r="A360" s="5"/>
      <c r="B360" s="4"/>
      <c r="C360" s="5"/>
      <c r="D360" s="2"/>
      <c r="E360" s="2"/>
      <c r="F360" s="2"/>
      <c r="G360" s="3"/>
      <c r="H360" s="2"/>
      <c r="I360" s="5"/>
      <c r="J360" s="5"/>
      <c r="K360" s="19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 spans="1:26">
      <c r="A361" s="5"/>
      <c r="B361" s="4"/>
      <c r="C361" s="5"/>
      <c r="D361" s="2"/>
      <c r="E361" s="2"/>
      <c r="F361" s="2"/>
      <c r="G361" s="3"/>
      <c r="H361" s="2"/>
      <c r="I361" s="5"/>
      <c r="J361" s="5"/>
      <c r="K361" s="19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 spans="1:26">
      <c r="A362" s="5"/>
      <c r="B362" s="4"/>
      <c r="C362" s="5"/>
      <c r="D362" s="2"/>
      <c r="E362" s="2"/>
      <c r="F362" s="2"/>
      <c r="G362" s="3"/>
      <c r="H362" s="2"/>
      <c r="I362" s="5"/>
      <c r="J362" s="5"/>
      <c r="K362" s="19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 spans="1:26">
      <c r="A363" s="5"/>
      <c r="B363" s="4"/>
      <c r="C363" s="5"/>
      <c r="D363" s="2"/>
      <c r="E363" s="2"/>
      <c r="F363" s="2"/>
      <c r="G363" s="3"/>
      <c r="H363" s="2"/>
      <c r="I363" s="5"/>
      <c r="J363" s="5"/>
      <c r="K363" s="19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 spans="1:26">
      <c r="A364" s="5"/>
      <c r="B364" s="4"/>
      <c r="C364" s="5"/>
      <c r="D364" s="2"/>
      <c r="E364" s="2"/>
      <c r="F364" s="2"/>
      <c r="G364" s="3"/>
      <c r="H364" s="2"/>
      <c r="I364" s="5"/>
      <c r="J364" s="5"/>
      <c r="K364" s="19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 spans="1:26">
      <c r="A365" s="5"/>
      <c r="B365" s="4"/>
      <c r="C365" s="5"/>
      <c r="D365" s="2"/>
      <c r="E365" s="2"/>
      <c r="F365" s="2"/>
      <c r="G365" s="3"/>
      <c r="H365" s="2"/>
      <c r="I365" s="5"/>
      <c r="J365" s="5"/>
      <c r="K365" s="19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 spans="1:26">
      <c r="A366" s="5"/>
      <c r="B366" s="4"/>
      <c r="C366" s="5"/>
      <c r="D366" s="2"/>
      <c r="E366" s="2"/>
      <c r="F366" s="2"/>
      <c r="G366" s="3"/>
      <c r="H366" s="2"/>
      <c r="I366" s="5"/>
      <c r="J366" s="5"/>
      <c r="K366" s="19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 spans="1:26">
      <c r="A367" s="5"/>
      <c r="B367" s="4"/>
      <c r="C367" s="5"/>
      <c r="D367" s="2"/>
      <c r="E367" s="2"/>
      <c r="F367" s="2"/>
      <c r="G367" s="3"/>
      <c r="H367" s="2"/>
      <c r="I367" s="5"/>
      <c r="J367" s="5"/>
      <c r="K367" s="19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 spans="1:26">
      <c r="A368" s="5"/>
      <c r="B368" s="4"/>
      <c r="C368" s="5"/>
      <c r="D368" s="2"/>
      <c r="E368" s="2"/>
      <c r="F368" s="2"/>
      <c r="G368" s="3"/>
      <c r="H368" s="2"/>
      <c r="I368" s="5"/>
      <c r="J368" s="5"/>
      <c r="K368" s="19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 spans="1:26">
      <c r="A369" s="5"/>
      <c r="B369" s="4"/>
      <c r="C369" s="5"/>
      <c r="D369" s="2"/>
      <c r="E369" s="2"/>
      <c r="F369" s="2"/>
      <c r="G369" s="3"/>
      <c r="H369" s="2"/>
      <c r="I369" s="5"/>
      <c r="J369" s="5"/>
      <c r="K369" s="19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 spans="1:26">
      <c r="A370" s="5"/>
      <c r="B370" s="4"/>
      <c r="C370" s="5"/>
      <c r="D370" s="2"/>
      <c r="E370" s="2"/>
      <c r="F370" s="2"/>
      <c r="G370" s="3"/>
      <c r="H370" s="2"/>
      <c r="I370" s="5"/>
      <c r="J370" s="5"/>
      <c r="K370" s="19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 spans="1:26">
      <c r="A371" s="5"/>
      <c r="B371" s="4"/>
      <c r="C371" s="5"/>
      <c r="D371" s="2"/>
      <c r="E371" s="2"/>
      <c r="F371" s="2"/>
      <c r="G371" s="3"/>
      <c r="H371" s="2"/>
      <c r="I371" s="5"/>
      <c r="J371" s="5"/>
      <c r="K371" s="19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 spans="1:26">
      <c r="A372" s="5"/>
      <c r="B372" s="4"/>
      <c r="C372" s="5"/>
      <c r="D372" s="2"/>
      <c r="E372" s="2"/>
      <c r="F372" s="2"/>
      <c r="G372" s="3"/>
      <c r="H372" s="2"/>
      <c r="I372" s="5"/>
      <c r="J372" s="5"/>
      <c r="K372" s="19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 spans="1:26">
      <c r="A373" s="5"/>
      <c r="B373" s="4"/>
      <c r="C373" s="5"/>
      <c r="D373" s="2"/>
      <c r="E373" s="2"/>
      <c r="F373" s="2"/>
      <c r="G373" s="3"/>
      <c r="H373" s="2"/>
      <c r="I373" s="5"/>
      <c r="J373" s="5"/>
      <c r="K373" s="19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 spans="1:26">
      <c r="A374" s="5"/>
      <c r="B374" s="4"/>
      <c r="C374" s="5"/>
      <c r="D374" s="2"/>
      <c r="E374" s="2"/>
      <c r="F374" s="2"/>
      <c r="G374" s="3"/>
      <c r="H374" s="2"/>
      <c r="I374" s="5"/>
      <c r="J374" s="5"/>
      <c r="K374" s="19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 spans="1:26">
      <c r="A375" s="5"/>
      <c r="B375" s="4"/>
      <c r="C375" s="5"/>
      <c r="D375" s="2"/>
      <c r="E375" s="2"/>
      <c r="F375" s="2"/>
      <c r="G375" s="3"/>
      <c r="H375" s="2"/>
      <c r="I375" s="5"/>
      <c r="J375" s="5"/>
      <c r="K375" s="19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 spans="1:26">
      <c r="A376" s="5"/>
      <c r="B376" s="4"/>
      <c r="C376" s="5"/>
      <c r="D376" s="2"/>
      <c r="E376" s="2"/>
      <c r="F376" s="2"/>
      <c r="G376" s="3"/>
      <c r="H376" s="2"/>
      <c r="I376" s="5"/>
      <c r="J376" s="5"/>
      <c r="K376" s="19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 spans="1:26">
      <c r="A377" s="5"/>
      <c r="B377" s="4"/>
      <c r="C377" s="5"/>
      <c r="D377" s="2"/>
      <c r="E377" s="2"/>
      <c r="F377" s="2"/>
      <c r="G377" s="3"/>
      <c r="H377" s="2"/>
      <c r="I377" s="5"/>
      <c r="J377" s="5"/>
      <c r="K377" s="19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 spans="1:26">
      <c r="A378" s="5"/>
      <c r="B378" s="4"/>
      <c r="C378" s="5"/>
      <c r="D378" s="2"/>
      <c r="E378" s="2"/>
      <c r="F378" s="2"/>
      <c r="G378" s="3"/>
      <c r="H378" s="2"/>
      <c r="I378" s="5"/>
      <c r="J378" s="5"/>
      <c r="K378" s="19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 spans="1:26">
      <c r="A379" s="5"/>
      <c r="B379" s="4"/>
      <c r="C379" s="5"/>
      <c r="D379" s="2"/>
      <c r="E379" s="2"/>
      <c r="F379" s="2"/>
      <c r="G379" s="3"/>
      <c r="H379" s="2"/>
      <c r="I379" s="5"/>
      <c r="J379" s="5"/>
      <c r="K379" s="19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 spans="1:26">
      <c r="A380" s="5"/>
      <c r="B380" s="4"/>
      <c r="C380" s="5"/>
      <c r="D380" s="2"/>
      <c r="E380" s="2"/>
      <c r="F380" s="2"/>
      <c r="G380" s="3"/>
      <c r="H380" s="2"/>
      <c r="I380" s="5"/>
      <c r="J380" s="5"/>
      <c r="K380" s="19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 spans="1:26">
      <c r="A381" s="5"/>
      <c r="B381" s="4"/>
      <c r="C381" s="5"/>
      <c r="D381" s="2"/>
      <c r="E381" s="2"/>
      <c r="F381" s="2"/>
      <c r="G381" s="3"/>
      <c r="H381" s="2"/>
      <c r="I381" s="5"/>
      <c r="J381" s="5"/>
      <c r="K381" s="19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 spans="1:26">
      <c r="A382" s="5"/>
      <c r="B382" s="4"/>
      <c r="C382" s="5"/>
      <c r="D382" s="2"/>
      <c r="E382" s="2"/>
      <c r="F382" s="2"/>
      <c r="G382" s="3"/>
      <c r="H382" s="2"/>
      <c r="I382" s="5"/>
      <c r="J382" s="5"/>
      <c r="K382" s="19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 spans="1:26">
      <c r="A383" s="5"/>
      <c r="B383" s="4"/>
      <c r="C383" s="5"/>
      <c r="D383" s="2"/>
      <c r="E383" s="2"/>
      <c r="F383" s="2"/>
      <c r="G383" s="3"/>
      <c r="H383" s="2"/>
      <c r="I383" s="5"/>
      <c r="J383" s="5"/>
      <c r="K383" s="19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 spans="1:26">
      <c r="A384" s="5"/>
      <c r="B384" s="4"/>
      <c r="C384" s="5"/>
      <c r="D384" s="2"/>
      <c r="E384" s="2"/>
      <c r="F384" s="2"/>
      <c r="G384" s="3"/>
      <c r="H384" s="2"/>
      <c r="I384" s="5"/>
      <c r="J384" s="5"/>
      <c r="K384" s="19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 spans="1:26">
      <c r="A385" s="5"/>
      <c r="B385" s="4"/>
      <c r="C385" s="5"/>
      <c r="D385" s="2"/>
      <c r="E385" s="2"/>
      <c r="F385" s="2"/>
      <c r="G385" s="3"/>
      <c r="H385" s="2"/>
      <c r="I385" s="5"/>
      <c r="J385" s="5"/>
      <c r="K385" s="19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 spans="1:26">
      <c r="A386" s="5"/>
      <c r="B386" s="4"/>
      <c r="C386" s="5"/>
      <c r="D386" s="2"/>
      <c r="E386" s="2"/>
      <c r="F386" s="2"/>
      <c r="G386" s="3"/>
      <c r="H386" s="2"/>
      <c r="I386" s="5"/>
      <c r="J386" s="5"/>
      <c r="K386" s="19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 spans="1:26">
      <c r="A387" s="5"/>
      <c r="B387" s="4"/>
      <c r="C387" s="5"/>
      <c r="D387" s="2"/>
      <c r="E387" s="2"/>
      <c r="F387" s="2"/>
      <c r="G387" s="3"/>
      <c r="H387" s="2"/>
      <c r="I387" s="5"/>
      <c r="J387" s="5"/>
      <c r="K387" s="19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 spans="1:26">
      <c r="A388" s="5"/>
      <c r="B388" s="4"/>
      <c r="C388" s="5"/>
      <c r="D388" s="2"/>
      <c r="E388" s="2"/>
      <c r="F388" s="2"/>
      <c r="G388" s="3"/>
      <c r="H388" s="2"/>
      <c r="I388" s="5"/>
      <c r="J388" s="5"/>
      <c r="K388" s="19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 spans="1:26">
      <c r="A389" s="5"/>
      <c r="B389" s="4"/>
      <c r="C389" s="5"/>
      <c r="D389" s="2"/>
      <c r="E389" s="2"/>
      <c r="F389" s="2"/>
      <c r="G389" s="3"/>
      <c r="H389" s="2"/>
      <c r="I389" s="5"/>
      <c r="J389" s="5"/>
      <c r="K389" s="19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 spans="1:26">
      <c r="A390" s="5"/>
      <c r="B390" s="4"/>
      <c r="C390" s="5"/>
      <c r="D390" s="2"/>
      <c r="E390" s="2"/>
      <c r="F390" s="2"/>
      <c r="G390" s="3"/>
      <c r="H390" s="2"/>
      <c r="I390" s="5"/>
      <c r="J390" s="5"/>
      <c r="K390" s="19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 spans="1:26">
      <c r="A391" s="5"/>
      <c r="B391" s="4"/>
      <c r="C391" s="5"/>
      <c r="D391" s="2"/>
      <c r="E391" s="2"/>
      <c r="F391" s="2"/>
      <c r="G391" s="3"/>
      <c r="H391" s="2"/>
      <c r="I391" s="5"/>
      <c r="J391" s="5"/>
      <c r="K391" s="19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 spans="1:26">
      <c r="A392" s="5"/>
      <c r="B392" s="4"/>
      <c r="C392" s="5"/>
      <c r="D392" s="2"/>
      <c r="E392" s="2"/>
      <c r="F392" s="2"/>
      <c r="G392" s="3"/>
      <c r="H392" s="2"/>
      <c r="I392" s="5"/>
      <c r="J392" s="5"/>
      <c r="K392" s="19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 spans="1:26">
      <c r="A393" s="5"/>
      <c r="B393" s="4"/>
      <c r="C393" s="5"/>
      <c r="D393" s="2"/>
      <c r="E393" s="2"/>
      <c r="F393" s="2"/>
      <c r="G393" s="3"/>
      <c r="H393" s="2"/>
      <c r="I393" s="5"/>
      <c r="J393" s="5"/>
      <c r="K393" s="19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 spans="1:26">
      <c r="A394" s="5"/>
      <c r="B394" s="4"/>
      <c r="C394" s="5"/>
      <c r="D394" s="2"/>
      <c r="E394" s="2"/>
      <c r="F394" s="2"/>
      <c r="G394" s="3"/>
      <c r="H394" s="2"/>
      <c r="I394" s="5"/>
      <c r="J394" s="5"/>
      <c r="K394" s="19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 spans="1:26">
      <c r="A395" s="5"/>
      <c r="B395" s="4"/>
      <c r="C395" s="5"/>
      <c r="D395" s="2"/>
      <c r="E395" s="2"/>
      <c r="F395" s="2"/>
      <c r="G395" s="3"/>
      <c r="H395" s="2"/>
      <c r="I395" s="5"/>
      <c r="J395" s="5"/>
      <c r="K395" s="19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 spans="1:26">
      <c r="A396" s="5"/>
      <c r="B396" s="4"/>
      <c r="C396" s="5"/>
      <c r="D396" s="2"/>
      <c r="E396" s="2"/>
      <c r="F396" s="2"/>
      <c r="G396" s="3"/>
      <c r="H396" s="2"/>
      <c r="I396" s="5"/>
      <c r="J396" s="5"/>
      <c r="K396" s="19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 spans="1:26">
      <c r="A397" s="5"/>
      <c r="B397" s="4"/>
      <c r="C397" s="5"/>
      <c r="D397" s="2"/>
      <c r="E397" s="2"/>
      <c r="F397" s="2"/>
      <c r="G397" s="3"/>
      <c r="H397" s="2"/>
      <c r="I397" s="5"/>
      <c r="J397" s="5"/>
      <c r="K397" s="19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 spans="1:26">
      <c r="A398" s="5"/>
      <c r="B398" s="4"/>
      <c r="C398" s="5"/>
      <c r="D398" s="2"/>
      <c r="E398" s="2"/>
      <c r="F398" s="2"/>
      <c r="G398" s="3"/>
      <c r="H398" s="2"/>
      <c r="I398" s="5"/>
      <c r="J398" s="5"/>
      <c r="K398" s="19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 spans="1:26">
      <c r="A399" s="5"/>
      <c r="B399" s="4"/>
      <c r="C399" s="5"/>
      <c r="D399" s="2"/>
      <c r="E399" s="2"/>
      <c r="F399" s="2"/>
      <c r="G399" s="3"/>
      <c r="H399" s="2"/>
      <c r="I399" s="5"/>
      <c r="J399" s="5"/>
      <c r="K399" s="19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 spans="1:26">
      <c r="A400" s="5"/>
      <c r="B400" s="4"/>
      <c r="C400" s="5"/>
      <c r="D400" s="2"/>
      <c r="E400" s="2"/>
      <c r="F400" s="2"/>
      <c r="G400" s="3"/>
      <c r="H400" s="2"/>
      <c r="I400" s="5"/>
      <c r="J400" s="5"/>
      <c r="K400" s="19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 spans="1:26">
      <c r="A401" s="5"/>
      <c r="B401" s="4"/>
      <c r="C401" s="5"/>
      <c r="D401" s="2"/>
      <c r="E401" s="2"/>
      <c r="F401" s="2"/>
      <c r="G401" s="3"/>
      <c r="H401" s="2"/>
      <c r="I401" s="5"/>
      <c r="J401" s="5"/>
      <c r="K401" s="19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 spans="1:26">
      <c r="A402" s="5"/>
      <c r="B402" s="4"/>
      <c r="C402" s="5"/>
      <c r="D402" s="2"/>
      <c r="E402" s="2"/>
      <c r="F402" s="2"/>
      <c r="G402" s="3"/>
      <c r="H402" s="2"/>
      <c r="I402" s="5"/>
      <c r="J402" s="5"/>
      <c r="K402" s="19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 spans="1:26">
      <c r="A403" s="5"/>
      <c r="B403" s="4"/>
      <c r="C403" s="5"/>
      <c r="D403" s="2"/>
      <c r="E403" s="2"/>
      <c r="F403" s="2"/>
      <c r="G403" s="3"/>
      <c r="H403" s="2"/>
      <c r="I403" s="5"/>
      <c r="J403" s="5"/>
      <c r="K403" s="19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 spans="1:26">
      <c r="A404" s="5"/>
      <c r="B404" s="4"/>
      <c r="C404" s="5"/>
      <c r="D404" s="2"/>
      <c r="E404" s="2"/>
      <c r="F404" s="2"/>
      <c r="G404" s="3"/>
      <c r="H404" s="2"/>
      <c r="I404" s="5"/>
      <c r="J404" s="5"/>
      <c r="K404" s="19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 spans="1:26">
      <c r="A405" s="5"/>
      <c r="B405" s="4"/>
      <c r="C405" s="5"/>
      <c r="D405" s="2"/>
      <c r="E405" s="2"/>
      <c r="F405" s="2"/>
      <c r="G405" s="3"/>
      <c r="H405" s="2"/>
      <c r="I405" s="5"/>
      <c r="J405" s="5"/>
      <c r="K405" s="19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 spans="1:26">
      <c r="A406" s="5"/>
      <c r="B406" s="4"/>
      <c r="C406" s="5"/>
      <c r="D406" s="2"/>
      <c r="E406" s="2"/>
      <c r="F406" s="2"/>
      <c r="G406" s="3"/>
      <c r="H406" s="2"/>
      <c r="I406" s="5"/>
      <c r="J406" s="5"/>
      <c r="K406" s="19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 spans="1:26">
      <c r="A407" s="5"/>
      <c r="B407" s="4"/>
      <c r="C407" s="5"/>
      <c r="D407" s="2"/>
      <c r="E407" s="2"/>
      <c r="F407" s="2"/>
      <c r="G407" s="3"/>
      <c r="H407" s="2"/>
      <c r="I407" s="5"/>
      <c r="J407" s="5"/>
      <c r="K407" s="19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 spans="1:26">
      <c r="A408" s="5"/>
      <c r="B408" s="4"/>
      <c r="C408" s="5"/>
      <c r="D408" s="2"/>
      <c r="E408" s="2"/>
      <c r="F408" s="2"/>
      <c r="G408" s="3"/>
      <c r="H408" s="2"/>
      <c r="I408" s="5"/>
      <c r="J408" s="5"/>
      <c r="K408" s="19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 spans="1:26">
      <c r="A409" s="5"/>
      <c r="B409" s="4"/>
      <c r="C409" s="5"/>
      <c r="D409" s="2"/>
      <c r="E409" s="2"/>
      <c r="F409" s="2"/>
      <c r="G409" s="3"/>
      <c r="H409" s="2"/>
      <c r="I409" s="5"/>
      <c r="J409" s="5"/>
      <c r="K409" s="19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 spans="1:26">
      <c r="A410" s="5"/>
      <c r="B410" s="4"/>
      <c r="C410" s="5"/>
      <c r="D410" s="2"/>
      <c r="E410" s="2"/>
      <c r="F410" s="2"/>
      <c r="G410" s="3"/>
      <c r="H410" s="2"/>
      <c r="I410" s="5"/>
      <c r="J410" s="5"/>
      <c r="K410" s="19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 spans="1:26">
      <c r="A411" s="5"/>
      <c r="B411" s="4"/>
      <c r="C411" s="5"/>
      <c r="D411" s="2"/>
      <c r="E411" s="2"/>
      <c r="F411" s="2"/>
      <c r="G411" s="3"/>
      <c r="H411" s="2"/>
      <c r="I411" s="5"/>
      <c r="J411" s="5"/>
      <c r="K411" s="19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 spans="1:26">
      <c r="A412" s="5"/>
      <c r="B412" s="4"/>
      <c r="C412" s="5"/>
      <c r="D412" s="2"/>
      <c r="E412" s="2"/>
      <c r="F412" s="2"/>
      <c r="G412" s="3"/>
      <c r="H412" s="2"/>
      <c r="I412" s="5"/>
      <c r="J412" s="5"/>
      <c r="K412" s="19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 spans="1:26">
      <c r="A413" s="5"/>
      <c r="B413" s="4"/>
      <c r="C413" s="5"/>
      <c r="D413" s="2"/>
      <c r="E413" s="2"/>
      <c r="F413" s="2"/>
      <c r="G413" s="3"/>
      <c r="H413" s="2"/>
      <c r="I413" s="5"/>
      <c r="J413" s="5"/>
      <c r="K413" s="19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 spans="1:26">
      <c r="A414" s="5"/>
      <c r="B414" s="4"/>
      <c r="C414" s="5"/>
      <c r="D414" s="2"/>
      <c r="E414" s="2"/>
      <c r="F414" s="2"/>
      <c r="G414" s="3"/>
      <c r="H414" s="2"/>
      <c r="I414" s="5"/>
      <c r="J414" s="5"/>
      <c r="K414" s="19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 spans="1:26">
      <c r="A415" s="5"/>
      <c r="B415" s="4"/>
      <c r="C415" s="5"/>
      <c r="D415" s="2"/>
      <c r="E415" s="2"/>
      <c r="F415" s="2"/>
      <c r="G415" s="3"/>
      <c r="H415" s="2"/>
      <c r="I415" s="5"/>
      <c r="J415" s="5"/>
      <c r="K415" s="19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 spans="1:26">
      <c r="A416" s="5"/>
      <c r="B416" s="4"/>
      <c r="C416" s="5"/>
      <c r="D416" s="2"/>
      <c r="E416" s="2"/>
      <c r="F416" s="2"/>
      <c r="G416" s="3"/>
      <c r="H416" s="2"/>
      <c r="I416" s="5"/>
      <c r="J416" s="5"/>
      <c r="K416" s="19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 spans="1:26">
      <c r="A417" s="5"/>
      <c r="B417" s="4"/>
      <c r="C417" s="5"/>
      <c r="D417" s="2"/>
      <c r="E417" s="2"/>
      <c r="F417" s="2"/>
      <c r="G417" s="3"/>
      <c r="H417" s="2"/>
      <c r="I417" s="5"/>
      <c r="J417" s="5"/>
      <c r="K417" s="19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 spans="1:26">
      <c r="A418" s="5"/>
      <c r="B418" s="4"/>
      <c r="C418" s="5"/>
      <c r="D418" s="2"/>
      <c r="E418" s="2"/>
      <c r="F418" s="2"/>
      <c r="G418" s="3"/>
      <c r="H418" s="2"/>
      <c r="I418" s="5"/>
      <c r="J418" s="5"/>
      <c r="K418" s="19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 spans="1:26">
      <c r="A419" s="5"/>
      <c r="B419" s="4"/>
      <c r="C419" s="5"/>
      <c r="D419" s="2"/>
      <c r="E419" s="2"/>
      <c r="F419" s="2"/>
      <c r="G419" s="3"/>
      <c r="H419" s="2"/>
      <c r="I419" s="5"/>
      <c r="J419" s="5"/>
      <c r="K419" s="19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 spans="1:26">
      <c r="A420" s="5"/>
      <c r="B420" s="4"/>
      <c r="C420" s="5"/>
      <c r="D420" s="2"/>
      <c r="E420" s="2"/>
      <c r="F420" s="2"/>
      <c r="G420" s="3"/>
      <c r="H420" s="2"/>
      <c r="I420" s="5"/>
      <c r="J420" s="5"/>
      <c r="K420" s="19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 spans="1:26">
      <c r="A421" s="5"/>
      <c r="B421" s="4"/>
      <c r="C421" s="5"/>
      <c r="D421" s="2"/>
      <c r="E421" s="2"/>
      <c r="F421" s="2"/>
      <c r="G421" s="3"/>
      <c r="H421" s="2"/>
      <c r="I421" s="5"/>
      <c r="J421" s="5"/>
      <c r="K421" s="19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 spans="1:26">
      <c r="A422" s="5"/>
      <c r="B422" s="4"/>
      <c r="C422" s="5"/>
      <c r="D422" s="2"/>
      <c r="E422" s="2"/>
      <c r="F422" s="2"/>
      <c r="G422" s="3"/>
      <c r="H422" s="2"/>
      <c r="I422" s="5"/>
      <c r="J422" s="5"/>
      <c r="K422" s="19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 spans="1:26">
      <c r="A423" s="5"/>
      <c r="B423" s="4"/>
      <c r="C423" s="5"/>
      <c r="D423" s="2"/>
      <c r="E423" s="2"/>
      <c r="F423" s="2"/>
      <c r="G423" s="3"/>
      <c r="H423" s="2"/>
      <c r="I423" s="5"/>
      <c r="J423" s="5"/>
      <c r="K423" s="19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 spans="1:26">
      <c r="A424" s="5"/>
      <c r="B424" s="4"/>
      <c r="C424" s="5"/>
      <c r="D424" s="2"/>
      <c r="E424" s="2"/>
      <c r="F424" s="2"/>
      <c r="G424" s="3"/>
      <c r="H424" s="2"/>
      <c r="I424" s="5"/>
      <c r="J424" s="5"/>
      <c r="K424" s="19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 spans="1:26">
      <c r="A425" s="5"/>
      <c r="B425" s="4"/>
      <c r="C425" s="5"/>
      <c r="D425" s="2"/>
      <c r="E425" s="2"/>
      <c r="F425" s="2"/>
      <c r="G425" s="3"/>
      <c r="H425" s="2"/>
      <c r="I425" s="5"/>
      <c r="J425" s="5"/>
      <c r="K425" s="19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 spans="1:26">
      <c r="A426" s="5"/>
      <c r="B426" s="4"/>
      <c r="C426" s="5"/>
      <c r="D426" s="2"/>
      <c r="E426" s="2"/>
      <c r="F426" s="2"/>
      <c r="G426" s="3"/>
      <c r="H426" s="2"/>
      <c r="I426" s="5"/>
      <c r="J426" s="5"/>
      <c r="K426" s="19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 spans="1:26">
      <c r="A427" s="5"/>
      <c r="B427" s="4"/>
      <c r="C427" s="5"/>
      <c r="D427" s="2"/>
      <c r="E427" s="2"/>
      <c r="F427" s="2"/>
      <c r="G427" s="3"/>
      <c r="H427" s="2"/>
      <c r="I427" s="5"/>
      <c r="J427" s="5"/>
      <c r="K427" s="19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 spans="1:26">
      <c r="A428" s="5"/>
      <c r="B428" s="4"/>
      <c r="C428" s="5"/>
      <c r="D428" s="2"/>
      <c r="E428" s="2"/>
      <c r="F428" s="2"/>
      <c r="G428" s="3"/>
      <c r="H428" s="2"/>
      <c r="I428" s="5"/>
      <c r="J428" s="5"/>
      <c r="K428" s="19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 spans="1:26">
      <c r="A429" s="5"/>
      <c r="B429" s="4"/>
      <c r="C429" s="5"/>
      <c r="D429" s="2"/>
      <c r="E429" s="2"/>
      <c r="F429" s="2"/>
      <c r="G429" s="3"/>
      <c r="H429" s="2"/>
      <c r="I429" s="5"/>
      <c r="J429" s="5"/>
      <c r="K429" s="19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 spans="1:26">
      <c r="A430" s="5"/>
      <c r="B430" s="4"/>
      <c r="C430" s="5"/>
      <c r="D430" s="2"/>
      <c r="E430" s="2"/>
      <c r="F430" s="2"/>
      <c r="G430" s="3"/>
      <c r="H430" s="2"/>
      <c r="I430" s="5"/>
      <c r="J430" s="5"/>
      <c r="K430" s="19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 spans="1:26">
      <c r="A431" s="5"/>
      <c r="B431" s="4"/>
      <c r="C431" s="5"/>
      <c r="D431" s="2"/>
      <c r="E431" s="2"/>
      <c r="F431" s="2"/>
      <c r="G431" s="3"/>
      <c r="H431" s="2"/>
      <c r="I431" s="5"/>
      <c r="J431" s="5"/>
      <c r="K431" s="19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 spans="1:26">
      <c r="A432" s="5"/>
      <c r="B432" s="4"/>
      <c r="C432" s="5"/>
      <c r="D432" s="2"/>
      <c r="E432" s="2"/>
      <c r="F432" s="2"/>
      <c r="G432" s="3"/>
      <c r="H432" s="2"/>
      <c r="I432" s="5"/>
      <c r="J432" s="5"/>
      <c r="K432" s="19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 spans="1:26">
      <c r="A433" s="5"/>
      <c r="B433" s="4"/>
      <c r="C433" s="5"/>
      <c r="D433" s="2"/>
      <c r="E433" s="2"/>
      <c r="F433" s="2"/>
      <c r="G433" s="3"/>
      <c r="H433" s="2"/>
      <c r="I433" s="5"/>
      <c r="J433" s="5"/>
      <c r="K433" s="19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 spans="1:26">
      <c r="A434" s="5"/>
      <c r="B434" s="4"/>
      <c r="C434" s="5"/>
      <c r="D434" s="2"/>
      <c r="E434" s="2"/>
      <c r="F434" s="2"/>
      <c r="G434" s="3"/>
      <c r="H434" s="2"/>
      <c r="I434" s="5"/>
      <c r="J434" s="5"/>
      <c r="K434" s="19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 spans="1:26">
      <c r="A435" s="5"/>
      <c r="B435" s="4"/>
      <c r="C435" s="5"/>
      <c r="D435" s="2"/>
      <c r="E435" s="2"/>
      <c r="F435" s="2"/>
      <c r="G435" s="3"/>
      <c r="H435" s="2"/>
      <c r="I435" s="5"/>
      <c r="J435" s="5"/>
      <c r="K435" s="19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 spans="1:26">
      <c r="A436" s="5"/>
      <c r="B436" s="4"/>
      <c r="C436" s="5"/>
      <c r="D436" s="2"/>
      <c r="E436" s="2"/>
      <c r="F436" s="2"/>
      <c r="G436" s="3"/>
      <c r="H436" s="2"/>
      <c r="I436" s="5"/>
      <c r="J436" s="5"/>
      <c r="K436" s="19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 spans="1:26">
      <c r="A437" s="5"/>
      <c r="B437" s="4"/>
      <c r="C437" s="5"/>
      <c r="D437" s="2"/>
      <c r="E437" s="2"/>
      <c r="F437" s="2"/>
      <c r="G437" s="3"/>
      <c r="H437" s="2"/>
      <c r="I437" s="5"/>
      <c r="J437" s="5"/>
      <c r="K437" s="19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 spans="1:26">
      <c r="A438" s="5"/>
      <c r="B438" s="4"/>
      <c r="C438" s="5"/>
      <c r="D438" s="2"/>
      <c r="E438" s="2"/>
      <c r="F438" s="2"/>
      <c r="G438" s="3"/>
      <c r="H438" s="2"/>
      <c r="I438" s="5"/>
      <c r="J438" s="5"/>
      <c r="K438" s="19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 spans="1:26">
      <c r="A439" s="5"/>
      <c r="B439" s="4"/>
      <c r="C439" s="5"/>
      <c r="D439" s="2"/>
      <c r="E439" s="2"/>
      <c r="F439" s="2"/>
      <c r="G439" s="3"/>
      <c r="H439" s="2"/>
      <c r="I439" s="5"/>
      <c r="J439" s="5"/>
      <c r="K439" s="19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 spans="1:26">
      <c r="A440" s="5"/>
      <c r="B440" s="4"/>
      <c r="C440" s="5"/>
      <c r="D440" s="2"/>
      <c r="E440" s="2"/>
      <c r="F440" s="2"/>
      <c r="G440" s="3"/>
      <c r="H440" s="2"/>
      <c r="I440" s="5"/>
      <c r="J440" s="5"/>
      <c r="K440" s="19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 spans="1:26">
      <c r="A441" s="5"/>
      <c r="B441" s="4"/>
      <c r="C441" s="5"/>
      <c r="D441" s="2"/>
      <c r="E441" s="2"/>
      <c r="F441" s="2"/>
      <c r="G441" s="3"/>
      <c r="H441" s="2"/>
      <c r="I441" s="5"/>
      <c r="J441" s="5"/>
      <c r="K441" s="19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 spans="1:26">
      <c r="A442" s="5"/>
      <c r="B442" s="4"/>
      <c r="C442" s="5"/>
      <c r="D442" s="2"/>
      <c r="E442" s="2"/>
      <c r="F442" s="2"/>
      <c r="G442" s="3"/>
      <c r="H442" s="2"/>
      <c r="I442" s="5"/>
      <c r="J442" s="5"/>
      <c r="K442" s="19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 spans="1:26">
      <c r="A443" s="5"/>
      <c r="B443" s="4"/>
      <c r="C443" s="5"/>
      <c r="D443" s="2"/>
      <c r="E443" s="2"/>
      <c r="F443" s="2"/>
      <c r="G443" s="3"/>
      <c r="H443" s="2"/>
      <c r="I443" s="5"/>
      <c r="J443" s="5"/>
      <c r="K443" s="19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 spans="1:26">
      <c r="A444" s="5"/>
      <c r="B444" s="4"/>
      <c r="C444" s="5"/>
      <c r="D444" s="2"/>
      <c r="E444" s="2"/>
      <c r="F444" s="2"/>
      <c r="G444" s="3"/>
      <c r="H444" s="2"/>
      <c r="I444" s="5"/>
      <c r="J444" s="5"/>
      <c r="K444" s="19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 spans="1:26">
      <c r="A445" s="5"/>
      <c r="B445" s="4"/>
      <c r="C445" s="5"/>
      <c r="D445" s="2"/>
      <c r="E445" s="2"/>
      <c r="F445" s="2"/>
      <c r="G445" s="3"/>
      <c r="H445" s="2"/>
      <c r="I445" s="5"/>
      <c r="J445" s="5"/>
      <c r="K445" s="19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 spans="1:26">
      <c r="A446" s="5"/>
      <c r="B446" s="4"/>
      <c r="C446" s="5"/>
      <c r="D446" s="2"/>
      <c r="E446" s="2"/>
      <c r="F446" s="2"/>
      <c r="G446" s="3"/>
      <c r="H446" s="2"/>
      <c r="I446" s="5"/>
      <c r="J446" s="5"/>
      <c r="K446" s="19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 spans="1:26">
      <c r="A447" s="5"/>
      <c r="B447" s="4"/>
      <c r="C447" s="5"/>
      <c r="D447" s="2"/>
      <c r="E447" s="2"/>
      <c r="F447" s="2"/>
      <c r="G447" s="3"/>
      <c r="H447" s="2"/>
      <c r="I447" s="5"/>
      <c r="J447" s="5"/>
      <c r="K447" s="19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 spans="1:26">
      <c r="A448" s="5"/>
      <c r="B448" s="4"/>
      <c r="C448" s="5"/>
      <c r="D448" s="2"/>
      <c r="E448" s="2"/>
      <c r="F448" s="2"/>
      <c r="G448" s="3"/>
      <c r="H448" s="2"/>
      <c r="I448" s="5"/>
      <c r="J448" s="5"/>
      <c r="K448" s="19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 spans="1:26">
      <c r="A449" s="5"/>
      <c r="B449" s="4"/>
      <c r="C449" s="5"/>
      <c r="D449" s="2"/>
      <c r="E449" s="2"/>
      <c r="F449" s="2"/>
      <c r="G449" s="3"/>
      <c r="H449" s="2"/>
      <c r="I449" s="5"/>
      <c r="J449" s="5"/>
      <c r="K449" s="19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 spans="1:26">
      <c r="A450" s="5"/>
      <c r="B450" s="4"/>
      <c r="C450" s="5"/>
      <c r="D450" s="2"/>
      <c r="E450" s="2"/>
      <c r="F450" s="2"/>
      <c r="G450" s="3"/>
      <c r="H450" s="2"/>
      <c r="I450" s="5"/>
      <c r="J450" s="5"/>
      <c r="K450" s="19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 spans="1:26">
      <c r="A451" s="5"/>
      <c r="B451" s="4"/>
      <c r="C451" s="5"/>
      <c r="D451" s="2"/>
      <c r="E451" s="2"/>
      <c r="F451" s="2"/>
      <c r="G451" s="3"/>
      <c r="H451" s="2"/>
      <c r="I451" s="5"/>
      <c r="J451" s="5"/>
      <c r="K451" s="19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 spans="1:26">
      <c r="A452" s="5"/>
      <c r="B452" s="4"/>
      <c r="C452" s="5"/>
      <c r="D452" s="2"/>
      <c r="E452" s="2"/>
      <c r="F452" s="2"/>
      <c r="G452" s="3"/>
      <c r="H452" s="2"/>
      <c r="I452" s="5"/>
      <c r="J452" s="5"/>
      <c r="K452" s="19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 spans="1:26">
      <c r="A453" s="5"/>
      <c r="B453" s="4"/>
      <c r="C453" s="5"/>
      <c r="D453" s="2"/>
      <c r="E453" s="2"/>
      <c r="F453" s="2"/>
      <c r="G453" s="3"/>
      <c r="H453" s="2"/>
      <c r="I453" s="5"/>
      <c r="J453" s="5"/>
      <c r="K453" s="19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 spans="1:26">
      <c r="A454" s="5"/>
      <c r="B454" s="4"/>
      <c r="C454" s="5"/>
      <c r="D454" s="2"/>
      <c r="E454" s="2"/>
      <c r="F454" s="2"/>
      <c r="G454" s="3"/>
      <c r="H454" s="2"/>
      <c r="I454" s="5"/>
      <c r="J454" s="5"/>
      <c r="K454" s="19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 spans="1:26">
      <c r="A455" s="5"/>
      <c r="B455" s="4"/>
      <c r="C455" s="5"/>
      <c r="D455" s="2"/>
      <c r="E455" s="2"/>
      <c r="F455" s="2"/>
      <c r="G455" s="3"/>
      <c r="H455" s="2"/>
      <c r="I455" s="5"/>
      <c r="J455" s="5"/>
      <c r="K455" s="19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 spans="1:26">
      <c r="A456" s="5"/>
      <c r="B456" s="4"/>
      <c r="C456" s="5"/>
      <c r="D456" s="2"/>
      <c r="E456" s="2"/>
      <c r="F456" s="2"/>
      <c r="G456" s="3"/>
      <c r="H456" s="2"/>
      <c r="I456" s="5"/>
      <c r="J456" s="5"/>
      <c r="K456" s="19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 spans="1:26">
      <c r="A457" s="5"/>
      <c r="B457" s="4"/>
      <c r="C457" s="5"/>
      <c r="D457" s="2"/>
      <c r="E457" s="2"/>
      <c r="F457" s="2"/>
      <c r="G457" s="3"/>
      <c r="H457" s="2"/>
      <c r="I457" s="5"/>
      <c r="J457" s="5"/>
      <c r="K457" s="19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 spans="1:26">
      <c r="A458" s="5"/>
      <c r="B458" s="4"/>
      <c r="C458" s="5"/>
      <c r="D458" s="2"/>
      <c r="E458" s="2"/>
      <c r="F458" s="2"/>
      <c r="G458" s="3"/>
      <c r="H458" s="2"/>
      <c r="I458" s="5"/>
      <c r="J458" s="5"/>
      <c r="K458" s="19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 spans="1:26">
      <c r="A459" s="5"/>
      <c r="B459" s="4"/>
      <c r="C459" s="5"/>
      <c r="D459" s="2"/>
      <c r="E459" s="2"/>
      <c r="F459" s="2"/>
      <c r="G459" s="3"/>
      <c r="H459" s="2"/>
      <c r="I459" s="5"/>
      <c r="J459" s="5"/>
      <c r="K459" s="19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 spans="1:26">
      <c r="A460" s="5"/>
      <c r="B460" s="4"/>
      <c r="C460" s="5"/>
      <c r="D460" s="2"/>
      <c r="E460" s="2"/>
      <c r="F460" s="2"/>
      <c r="G460" s="3"/>
      <c r="H460" s="2"/>
      <c r="I460" s="5"/>
      <c r="J460" s="5"/>
      <c r="K460" s="19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 spans="1:26">
      <c r="A461" s="5"/>
      <c r="B461" s="4"/>
      <c r="C461" s="5"/>
      <c r="D461" s="2"/>
      <c r="E461" s="2"/>
      <c r="F461" s="2"/>
      <c r="G461" s="3"/>
      <c r="H461" s="2"/>
      <c r="I461" s="5"/>
      <c r="J461" s="5"/>
      <c r="K461" s="19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 spans="1:26">
      <c r="A462" s="5"/>
      <c r="B462" s="4"/>
      <c r="C462" s="5"/>
      <c r="D462" s="2"/>
      <c r="E462" s="2"/>
      <c r="F462" s="2"/>
      <c r="G462" s="3"/>
      <c r="H462" s="2"/>
      <c r="I462" s="5"/>
      <c r="J462" s="5"/>
      <c r="K462" s="19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 spans="1:26">
      <c r="A463" s="5"/>
      <c r="B463" s="4"/>
      <c r="C463" s="5"/>
      <c r="D463" s="2"/>
      <c r="E463" s="2"/>
      <c r="F463" s="2"/>
      <c r="G463" s="3"/>
      <c r="H463" s="2"/>
      <c r="I463" s="5"/>
      <c r="J463" s="5"/>
      <c r="K463" s="19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 spans="1:26">
      <c r="A464" s="5"/>
      <c r="B464" s="4"/>
      <c r="C464" s="5"/>
      <c r="D464" s="2"/>
      <c r="E464" s="2"/>
      <c r="F464" s="2"/>
      <c r="G464" s="3"/>
      <c r="H464" s="2"/>
      <c r="I464" s="5"/>
      <c r="J464" s="5"/>
      <c r="K464" s="19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 spans="1:26">
      <c r="A465" s="5"/>
      <c r="B465" s="4"/>
      <c r="C465" s="5"/>
      <c r="D465" s="2"/>
      <c r="E465" s="2"/>
      <c r="F465" s="2"/>
      <c r="G465" s="3"/>
      <c r="H465" s="2"/>
      <c r="I465" s="5"/>
      <c r="J465" s="5"/>
      <c r="K465" s="19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 spans="1:26">
      <c r="A466" s="5"/>
      <c r="B466" s="4"/>
      <c r="C466" s="5"/>
      <c r="D466" s="2"/>
      <c r="E466" s="2"/>
      <c r="F466" s="2"/>
      <c r="G466" s="3"/>
      <c r="H466" s="2"/>
      <c r="I466" s="5"/>
      <c r="J466" s="5"/>
      <c r="K466" s="19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 spans="1:26">
      <c r="A467" s="5"/>
      <c r="B467" s="4"/>
      <c r="C467" s="5"/>
      <c r="D467" s="2"/>
      <c r="E467" s="2"/>
      <c r="F467" s="2"/>
      <c r="G467" s="3"/>
      <c r="H467" s="2"/>
      <c r="I467" s="5"/>
      <c r="J467" s="5"/>
      <c r="K467" s="19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 spans="1:26">
      <c r="A468" s="5"/>
      <c r="B468" s="4"/>
      <c r="C468" s="5"/>
      <c r="D468" s="2"/>
      <c r="E468" s="2"/>
      <c r="F468" s="2"/>
      <c r="G468" s="3"/>
      <c r="H468" s="2"/>
      <c r="I468" s="5"/>
      <c r="J468" s="5"/>
      <c r="K468" s="19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 spans="1:26">
      <c r="A469" s="5"/>
      <c r="B469" s="4"/>
      <c r="C469" s="5"/>
      <c r="D469" s="2"/>
      <c r="E469" s="2"/>
      <c r="F469" s="2"/>
      <c r="G469" s="3"/>
      <c r="H469" s="2"/>
      <c r="I469" s="5"/>
      <c r="J469" s="5"/>
      <c r="K469" s="19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 spans="1:26">
      <c r="A470" s="5"/>
      <c r="B470" s="4"/>
      <c r="C470" s="5"/>
      <c r="D470" s="2"/>
      <c r="E470" s="2"/>
      <c r="F470" s="2"/>
      <c r="G470" s="3"/>
      <c r="H470" s="2"/>
      <c r="I470" s="5"/>
      <c r="J470" s="5"/>
      <c r="K470" s="19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 spans="1:26">
      <c r="A471" s="5"/>
      <c r="B471" s="4"/>
      <c r="C471" s="5"/>
      <c r="D471" s="2"/>
      <c r="E471" s="2"/>
      <c r="F471" s="2"/>
      <c r="G471" s="3"/>
      <c r="H471" s="2"/>
      <c r="I471" s="5"/>
      <c r="J471" s="5"/>
      <c r="K471" s="19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 spans="1:26">
      <c r="A472" s="5"/>
      <c r="B472" s="4"/>
      <c r="C472" s="5"/>
      <c r="D472" s="2"/>
      <c r="E472" s="2"/>
      <c r="F472" s="2"/>
      <c r="G472" s="3"/>
      <c r="H472" s="2"/>
      <c r="I472" s="5"/>
      <c r="J472" s="5"/>
      <c r="K472" s="19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 spans="1:26">
      <c r="A473" s="5"/>
      <c r="B473" s="4"/>
      <c r="C473" s="5"/>
      <c r="D473" s="2"/>
      <c r="E473" s="2"/>
      <c r="F473" s="2"/>
      <c r="G473" s="3"/>
      <c r="H473" s="2"/>
      <c r="I473" s="5"/>
      <c r="J473" s="5"/>
      <c r="K473" s="19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 spans="1:26">
      <c r="A474" s="5"/>
      <c r="B474" s="4"/>
      <c r="C474" s="5"/>
      <c r="D474" s="2"/>
      <c r="E474" s="2"/>
      <c r="F474" s="2"/>
      <c r="G474" s="3"/>
      <c r="H474" s="2"/>
      <c r="I474" s="5"/>
      <c r="J474" s="5"/>
      <c r="K474" s="19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 spans="1:26">
      <c r="A475" s="5"/>
      <c r="B475" s="4"/>
      <c r="C475" s="5"/>
      <c r="D475" s="2"/>
      <c r="E475" s="2"/>
      <c r="F475" s="2"/>
      <c r="G475" s="3"/>
      <c r="H475" s="2"/>
      <c r="I475" s="5"/>
      <c r="J475" s="5"/>
      <c r="K475" s="19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 spans="1:26">
      <c r="A476" s="5"/>
      <c r="B476" s="4"/>
      <c r="C476" s="5"/>
      <c r="D476" s="2"/>
      <c r="E476" s="2"/>
      <c r="F476" s="2"/>
      <c r="G476" s="3"/>
      <c r="H476" s="2"/>
      <c r="I476" s="5"/>
      <c r="J476" s="5"/>
      <c r="K476" s="19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 spans="1:26">
      <c r="A477" s="5"/>
      <c r="B477" s="4"/>
      <c r="C477" s="5"/>
      <c r="D477" s="2"/>
      <c r="E477" s="2"/>
      <c r="F477" s="2"/>
      <c r="G477" s="3"/>
      <c r="H477" s="2"/>
      <c r="I477" s="5"/>
      <c r="J477" s="5"/>
      <c r="K477" s="19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 spans="1:26">
      <c r="A478" s="5"/>
      <c r="B478" s="4"/>
      <c r="C478" s="5"/>
      <c r="D478" s="2"/>
      <c r="E478" s="2"/>
      <c r="F478" s="2"/>
      <c r="G478" s="3"/>
      <c r="H478" s="2"/>
      <c r="I478" s="5"/>
      <c r="J478" s="5"/>
      <c r="K478" s="19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 spans="1:26">
      <c r="A479" s="5"/>
      <c r="B479" s="4"/>
      <c r="C479" s="5"/>
      <c r="D479" s="2"/>
      <c r="E479" s="2"/>
      <c r="F479" s="2"/>
      <c r="G479" s="3"/>
      <c r="H479" s="2"/>
      <c r="I479" s="5"/>
      <c r="J479" s="5"/>
      <c r="K479" s="19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 spans="1:26">
      <c r="A480" s="5"/>
      <c r="B480" s="4"/>
      <c r="C480" s="5"/>
      <c r="D480" s="2"/>
      <c r="E480" s="2"/>
      <c r="F480" s="2"/>
      <c r="G480" s="3"/>
      <c r="H480" s="2"/>
      <c r="I480" s="5"/>
      <c r="J480" s="5"/>
      <c r="K480" s="19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 spans="1:26">
      <c r="A481" s="5"/>
      <c r="B481" s="4"/>
      <c r="C481" s="5"/>
      <c r="D481" s="2"/>
      <c r="E481" s="2"/>
      <c r="F481" s="2"/>
      <c r="G481" s="3"/>
      <c r="H481" s="2"/>
      <c r="I481" s="5"/>
      <c r="J481" s="5"/>
      <c r="K481" s="19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 spans="1:26">
      <c r="A482" s="5"/>
      <c r="B482" s="4"/>
      <c r="C482" s="5"/>
      <c r="D482" s="2"/>
      <c r="E482" s="2"/>
      <c r="F482" s="2"/>
      <c r="G482" s="3"/>
      <c r="H482" s="2"/>
      <c r="I482" s="5"/>
      <c r="J482" s="5"/>
      <c r="K482" s="19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 spans="1:26">
      <c r="A483" s="5"/>
      <c r="B483" s="4"/>
      <c r="C483" s="5"/>
      <c r="D483" s="2"/>
      <c r="E483" s="2"/>
      <c r="F483" s="2"/>
      <c r="G483" s="3"/>
      <c r="H483" s="2"/>
      <c r="I483" s="5"/>
      <c r="J483" s="5"/>
      <c r="K483" s="19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 spans="1:26">
      <c r="A484" s="5"/>
      <c r="B484" s="4"/>
      <c r="C484" s="5"/>
      <c r="D484" s="2"/>
      <c r="E484" s="2"/>
      <c r="F484" s="2"/>
      <c r="G484" s="3"/>
      <c r="H484" s="2"/>
      <c r="I484" s="5"/>
      <c r="J484" s="5"/>
      <c r="K484" s="19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 spans="1:26">
      <c r="A485" s="5"/>
      <c r="B485" s="4"/>
      <c r="C485" s="5"/>
      <c r="D485" s="2"/>
      <c r="E485" s="2"/>
      <c r="F485" s="2"/>
      <c r="G485" s="3"/>
      <c r="H485" s="2"/>
      <c r="I485" s="5"/>
      <c r="J485" s="5"/>
      <c r="K485" s="19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 spans="1:26">
      <c r="A486" s="5"/>
      <c r="B486" s="4"/>
      <c r="C486" s="5"/>
      <c r="D486" s="2"/>
      <c r="E486" s="2"/>
      <c r="F486" s="2"/>
      <c r="G486" s="3"/>
      <c r="H486" s="2"/>
      <c r="I486" s="5"/>
      <c r="J486" s="5"/>
      <c r="K486" s="19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 spans="1:26">
      <c r="A487" s="5"/>
      <c r="B487" s="4"/>
      <c r="C487" s="5"/>
      <c r="D487" s="2"/>
      <c r="E487" s="2"/>
      <c r="F487" s="2"/>
      <c r="G487" s="3"/>
      <c r="H487" s="2"/>
      <c r="I487" s="5"/>
      <c r="J487" s="5"/>
      <c r="K487" s="19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 spans="1:26">
      <c r="A488" s="5"/>
      <c r="B488" s="4"/>
      <c r="C488" s="5"/>
      <c r="D488" s="2"/>
      <c r="E488" s="2"/>
      <c r="F488" s="2"/>
      <c r="G488" s="3"/>
      <c r="H488" s="2"/>
      <c r="I488" s="5"/>
      <c r="J488" s="5"/>
      <c r="K488" s="19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 spans="1:26">
      <c r="A489" s="5"/>
      <c r="B489" s="4"/>
      <c r="C489" s="5"/>
      <c r="D489" s="2"/>
      <c r="E489" s="2"/>
      <c r="F489" s="2"/>
      <c r="G489" s="3"/>
      <c r="H489" s="2"/>
      <c r="I489" s="5"/>
      <c r="J489" s="5"/>
      <c r="K489" s="19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 spans="1:26">
      <c r="A490" s="5"/>
      <c r="B490" s="4"/>
      <c r="C490" s="5"/>
      <c r="D490" s="2"/>
      <c r="E490" s="2"/>
      <c r="F490" s="2"/>
      <c r="G490" s="3"/>
      <c r="H490" s="2"/>
      <c r="I490" s="5"/>
      <c r="J490" s="5"/>
      <c r="K490" s="19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 spans="1:26">
      <c r="A491" s="5"/>
      <c r="B491" s="4"/>
      <c r="C491" s="5"/>
      <c r="D491" s="2"/>
      <c r="E491" s="2"/>
      <c r="F491" s="2"/>
      <c r="G491" s="3"/>
      <c r="H491" s="2"/>
      <c r="I491" s="5"/>
      <c r="J491" s="5"/>
      <c r="K491" s="19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 spans="1:26">
      <c r="A492" s="5"/>
      <c r="B492" s="4"/>
      <c r="C492" s="5"/>
      <c r="D492" s="2"/>
      <c r="E492" s="2"/>
      <c r="F492" s="2"/>
      <c r="G492" s="3"/>
      <c r="H492" s="2"/>
      <c r="I492" s="5"/>
      <c r="J492" s="5"/>
      <c r="K492" s="19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 spans="1:26">
      <c r="A493" s="5"/>
      <c r="B493" s="4"/>
      <c r="C493" s="5"/>
      <c r="D493" s="2"/>
      <c r="E493" s="2"/>
      <c r="F493" s="2"/>
      <c r="G493" s="3"/>
      <c r="H493" s="2"/>
      <c r="I493" s="5"/>
      <c r="J493" s="5"/>
      <c r="K493" s="19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 spans="1:26">
      <c r="A494" s="5"/>
      <c r="B494" s="4"/>
      <c r="C494" s="5"/>
      <c r="D494" s="2"/>
      <c r="E494" s="2"/>
      <c r="F494" s="2"/>
      <c r="G494" s="3"/>
      <c r="H494" s="2"/>
      <c r="I494" s="5"/>
      <c r="J494" s="5"/>
      <c r="K494" s="19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 spans="1:26">
      <c r="A495" s="5"/>
      <c r="B495" s="4"/>
      <c r="C495" s="5"/>
      <c r="D495" s="2"/>
      <c r="E495" s="2"/>
      <c r="F495" s="2"/>
      <c r="G495" s="3"/>
      <c r="H495" s="2"/>
      <c r="I495" s="5"/>
      <c r="J495" s="5"/>
      <c r="K495" s="19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 spans="1:26">
      <c r="A496" s="5"/>
      <c r="B496" s="4"/>
      <c r="C496" s="5"/>
      <c r="D496" s="2"/>
      <c r="E496" s="2"/>
      <c r="F496" s="2"/>
      <c r="G496" s="3"/>
      <c r="H496" s="2"/>
      <c r="I496" s="5"/>
      <c r="J496" s="5"/>
      <c r="K496" s="19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 spans="1:26">
      <c r="A497" s="5"/>
      <c r="B497" s="4"/>
      <c r="C497" s="5"/>
      <c r="D497" s="2"/>
      <c r="E497" s="2"/>
      <c r="F497" s="2"/>
      <c r="G497" s="3"/>
      <c r="H497" s="2"/>
      <c r="I497" s="5"/>
      <c r="J497" s="5"/>
      <c r="K497" s="19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 spans="1:26">
      <c r="A498" s="5"/>
      <c r="B498" s="4"/>
      <c r="C498" s="5"/>
      <c r="D498" s="2"/>
      <c r="E498" s="2"/>
      <c r="F498" s="2"/>
      <c r="G498" s="3"/>
      <c r="H498" s="2"/>
      <c r="I498" s="5"/>
      <c r="J498" s="5"/>
      <c r="K498" s="19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 spans="1:26">
      <c r="A499" s="5"/>
      <c r="B499" s="4"/>
      <c r="C499" s="5"/>
      <c r="D499" s="2"/>
      <c r="E499" s="2"/>
      <c r="F499" s="2"/>
      <c r="G499" s="3"/>
      <c r="H499" s="2"/>
      <c r="I499" s="5"/>
      <c r="J499" s="5"/>
      <c r="K499" s="19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 spans="1:26">
      <c r="A500" s="5"/>
      <c r="B500" s="4"/>
      <c r="C500" s="5"/>
      <c r="D500" s="2"/>
      <c r="E500" s="2"/>
      <c r="F500" s="2"/>
      <c r="G500" s="3"/>
      <c r="H500" s="2"/>
      <c r="I500" s="5"/>
      <c r="J500" s="5"/>
      <c r="K500" s="19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 spans="1:26">
      <c r="A501" s="5"/>
      <c r="B501" s="4"/>
      <c r="C501" s="5"/>
      <c r="D501" s="2"/>
      <c r="E501" s="2"/>
      <c r="F501" s="2"/>
      <c r="G501" s="3"/>
      <c r="H501" s="2"/>
      <c r="I501" s="5"/>
      <c r="J501" s="5"/>
      <c r="K501" s="19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 spans="1:26">
      <c r="A502" s="5"/>
      <c r="B502" s="4"/>
      <c r="C502" s="5"/>
      <c r="D502" s="2"/>
      <c r="E502" s="2"/>
      <c r="F502" s="2"/>
      <c r="G502" s="3"/>
      <c r="H502" s="2"/>
      <c r="I502" s="5"/>
      <c r="J502" s="5"/>
      <c r="K502" s="19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 spans="1:26">
      <c r="A503" s="5"/>
      <c r="B503" s="4"/>
      <c r="C503" s="5"/>
      <c r="D503" s="2"/>
      <c r="E503" s="2"/>
      <c r="F503" s="2"/>
      <c r="G503" s="3"/>
      <c r="H503" s="2"/>
      <c r="I503" s="5"/>
      <c r="J503" s="5"/>
      <c r="K503" s="19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 spans="1:26">
      <c r="A504" s="5"/>
      <c r="B504" s="4"/>
      <c r="C504" s="5"/>
      <c r="D504" s="2"/>
      <c r="E504" s="2"/>
      <c r="F504" s="2"/>
      <c r="G504" s="3"/>
      <c r="H504" s="2"/>
      <c r="I504" s="5"/>
      <c r="J504" s="5"/>
      <c r="K504" s="19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 spans="1:26">
      <c r="A505" s="5"/>
      <c r="B505" s="4"/>
      <c r="C505" s="5"/>
      <c r="D505" s="2"/>
      <c r="E505" s="2"/>
      <c r="F505" s="2"/>
      <c r="G505" s="3"/>
      <c r="H505" s="2"/>
      <c r="I505" s="5"/>
      <c r="J505" s="5"/>
      <c r="K505" s="19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 spans="1:26">
      <c r="A506" s="5"/>
      <c r="B506" s="4"/>
      <c r="C506" s="5"/>
      <c r="D506" s="2"/>
      <c r="E506" s="2"/>
      <c r="F506" s="2"/>
      <c r="G506" s="3"/>
      <c r="H506" s="2"/>
      <c r="I506" s="5"/>
      <c r="J506" s="5"/>
      <c r="K506" s="19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 spans="1:26">
      <c r="A507" s="5"/>
      <c r="B507" s="4"/>
      <c r="C507" s="5"/>
      <c r="D507" s="2"/>
      <c r="E507" s="2"/>
      <c r="F507" s="2"/>
      <c r="G507" s="3"/>
      <c r="H507" s="2"/>
      <c r="I507" s="5"/>
      <c r="J507" s="5"/>
      <c r="K507" s="19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 spans="1:26">
      <c r="A508" s="5"/>
      <c r="B508" s="4"/>
      <c r="C508" s="5"/>
      <c r="D508" s="2"/>
      <c r="E508" s="2"/>
      <c r="F508" s="2"/>
      <c r="G508" s="3"/>
      <c r="H508" s="2"/>
      <c r="I508" s="5"/>
      <c r="J508" s="5"/>
      <c r="K508" s="19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 spans="1:26">
      <c r="A509" s="5"/>
      <c r="B509" s="4"/>
      <c r="C509" s="5"/>
      <c r="D509" s="2"/>
      <c r="E509" s="2"/>
      <c r="F509" s="2"/>
      <c r="G509" s="3"/>
      <c r="H509" s="2"/>
      <c r="I509" s="5"/>
      <c r="J509" s="5"/>
      <c r="K509" s="19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 spans="1:26">
      <c r="A510" s="5"/>
      <c r="B510" s="4"/>
      <c r="C510" s="5"/>
      <c r="D510" s="2"/>
      <c r="E510" s="2"/>
      <c r="F510" s="2"/>
      <c r="G510" s="3"/>
      <c r="H510" s="2"/>
      <c r="I510" s="5"/>
      <c r="J510" s="5"/>
      <c r="K510" s="19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 spans="1:26">
      <c r="A511" s="5"/>
      <c r="B511" s="4"/>
      <c r="C511" s="5"/>
      <c r="D511" s="2"/>
      <c r="E511" s="2"/>
      <c r="F511" s="2"/>
      <c r="G511" s="3"/>
      <c r="H511" s="2"/>
      <c r="I511" s="5"/>
      <c r="J511" s="5"/>
      <c r="K511" s="19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 spans="1:26">
      <c r="A512" s="5"/>
      <c r="B512" s="4"/>
      <c r="C512" s="5"/>
      <c r="D512" s="2"/>
      <c r="E512" s="2"/>
      <c r="F512" s="2"/>
      <c r="G512" s="3"/>
      <c r="H512" s="2"/>
      <c r="I512" s="5"/>
      <c r="J512" s="5"/>
      <c r="K512" s="19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 spans="1:26">
      <c r="A513" s="5"/>
      <c r="B513" s="4"/>
      <c r="C513" s="5"/>
      <c r="D513" s="2"/>
      <c r="E513" s="2"/>
      <c r="F513" s="2"/>
      <c r="G513" s="3"/>
      <c r="H513" s="2"/>
      <c r="I513" s="5"/>
      <c r="J513" s="5"/>
      <c r="K513" s="19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 spans="1:26">
      <c r="A514" s="5"/>
      <c r="B514" s="4"/>
      <c r="C514" s="5"/>
      <c r="D514" s="2"/>
      <c r="E514" s="2"/>
      <c r="F514" s="2"/>
      <c r="G514" s="3"/>
      <c r="H514" s="2"/>
      <c r="I514" s="5"/>
      <c r="J514" s="5"/>
      <c r="K514" s="19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 spans="1:26">
      <c r="A515" s="5"/>
      <c r="B515" s="4"/>
      <c r="C515" s="5"/>
      <c r="D515" s="2"/>
      <c r="E515" s="2"/>
      <c r="F515" s="2"/>
      <c r="G515" s="3"/>
      <c r="H515" s="2"/>
      <c r="I515" s="5"/>
      <c r="J515" s="5"/>
      <c r="K515" s="19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 spans="1:26">
      <c r="A516" s="5"/>
      <c r="B516" s="4"/>
      <c r="C516" s="5"/>
      <c r="D516" s="2"/>
      <c r="E516" s="2"/>
      <c r="F516" s="2"/>
      <c r="G516" s="3"/>
      <c r="H516" s="2"/>
      <c r="I516" s="5"/>
      <c r="J516" s="5"/>
      <c r="K516" s="19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 spans="1:26">
      <c r="A517" s="5"/>
      <c r="B517" s="4"/>
      <c r="C517" s="5"/>
      <c r="D517" s="2"/>
      <c r="E517" s="2"/>
      <c r="F517" s="2"/>
      <c r="G517" s="3"/>
      <c r="H517" s="2"/>
      <c r="I517" s="5"/>
      <c r="J517" s="5"/>
      <c r="K517" s="19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 spans="1:26">
      <c r="A518" s="5"/>
      <c r="B518" s="4"/>
      <c r="C518" s="5"/>
      <c r="D518" s="2"/>
      <c r="E518" s="2"/>
      <c r="F518" s="2"/>
      <c r="G518" s="3"/>
      <c r="H518" s="2"/>
      <c r="I518" s="5"/>
      <c r="J518" s="5"/>
      <c r="K518" s="19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 spans="1:26">
      <c r="A519" s="5"/>
      <c r="B519" s="4"/>
      <c r="C519" s="5"/>
      <c r="D519" s="2"/>
      <c r="E519" s="2"/>
      <c r="F519" s="2"/>
      <c r="G519" s="3"/>
      <c r="H519" s="2"/>
      <c r="I519" s="5"/>
      <c r="J519" s="5"/>
      <c r="K519" s="19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 spans="1:26">
      <c r="A520" s="5"/>
      <c r="B520" s="4"/>
      <c r="C520" s="5"/>
      <c r="D520" s="2"/>
      <c r="E520" s="2"/>
      <c r="F520" s="2"/>
      <c r="G520" s="3"/>
      <c r="H520" s="2"/>
      <c r="I520" s="5"/>
      <c r="J520" s="5"/>
      <c r="K520" s="19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 spans="1:26">
      <c r="A521" s="5"/>
      <c r="B521" s="4"/>
      <c r="C521" s="5"/>
      <c r="D521" s="2"/>
      <c r="E521" s="2"/>
      <c r="F521" s="2"/>
      <c r="G521" s="3"/>
      <c r="H521" s="2"/>
      <c r="I521" s="5"/>
      <c r="J521" s="5"/>
      <c r="K521" s="19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 spans="1:26">
      <c r="A522" s="5"/>
      <c r="B522" s="4"/>
      <c r="C522" s="5"/>
      <c r="D522" s="2"/>
      <c r="E522" s="2"/>
      <c r="F522" s="2"/>
      <c r="G522" s="3"/>
      <c r="H522" s="2"/>
      <c r="I522" s="5"/>
      <c r="J522" s="5"/>
      <c r="K522" s="19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 spans="1:26">
      <c r="A523" s="5"/>
      <c r="B523" s="4"/>
      <c r="C523" s="5"/>
      <c r="D523" s="2"/>
      <c r="E523" s="2"/>
      <c r="F523" s="2"/>
      <c r="G523" s="3"/>
      <c r="H523" s="2"/>
      <c r="I523" s="5"/>
      <c r="J523" s="5"/>
      <c r="K523" s="19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 spans="1:26">
      <c r="A524" s="5"/>
      <c r="B524" s="4"/>
      <c r="C524" s="5"/>
      <c r="D524" s="2"/>
      <c r="E524" s="2"/>
      <c r="F524" s="2"/>
      <c r="G524" s="3"/>
      <c r="H524" s="2"/>
      <c r="I524" s="5"/>
      <c r="J524" s="5"/>
      <c r="K524" s="19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 spans="1:26">
      <c r="A525" s="5"/>
      <c r="B525" s="4"/>
      <c r="C525" s="5"/>
      <c r="D525" s="2"/>
      <c r="E525" s="2"/>
      <c r="F525" s="2"/>
      <c r="G525" s="3"/>
      <c r="H525" s="2"/>
      <c r="I525" s="5"/>
      <c r="J525" s="5"/>
      <c r="K525" s="19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 spans="1:26">
      <c r="A526" s="5"/>
      <c r="B526" s="4"/>
      <c r="C526" s="5"/>
      <c r="D526" s="2"/>
      <c r="E526" s="2"/>
      <c r="F526" s="2"/>
      <c r="G526" s="3"/>
      <c r="H526" s="2"/>
      <c r="I526" s="5"/>
      <c r="J526" s="5"/>
      <c r="K526" s="19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 spans="1:26">
      <c r="A527" s="5"/>
      <c r="B527" s="4"/>
      <c r="C527" s="5"/>
      <c r="D527" s="2"/>
      <c r="E527" s="2"/>
      <c r="F527" s="2"/>
      <c r="G527" s="3"/>
      <c r="H527" s="2"/>
      <c r="I527" s="5"/>
      <c r="J527" s="5"/>
      <c r="K527" s="19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 spans="1:26">
      <c r="A528" s="5"/>
      <c r="B528" s="4"/>
      <c r="C528" s="5"/>
      <c r="D528" s="2"/>
      <c r="E528" s="2"/>
      <c r="F528" s="2"/>
      <c r="G528" s="3"/>
      <c r="H528" s="2"/>
      <c r="I528" s="5"/>
      <c r="J528" s="5"/>
      <c r="K528" s="19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 spans="1:26">
      <c r="A529" s="5"/>
      <c r="B529" s="4"/>
      <c r="C529" s="5"/>
      <c r="D529" s="2"/>
      <c r="E529" s="2"/>
      <c r="F529" s="2"/>
      <c r="G529" s="3"/>
      <c r="H529" s="2"/>
      <c r="I529" s="5"/>
      <c r="J529" s="5"/>
      <c r="K529" s="19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 spans="1:26">
      <c r="A530" s="5"/>
      <c r="B530" s="4"/>
      <c r="C530" s="5"/>
      <c r="D530" s="2"/>
      <c r="E530" s="2"/>
      <c r="F530" s="2"/>
      <c r="G530" s="3"/>
      <c r="H530" s="2"/>
      <c r="I530" s="5"/>
      <c r="J530" s="5"/>
      <c r="K530" s="19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 spans="1:26">
      <c r="A531" s="5"/>
      <c r="B531" s="4"/>
      <c r="C531" s="5"/>
      <c r="D531" s="2"/>
      <c r="E531" s="2"/>
      <c r="F531" s="2"/>
      <c r="G531" s="3"/>
      <c r="H531" s="2"/>
      <c r="I531" s="5"/>
      <c r="J531" s="5"/>
      <c r="K531" s="19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 spans="1:26">
      <c r="A532" s="5"/>
      <c r="B532" s="4"/>
      <c r="C532" s="5"/>
      <c r="D532" s="2"/>
      <c r="E532" s="2"/>
      <c r="F532" s="2"/>
      <c r="G532" s="3"/>
      <c r="H532" s="2"/>
      <c r="I532" s="5"/>
      <c r="J532" s="5"/>
      <c r="K532" s="19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 spans="1:26">
      <c r="A533" s="5"/>
      <c r="B533" s="4"/>
      <c r="C533" s="5"/>
      <c r="D533" s="2"/>
      <c r="E533" s="2"/>
      <c r="F533" s="2"/>
      <c r="G533" s="3"/>
      <c r="H533" s="2"/>
      <c r="I533" s="5"/>
      <c r="J533" s="5"/>
      <c r="K533" s="19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 spans="1:26">
      <c r="A534" s="5"/>
      <c r="B534" s="4"/>
      <c r="C534" s="5"/>
      <c r="D534" s="2"/>
      <c r="E534" s="2"/>
      <c r="F534" s="2"/>
      <c r="G534" s="3"/>
      <c r="H534" s="2"/>
      <c r="I534" s="5"/>
      <c r="J534" s="5"/>
      <c r="K534" s="19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 spans="1:26">
      <c r="A535" s="5"/>
      <c r="B535" s="4"/>
      <c r="C535" s="5"/>
      <c r="D535" s="2"/>
      <c r="E535" s="2"/>
      <c r="F535" s="2"/>
      <c r="G535" s="3"/>
      <c r="H535" s="2"/>
      <c r="I535" s="5"/>
      <c r="J535" s="5"/>
      <c r="K535" s="19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 spans="1:26">
      <c r="A536" s="5"/>
      <c r="B536" s="4"/>
      <c r="C536" s="5"/>
      <c r="D536" s="2"/>
      <c r="E536" s="2"/>
      <c r="F536" s="2"/>
      <c r="G536" s="3"/>
      <c r="H536" s="2"/>
      <c r="I536" s="5"/>
      <c r="J536" s="5"/>
      <c r="K536" s="19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 spans="1:26">
      <c r="A537" s="5"/>
      <c r="B537" s="4"/>
      <c r="C537" s="5"/>
      <c r="D537" s="2"/>
      <c r="E537" s="2"/>
      <c r="F537" s="2"/>
      <c r="G537" s="3"/>
      <c r="H537" s="2"/>
      <c r="I537" s="5"/>
      <c r="J537" s="5"/>
      <c r="K537" s="19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 spans="1:26">
      <c r="A538" s="5"/>
      <c r="B538" s="4"/>
      <c r="C538" s="5"/>
      <c r="D538" s="2"/>
      <c r="E538" s="2"/>
      <c r="F538" s="2"/>
      <c r="G538" s="3"/>
      <c r="H538" s="2"/>
      <c r="I538" s="5"/>
      <c r="J538" s="5"/>
      <c r="K538" s="19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 spans="1:26">
      <c r="A539" s="5"/>
      <c r="B539" s="4"/>
      <c r="C539" s="5"/>
      <c r="D539" s="2"/>
      <c r="E539" s="2"/>
      <c r="F539" s="2"/>
      <c r="G539" s="3"/>
      <c r="H539" s="2"/>
      <c r="I539" s="5"/>
      <c r="J539" s="5"/>
      <c r="K539" s="19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 spans="1:26">
      <c r="A540" s="5"/>
      <c r="B540" s="4"/>
      <c r="C540" s="5"/>
      <c r="D540" s="2"/>
      <c r="E540" s="2"/>
      <c r="F540" s="2"/>
      <c r="G540" s="3"/>
      <c r="H540" s="2"/>
      <c r="I540" s="5"/>
      <c r="J540" s="5"/>
      <c r="K540" s="19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 spans="1:26">
      <c r="A541" s="5"/>
      <c r="B541" s="4"/>
      <c r="C541" s="5"/>
      <c r="D541" s="2"/>
      <c r="E541" s="2"/>
      <c r="F541" s="2"/>
      <c r="G541" s="3"/>
      <c r="H541" s="2"/>
      <c r="I541" s="5"/>
      <c r="J541" s="5"/>
      <c r="K541" s="19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 spans="1:26">
      <c r="A542" s="5"/>
      <c r="B542" s="4"/>
      <c r="C542" s="5"/>
      <c r="D542" s="2"/>
      <c r="E542" s="2"/>
      <c r="F542" s="2"/>
      <c r="G542" s="3"/>
      <c r="H542" s="2"/>
      <c r="I542" s="5"/>
      <c r="J542" s="5"/>
      <c r="K542" s="19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 spans="1:26">
      <c r="A543" s="5"/>
      <c r="B543" s="4"/>
      <c r="C543" s="5"/>
      <c r="D543" s="2"/>
      <c r="E543" s="2"/>
      <c r="F543" s="2"/>
      <c r="G543" s="3"/>
      <c r="H543" s="2"/>
      <c r="I543" s="5"/>
      <c r="J543" s="5"/>
      <c r="K543" s="19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 spans="1:26">
      <c r="A544" s="5"/>
      <c r="B544" s="4"/>
      <c r="C544" s="5"/>
      <c r="D544" s="2"/>
      <c r="E544" s="2"/>
      <c r="F544" s="2"/>
      <c r="G544" s="3"/>
      <c r="H544" s="2"/>
      <c r="I544" s="5"/>
      <c r="J544" s="5"/>
      <c r="K544" s="19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 spans="1:26">
      <c r="A545" s="5"/>
      <c r="B545" s="4"/>
      <c r="C545" s="5"/>
      <c r="D545" s="2"/>
      <c r="E545" s="2"/>
      <c r="F545" s="2"/>
      <c r="G545" s="3"/>
      <c r="H545" s="2"/>
      <c r="I545" s="5"/>
      <c r="J545" s="5"/>
      <c r="K545" s="19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 spans="1:26">
      <c r="A546" s="5"/>
      <c r="B546" s="4"/>
      <c r="C546" s="5"/>
      <c r="D546" s="2"/>
      <c r="E546" s="2"/>
      <c r="F546" s="2"/>
      <c r="G546" s="3"/>
      <c r="H546" s="2"/>
      <c r="I546" s="5"/>
      <c r="J546" s="5"/>
      <c r="K546" s="19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 spans="1:26">
      <c r="A547" s="5"/>
      <c r="B547" s="4"/>
      <c r="C547" s="5"/>
      <c r="D547" s="2"/>
      <c r="E547" s="2"/>
      <c r="F547" s="2"/>
      <c r="G547" s="3"/>
      <c r="H547" s="2"/>
      <c r="I547" s="5"/>
      <c r="J547" s="5"/>
      <c r="K547" s="19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 spans="1:26">
      <c r="A548" s="5"/>
      <c r="B548" s="4"/>
      <c r="C548" s="5"/>
      <c r="D548" s="2"/>
      <c r="E548" s="2"/>
      <c r="F548" s="2"/>
      <c r="G548" s="3"/>
      <c r="H548" s="2"/>
      <c r="I548" s="5"/>
      <c r="J548" s="5"/>
      <c r="K548" s="19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 spans="1:26">
      <c r="A549" s="5"/>
      <c r="B549" s="4"/>
      <c r="C549" s="5"/>
      <c r="D549" s="2"/>
      <c r="E549" s="2"/>
      <c r="F549" s="2"/>
      <c r="G549" s="3"/>
      <c r="H549" s="2"/>
      <c r="I549" s="5"/>
      <c r="J549" s="5"/>
      <c r="K549" s="19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 spans="1:26">
      <c r="A550" s="5"/>
      <c r="B550" s="4"/>
      <c r="C550" s="5"/>
      <c r="D550" s="2"/>
      <c r="E550" s="2"/>
      <c r="F550" s="2"/>
      <c r="G550" s="3"/>
      <c r="H550" s="2"/>
      <c r="I550" s="5"/>
      <c r="J550" s="5"/>
      <c r="K550" s="19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 spans="1:26">
      <c r="A551" s="5"/>
      <c r="B551" s="4"/>
      <c r="C551" s="5"/>
      <c r="D551" s="2"/>
      <c r="E551" s="2"/>
      <c r="F551" s="2"/>
      <c r="G551" s="3"/>
      <c r="H551" s="2"/>
      <c r="I551" s="5"/>
      <c r="J551" s="5"/>
      <c r="K551" s="19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 spans="1:26">
      <c r="A552" s="5"/>
      <c r="B552" s="4"/>
      <c r="C552" s="5"/>
      <c r="D552" s="2"/>
      <c r="E552" s="2"/>
      <c r="F552" s="2"/>
      <c r="G552" s="3"/>
      <c r="H552" s="2"/>
      <c r="I552" s="5"/>
      <c r="J552" s="5"/>
      <c r="K552" s="19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 spans="1:26">
      <c r="A553" s="5"/>
      <c r="B553" s="4"/>
      <c r="C553" s="5"/>
      <c r="D553" s="2"/>
      <c r="E553" s="2"/>
      <c r="F553" s="2"/>
      <c r="G553" s="3"/>
      <c r="H553" s="2"/>
      <c r="I553" s="5"/>
      <c r="J553" s="5"/>
      <c r="K553" s="19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 spans="1:26">
      <c r="A554" s="5"/>
      <c r="B554" s="4"/>
      <c r="C554" s="5"/>
      <c r="D554" s="2"/>
      <c r="E554" s="2"/>
      <c r="F554" s="2"/>
      <c r="G554" s="3"/>
      <c r="H554" s="2"/>
      <c r="I554" s="5"/>
      <c r="J554" s="5"/>
      <c r="K554" s="19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 spans="1:26">
      <c r="A555" s="5"/>
      <c r="B555" s="4"/>
      <c r="C555" s="5"/>
      <c r="D555" s="2"/>
      <c r="E555" s="2"/>
      <c r="F555" s="2"/>
      <c r="G555" s="3"/>
      <c r="H555" s="2"/>
      <c r="I555" s="5"/>
      <c r="J555" s="5"/>
      <c r="K555" s="19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 spans="1:26">
      <c r="A556" s="5"/>
      <c r="B556" s="4"/>
      <c r="C556" s="5"/>
      <c r="D556" s="2"/>
      <c r="E556" s="2"/>
      <c r="F556" s="2"/>
      <c r="G556" s="3"/>
      <c r="H556" s="2"/>
      <c r="I556" s="5"/>
      <c r="J556" s="5"/>
      <c r="K556" s="19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 spans="1:26">
      <c r="A557" s="5"/>
      <c r="B557" s="4"/>
      <c r="C557" s="5"/>
      <c r="D557" s="2"/>
      <c r="E557" s="2"/>
      <c r="F557" s="2"/>
      <c r="G557" s="3"/>
      <c r="H557" s="2"/>
      <c r="I557" s="5"/>
      <c r="J557" s="5"/>
      <c r="K557" s="19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 spans="1:26">
      <c r="A558" s="5"/>
      <c r="B558" s="4"/>
      <c r="C558" s="5"/>
      <c r="D558" s="2"/>
      <c r="E558" s="2"/>
      <c r="F558" s="2"/>
      <c r="G558" s="3"/>
      <c r="H558" s="2"/>
      <c r="I558" s="5"/>
      <c r="J558" s="5"/>
      <c r="K558" s="19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 spans="1:26">
      <c r="A559" s="5"/>
      <c r="B559" s="4"/>
      <c r="C559" s="5"/>
      <c r="D559" s="2"/>
      <c r="E559" s="2"/>
      <c r="F559" s="2"/>
      <c r="G559" s="3"/>
      <c r="H559" s="2"/>
      <c r="I559" s="5"/>
      <c r="J559" s="5"/>
      <c r="K559" s="19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 spans="1:26">
      <c r="A560" s="5"/>
      <c r="B560" s="4"/>
      <c r="C560" s="5"/>
      <c r="D560" s="2"/>
      <c r="E560" s="2"/>
      <c r="F560" s="2"/>
      <c r="G560" s="3"/>
      <c r="H560" s="2"/>
      <c r="I560" s="5"/>
      <c r="J560" s="5"/>
      <c r="K560" s="19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 spans="1:26">
      <c r="A561" s="5"/>
      <c r="B561" s="4"/>
      <c r="C561" s="5"/>
      <c r="D561" s="2"/>
      <c r="E561" s="2"/>
      <c r="F561" s="2"/>
      <c r="G561" s="3"/>
      <c r="H561" s="2"/>
      <c r="I561" s="5"/>
      <c r="J561" s="5"/>
      <c r="K561" s="19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 spans="1:26">
      <c r="A562" s="5"/>
      <c r="B562" s="4"/>
      <c r="C562" s="5"/>
      <c r="D562" s="2"/>
      <c r="E562" s="2"/>
      <c r="F562" s="2"/>
      <c r="G562" s="3"/>
      <c r="H562" s="2"/>
      <c r="I562" s="5"/>
      <c r="J562" s="5"/>
      <c r="K562" s="19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 spans="1:26">
      <c r="A563" s="5"/>
      <c r="B563" s="4"/>
      <c r="C563" s="5"/>
      <c r="D563" s="2"/>
      <c r="E563" s="2"/>
      <c r="F563" s="2"/>
      <c r="G563" s="3"/>
      <c r="H563" s="2"/>
      <c r="I563" s="5"/>
      <c r="J563" s="5"/>
      <c r="K563" s="19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 spans="1:26">
      <c r="A564" s="5"/>
      <c r="B564" s="4"/>
      <c r="C564" s="5"/>
      <c r="D564" s="2"/>
      <c r="E564" s="2"/>
      <c r="F564" s="2"/>
      <c r="G564" s="3"/>
      <c r="H564" s="2"/>
      <c r="I564" s="5"/>
      <c r="J564" s="5"/>
      <c r="K564" s="19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 spans="1:26">
      <c r="A565" s="5"/>
      <c r="B565" s="4"/>
      <c r="C565" s="5"/>
      <c r="D565" s="2"/>
      <c r="E565" s="2"/>
      <c r="F565" s="2"/>
      <c r="G565" s="3"/>
      <c r="H565" s="2"/>
      <c r="I565" s="5"/>
      <c r="J565" s="5"/>
      <c r="K565" s="19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 spans="1:26">
      <c r="A566" s="5"/>
      <c r="B566" s="4"/>
      <c r="C566" s="5"/>
      <c r="D566" s="2"/>
      <c r="E566" s="2"/>
      <c r="F566" s="2"/>
      <c r="G566" s="3"/>
      <c r="H566" s="2"/>
      <c r="I566" s="5"/>
      <c r="J566" s="5"/>
      <c r="K566" s="19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 spans="1:26">
      <c r="A567" s="5"/>
      <c r="B567" s="4"/>
      <c r="C567" s="5"/>
      <c r="D567" s="2"/>
      <c r="E567" s="2"/>
      <c r="F567" s="2"/>
      <c r="G567" s="3"/>
      <c r="H567" s="2"/>
      <c r="I567" s="5"/>
      <c r="J567" s="5"/>
      <c r="K567" s="19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 spans="1:26">
      <c r="A568" s="5"/>
      <c r="B568" s="4"/>
      <c r="C568" s="5"/>
      <c r="D568" s="2"/>
      <c r="E568" s="2"/>
      <c r="F568" s="2"/>
      <c r="G568" s="3"/>
      <c r="H568" s="2"/>
      <c r="I568" s="5"/>
      <c r="J568" s="5"/>
      <c r="K568" s="19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 spans="1:26">
      <c r="A569" s="5"/>
      <c r="B569" s="4"/>
      <c r="C569" s="5"/>
      <c r="D569" s="2"/>
      <c r="E569" s="2"/>
      <c r="F569" s="2"/>
      <c r="G569" s="3"/>
      <c r="H569" s="2"/>
      <c r="I569" s="5"/>
      <c r="J569" s="5"/>
      <c r="K569" s="19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 spans="1:26">
      <c r="A570" s="5"/>
      <c r="B570" s="4"/>
      <c r="C570" s="5"/>
      <c r="D570" s="2"/>
      <c r="E570" s="2"/>
      <c r="F570" s="2"/>
      <c r="G570" s="3"/>
      <c r="H570" s="2"/>
      <c r="I570" s="5"/>
      <c r="J570" s="5"/>
      <c r="K570" s="19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 spans="1:26">
      <c r="A571" s="5"/>
      <c r="B571" s="4"/>
      <c r="C571" s="5"/>
      <c r="D571" s="2"/>
      <c r="E571" s="2"/>
      <c r="F571" s="2"/>
      <c r="G571" s="3"/>
      <c r="H571" s="2"/>
      <c r="I571" s="5"/>
      <c r="J571" s="5"/>
      <c r="K571" s="19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 spans="1:26">
      <c r="A572" s="5"/>
      <c r="B572" s="4"/>
      <c r="C572" s="5"/>
      <c r="D572" s="2"/>
      <c r="E572" s="2"/>
      <c r="F572" s="2"/>
      <c r="G572" s="3"/>
      <c r="H572" s="2"/>
      <c r="I572" s="5"/>
      <c r="J572" s="5"/>
      <c r="K572" s="19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 spans="1:26">
      <c r="A573" s="5"/>
      <c r="B573" s="4"/>
      <c r="C573" s="5"/>
      <c r="D573" s="2"/>
      <c r="E573" s="2"/>
      <c r="F573" s="2"/>
      <c r="G573" s="3"/>
      <c r="H573" s="2"/>
      <c r="I573" s="5"/>
      <c r="J573" s="5"/>
      <c r="K573" s="19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 spans="1:26">
      <c r="A574" s="5"/>
      <c r="B574" s="4"/>
      <c r="C574" s="5"/>
      <c r="D574" s="2"/>
      <c r="E574" s="2"/>
      <c r="F574" s="2"/>
      <c r="G574" s="3"/>
      <c r="H574" s="2"/>
      <c r="I574" s="5"/>
      <c r="J574" s="5"/>
      <c r="K574" s="19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 spans="1:26">
      <c r="A575" s="5"/>
      <c r="B575" s="4"/>
      <c r="C575" s="5"/>
      <c r="D575" s="2"/>
      <c r="E575" s="2"/>
      <c r="F575" s="2"/>
      <c r="G575" s="3"/>
      <c r="H575" s="2"/>
      <c r="I575" s="5"/>
      <c r="J575" s="5"/>
      <c r="K575" s="19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 spans="1:26">
      <c r="A576" s="5"/>
      <c r="B576" s="4"/>
      <c r="C576" s="5"/>
      <c r="D576" s="2"/>
      <c r="E576" s="2"/>
      <c r="F576" s="2"/>
      <c r="G576" s="3"/>
      <c r="H576" s="2"/>
      <c r="I576" s="5"/>
      <c r="J576" s="5"/>
      <c r="K576" s="19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 spans="1:26">
      <c r="A577" s="5"/>
      <c r="B577" s="4"/>
      <c r="C577" s="5"/>
      <c r="D577" s="2"/>
      <c r="E577" s="2"/>
      <c r="F577" s="2"/>
      <c r="G577" s="3"/>
      <c r="H577" s="2"/>
      <c r="I577" s="5"/>
      <c r="J577" s="5"/>
      <c r="K577" s="19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 spans="1:26">
      <c r="A578" s="5"/>
      <c r="B578" s="4"/>
      <c r="C578" s="5"/>
      <c r="D578" s="2"/>
      <c r="E578" s="2"/>
      <c r="F578" s="2"/>
      <c r="G578" s="3"/>
      <c r="H578" s="2"/>
      <c r="I578" s="5"/>
      <c r="J578" s="5"/>
      <c r="K578" s="19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 spans="1:26">
      <c r="A579" s="5"/>
      <c r="B579" s="4"/>
      <c r="C579" s="5"/>
      <c r="D579" s="2"/>
      <c r="E579" s="2"/>
      <c r="F579" s="2"/>
      <c r="G579" s="3"/>
      <c r="H579" s="2"/>
      <c r="I579" s="5"/>
      <c r="J579" s="5"/>
      <c r="K579" s="19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 spans="1:26">
      <c r="A580" s="5"/>
      <c r="B580" s="4"/>
      <c r="C580" s="5"/>
      <c r="D580" s="2"/>
      <c r="E580" s="2"/>
      <c r="F580" s="2"/>
      <c r="G580" s="3"/>
      <c r="H580" s="2"/>
      <c r="I580" s="5"/>
      <c r="J580" s="5"/>
      <c r="K580" s="19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 spans="1:26">
      <c r="A581" s="5"/>
      <c r="B581" s="4"/>
      <c r="C581" s="5"/>
      <c r="D581" s="2"/>
      <c r="E581" s="2"/>
      <c r="F581" s="2"/>
      <c r="G581" s="3"/>
      <c r="H581" s="2"/>
      <c r="I581" s="5"/>
      <c r="J581" s="5"/>
      <c r="K581" s="19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 spans="1:26">
      <c r="A582" s="5"/>
      <c r="B582" s="4"/>
      <c r="C582" s="5"/>
      <c r="D582" s="2"/>
      <c r="E582" s="2"/>
      <c r="F582" s="2"/>
      <c r="G582" s="3"/>
      <c r="H582" s="2"/>
      <c r="I582" s="5"/>
      <c r="J582" s="5"/>
      <c r="K582" s="19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 spans="1:26">
      <c r="A583" s="5"/>
      <c r="B583" s="4"/>
      <c r="C583" s="5"/>
      <c r="D583" s="2"/>
      <c r="E583" s="2"/>
      <c r="F583" s="2"/>
      <c r="G583" s="3"/>
      <c r="H583" s="2"/>
      <c r="I583" s="5"/>
      <c r="J583" s="5"/>
      <c r="K583" s="19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 spans="1:26">
      <c r="A584" s="5"/>
      <c r="B584" s="4"/>
      <c r="C584" s="5"/>
      <c r="D584" s="2"/>
      <c r="E584" s="2"/>
      <c r="F584" s="2"/>
      <c r="G584" s="3"/>
      <c r="H584" s="2"/>
      <c r="I584" s="5"/>
      <c r="J584" s="5"/>
      <c r="K584" s="19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 spans="1:26">
      <c r="A585" s="5"/>
      <c r="B585" s="4"/>
      <c r="C585" s="5"/>
      <c r="D585" s="2"/>
      <c r="E585" s="2"/>
      <c r="F585" s="2"/>
      <c r="G585" s="3"/>
      <c r="H585" s="2"/>
      <c r="I585" s="5"/>
      <c r="J585" s="5"/>
      <c r="K585" s="19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 spans="1:26">
      <c r="A586" s="5"/>
      <c r="B586" s="4"/>
      <c r="C586" s="5"/>
      <c r="D586" s="2"/>
      <c r="E586" s="2"/>
      <c r="F586" s="2"/>
      <c r="G586" s="3"/>
      <c r="H586" s="2"/>
      <c r="I586" s="5"/>
      <c r="J586" s="5"/>
      <c r="K586" s="19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 spans="1:26">
      <c r="A587" s="5"/>
      <c r="B587" s="4"/>
      <c r="C587" s="5"/>
      <c r="D587" s="2"/>
      <c r="E587" s="2"/>
      <c r="F587" s="2"/>
      <c r="G587" s="3"/>
      <c r="H587" s="2"/>
      <c r="I587" s="5"/>
      <c r="J587" s="5"/>
      <c r="K587" s="19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 spans="1:26">
      <c r="A588" s="5"/>
      <c r="B588" s="4"/>
      <c r="C588" s="5"/>
      <c r="D588" s="2"/>
      <c r="E588" s="2"/>
      <c r="F588" s="2"/>
      <c r="G588" s="3"/>
      <c r="H588" s="2"/>
      <c r="I588" s="5"/>
      <c r="J588" s="5"/>
      <c r="K588" s="19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 spans="1:26">
      <c r="A589" s="5"/>
      <c r="B589" s="4"/>
      <c r="C589" s="5"/>
      <c r="D589" s="2"/>
      <c r="E589" s="2"/>
      <c r="F589" s="2"/>
      <c r="G589" s="3"/>
      <c r="H589" s="2"/>
      <c r="I589" s="5"/>
      <c r="J589" s="5"/>
      <c r="K589" s="19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 spans="1:26">
      <c r="A590" s="5"/>
      <c r="B590" s="4"/>
      <c r="C590" s="5"/>
      <c r="D590" s="2"/>
      <c r="E590" s="2"/>
      <c r="F590" s="2"/>
      <c r="G590" s="3"/>
      <c r="H590" s="2"/>
      <c r="I590" s="5"/>
      <c r="J590" s="5"/>
      <c r="K590" s="19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 spans="1:26">
      <c r="A591" s="5"/>
      <c r="B591" s="4"/>
      <c r="C591" s="5"/>
      <c r="D591" s="2"/>
      <c r="E591" s="2"/>
      <c r="F591" s="2"/>
      <c r="G591" s="3"/>
      <c r="H591" s="2"/>
      <c r="I591" s="5"/>
      <c r="J591" s="5"/>
      <c r="K591" s="19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 spans="1:26">
      <c r="A592" s="5"/>
      <c r="B592" s="4"/>
      <c r="C592" s="5"/>
      <c r="D592" s="2"/>
      <c r="E592" s="2"/>
      <c r="F592" s="2"/>
      <c r="G592" s="3"/>
      <c r="H592" s="2"/>
      <c r="I592" s="5"/>
      <c r="J592" s="5"/>
      <c r="K592" s="19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 spans="1:26">
      <c r="A593" s="5"/>
      <c r="B593" s="4"/>
      <c r="C593" s="5"/>
      <c r="D593" s="2"/>
      <c r="E593" s="2"/>
      <c r="F593" s="2"/>
      <c r="G593" s="3"/>
      <c r="H593" s="2"/>
      <c r="I593" s="5"/>
      <c r="J593" s="5"/>
      <c r="K593" s="19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 spans="1:26">
      <c r="A594" s="5"/>
      <c r="B594" s="4"/>
      <c r="C594" s="5"/>
      <c r="D594" s="2"/>
      <c r="E594" s="2"/>
      <c r="F594" s="2"/>
      <c r="G594" s="3"/>
      <c r="H594" s="2"/>
      <c r="I594" s="5"/>
      <c r="J594" s="5"/>
      <c r="K594" s="19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 spans="1:26">
      <c r="A595" s="5"/>
      <c r="B595" s="4"/>
      <c r="C595" s="5"/>
      <c r="D595" s="2"/>
      <c r="E595" s="2"/>
      <c r="F595" s="2"/>
      <c r="G595" s="3"/>
      <c r="H595" s="2"/>
      <c r="I595" s="5"/>
      <c r="J595" s="5"/>
      <c r="K595" s="19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 spans="1:26">
      <c r="A596" s="5"/>
      <c r="B596" s="4"/>
      <c r="C596" s="5"/>
      <c r="D596" s="2"/>
      <c r="E596" s="2"/>
      <c r="F596" s="2"/>
      <c r="G596" s="3"/>
      <c r="H596" s="2"/>
      <c r="I596" s="5"/>
      <c r="J596" s="5"/>
      <c r="K596" s="19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 spans="1:26">
      <c r="A597" s="5"/>
      <c r="B597" s="4"/>
      <c r="C597" s="5"/>
      <c r="D597" s="2"/>
      <c r="E597" s="2"/>
      <c r="F597" s="2"/>
      <c r="G597" s="3"/>
      <c r="H597" s="2"/>
      <c r="I597" s="5"/>
      <c r="J597" s="5"/>
      <c r="K597" s="19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 spans="1:26">
      <c r="A598" s="5"/>
      <c r="B598" s="4"/>
      <c r="C598" s="5"/>
      <c r="D598" s="2"/>
      <c r="E598" s="2"/>
      <c r="F598" s="2"/>
      <c r="G598" s="3"/>
      <c r="H598" s="2"/>
      <c r="I598" s="5"/>
      <c r="J598" s="5"/>
      <c r="K598" s="19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 spans="1:26">
      <c r="A599" s="5"/>
      <c r="B599" s="4"/>
      <c r="C599" s="5"/>
      <c r="D599" s="2"/>
      <c r="E599" s="2"/>
      <c r="F599" s="2"/>
      <c r="G599" s="3"/>
      <c r="H599" s="2"/>
      <c r="I599" s="5"/>
      <c r="J599" s="5"/>
      <c r="K599" s="19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 spans="1:26">
      <c r="A600" s="5"/>
      <c r="B600" s="4"/>
      <c r="C600" s="5"/>
      <c r="D600" s="2"/>
      <c r="E600" s="2"/>
      <c r="F600" s="2"/>
      <c r="G600" s="3"/>
      <c r="H600" s="2"/>
      <c r="I600" s="5"/>
      <c r="J600" s="5"/>
      <c r="K600" s="19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 spans="1:26">
      <c r="A601" s="5"/>
      <c r="B601" s="4"/>
      <c r="C601" s="5"/>
      <c r="D601" s="2"/>
      <c r="E601" s="2"/>
      <c r="F601" s="2"/>
      <c r="G601" s="3"/>
      <c r="H601" s="2"/>
      <c r="I601" s="5"/>
      <c r="J601" s="5"/>
      <c r="K601" s="19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 spans="1:26">
      <c r="A602" s="5"/>
      <c r="B602" s="4"/>
      <c r="C602" s="5"/>
      <c r="D602" s="2"/>
      <c r="E602" s="2"/>
      <c r="F602" s="2"/>
      <c r="G602" s="3"/>
      <c r="H602" s="2"/>
      <c r="I602" s="5"/>
      <c r="J602" s="5"/>
      <c r="K602" s="19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 spans="1:26">
      <c r="A603" s="5"/>
      <c r="B603" s="4"/>
      <c r="C603" s="5"/>
      <c r="D603" s="2"/>
      <c r="E603" s="2"/>
      <c r="F603" s="2"/>
      <c r="G603" s="3"/>
      <c r="H603" s="2"/>
      <c r="I603" s="5"/>
      <c r="J603" s="5"/>
      <c r="K603" s="19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 spans="1:26">
      <c r="A604" s="5"/>
      <c r="B604" s="4"/>
      <c r="C604" s="5"/>
      <c r="D604" s="2"/>
      <c r="E604" s="2"/>
      <c r="F604" s="2"/>
      <c r="G604" s="3"/>
      <c r="H604" s="2"/>
      <c r="I604" s="5"/>
      <c r="J604" s="5"/>
      <c r="K604" s="19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 spans="1:26">
      <c r="A605" s="5"/>
      <c r="B605" s="4"/>
      <c r="C605" s="5"/>
      <c r="D605" s="2"/>
      <c r="E605" s="2"/>
      <c r="F605" s="2"/>
      <c r="G605" s="3"/>
      <c r="H605" s="2"/>
      <c r="I605" s="5"/>
      <c r="J605" s="5"/>
      <c r="K605" s="19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 spans="1:26">
      <c r="A606" s="5"/>
      <c r="B606" s="4"/>
      <c r="C606" s="5"/>
      <c r="D606" s="2"/>
      <c r="E606" s="2"/>
      <c r="F606" s="2"/>
      <c r="G606" s="3"/>
      <c r="H606" s="2"/>
      <c r="I606" s="5"/>
      <c r="J606" s="5"/>
      <c r="K606" s="19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 spans="1:26">
      <c r="A607" s="5"/>
      <c r="B607" s="4"/>
      <c r="C607" s="5"/>
      <c r="D607" s="2"/>
      <c r="E607" s="2"/>
      <c r="F607" s="2"/>
      <c r="G607" s="3"/>
      <c r="H607" s="2"/>
      <c r="I607" s="5"/>
      <c r="J607" s="5"/>
      <c r="K607" s="19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 spans="1:26">
      <c r="A608" s="5"/>
      <c r="B608" s="4"/>
      <c r="C608" s="5"/>
      <c r="D608" s="2"/>
      <c r="E608" s="2"/>
      <c r="F608" s="2"/>
      <c r="G608" s="3"/>
      <c r="H608" s="2"/>
      <c r="I608" s="5"/>
      <c r="J608" s="5"/>
      <c r="K608" s="19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 spans="1:26">
      <c r="A609" s="5"/>
      <c r="B609" s="4"/>
      <c r="C609" s="5"/>
      <c r="D609" s="2"/>
      <c r="E609" s="2"/>
      <c r="F609" s="2"/>
      <c r="G609" s="3"/>
      <c r="H609" s="2"/>
      <c r="I609" s="5"/>
      <c r="J609" s="5"/>
      <c r="K609" s="19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 spans="1:26">
      <c r="A610" s="5"/>
      <c r="B610" s="4"/>
      <c r="C610" s="5"/>
      <c r="D610" s="2"/>
      <c r="E610" s="2"/>
      <c r="F610" s="2"/>
      <c r="G610" s="3"/>
      <c r="H610" s="2"/>
      <c r="I610" s="5"/>
      <c r="J610" s="5"/>
      <c r="K610" s="19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 spans="1:26">
      <c r="A611" s="5"/>
      <c r="B611" s="4"/>
      <c r="C611" s="5"/>
      <c r="D611" s="2"/>
      <c r="E611" s="2"/>
      <c r="F611" s="2"/>
      <c r="G611" s="3"/>
      <c r="H611" s="2"/>
      <c r="I611" s="5"/>
      <c r="J611" s="5"/>
      <c r="K611" s="19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 spans="1:26">
      <c r="A612" s="5"/>
      <c r="B612" s="4"/>
      <c r="C612" s="5"/>
      <c r="D612" s="2"/>
      <c r="E612" s="2"/>
      <c r="F612" s="2"/>
      <c r="G612" s="3"/>
      <c r="H612" s="2"/>
      <c r="I612" s="5"/>
      <c r="J612" s="5"/>
      <c r="K612" s="19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 spans="1:26">
      <c r="A613" s="5"/>
      <c r="B613" s="4"/>
      <c r="C613" s="5"/>
      <c r="D613" s="2"/>
      <c r="E613" s="2"/>
      <c r="F613" s="2"/>
      <c r="G613" s="3"/>
      <c r="H613" s="2"/>
      <c r="I613" s="5"/>
      <c r="J613" s="5"/>
      <c r="K613" s="19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 spans="1:26">
      <c r="A614" s="5"/>
      <c r="B614" s="4"/>
      <c r="C614" s="5"/>
      <c r="D614" s="2"/>
      <c r="E614" s="2"/>
      <c r="F614" s="2"/>
      <c r="G614" s="3"/>
      <c r="H614" s="2"/>
      <c r="I614" s="5"/>
      <c r="J614" s="5"/>
      <c r="K614" s="19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 spans="1:26">
      <c r="A615" s="5"/>
      <c r="B615" s="4"/>
      <c r="C615" s="5"/>
      <c r="D615" s="2"/>
      <c r="E615" s="2"/>
      <c r="F615" s="2"/>
      <c r="G615" s="3"/>
      <c r="H615" s="2"/>
      <c r="I615" s="5"/>
      <c r="J615" s="5"/>
      <c r="K615" s="19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 spans="1:26">
      <c r="A616" s="5"/>
      <c r="B616" s="4"/>
      <c r="C616" s="5"/>
      <c r="D616" s="2"/>
      <c r="E616" s="2"/>
      <c r="F616" s="2"/>
      <c r="G616" s="3"/>
      <c r="H616" s="2"/>
      <c r="I616" s="5"/>
      <c r="J616" s="5"/>
      <c r="K616" s="19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 spans="1:26">
      <c r="A617" s="5"/>
      <c r="B617" s="4"/>
      <c r="C617" s="5"/>
      <c r="D617" s="2"/>
      <c r="E617" s="2"/>
      <c r="F617" s="2"/>
      <c r="G617" s="3"/>
      <c r="H617" s="2"/>
      <c r="I617" s="5"/>
      <c r="J617" s="5"/>
      <c r="K617" s="19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 spans="1:26">
      <c r="A618" s="5"/>
      <c r="B618" s="4"/>
      <c r="C618" s="5"/>
      <c r="D618" s="2"/>
      <c r="E618" s="2"/>
      <c r="F618" s="2"/>
      <c r="G618" s="3"/>
      <c r="H618" s="2"/>
      <c r="I618" s="5"/>
      <c r="J618" s="5"/>
      <c r="K618" s="19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 spans="1:26">
      <c r="A619" s="5"/>
      <c r="B619" s="4"/>
      <c r="C619" s="5"/>
      <c r="D619" s="2"/>
      <c r="E619" s="2"/>
      <c r="F619" s="2"/>
      <c r="G619" s="3"/>
      <c r="H619" s="2"/>
      <c r="I619" s="5"/>
      <c r="J619" s="5"/>
      <c r="K619" s="19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 spans="1:26">
      <c r="A620" s="5"/>
      <c r="B620" s="4"/>
      <c r="C620" s="5"/>
      <c r="D620" s="2"/>
      <c r="E620" s="2"/>
      <c r="F620" s="2"/>
      <c r="G620" s="3"/>
      <c r="H620" s="2"/>
      <c r="I620" s="5"/>
      <c r="J620" s="5"/>
      <c r="K620" s="19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 spans="1:26">
      <c r="A621" s="5"/>
      <c r="B621" s="4"/>
      <c r="C621" s="5"/>
      <c r="D621" s="2"/>
      <c r="E621" s="2"/>
      <c r="F621" s="2"/>
      <c r="G621" s="3"/>
      <c r="H621" s="2"/>
      <c r="I621" s="5"/>
      <c r="J621" s="5"/>
      <c r="K621" s="19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 spans="1:26">
      <c r="A622" s="5"/>
      <c r="B622" s="4"/>
      <c r="C622" s="5"/>
      <c r="D622" s="2"/>
      <c r="E622" s="2"/>
      <c r="F622" s="2"/>
      <c r="G622" s="3"/>
      <c r="H622" s="2"/>
      <c r="I622" s="5"/>
      <c r="J622" s="5"/>
      <c r="K622" s="19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 spans="1:26">
      <c r="A623" s="5"/>
      <c r="B623" s="4"/>
      <c r="C623" s="5"/>
      <c r="D623" s="2"/>
      <c r="E623" s="2"/>
      <c r="F623" s="2"/>
      <c r="G623" s="3"/>
      <c r="H623" s="2"/>
      <c r="I623" s="5"/>
      <c r="J623" s="5"/>
      <c r="K623" s="19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 spans="1:26">
      <c r="A624" s="5"/>
      <c r="B624" s="4"/>
      <c r="C624" s="5"/>
      <c r="D624" s="2"/>
      <c r="E624" s="2"/>
      <c r="F624" s="2"/>
      <c r="G624" s="3"/>
      <c r="H624" s="2"/>
      <c r="I624" s="5"/>
      <c r="J624" s="5"/>
      <c r="K624" s="19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 spans="1:26">
      <c r="A625" s="5"/>
      <c r="B625" s="4"/>
      <c r="C625" s="5"/>
      <c r="D625" s="2"/>
      <c r="E625" s="2"/>
      <c r="F625" s="2"/>
      <c r="G625" s="3"/>
      <c r="H625" s="2"/>
      <c r="I625" s="5"/>
      <c r="J625" s="5"/>
      <c r="K625" s="19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 spans="1:26">
      <c r="A626" s="5"/>
      <c r="B626" s="4"/>
      <c r="C626" s="5"/>
      <c r="D626" s="2"/>
      <c r="E626" s="2"/>
      <c r="F626" s="2"/>
      <c r="G626" s="3"/>
      <c r="H626" s="2"/>
      <c r="I626" s="5"/>
      <c r="J626" s="5"/>
      <c r="K626" s="19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 spans="1:26">
      <c r="A627" s="5"/>
      <c r="B627" s="4"/>
      <c r="C627" s="5"/>
      <c r="D627" s="2"/>
      <c r="E627" s="2"/>
      <c r="F627" s="2"/>
      <c r="G627" s="3"/>
      <c r="H627" s="2"/>
      <c r="I627" s="5"/>
      <c r="J627" s="5"/>
      <c r="K627" s="19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 spans="1:26">
      <c r="A628" s="5"/>
      <c r="B628" s="4"/>
      <c r="C628" s="5"/>
      <c r="D628" s="2"/>
      <c r="E628" s="2"/>
      <c r="F628" s="2"/>
      <c r="G628" s="3"/>
      <c r="H628" s="2"/>
      <c r="I628" s="5"/>
      <c r="J628" s="5"/>
      <c r="K628" s="19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 spans="1:26">
      <c r="A629" s="5"/>
      <c r="B629" s="4"/>
      <c r="C629" s="5"/>
      <c r="D629" s="2"/>
      <c r="E629" s="2"/>
      <c r="F629" s="2"/>
      <c r="G629" s="3"/>
      <c r="H629" s="2"/>
      <c r="I629" s="5"/>
      <c r="J629" s="5"/>
      <c r="K629" s="19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 spans="1:26">
      <c r="A630" s="5"/>
      <c r="B630" s="4"/>
      <c r="C630" s="5"/>
      <c r="D630" s="2"/>
      <c r="E630" s="2"/>
      <c r="F630" s="2"/>
      <c r="G630" s="3"/>
      <c r="H630" s="2"/>
      <c r="I630" s="5"/>
      <c r="J630" s="5"/>
      <c r="K630" s="19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 spans="1:26">
      <c r="A631" s="5"/>
      <c r="B631" s="4"/>
      <c r="C631" s="5"/>
      <c r="D631" s="2"/>
      <c r="E631" s="2"/>
      <c r="F631" s="2"/>
      <c r="G631" s="3"/>
      <c r="H631" s="2"/>
      <c r="I631" s="5"/>
      <c r="J631" s="5"/>
      <c r="K631" s="19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 spans="1:26">
      <c r="A632" s="5"/>
      <c r="B632" s="4"/>
      <c r="C632" s="5"/>
      <c r="D632" s="2"/>
      <c r="E632" s="2"/>
      <c r="F632" s="2"/>
      <c r="G632" s="3"/>
      <c r="H632" s="2"/>
      <c r="I632" s="5"/>
      <c r="J632" s="5"/>
      <c r="K632" s="19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 spans="1:26">
      <c r="A633" s="5"/>
      <c r="B633" s="4"/>
      <c r="C633" s="5"/>
      <c r="D633" s="2"/>
      <c r="E633" s="2"/>
      <c r="F633" s="2"/>
      <c r="G633" s="3"/>
      <c r="H633" s="2"/>
      <c r="I633" s="5"/>
      <c r="J633" s="5"/>
      <c r="K633" s="19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 spans="1:26">
      <c r="A634" s="5"/>
      <c r="B634" s="4"/>
      <c r="C634" s="5"/>
      <c r="D634" s="2"/>
      <c r="E634" s="2"/>
      <c r="F634" s="2"/>
      <c r="G634" s="3"/>
      <c r="H634" s="2"/>
      <c r="I634" s="5"/>
      <c r="J634" s="5"/>
      <c r="K634" s="19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 spans="1:26">
      <c r="A635" s="5"/>
      <c r="B635" s="4"/>
      <c r="C635" s="5"/>
      <c r="D635" s="2"/>
      <c r="E635" s="2"/>
      <c r="F635" s="2"/>
      <c r="G635" s="3"/>
      <c r="H635" s="2"/>
      <c r="I635" s="5"/>
      <c r="J635" s="5"/>
      <c r="K635" s="19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 spans="1:26">
      <c r="A636" s="5"/>
      <c r="B636" s="4"/>
      <c r="C636" s="5"/>
      <c r="D636" s="2"/>
      <c r="E636" s="2"/>
      <c r="F636" s="2"/>
      <c r="G636" s="3"/>
      <c r="H636" s="2"/>
      <c r="I636" s="5"/>
      <c r="J636" s="5"/>
      <c r="K636" s="19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 spans="1:26">
      <c r="A637" s="5"/>
      <c r="B637" s="4"/>
      <c r="C637" s="5"/>
      <c r="D637" s="2"/>
      <c r="E637" s="2"/>
      <c r="F637" s="2"/>
      <c r="G637" s="3"/>
      <c r="H637" s="2"/>
      <c r="I637" s="5"/>
      <c r="J637" s="5"/>
      <c r="K637" s="19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 spans="1:26">
      <c r="A638" s="5"/>
      <c r="B638" s="4"/>
      <c r="C638" s="5"/>
      <c r="D638" s="2"/>
      <c r="E638" s="2"/>
      <c r="F638" s="2"/>
      <c r="G638" s="3"/>
      <c r="H638" s="2"/>
      <c r="I638" s="5"/>
      <c r="J638" s="5"/>
      <c r="K638" s="19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 spans="1:26">
      <c r="A639" s="5"/>
      <c r="B639" s="4"/>
      <c r="C639" s="5"/>
      <c r="D639" s="2"/>
      <c r="E639" s="2"/>
      <c r="F639" s="2"/>
      <c r="G639" s="3"/>
      <c r="H639" s="2"/>
      <c r="I639" s="5"/>
      <c r="J639" s="5"/>
      <c r="K639" s="19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 spans="1:26">
      <c r="A640" s="5"/>
      <c r="B640" s="4"/>
      <c r="C640" s="5"/>
      <c r="D640" s="2"/>
      <c r="E640" s="2"/>
      <c r="F640" s="2"/>
      <c r="G640" s="3"/>
      <c r="H640" s="2"/>
      <c r="I640" s="5"/>
      <c r="J640" s="5"/>
      <c r="K640" s="19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 spans="1:26">
      <c r="A641" s="5"/>
      <c r="B641" s="4"/>
      <c r="C641" s="5"/>
      <c r="D641" s="2"/>
      <c r="E641" s="2"/>
      <c r="F641" s="2"/>
      <c r="G641" s="3"/>
      <c r="H641" s="2"/>
      <c r="I641" s="5"/>
      <c r="J641" s="5"/>
      <c r="K641" s="19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 spans="1:26">
      <c r="A642" s="5"/>
      <c r="B642" s="4"/>
      <c r="C642" s="5"/>
      <c r="D642" s="2"/>
      <c r="E642" s="2"/>
      <c r="F642" s="2"/>
      <c r="G642" s="3"/>
      <c r="H642" s="2"/>
      <c r="I642" s="5"/>
      <c r="J642" s="5"/>
      <c r="K642" s="19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 spans="1:26">
      <c r="A643" s="5"/>
      <c r="B643" s="4"/>
      <c r="C643" s="5"/>
      <c r="D643" s="2"/>
      <c r="E643" s="2"/>
      <c r="F643" s="2"/>
      <c r="G643" s="3"/>
      <c r="H643" s="2"/>
      <c r="I643" s="5"/>
      <c r="J643" s="5"/>
      <c r="K643" s="19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 spans="1:26">
      <c r="A644" s="5"/>
      <c r="B644" s="4"/>
      <c r="C644" s="5"/>
      <c r="D644" s="2"/>
      <c r="E644" s="2"/>
      <c r="F644" s="2"/>
      <c r="G644" s="3"/>
      <c r="H644" s="2"/>
      <c r="I644" s="5"/>
      <c r="J644" s="5"/>
      <c r="K644" s="19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 spans="1:26">
      <c r="A645" s="5"/>
      <c r="B645" s="4"/>
      <c r="C645" s="5"/>
      <c r="D645" s="2"/>
      <c r="E645" s="2"/>
      <c r="F645" s="2"/>
      <c r="G645" s="3"/>
      <c r="H645" s="2"/>
      <c r="I645" s="5"/>
      <c r="J645" s="5"/>
      <c r="K645" s="19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 spans="1:26">
      <c r="A646" s="5"/>
      <c r="B646" s="4"/>
      <c r="C646" s="5"/>
      <c r="D646" s="2"/>
      <c r="E646" s="2"/>
      <c r="F646" s="2"/>
      <c r="G646" s="3"/>
      <c r="H646" s="2"/>
      <c r="I646" s="5"/>
      <c r="J646" s="5"/>
      <c r="K646" s="19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 spans="1:26">
      <c r="A647" s="5"/>
      <c r="B647" s="4"/>
      <c r="C647" s="5"/>
      <c r="D647" s="2"/>
      <c r="E647" s="2"/>
      <c r="F647" s="2"/>
      <c r="G647" s="3"/>
      <c r="H647" s="2"/>
      <c r="I647" s="5"/>
      <c r="J647" s="5"/>
      <c r="K647" s="19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 spans="1:26">
      <c r="A648" s="5"/>
      <c r="B648" s="4"/>
      <c r="C648" s="5"/>
      <c r="D648" s="2"/>
      <c r="E648" s="2"/>
      <c r="F648" s="2"/>
      <c r="G648" s="3"/>
      <c r="H648" s="2"/>
      <c r="I648" s="5"/>
      <c r="J648" s="5"/>
      <c r="K648" s="19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 spans="1:26">
      <c r="A649" s="5"/>
      <c r="B649" s="4"/>
      <c r="C649" s="5"/>
      <c r="D649" s="2"/>
      <c r="E649" s="2"/>
      <c r="F649" s="2"/>
      <c r="G649" s="3"/>
      <c r="H649" s="2"/>
      <c r="I649" s="5"/>
      <c r="J649" s="5"/>
      <c r="K649" s="19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 spans="1:26">
      <c r="A650" s="5"/>
      <c r="B650" s="4"/>
      <c r="C650" s="5"/>
      <c r="D650" s="2"/>
      <c r="E650" s="2"/>
      <c r="F650" s="2"/>
      <c r="G650" s="3"/>
      <c r="H650" s="2"/>
      <c r="I650" s="5"/>
      <c r="J650" s="5"/>
      <c r="K650" s="19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 spans="1:26">
      <c r="A651" s="5"/>
      <c r="B651" s="4"/>
      <c r="C651" s="5"/>
      <c r="D651" s="2"/>
      <c r="E651" s="2"/>
      <c r="F651" s="2"/>
      <c r="G651" s="3"/>
      <c r="H651" s="2"/>
      <c r="I651" s="5"/>
      <c r="J651" s="5"/>
      <c r="K651" s="19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 spans="1:26">
      <c r="A652" s="5"/>
      <c r="B652" s="4"/>
      <c r="C652" s="5"/>
      <c r="D652" s="2"/>
      <c r="E652" s="2"/>
      <c r="F652" s="2"/>
      <c r="G652" s="3"/>
      <c r="H652" s="2"/>
      <c r="I652" s="5"/>
      <c r="J652" s="5"/>
      <c r="K652" s="19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 spans="1:26">
      <c r="A653" s="5"/>
      <c r="B653" s="4"/>
      <c r="C653" s="5"/>
      <c r="D653" s="2"/>
      <c r="E653" s="2"/>
      <c r="F653" s="2"/>
      <c r="G653" s="3"/>
      <c r="H653" s="2"/>
      <c r="I653" s="5"/>
      <c r="J653" s="5"/>
      <c r="K653" s="19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 spans="1:26">
      <c r="A654" s="5"/>
      <c r="B654" s="4"/>
      <c r="C654" s="5"/>
      <c r="D654" s="2"/>
      <c r="E654" s="2"/>
      <c r="F654" s="2"/>
      <c r="G654" s="3"/>
      <c r="H654" s="2"/>
      <c r="I654" s="5"/>
      <c r="J654" s="5"/>
      <c r="K654" s="19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 spans="1:26">
      <c r="A655" s="5"/>
      <c r="B655" s="4"/>
      <c r="C655" s="5"/>
      <c r="D655" s="2"/>
      <c r="E655" s="2"/>
      <c r="F655" s="2"/>
      <c r="G655" s="3"/>
      <c r="H655" s="2"/>
      <c r="I655" s="5"/>
      <c r="J655" s="5"/>
      <c r="K655" s="19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 spans="1:26">
      <c r="A656" s="5"/>
      <c r="B656" s="4"/>
      <c r="C656" s="5"/>
      <c r="D656" s="2"/>
      <c r="E656" s="2"/>
      <c r="F656" s="2"/>
      <c r="G656" s="3"/>
      <c r="H656" s="2"/>
      <c r="I656" s="5"/>
      <c r="J656" s="5"/>
      <c r="K656" s="19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 spans="1:26">
      <c r="A657" s="5"/>
      <c r="B657" s="4"/>
      <c r="C657" s="5"/>
      <c r="D657" s="2"/>
      <c r="E657" s="2"/>
      <c r="F657" s="2"/>
      <c r="G657" s="3"/>
      <c r="H657" s="2"/>
      <c r="I657" s="5"/>
      <c r="J657" s="5"/>
      <c r="K657" s="19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 spans="1:26">
      <c r="A658" s="5"/>
      <c r="B658" s="4"/>
      <c r="C658" s="5"/>
      <c r="D658" s="2"/>
      <c r="E658" s="2"/>
      <c r="F658" s="2"/>
      <c r="G658" s="3"/>
      <c r="H658" s="2"/>
      <c r="I658" s="5"/>
      <c r="J658" s="5"/>
      <c r="K658" s="19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 spans="1:26">
      <c r="A659" s="5"/>
      <c r="B659" s="4"/>
      <c r="C659" s="5"/>
      <c r="D659" s="2"/>
      <c r="E659" s="2"/>
      <c r="F659" s="2"/>
      <c r="G659" s="3"/>
      <c r="H659" s="2"/>
      <c r="I659" s="5"/>
      <c r="J659" s="5"/>
      <c r="K659" s="19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 spans="1:26">
      <c r="A660" s="5"/>
      <c r="B660" s="4"/>
      <c r="C660" s="5"/>
      <c r="D660" s="2"/>
      <c r="E660" s="2"/>
      <c r="F660" s="2"/>
      <c r="G660" s="3"/>
      <c r="H660" s="2"/>
      <c r="I660" s="5"/>
      <c r="J660" s="5"/>
      <c r="K660" s="19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 spans="1:26">
      <c r="A661" s="5"/>
      <c r="B661" s="4"/>
      <c r="C661" s="5"/>
      <c r="D661" s="2"/>
      <c r="E661" s="2"/>
      <c r="F661" s="2"/>
      <c r="G661" s="3"/>
      <c r="H661" s="2"/>
      <c r="I661" s="5"/>
      <c r="J661" s="5"/>
      <c r="K661" s="19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 spans="1:26">
      <c r="A662" s="5"/>
      <c r="B662" s="4"/>
      <c r="C662" s="5"/>
      <c r="D662" s="2"/>
      <c r="E662" s="2"/>
      <c r="F662" s="2"/>
      <c r="G662" s="3"/>
      <c r="H662" s="2"/>
      <c r="I662" s="5"/>
      <c r="J662" s="5"/>
      <c r="K662" s="19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 spans="1:26">
      <c r="A663" s="5"/>
      <c r="B663" s="4"/>
      <c r="C663" s="5"/>
      <c r="D663" s="2"/>
      <c r="E663" s="2"/>
      <c r="F663" s="2"/>
      <c r="G663" s="3"/>
      <c r="H663" s="2"/>
      <c r="I663" s="5"/>
      <c r="J663" s="5"/>
      <c r="K663" s="19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 spans="1:26">
      <c r="A664" s="5"/>
      <c r="B664" s="4"/>
      <c r="C664" s="5"/>
      <c r="D664" s="2"/>
      <c r="E664" s="2"/>
      <c r="F664" s="2"/>
      <c r="G664" s="3"/>
      <c r="H664" s="2"/>
      <c r="I664" s="5"/>
      <c r="J664" s="5"/>
      <c r="K664" s="19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 spans="1:26">
      <c r="A665" s="5"/>
      <c r="B665" s="4"/>
      <c r="C665" s="5"/>
      <c r="D665" s="2"/>
      <c r="E665" s="2"/>
      <c r="F665" s="2"/>
      <c r="G665" s="3"/>
      <c r="H665" s="2"/>
      <c r="I665" s="5"/>
      <c r="J665" s="5"/>
      <c r="K665" s="19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 spans="1:26">
      <c r="A666" s="5"/>
      <c r="B666" s="4"/>
      <c r="C666" s="5"/>
      <c r="D666" s="2"/>
      <c r="E666" s="2"/>
      <c r="F666" s="2"/>
      <c r="G666" s="3"/>
      <c r="H666" s="2"/>
      <c r="I666" s="5"/>
      <c r="J666" s="5"/>
      <c r="K666" s="19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 spans="1:26">
      <c r="A667" s="5"/>
      <c r="B667" s="4"/>
      <c r="C667" s="5"/>
      <c r="D667" s="2"/>
      <c r="E667" s="2"/>
      <c r="F667" s="2"/>
      <c r="G667" s="3"/>
      <c r="H667" s="2"/>
      <c r="I667" s="5"/>
      <c r="J667" s="5"/>
      <c r="K667" s="19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 spans="1:26">
      <c r="A668" s="5"/>
      <c r="B668" s="4"/>
      <c r="C668" s="5"/>
      <c r="D668" s="2"/>
      <c r="E668" s="2"/>
      <c r="F668" s="2"/>
      <c r="G668" s="3"/>
      <c r="H668" s="2"/>
      <c r="I668" s="5"/>
      <c r="J668" s="5"/>
      <c r="K668" s="19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 spans="1:26">
      <c r="A669" s="5"/>
      <c r="B669" s="4"/>
      <c r="C669" s="5"/>
      <c r="D669" s="2"/>
      <c r="E669" s="2"/>
      <c r="F669" s="2"/>
      <c r="G669" s="3"/>
      <c r="H669" s="2"/>
      <c r="I669" s="5"/>
      <c r="J669" s="5"/>
      <c r="K669" s="19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 spans="1:26">
      <c r="A670" s="5"/>
      <c r="B670" s="4"/>
      <c r="C670" s="5"/>
      <c r="D670" s="2"/>
      <c r="E670" s="2"/>
      <c r="F670" s="2"/>
      <c r="G670" s="3"/>
      <c r="H670" s="2"/>
      <c r="I670" s="5"/>
      <c r="J670" s="5"/>
      <c r="K670" s="19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 spans="1:26">
      <c r="A671" s="5"/>
      <c r="B671" s="4"/>
      <c r="C671" s="5"/>
      <c r="D671" s="2"/>
      <c r="E671" s="2"/>
      <c r="F671" s="2"/>
      <c r="G671" s="3"/>
      <c r="H671" s="2"/>
      <c r="I671" s="5"/>
      <c r="J671" s="5"/>
      <c r="K671" s="19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 spans="1:26">
      <c r="A672" s="5"/>
      <c r="B672" s="4"/>
      <c r="C672" s="5"/>
      <c r="D672" s="2"/>
      <c r="E672" s="2"/>
      <c r="F672" s="2"/>
      <c r="G672" s="3"/>
      <c r="H672" s="2"/>
      <c r="I672" s="5"/>
      <c r="J672" s="5"/>
      <c r="K672" s="19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 spans="1:26">
      <c r="A673" s="5"/>
      <c r="B673" s="4"/>
      <c r="C673" s="5"/>
      <c r="D673" s="2"/>
      <c r="E673" s="2"/>
      <c r="F673" s="2"/>
      <c r="G673" s="3"/>
      <c r="H673" s="2"/>
      <c r="I673" s="5"/>
      <c r="J673" s="5"/>
      <c r="K673" s="19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 spans="1:26">
      <c r="A674" s="5"/>
      <c r="B674" s="4"/>
      <c r="C674" s="5"/>
      <c r="D674" s="2"/>
      <c r="E674" s="2"/>
      <c r="F674" s="2"/>
      <c r="G674" s="3"/>
      <c r="H674" s="2"/>
      <c r="I674" s="5"/>
      <c r="J674" s="5"/>
      <c r="K674" s="19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 spans="1:26">
      <c r="A675" s="5"/>
      <c r="B675" s="4"/>
      <c r="C675" s="5"/>
      <c r="D675" s="2"/>
      <c r="E675" s="2"/>
      <c r="F675" s="2"/>
      <c r="G675" s="3"/>
      <c r="H675" s="2"/>
      <c r="I675" s="5"/>
      <c r="J675" s="5"/>
      <c r="K675" s="19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 spans="1:26">
      <c r="A676" s="5"/>
      <c r="B676" s="4"/>
      <c r="C676" s="5"/>
      <c r="D676" s="2"/>
      <c r="E676" s="2"/>
      <c r="F676" s="2"/>
      <c r="G676" s="3"/>
      <c r="H676" s="2"/>
      <c r="I676" s="5"/>
      <c r="J676" s="5"/>
      <c r="K676" s="19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 spans="1:26">
      <c r="A677" s="5"/>
      <c r="B677" s="4"/>
      <c r="C677" s="5"/>
      <c r="D677" s="2"/>
      <c r="E677" s="2"/>
      <c r="F677" s="2"/>
      <c r="G677" s="3"/>
      <c r="H677" s="2"/>
      <c r="I677" s="5"/>
      <c r="J677" s="5"/>
      <c r="K677" s="19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 spans="1:26">
      <c r="A678" s="5"/>
      <c r="B678" s="4"/>
      <c r="C678" s="5"/>
      <c r="D678" s="2"/>
      <c r="E678" s="2"/>
      <c r="F678" s="2"/>
      <c r="G678" s="3"/>
      <c r="H678" s="2"/>
      <c r="I678" s="5"/>
      <c r="J678" s="5"/>
      <c r="K678" s="19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 spans="1:26">
      <c r="A679" s="5"/>
      <c r="B679" s="4"/>
      <c r="C679" s="5"/>
      <c r="D679" s="2"/>
      <c r="E679" s="2"/>
      <c r="F679" s="2"/>
      <c r="G679" s="3"/>
      <c r="H679" s="2"/>
      <c r="I679" s="5"/>
      <c r="J679" s="5"/>
      <c r="K679" s="19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 spans="1:26">
      <c r="A680" s="5"/>
      <c r="B680" s="4"/>
      <c r="C680" s="5"/>
      <c r="D680" s="2"/>
      <c r="E680" s="2"/>
      <c r="F680" s="2"/>
      <c r="G680" s="3"/>
      <c r="H680" s="2"/>
      <c r="I680" s="5"/>
      <c r="J680" s="5"/>
      <c r="K680" s="19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 spans="1:26">
      <c r="A681" s="5"/>
      <c r="B681" s="4"/>
      <c r="C681" s="5"/>
      <c r="D681" s="2"/>
      <c r="E681" s="2"/>
      <c r="F681" s="2"/>
      <c r="G681" s="3"/>
      <c r="H681" s="2"/>
      <c r="I681" s="5"/>
      <c r="J681" s="5"/>
      <c r="K681" s="19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 spans="1:26">
      <c r="A682" s="5"/>
      <c r="B682" s="4"/>
      <c r="C682" s="5"/>
      <c r="D682" s="2"/>
      <c r="E682" s="2"/>
      <c r="F682" s="2"/>
      <c r="G682" s="3"/>
      <c r="H682" s="2"/>
      <c r="I682" s="5"/>
      <c r="J682" s="5"/>
      <c r="K682" s="19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 spans="1:26">
      <c r="A683" s="5"/>
      <c r="B683" s="4"/>
      <c r="C683" s="5"/>
      <c r="D683" s="2"/>
      <c r="E683" s="2"/>
      <c r="F683" s="2"/>
      <c r="G683" s="3"/>
      <c r="H683" s="2"/>
      <c r="I683" s="5"/>
      <c r="J683" s="5"/>
      <c r="K683" s="19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 spans="1:26">
      <c r="A684" s="5"/>
      <c r="B684" s="4"/>
      <c r="C684" s="5"/>
      <c r="D684" s="2"/>
      <c r="E684" s="2"/>
      <c r="F684" s="2"/>
      <c r="G684" s="3"/>
      <c r="H684" s="2"/>
      <c r="I684" s="5"/>
      <c r="J684" s="5"/>
      <c r="K684" s="19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 spans="1:26">
      <c r="A685" s="5"/>
      <c r="B685" s="4"/>
      <c r="C685" s="5"/>
      <c r="D685" s="2"/>
      <c r="E685" s="2"/>
      <c r="F685" s="2"/>
      <c r="G685" s="3"/>
      <c r="H685" s="2"/>
      <c r="I685" s="5"/>
      <c r="J685" s="5"/>
      <c r="K685" s="19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 spans="1:26">
      <c r="A686" s="5"/>
      <c r="B686" s="4"/>
      <c r="C686" s="5"/>
      <c r="D686" s="2"/>
      <c r="E686" s="2"/>
      <c r="F686" s="2"/>
      <c r="G686" s="3"/>
      <c r="H686" s="2"/>
      <c r="I686" s="5"/>
      <c r="J686" s="5"/>
      <c r="K686" s="19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 spans="1:26">
      <c r="A687" s="5"/>
      <c r="B687" s="4"/>
      <c r="C687" s="5"/>
      <c r="D687" s="2"/>
      <c r="E687" s="2"/>
      <c r="F687" s="2"/>
      <c r="G687" s="3"/>
      <c r="H687" s="2"/>
      <c r="I687" s="5"/>
      <c r="J687" s="5"/>
      <c r="K687" s="19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 spans="1:26">
      <c r="A688" s="5"/>
      <c r="B688" s="4"/>
      <c r="C688" s="5"/>
      <c r="D688" s="2"/>
      <c r="E688" s="2"/>
      <c r="F688" s="2"/>
      <c r="G688" s="3"/>
      <c r="H688" s="2"/>
      <c r="I688" s="5"/>
      <c r="J688" s="5"/>
      <c r="K688" s="19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 spans="1:26">
      <c r="A689" s="5"/>
      <c r="B689" s="4"/>
      <c r="C689" s="5"/>
      <c r="D689" s="2"/>
      <c r="E689" s="2"/>
      <c r="F689" s="2"/>
      <c r="G689" s="3"/>
      <c r="H689" s="2"/>
      <c r="I689" s="5"/>
      <c r="J689" s="5"/>
      <c r="K689" s="19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 spans="1:26">
      <c r="A690" s="5"/>
      <c r="B690" s="4"/>
      <c r="C690" s="5"/>
      <c r="D690" s="2"/>
      <c r="E690" s="2"/>
      <c r="F690" s="2"/>
      <c r="G690" s="3"/>
      <c r="H690" s="2"/>
      <c r="I690" s="5"/>
      <c r="J690" s="5"/>
      <c r="K690" s="19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 spans="1:26">
      <c r="A691" s="5"/>
      <c r="B691" s="4"/>
      <c r="C691" s="5"/>
      <c r="D691" s="2"/>
      <c r="E691" s="2"/>
      <c r="F691" s="2"/>
      <c r="G691" s="3"/>
      <c r="H691" s="2"/>
      <c r="I691" s="5"/>
      <c r="J691" s="5"/>
      <c r="K691" s="19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 spans="1:26">
      <c r="A692" s="5"/>
      <c r="B692" s="4"/>
      <c r="C692" s="5"/>
      <c r="D692" s="2"/>
      <c r="E692" s="2"/>
      <c r="F692" s="2"/>
      <c r="G692" s="3"/>
      <c r="H692" s="2"/>
      <c r="I692" s="5"/>
      <c r="J692" s="5"/>
      <c r="K692" s="19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 spans="1:26">
      <c r="A693" s="5"/>
      <c r="B693" s="4"/>
      <c r="C693" s="5"/>
      <c r="D693" s="2"/>
      <c r="E693" s="2"/>
      <c r="F693" s="2"/>
      <c r="G693" s="3"/>
      <c r="H693" s="2"/>
      <c r="I693" s="5"/>
      <c r="J693" s="5"/>
      <c r="K693" s="19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 spans="1:26">
      <c r="A694" s="5"/>
      <c r="B694" s="4"/>
      <c r="C694" s="5"/>
      <c r="D694" s="2"/>
      <c r="E694" s="2"/>
      <c r="F694" s="2"/>
      <c r="G694" s="3"/>
      <c r="H694" s="2"/>
      <c r="I694" s="5"/>
      <c r="J694" s="5"/>
      <c r="K694" s="19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 spans="1:26">
      <c r="A695" s="5"/>
      <c r="B695" s="4"/>
      <c r="C695" s="5"/>
      <c r="D695" s="2"/>
      <c r="E695" s="2"/>
      <c r="F695" s="2"/>
      <c r="G695" s="3"/>
      <c r="H695" s="2"/>
      <c r="I695" s="5"/>
      <c r="J695" s="5"/>
      <c r="K695" s="19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 spans="1:26">
      <c r="A696" s="5"/>
      <c r="B696" s="4"/>
      <c r="C696" s="5"/>
      <c r="D696" s="2"/>
      <c r="E696" s="2"/>
      <c r="F696" s="2"/>
      <c r="G696" s="3"/>
      <c r="H696" s="2"/>
      <c r="I696" s="5"/>
      <c r="J696" s="5"/>
      <c r="K696" s="19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 spans="1:26">
      <c r="A697" s="5"/>
      <c r="B697" s="4"/>
      <c r="C697" s="5"/>
      <c r="D697" s="2"/>
      <c r="E697" s="2"/>
      <c r="F697" s="2"/>
      <c r="G697" s="3"/>
      <c r="H697" s="2"/>
      <c r="I697" s="5"/>
      <c r="J697" s="5"/>
      <c r="K697" s="19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 spans="1:26">
      <c r="A698" s="5"/>
      <c r="B698" s="4"/>
      <c r="C698" s="5"/>
      <c r="D698" s="2"/>
      <c r="E698" s="2"/>
      <c r="F698" s="2"/>
      <c r="G698" s="3"/>
      <c r="H698" s="2"/>
      <c r="I698" s="5"/>
      <c r="J698" s="5"/>
      <c r="K698" s="19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 spans="1:26">
      <c r="A699" s="5"/>
      <c r="B699" s="4"/>
      <c r="C699" s="5"/>
      <c r="D699" s="2"/>
      <c r="E699" s="2"/>
      <c r="F699" s="2"/>
      <c r="G699" s="3"/>
      <c r="H699" s="2"/>
      <c r="I699" s="5"/>
      <c r="J699" s="5"/>
      <c r="K699" s="19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 spans="1:26">
      <c r="A700" s="5"/>
      <c r="B700" s="4"/>
      <c r="C700" s="5"/>
      <c r="D700" s="2"/>
      <c r="E700" s="2"/>
      <c r="F700" s="2"/>
      <c r="G700" s="3"/>
      <c r="H700" s="2"/>
      <c r="I700" s="5"/>
      <c r="J700" s="5"/>
      <c r="K700" s="19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 spans="1:26">
      <c r="A701" s="5"/>
      <c r="B701" s="4"/>
      <c r="C701" s="5"/>
      <c r="D701" s="2"/>
      <c r="E701" s="2"/>
      <c r="F701" s="2"/>
      <c r="G701" s="3"/>
      <c r="H701" s="2"/>
      <c r="I701" s="5"/>
      <c r="J701" s="5"/>
      <c r="K701" s="19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 spans="1:26">
      <c r="A702" s="5"/>
      <c r="B702" s="4"/>
      <c r="C702" s="5"/>
      <c r="D702" s="2"/>
      <c r="E702" s="2"/>
      <c r="F702" s="2"/>
      <c r="G702" s="3"/>
      <c r="H702" s="2"/>
      <c r="I702" s="5"/>
      <c r="J702" s="5"/>
      <c r="K702" s="19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 spans="1:26">
      <c r="A703" s="5"/>
      <c r="B703" s="4"/>
      <c r="C703" s="5"/>
      <c r="D703" s="2"/>
      <c r="E703" s="2"/>
      <c r="F703" s="2"/>
      <c r="G703" s="3"/>
      <c r="H703" s="2"/>
      <c r="I703" s="5"/>
      <c r="J703" s="5"/>
      <c r="K703" s="19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 spans="1:26">
      <c r="A704" s="5"/>
      <c r="B704" s="4"/>
      <c r="C704" s="5"/>
      <c r="D704" s="2"/>
      <c r="E704" s="2"/>
      <c r="F704" s="2"/>
      <c r="G704" s="3"/>
      <c r="H704" s="2"/>
      <c r="I704" s="5"/>
      <c r="J704" s="5"/>
      <c r="K704" s="19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 spans="1:26">
      <c r="A705" s="5"/>
      <c r="B705" s="4"/>
      <c r="C705" s="5"/>
      <c r="D705" s="2"/>
      <c r="E705" s="2"/>
      <c r="F705" s="2"/>
      <c r="G705" s="3"/>
      <c r="H705" s="2"/>
      <c r="I705" s="5"/>
      <c r="J705" s="5"/>
      <c r="K705" s="19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 spans="1:26">
      <c r="A706" s="5"/>
      <c r="B706" s="4"/>
      <c r="C706" s="5"/>
      <c r="D706" s="2"/>
      <c r="E706" s="2"/>
      <c r="F706" s="2"/>
      <c r="G706" s="3"/>
      <c r="H706" s="2"/>
      <c r="I706" s="5"/>
      <c r="J706" s="5"/>
      <c r="K706" s="19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 spans="1:26">
      <c r="A707" s="5"/>
      <c r="B707" s="4"/>
      <c r="C707" s="5"/>
      <c r="D707" s="2"/>
      <c r="E707" s="2"/>
      <c r="F707" s="2"/>
      <c r="G707" s="3"/>
      <c r="H707" s="2"/>
      <c r="I707" s="5"/>
      <c r="J707" s="5"/>
      <c r="K707" s="19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 spans="1:26">
      <c r="A708" s="5"/>
      <c r="B708" s="4"/>
      <c r="C708" s="5"/>
      <c r="D708" s="2"/>
      <c r="E708" s="2"/>
      <c r="F708" s="2"/>
      <c r="G708" s="3"/>
      <c r="H708" s="2"/>
      <c r="I708" s="5"/>
      <c r="J708" s="5"/>
      <c r="K708" s="19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 spans="1:26">
      <c r="A709" s="5"/>
      <c r="B709" s="4"/>
      <c r="C709" s="5"/>
      <c r="D709" s="2"/>
      <c r="E709" s="2"/>
      <c r="F709" s="2"/>
      <c r="G709" s="3"/>
      <c r="H709" s="2"/>
      <c r="I709" s="5"/>
      <c r="J709" s="5"/>
      <c r="K709" s="19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 spans="1:26">
      <c r="A710" s="5"/>
      <c r="B710" s="4"/>
      <c r="C710" s="5"/>
      <c r="D710" s="2"/>
      <c r="E710" s="2"/>
      <c r="F710" s="2"/>
      <c r="G710" s="3"/>
      <c r="H710" s="2"/>
      <c r="I710" s="5"/>
      <c r="J710" s="5"/>
      <c r="K710" s="19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 spans="1:26">
      <c r="A711" s="5"/>
      <c r="B711" s="4"/>
      <c r="C711" s="5"/>
      <c r="D711" s="2"/>
      <c r="E711" s="2"/>
      <c r="F711" s="2"/>
      <c r="G711" s="3"/>
      <c r="H711" s="2"/>
      <c r="I711" s="5"/>
      <c r="J711" s="5"/>
      <c r="K711" s="19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 spans="1:26">
      <c r="A712" s="5"/>
      <c r="B712" s="4"/>
      <c r="C712" s="5"/>
      <c r="D712" s="2"/>
      <c r="E712" s="2"/>
      <c r="F712" s="2"/>
      <c r="G712" s="3"/>
      <c r="H712" s="2"/>
      <c r="I712" s="5"/>
      <c r="J712" s="5"/>
      <c r="K712" s="19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 spans="1:26">
      <c r="A713" s="5"/>
      <c r="B713" s="4"/>
      <c r="C713" s="5"/>
      <c r="D713" s="2"/>
      <c r="E713" s="2"/>
      <c r="F713" s="2"/>
      <c r="G713" s="3"/>
      <c r="H713" s="2"/>
      <c r="I713" s="5"/>
      <c r="J713" s="5"/>
      <c r="K713" s="19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 spans="1:26">
      <c r="A714" s="5"/>
      <c r="B714" s="4"/>
      <c r="C714" s="5"/>
      <c r="D714" s="2"/>
      <c r="E714" s="2"/>
      <c r="F714" s="2"/>
      <c r="G714" s="3"/>
      <c r="H714" s="2"/>
      <c r="I714" s="5"/>
      <c r="J714" s="5"/>
      <c r="K714" s="19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 spans="1:26">
      <c r="A715" s="5"/>
      <c r="B715" s="4"/>
      <c r="C715" s="5"/>
      <c r="D715" s="2"/>
      <c r="E715" s="2"/>
      <c r="F715" s="2"/>
      <c r="G715" s="3"/>
      <c r="H715" s="2"/>
      <c r="I715" s="5"/>
      <c r="J715" s="5"/>
      <c r="K715" s="19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 spans="1:26">
      <c r="A716" s="5"/>
      <c r="B716" s="4"/>
      <c r="C716" s="5"/>
      <c r="D716" s="2"/>
      <c r="E716" s="2"/>
      <c r="F716" s="2"/>
      <c r="G716" s="3"/>
      <c r="H716" s="2"/>
      <c r="I716" s="5"/>
      <c r="J716" s="5"/>
      <c r="K716" s="19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 spans="1:26">
      <c r="A717" s="5"/>
      <c r="B717" s="4"/>
      <c r="C717" s="5"/>
      <c r="D717" s="2"/>
      <c r="E717" s="2"/>
      <c r="F717" s="2"/>
      <c r="G717" s="3"/>
      <c r="H717" s="2"/>
      <c r="I717" s="5"/>
      <c r="J717" s="5"/>
      <c r="K717" s="19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 spans="1:26">
      <c r="A718" s="5"/>
      <c r="B718" s="4"/>
      <c r="C718" s="5"/>
      <c r="D718" s="2"/>
      <c r="E718" s="2"/>
      <c r="F718" s="2"/>
      <c r="G718" s="3"/>
      <c r="H718" s="2"/>
      <c r="I718" s="5"/>
      <c r="J718" s="5"/>
      <c r="K718" s="19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 spans="1:26">
      <c r="A719" s="5"/>
      <c r="B719" s="4"/>
      <c r="C719" s="5"/>
      <c r="D719" s="2"/>
      <c r="E719" s="2"/>
      <c r="F719" s="2"/>
      <c r="G719" s="3"/>
      <c r="H719" s="2"/>
      <c r="I719" s="5"/>
      <c r="J719" s="5"/>
      <c r="K719" s="19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 spans="1:26">
      <c r="A720" s="5"/>
      <c r="B720" s="4"/>
      <c r="C720" s="5"/>
      <c r="D720" s="2"/>
      <c r="E720" s="2"/>
      <c r="F720" s="2"/>
      <c r="G720" s="3"/>
      <c r="H720" s="2"/>
      <c r="I720" s="5"/>
      <c r="J720" s="5"/>
      <c r="K720" s="19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 spans="1:26">
      <c r="A721" s="5"/>
      <c r="B721" s="4"/>
      <c r="C721" s="5"/>
      <c r="D721" s="2"/>
      <c r="E721" s="2"/>
      <c r="F721" s="2"/>
      <c r="G721" s="3"/>
      <c r="H721" s="2"/>
      <c r="I721" s="5"/>
      <c r="J721" s="5"/>
      <c r="K721" s="19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 spans="1:26">
      <c r="A722" s="5"/>
      <c r="B722" s="4"/>
      <c r="C722" s="5"/>
      <c r="D722" s="2"/>
      <c r="E722" s="2"/>
      <c r="F722" s="2"/>
      <c r="G722" s="3"/>
      <c r="H722" s="2"/>
      <c r="I722" s="5"/>
      <c r="J722" s="5"/>
      <c r="K722" s="19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 spans="1:26">
      <c r="A723" s="5"/>
      <c r="B723" s="4"/>
      <c r="C723" s="5"/>
      <c r="D723" s="2"/>
      <c r="E723" s="2"/>
      <c r="F723" s="2"/>
      <c r="G723" s="3"/>
      <c r="H723" s="2"/>
      <c r="I723" s="5"/>
      <c r="J723" s="5"/>
      <c r="K723" s="19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 spans="1:26">
      <c r="A724" s="5"/>
      <c r="B724" s="4"/>
      <c r="C724" s="5"/>
      <c r="D724" s="2"/>
      <c r="E724" s="2"/>
      <c r="F724" s="2"/>
      <c r="G724" s="3"/>
      <c r="H724" s="2"/>
      <c r="I724" s="5"/>
      <c r="J724" s="5"/>
      <c r="K724" s="19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 spans="1:26">
      <c r="A725" s="5"/>
      <c r="B725" s="4"/>
      <c r="C725" s="5"/>
      <c r="D725" s="2"/>
      <c r="E725" s="2"/>
      <c r="F725" s="2"/>
      <c r="G725" s="3"/>
      <c r="H725" s="2"/>
      <c r="I725" s="5"/>
      <c r="J725" s="5"/>
      <c r="K725" s="19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 spans="1:26">
      <c r="A726" s="5"/>
      <c r="B726" s="4"/>
      <c r="C726" s="5"/>
      <c r="D726" s="2"/>
      <c r="E726" s="2"/>
      <c r="F726" s="2"/>
      <c r="G726" s="3"/>
      <c r="H726" s="2"/>
      <c r="I726" s="5"/>
      <c r="J726" s="5"/>
      <c r="K726" s="19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 spans="1:26">
      <c r="A727" s="5"/>
      <c r="B727" s="4"/>
      <c r="C727" s="5"/>
      <c r="D727" s="2"/>
      <c r="E727" s="2"/>
      <c r="F727" s="2"/>
      <c r="G727" s="3"/>
      <c r="H727" s="2"/>
      <c r="I727" s="5"/>
      <c r="J727" s="5"/>
      <c r="K727" s="19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 spans="1:26">
      <c r="A728" s="5"/>
      <c r="B728" s="4"/>
      <c r="C728" s="5"/>
      <c r="D728" s="2"/>
      <c r="E728" s="2"/>
      <c r="F728" s="2"/>
      <c r="G728" s="3"/>
      <c r="H728" s="2"/>
      <c r="I728" s="5"/>
      <c r="J728" s="5"/>
      <c r="K728" s="19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 spans="1:26">
      <c r="A729" s="5"/>
      <c r="B729" s="4"/>
      <c r="C729" s="5"/>
      <c r="D729" s="2"/>
      <c r="E729" s="2"/>
      <c r="F729" s="2"/>
      <c r="G729" s="3"/>
      <c r="H729" s="2"/>
      <c r="I729" s="5"/>
      <c r="J729" s="5"/>
      <c r="K729" s="19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 spans="1:26">
      <c r="A730" s="5"/>
      <c r="B730" s="4"/>
      <c r="C730" s="5"/>
      <c r="D730" s="2"/>
      <c r="E730" s="2"/>
      <c r="F730" s="2"/>
      <c r="G730" s="3"/>
      <c r="H730" s="2"/>
      <c r="I730" s="5"/>
      <c r="J730" s="5"/>
      <c r="K730" s="19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 spans="1:26">
      <c r="A731" s="5"/>
      <c r="B731" s="4"/>
      <c r="C731" s="5"/>
      <c r="D731" s="2"/>
      <c r="E731" s="2"/>
      <c r="F731" s="2"/>
      <c r="G731" s="3"/>
      <c r="H731" s="2"/>
      <c r="I731" s="5"/>
      <c r="J731" s="5"/>
      <c r="K731" s="19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 spans="1:26">
      <c r="A732" s="5"/>
      <c r="B732" s="4"/>
      <c r="C732" s="5"/>
      <c r="D732" s="2"/>
      <c r="E732" s="2"/>
      <c r="F732" s="2"/>
      <c r="G732" s="3"/>
      <c r="H732" s="2"/>
      <c r="I732" s="5"/>
      <c r="J732" s="5"/>
      <c r="K732" s="19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 spans="1:26">
      <c r="A733" s="5"/>
      <c r="B733" s="4"/>
      <c r="C733" s="5"/>
      <c r="D733" s="2"/>
      <c r="E733" s="2"/>
      <c r="F733" s="2"/>
      <c r="G733" s="3"/>
      <c r="H733" s="2"/>
      <c r="I733" s="5"/>
      <c r="J733" s="5"/>
      <c r="K733" s="19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 spans="1:26">
      <c r="A734" s="5"/>
      <c r="B734" s="4"/>
      <c r="C734" s="5"/>
      <c r="D734" s="2"/>
      <c r="E734" s="2"/>
      <c r="F734" s="2"/>
      <c r="G734" s="3"/>
      <c r="H734" s="2"/>
      <c r="I734" s="5"/>
      <c r="J734" s="5"/>
      <c r="K734" s="19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 spans="1:26">
      <c r="A735" s="5"/>
      <c r="B735" s="4"/>
      <c r="C735" s="5"/>
      <c r="D735" s="2"/>
      <c r="E735" s="2"/>
      <c r="F735" s="2"/>
      <c r="G735" s="3"/>
      <c r="H735" s="2"/>
      <c r="I735" s="5"/>
      <c r="J735" s="5"/>
      <c r="K735" s="19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 spans="1:26">
      <c r="A736" s="5"/>
      <c r="B736" s="4"/>
      <c r="C736" s="5"/>
      <c r="D736" s="2"/>
      <c r="E736" s="2"/>
      <c r="F736" s="2"/>
      <c r="G736" s="3"/>
      <c r="H736" s="2"/>
      <c r="I736" s="5"/>
      <c r="J736" s="5"/>
      <c r="K736" s="19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 spans="1:26">
      <c r="A737" s="5"/>
      <c r="B737" s="4"/>
      <c r="C737" s="5"/>
      <c r="D737" s="2"/>
      <c r="E737" s="2"/>
      <c r="F737" s="2"/>
      <c r="G737" s="3"/>
      <c r="H737" s="2"/>
      <c r="I737" s="5"/>
      <c r="J737" s="5"/>
      <c r="K737" s="19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 spans="1:26">
      <c r="A738" s="5"/>
      <c r="B738" s="4"/>
      <c r="C738" s="5"/>
      <c r="D738" s="2"/>
      <c r="E738" s="2"/>
      <c r="F738" s="2"/>
      <c r="G738" s="3"/>
      <c r="H738" s="2"/>
      <c r="I738" s="5"/>
      <c r="J738" s="5"/>
      <c r="K738" s="19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 spans="1:26">
      <c r="A739" s="5"/>
      <c r="B739" s="4"/>
      <c r="C739" s="5"/>
      <c r="D739" s="2"/>
      <c r="E739" s="2"/>
      <c r="F739" s="2"/>
      <c r="G739" s="3"/>
      <c r="H739" s="2"/>
      <c r="I739" s="5"/>
      <c r="J739" s="5"/>
      <c r="K739" s="19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 spans="1:26">
      <c r="A740" s="5"/>
      <c r="B740" s="4"/>
      <c r="C740" s="5"/>
      <c r="D740" s="2"/>
      <c r="E740" s="2"/>
      <c r="F740" s="2"/>
      <c r="G740" s="3"/>
      <c r="H740" s="2"/>
      <c r="I740" s="5"/>
      <c r="J740" s="5"/>
      <c r="K740" s="19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 spans="1:26">
      <c r="A741" s="5"/>
      <c r="B741" s="4"/>
      <c r="C741" s="5"/>
      <c r="D741" s="2"/>
      <c r="E741" s="2"/>
      <c r="F741" s="2"/>
      <c r="G741" s="3"/>
      <c r="H741" s="2"/>
      <c r="I741" s="5"/>
      <c r="J741" s="5"/>
      <c r="K741" s="19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 spans="1:26">
      <c r="A742" s="5"/>
      <c r="B742" s="4"/>
      <c r="C742" s="5"/>
      <c r="D742" s="2"/>
      <c r="E742" s="2"/>
      <c r="F742" s="2"/>
      <c r="G742" s="3"/>
      <c r="H742" s="2"/>
      <c r="I742" s="5"/>
      <c r="J742" s="5"/>
      <c r="K742" s="19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 spans="1:26">
      <c r="A743" s="5"/>
      <c r="B743" s="4"/>
      <c r="C743" s="5"/>
      <c r="D743" s="2"/>
      <c r="E743" s="2"/>
      <c r="F743" s="2"/>
      <c r="G743" s="3"/>
      <c r="H743" s="2"/>
      <c r="I743" s="5"/>
      <c r="J743" s="5"/>
      <c r="K743" s="19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 spans="1:26">
      <c r="A744" s="5"/>
      <c r="B744" s="4"/>
      <c r="C744" s="5"/>
      <c r="D744" s="2"/>
      <c r="E744" s="2"/>
      <c r="F744" s="2"/>
      <c r="G744" s="3"/>
      <c r="H744" s="2"/>
      <c r="I744" s="5"/>
      <c r="J744" s="5"/>
      <c r="K744" s="19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 spans="1:26">
      <c r="A745" s="5"/>
      <c r="B745" s="4"/>
      <c r="C745" s="5"/>
      <c r="D745" s="2"/>
      <c r="E745" s="2"/>
      <c r="F745" s="2"/>
      <c r="G745" s="3"/>
      <c r="H745" s="2"/>
      <c r="I745" s="5"/>
      <c r="J745" s="5"/>
      <c r="K745" s="19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 spans="1:26">
      <c r="A746" s="5"/>
      <c r="B746" s="4"/>
      <c r="C746" s="5"/>
      <c r="D746" s="2"/>
      <c r="E746" s="2"/>
      <c r="F746" s="2"/>
      <c r="G746" s="3"/>
      <c r="H746" s="2"/>
      <c r="I746" s="5"/>
      <c r="J746" s="5"/>
      <c r="K746" s="19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 spans="1:26">
      <c r="A747" s="5"/>
      <c r="B747" s="4"/>
      <c r="C747" s="5"/>
      <c r="D747" s="2"/>
      <c r="E747" s="2"/>
      <c r="F747" s="2"/>
      <c r="G747" s="3"/>
      <c r="H747" s="2"/>
      <c r="I747" s="5"/>
      <c r="J747" s="5"/>
      <c r="K747" s="19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 spans="1:26">
      <c r="A748" s="5"/>
      <c r="B748" s="4"/>
      <c r="C748" s="5"/>
      <c r="D748" s="2"/>
      <c r="E748" s="2"/>
      <c r="F748" s="2"/>
      <c r="G748" s="3"/>
      <c r="H748" s="2"/>
      <c r="I748" s="5"/>
      <c r="J748" s="5"/>
      <c r="K748" s="19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 spans="1:26">
      <c r="A749" s="5"/>
      <c r="B749" s="4"/>
      <c r="C749" s="5"/>
      <c r="D749" s="2"/>
      <c r="E749" s="2"/>
      <c r="F749" s="2"/>
      <c r="G749" s="3"/>
      <c r="H749" s="2"/>
      <c r="I749" s="5"/>
      <c r="J749" s="5"/>
      <c r="K749" s="19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 spans="1:26">
      <c r="A750" s="5"/>
      <c r="B750" s="4"/>
      <c r="C750" s="5"/>
      <c r="D750" s="2"/>
      <c r="E750" s="2"/>
      <c r="F750" s="2"/>
      <c r="G750" s="3"/>
      <c r="H750" s="2"/>
      <c r="I750" s="5"/>
      <c r="J750" s="5"/>
      <c r="K750" s="19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 spans="1:26">
      <c r="A751" s="5"/>
      <c r="B751" s="4"/>
      <c r="C751" s="5"/>
      <c r="D751" s="2"/>
      <c r="E751" s="2"/>
      <c r="F751" s="2"/>
      <c r="G751" s="3"/>
      <c r="H751" s="2"/>
      <c r="I751" s="5"/>
      <c r="J751" s="5"/>
      <c r="K751" s="19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 spans="1:26">
      <c r="A752" s="5"/>
      <c r="B752" s="4"/>
      <c r="C752" s="5"/>
      <c r="D752" s="2"/>
      <c r="E752" s="2"/>
      <c r="F752" s="2"/>
      <c r="G752" s="3"/>
      <c r="H752" s="2"/>
      <c r="I752" s="5"/>
      <c r="J752" s="5"/>
      <c r="K752" s="19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 spans="1:26">
      <c r="A753" s="5"/>
      <c r="B753" s="4"/>
      <c r="C753" s="5"/>
      <c r="D753" s="2"/>
      <c r="E753" s="2"/>
      <c r="F753" s="2"/>
      <c r="G753" s="3"/>
      <c r="H753" s="2"/>
      <c r="I753" s="5"/>
      <c r="J753" s="5"/>
      <c r="K753" s="19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 spans="1:26">
      <c r="A754" s="5"/>
      <c r="B754" s="4"/>
      <c r="C754" s="5"/>
      <c r="D754" s="2"/>
      <c r="E754" s="2"/>
      <c r="F754" s="2"/>
      <c r="G754" s="3"/>
      <c r="H754" s="2"/>
      <c r="I754" s="5"/>
      <c r="J754" s="5"/>
      <c r="K754" s="19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 spans="1:26">
      <c r="A755" s="5"/>
      <c r="B755" s="4"/>
      <c r="C755" s="5"/>
      <c r="D755" s="2"/>
      <c r="E755" s="2"/>
      <c r="F755" s="2"/>
      <c r="G755" s="3"/>
      <c r="H755" s="2"/>
      <c r="I755" s="5"/>
      <c r="J755" s="5"/>
      <c r="K755" s="19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 spans="1:26">
      <c r="A756" s="5"/>
      <c r="B756" s="4"/>
      <c r="C756" s="5"/>
      <c r="D756" s="2"/>
      <c r="E756" s="2"/>
      <c r="F756" s="2"/>
      <c r="G756" s="3"/>
      <c r="H756" s="2"/>
      <c r="I756" s="5"/>
      <c r="J756" s="5"/>
      <c r="K756" s="19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 spans="1:26">
      <c r="A757" s="5"/>
      <c r="B757" s="4"/>
      <c r="C757" s="5"/>
      <c r="D757" s="2"/>
      <c r="E757" s="2"/>
      <c r="F757" s="2"/>
      <c r="G757" s="3"/>
      <c r="H757" s="2"/>
      <c r="I757" s="5"/>
      <c r="J757" s="5"/>
      <c r="K757" s="19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 spans="1:26">
      <c r="A758" s="5"/>
      <c r="B758" s="4"/>
      <c r="C758" s="5"/>
      <c r="D758" s="2"/>
      <c r="E758" s="2"/>
      <c r="F758" s="2"/>
      <c r="G758" s="3"/>
      <c r="H758" s="2"/>
      <c r="I758" s="5"/>
      <c r="J758" s="5"/>
      <c r="K758" s="19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 spans="1:26">
      <c r="A759" s="5"/>
      <c r="B759" s="4"/>
      <c r="C759" s="5"/>
      <c r="D759" s="2"/>
      <c r="E759" s="2"/>
      <c r="F759" s="2"/>
      <c r="G759" s="3"/>
      <c r="H759" s="2"/>
      <c r="I759" s="5"/>
      <c r="J759" s="5"/>
      <c r="K759" s="19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 spans="1:26">
      <c r="A760" s="5"/>
      <c r="B760" s="4"/>
      <c r="C760" s="5"/>
      <c r="D760" s="2"/>
      <c r="E760" s="2"/>
      <c r="F760" s="2"/>
      <c r="G760" s="3"/>
      <c r="H760" s="2"/>
      <c r="I760" s="5"/>
      <c r="J760" s="5"/>
      <c r="K760" s="19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 spans="1:26">
      <c r="A761" s="5"/>
      <c r="B761" s="4"/>
      <c r="C761" s="5"/>
      <c r="D761" s="2"/>
      <c r="E761" s="2"/>
      <c r="F761" s="2"/>
      <c r="G761" s="3"/>
      <c r="H761" s="2"/>
      <c r="I761" s="5"/>
      <c r="J761" s="5"/>
      <c r="K761" s="19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 spans="1:26">
      <c r="A762" s="5"/>
      <c r="B762" s="4"/>
      <c r="C762" s="5"/>
      <c r="D762" s="2"/>
      <c r="E762" s="2"/>
      <c r="F762" s="2"/>
      <c r="G762" s="3"/>
      <c r="H762" s="2"/>
      <c r="I762" s="5"/>
      <c r="J762" s="5"/>
      <c r="K762" s="19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 spans="1:26">
      <c r="A763" s="5"/>
      <c r="B763" s="4"/>
      <c r="C763" s="5"/>
      <c r="D763" s="2"/>
      <c r="E763" s="2"/>
      <c r="F763" s="2"/>
      <c r="G763" s="3"/>
      <c r="H763" s="2"/>
      <c r="I763" s="5"/>
      <c r="J763" s="5"/>
      <c r="K763" s="19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 spans="1:26">
      <c r="A764" s="5"/>
      <c r="B764" s="4"/>
      <c r="C764" s="5"/>
      <c r="D764" s="2"/>
      <c r="E764" s="2"/>
      <c r="F764" s="2"/>
      <c r="G764" s="3"/>
      <c r="H764" s="2"/>
      <c r="I764" s="5"/>
      <c r="J764" s="5"/>
      <c r="K764" s="19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 spans="1:26">
      <c r="A765" s="5"/>
      <c r="B765" s="4"/>
      <c r="C765" s="5"/>
      <c r="D765" s="2"/>
      <c r="E765" s="2"/>
      <c r="F765" s="2"/>
      <c r="G765" s="3"/>
      <c r="H765" s="2"/>
      <c r="I765" s="5"/>
      <c r="J765" s="5"/>
      <c r="K765" s="19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 spans="1:26">
      <c r="A766" s="5"/>
      <c r="B766" s="4"/>
      <c r="C766" s="5"/>
      <c r="D766" s="2"/>
      <c r="E766" s="2"/>
      <c r="F766" s="2"/>
      <c r="G766" s="3"/>
      <c r="H766" s="2"/>
      <c r="I766" s="5"/>
      <c r="J766" s="5"/>
      <c r="K766" s="19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 spans="1:26">
      <c r="A767" s="5"/>
      <c r="B767" s="4"/>
      <c r="C767" s="5"/>
      <c r="D767" s="2"/>
      <c r="E767" s="2"/>
      <c r="F767" s="2"/>
      <c r="G767" s="3"/>
      <c r="H767" s="2"/>
      <c r="I767" s="5"/>
      <c r="J767" s="5"/>
      <c r="K767" s="19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 spans="1:26">
      <c r="A768" s="5"/>
      <c r="B768" s="4"/>
      <c r="C768" s="5"/>
      <c r="D768" s="2"/>
      <c r="E768" s="2"/>
      <c r="F768" s="2"/>
      <c r="G768" s="3"/>
      <c r="H768" s="2"/>
      <c r="I768" s="5"/>
      <c r="J768" s="5"/>
      <c r="K768" s="19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 spans="1:26">
      <c r="A769" s="5"/>
      <c r="B769" s="4"/>
      <c r="C769" s="5"/>
      <c r="D769" s="2"/>
      <c r="E769" s="2"/>
      <c r="F769" s="2"/>
      <c r="G769" s="3"/>
      <c r="H769" s="2"/>
      <c r="I769" s="5"/>
      <c r="J769" s="5"/>
      <c r="K769" s="19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 spans="1:26">
      <c r="A770" s="5"/>
      <c r="B770" s="4"/>
      <c r="C770" s="5"/>
      <c r="D770" s="2"/>
      <c r="E770" s="2"/>
      <c r="F770" s="2"/>
      <c r="G770" s="3"/>
      <c r="H770" s="2"/>
      <c r="I770" s="5"/>
      <c r="J770" s="5"/>
      <c r="K770" s="19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 spans="1:26">
      <c r="A771" s="5"/>
      <c r="B771" s="4"/>
      <c r="C771" s="5"/>
      <c r="D771" s="2"/>
      <c r="E771" s="2"/>
      <c r="F771" s="2"/>
      <c r="G771" s="3"/>
      <c r="H771" s="2"/>
      <c r="I771" s="5"/>
      <c r="J771" s="5"/>
      <c r="K771" s="19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 spans="1:26">
      <c r="A772" s="5"/>
      <c r="B772" s="4"/>
      <c r="C772" s="5"/>
      <c r="D772" s="2"/>
      <c r="E772" s="2"/>
      <c r="F772" s="2"/>
      <c r="G772" s="3"/>
      <c r="H772" s="2"/>
      <c r="I772" s="5"/>
      <c r="J772" s="5"/>
      <c r="K772" s="19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 spans="1:26">
      <c r="A773" s="5"/>
      <c r="B773" s="4"/>
      <c r="C773" s="5"/>
      <c r="D773" s="2"/>
      <c r="E773" s="2"/>
      <c r="F773" s="2"/>
      <c r="G773" s="3"/>
      <c r="H773" s="2"/>
      <c r="I773" s="5"/>
      <c r="J773" s="5"/>
      <c r="K773" s="19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 spans="1:26">
      <c r="A774" s="5"/>
      <c r="B774" s="4"/>
      <c r="C774" s="5"/>
      <c r="D774" s="2"/>
      <c r="E774" s="2"/>
      <c r="F774" s="2"/>
      <c r="G774" s="3"/>
      <c r="H774" s="2"/>
      <c r="I774" s="5"/>
      <c r="J774" s="5"/>
      <c r="K774" s="19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 spans="1:26">
      <c r="A775" s="5"/>
      <c r="B775" s="4"/>
      <c r="C775" s="5"/>
      <c r="D775" s="2"/>
      <c r="E775" s="2"/>
      <c r="F775" s="2"/>
      <c r="G775" s="3"/>
      <c r="H775" s="2"/>
      <c r="I775" s="5"/>
      <c r="J775" s="5"/>
      <c r="K775" s="19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 spans="1:26">
      <c r="A776" s="5"/>
      <c r="B776" s="4"/>
      <c r="C776" s="5"/>
      <c r="D776" s="2"/>
      <c r="E776" s="2"/>
      <c r="F776" s="2"/>
      <c r="G776" s="3"/>
      <c r="H776" s="2"/>
      <c r="I776" s="5"/>
      <c r="J776" s="5"/>
      <c r="K776" s="19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 spans="1:26">
      <c r="A777" s="5"/>
      <c r="B777" s="4"/>
      <c r="C777" s="5"/>
      <c r="D777" s="2"/>
      <c r="E777" s="2"/>
      <c r="F777" s="2"/>
      <c r="G777" s="3"/>
      <c r="H777" s="2"/>
      <c r="I777" s="5"/>
      <c r="J777" s="5"/>
      <c r="K777" s="19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 spans="1:26">
      <c r="A778" s="5"/>
      <c r="B778" s="4"/>
      <c r="C778" s="5"/>
      <c r="D778" s="2"/>
      <c r="E778" s="2"/>
      <c r="F778" s="2"/>
      <c r="G778" s="3"/>
      <c r="H778" s="2"/>
      <c r="I778" s="5"/>
      <c r="J778" s="5"/>
      <c r="K778" s="19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 spans="1:26">
      <c r="A779" s="5"/>
      <c r="B779" s="4"/>
      <c r="C779" s="5"/>
      <c r="D779" s="2"/>
      <c r="E779" s="2"/>
      <c r="F779" s="2"/>
      <c r="G779" s="3"/>
      <c r="H779" s="2"/>
      <c r="I779" s="5"/>
      <c r="J779" s="5"/>
      <c r="K779" s="19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 spans="1:26">
      <c r="A780" s="5"/>
      <c r="B780" s="4"/>
      <c r="C780" s="5"/>
      <c r="D780" s="2"/>
      <c r="E780" s="2"/>
      <c r="F780" s="2"/>
      <c r="G780" s="3"/>
      <c r="H780" s="2"/>
      <c r="I780" s="5"/>
      <c r="J780" s="5"/>
      <c r="K780" s="19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 spans="1:26">
      <c r="A781" s="5"/>
      <c r="B781" s="4"/>
      <c r="C781" s="5"/>
      <c r="D781" s="2"/>
      <c r="E781" s="2"/>
      <c r="F781" s="2"/>
      <c r="G781" s="3"/>
      <c r="H781" s="2"/>
      <c r="I781" s="5"/>
      <c r="J781" s="5"/>
      <c r="K781" s="19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 spans="1:26">
      <c r="A782" s="5"/>
      <c r="B782" s="4"/>
      <c r="C782" s="5"/>
      <c r="D782" s="2"/>
      <c r="E782" s="2"/>
      <c r="F782" s="2"/>
      <c r="G782" s="3"/>
      <c r="H782" s="2"/>
      <c r="I782" s="5"/>
      <c r="J782" s="5"/>
      <c r="K782" s="19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 spans="1:26">
      <c r="A783" s="5"/>
      <c r="B783" s="4"/>
      <c r="C783" s="5"/>
      <c r="D783" s="2"/>
      <c r="E783" s="2"/>
      <c r="F783" s="2"/>
      <c r="G783" s="3"/>
      <c r="H783" s="2"/>
      <c r="I783" s="5"/>
      <c r="J783" s="5"/>
      <c r="K783" s="19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 spans="1:26">
      <c r="A784" s="5"/>
      <c r="B784" s="4"/>
      <c r="C784" s="5"/>
      <c r="D784" s="2"/>
      <c r="E784" s="2"/>
      <c r="F784" s="2"/>
      <c r="G784" s="3"/>
      <c r="H784" s="2"/>
      <c r="I784" s="5"/>
      <c r="J784" s="5"/>
      <c r="K784" s="19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 spans="1:26">
      <c r="A785" s="5"/>
      <c r="B785" s="4"/>
      <c r="C785" s="5"/>
      <c r="D785" s="2"/>
      <c r="E785" s="2"/>
      <c r="F785" s="2"/>
      <c r="G785" s="3"/>
      <c r="H785" s="2"/>
      <c r="I785" s="5"/>
      <c r="J785" s="5"/>
      <c r="K785" s="19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 spans="1:26">
      <c r="A786" s="5"/>
      <c r="B786" s="4"/>
      <c r="C786" s="5"/>
      <c r="D786" s="2"/>
      <c r="E786" s="2"/>
      <c r="F786" s="2"/>
      <c r="G786" s="3"/>
      <c r="H786" s="2"/>
      <c r="I786" s="5"/>
      <c r="J786" s="5"/>
      <c r="K786" s="19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 spans="1:26">
      <c r="A787" s="5"/>
      <c r="B787" s="4"/>
      <c r="C787" s="5"/>
      <c r="D787" s="2"/>
      <c r="E787" s="2"/>
      <c r="F787" s="2"/>
      <c r="G787" s="3"/>
      <c r="H787" s="2"/>
      <c r="I787" s="5"/>
      <c r="J787" s="5"/>
      <c r="K787" s="19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 spans="1:26">
      <c r="A788" s="5"/>
      <c r="B788" s="4"/>
      <c r="C788" s="5"/>
      <c r="D788" s="2"/>
      <c r="E788" s="2"/>
      <c r="F788" s="2"/>
      <c r="G788" s="3"/>
      <c r="H788" s="2"/>
      <c r="I788" s="5"/>
      <c r="J788" s="5"/>
      <c r="K788" s="19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 spans="1:26">
      <c r="A789" s="5"/>
      <c r="B789" s="4"/>
      <c r="C789" s="5"/>
      <c r="D789" s="2"/>
      <c r="E789" s="2"/>
      <c r="F789" s="2"/>
      <c r="G789" s="3"/>
      <c r="H789" s="2"/>
      <c r="I789" s="5"/>
      <c r="J789" s="5"/>
      <c r="K789" s="19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 spans="1:26">
      <c r="A790" s="5"/>
      <c r="B790" s="4"/>
      <c r="C790" s="5"/>
      <c r="D790" s="2"/>
      <c r="E790" s="2"/>
      <c r="F790" s="2"/>
      <c r="G790" s="3"/>
      <c r="H790" s="2"/>
      <c r="I790" s="5"/>
      <c r="J790" s="5"/>
      <c r="K790" s="19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 spans="1:26">
      <c r="A791" s="5"/>
      <c r="B791" s="4"/>
      <c r="C791" s="5"/>
      <c r="D791" s="2"/>
      <c r="E791" s="2"/>
      <c r="F791" s="2"/>
      <c r="G791" s="3"/>
      <c r="H791" s="2"/>
      <c r="I791" s="5"/>
      <c r="J791" s="5"/>
      <c r="K791" s="19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 spans="1:26">
      <c r="A792" s="5"/>
      <c r="B792" s="4"/>
      <c r="C792" s="5"/>
      <c r="D792" s="2"/>
      <c r="E792" s="2"/>
      <c r="F792" s="2"/>
      <c r="G792" s="3"/>
      <c r="H792" s="2"/>
      <c r="I792" s="5"/>
      <c r="J792" s="5"/>
      <c r="K792" s="19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 spans="1:26">
      <c r="A793" s="5"/>
      <c r="B793" s="4"/>
      <c r="C793" s="5"/>
      <c r="D793" s="2"/>
      <c r="E793" s="2"/>
      <c r="F793" s="2"/>
      <c r="G793" s="3"/>
      <c r="H793" s="2"/>
      <c r="I793" s="5"/>
      <c r="J793" s="5"/>
      <c r="K793" s="19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 spans="1:26">
      <c r="A794" s="5"/>
      <c r="B794" s="4"/>
      <c r="C794" s="5"/>
      <c r="D794" s="2"/>
      <c r="E794" s="2"/>
      <c r="F794" s="2"/>
      <c r="G794" s="3"/>
      <c r="H794" s="2"/>
      <c r="I794" s="5"/>
      <c r="J794" s="5"/>
      <c r="K794" s="19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 spans="1:26">
      <c r="A795" s="5"/>
      <c r="B795" s="4"/>
      <c r="C795" s="5"/>
      <c r="D795" s="2"/>
      <c r="E795" s="2"/>
      <c r="F795" s="2"/>
      <c r="G795" s="3"/>
      <c r="H795" s="2"/>
      <c r="I795" s="5"/>
      <c r="J795" s="5"/>
      <c r="K795" s="19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 spans="1:26">
      <c r="A796" s="5"/>
      <c r="B796" s="4"/>
      <c r="C796" s="5"/>
      <c r="D796" s="2"/>
      <c r="E796" s="2"/>
      <c r="F796" s="2"/>
      <c r="G796" s="3"/>
      <c r="H796" s="2"/>
      <c r="I796" s="5"/>
      <c r="J796" s="5"/>
      <c r="K796" s="19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 spans="1:26">
      <c r="A797" s="5"/>
      <c r="B797" s="4"/>
      <c r="C797" s="5"/>
      <c r="D797" s="2"/>
      <c r="E797" s="2"/>
      <c r="F797" s="2"/>
      <c r="G797" s="3"/>
      <c r="H797" s="2"/>
      <c r="I797" s="5"/>
      <c r="J797" s="5"/>
      <c r="K797" s="19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 spans="1:26">
      <c r="A798" s="5"/>
      <c r="B798" s="4"/>
      <c r="C798" s="5"/>
      <c r="D798" s="2"/>
      <c r="E798" s="2"/>
      <c r="F798" s="2"/>
      <c r="G798" s="3"/>
      <c r="H798" s="2"/>
      <c r="I798" s="5"/>
      <c r="J798" s="5"/>
      <c r="K798" s="19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 spans="1:26">
      <c r="A799" s="5"/>
      <c r="B799" s="4"/>
      <c r="C799" s="5"/>
      <c r="D799" s="2"/>
      <c r="E799" s="2"/>
      <c r="F799" s="2"/>
      <c r="G799" s="3"/>
      <c r="H799" s="2"/>
      <c r="I799" s="5"/>
      <c r="J799" s="5"/>
      <c r="K799" s="19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 spans="1:26">
      <c r="A800" s="5"/>
      <c r="B800" s="4"/>
      <c r="C800" s="5"/>
      <c r="D800" s="2"/>
      <c r="E800" s="2"/>
      <c r="F800" s="2"/>
      <c r="G800" s="3"/>
      <c r="H800" s="2"/>
      <c r="I800" s="5"/>
      <c r="J800" s="5"/>
      <c r="K800" s="19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 spans="1:26">
      <c r="A801" s="5"/>
      <c r="B801" s="4"/>
      <c r="C801" s="5"/>
      <c r="D801" s="2"/>
      <c r="E801" s="2"/>
      <c r="F801" s="2"/>
      <c r="G801" s="3"/>
      <c r="H801" s="2"/>
      <c r="I801" s="5"/>
      <c r="J801" s="5"/>
      <c r="K801" s="19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 spans="1:26">
      <c r="A802" s="5"/>
      <c r="B802" s="4"/>
      <c r="C802" s="5"/>
      <c r="D802" s="2"/>
      <c r="E802" s="2"/>
      <c r="F802" s="2"/>
      <c r="G802" s="3"/>
      <c r="H802" s="2"/>
      <c r="I802" s="5"/>
      <c r="J802" s="5"/>
      <c r="K802" s="19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 spans="1:26">
      <c r="A803" s="5"/>
      <c r="B803" s="4"/>
      <c r="C803" s="5"/>
      <c r="D803" s="2"/>
      <c r="E803" s="2"/>
      <c r="F803" s="2"/>
      <c r="G803" s="3"/>
      <c r="H803" s="2"/>
      <c r="I803" s="5"/>
      <c r="J803" s="5"/>
      <c r="K803" s="19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 spans="1:26">
      <c r="A804" s="5"/>
      <c r="B804" s="4"/>
      <c r="C804" s="5"/>
      <c r="D804" s="2"/>
      <c r="E804" s="2"/>
      <c r="F804" s="2"/>
      <c r="G804" s="3"/>
      <c r="H804" s="2"/>
      <c r="I804" s="5"/>
      <c r="J804" s="5"/>
      <c r="K804" s="19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 spans="1:26">
      <c r="A805" s="5"/>
      <c r="B805" s="4"/>
      <c r="C805" s="5"/>
      <c r="D805" s="2"/>
      <c r="E805" s="2"/>
      <c r="F805" s="2"/>
      <c r="G805" s="3"/>
      <c r="H805" s="2"/>
      <c r="I805" s="5"/>
      <c r="J805" s="5"/>
      <c r="K805" s="19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 spans="1:26">
      <c r="A806" s="5"/>
      <c r="B806" s="4"/>
      <c r="C806" s="5"/>
      <c r="D806" s="2"/>
      <c r="E806" s="2"/>
      <c r="F806" s="2"/>
      <c r="G806" s="3"/>
      <c r="H806" s="2"/>
      <c r="I806" s="5"/>
      <c r="J806" s="5"/>
      <c r="K806" s="19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 spans="1:26">
      <c r="A807" s="5"/>
      <c r="B807" s="4"/>
      <c r="C807" s="5"/>
      <c r="D807" s="2"/>
      <c r="E807" s="2"/>
      <c r="F807" s="2"/>
      <c r="G807" s="3"/>
      <c r="H807" s="2"/>
      <c r="I807" s="5"/>
      <c r="J807" s="5"/>
      <c r="K807" s="19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 spans="1:26">
      <c r="A808" s="5"/>
      <c r="B808" s="4"/>
      <c r="C808" s="5"/>
      <c r="D808" s="2"/>
      <c r="E808" s="2"/>
      <c r="F808" s="2"/>
      <c r="G808" s="3"/>
      <c r="H808" s="2"/>
      <c r="I808" s="5"/>
      <c r="J808" s="5"/>
      <c r="K808" s="19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 spans="1:26">
      <c r="A809" s="5"/>
      <c r="B809" s="4"/>
      <c r="C809" s="5"/>
      <c r="D809" s="2"/>
      <c r="E809" s="2"/>
      <c r="F809" s="2"/>
      <c r="G809" s="3"/>
      <c r="H809" s="2"/>
      <c r="I809" s="5"/>
      <c r="J809" s="5"/>
      <c r="K809" s="19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 spans="1:26">
      <c r="A810" s="5"/>
      <c r="B810" s="4"/>
      <c r="C810" s="5"/>
      <c r="D810" s="2"/>
      <c r="E810" s="2"/>
      <c r="F810" s="2"/>
      <c r="G810" s="3"/>
      <c r="H810" s="2"/>
      <c r="I810" s="5"/>
      <c r="J810" s="5"/>
      <c r="K810" s="19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 spans="1:26">
      <c r="A811" s="5"/>
      <c r="B811" s="4"/>
      <c r="C811" s="5"/>
      <c r="D811" s="2"/>
      <c r="E811" s="2"/>
      <c r="F811" s="2"/>
      <c r="G811" s="3"/>
      <c r="H811" s="2"/>
      <c r="I811" s="5"/>
      <c r="J811" s="5"/>
      <c r="K811" s="19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 spans="1:26">
      <c r="A812" s="5"/>
      <c r="B812" s="4"/>
      <c r="C812" s="5"/>
      <c r="D812" s="2"/>
      <c r="E812" s="2"/>
      <c r="F812" s="2"/>
      <c r="G812" s="3"/>
      <c r="H812" s="2"/>
      <c r="I812" s="5"/>
      <c r="J812" s="5"/>
      <c r="K812" s="19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 spans="1:26">
      <c r="A813" s="5"/>
      <c r="B813" s="4"/>
      <c r="C813" s="5"/>
      <c r="D813" s="2"/>
      <c r="E813" s="2"/>
      <c r="F813" s="2"/>
      <c r="G813" s="3"/>
      <c r="H813" s="2"/>
      <c r="I813" s="5"/>
      <c r="J813" s="5"/>
      <c r="K813" s="19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 spans="1:26">
      <c r="A814" s="5"/>
      <c r="B814" s="4"/>
      <c r="C814" s="5"/>
      <c r="D814" s="2"/>
      <c r="E814" s="2"/>
      <c r="F814" s="2"/>
      <c r="G814" s="3"/>
      <c r="H814" s="2"/>
      <c r="I814" s="5"/>
      <c r="J814" s="5"/>
      <c r="K814" s="19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 spans="1:26">
      <c r="A815" s="5"/>
      <c r="B815" s="4"/>
      <c r="C815" s="5"/>
      <c r="D815" s="2"/>
      <c r="E815" s="2"/>
      <c r="F815" s="2"/>
      <c r="G815" s="3"/>
      <c r="H815" s="2"/>
      <c r="I815" s="5"/>
      <c r="J815" s="5"/>
      <c r="K815" s="19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 spans="1:26">
      <c r="A816" s="5"/>
      <c r="B816" s="4"/>
      <c r="C816" s="5"/>
      <c r="D816" s="2"/>
      <c r="E816" s="2"/>
      <c r="F816" s="2"/>
      <c r="G816" s="3"/>
      <c r="H816" s="2"/>
      <c r="I816" s="5"/>
      <c r="J816" s="5"/>
      <c r="K816" s="19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 spans="1:26">
      <c r="A817" s="5"/>
      <c r="B817" s="4"/>
      <c r="C817" s="5"/>
      <c r="D817" s="2"/>
      <c r="E817" s="2"/>
      <c r="F817" s="2"/>
      <c r="G817" s="3"/>
      <c r="H817" s="2"/>
      <c r="I817" s="5"/>
      <c r="J817" s="5"/>
      <c r="K817" s="19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 spans="1:26">
      <c r="A818" s="5"/>
      <c r="B818" s="4"/>
      <c r="C818" s="5"/>
      <c r="D818" s="2"/>
      <c r="E818" s="2"/>
      <c r="F818" s="2"/>
      <c r="G818" s="3"/>
      <c r="H818" s="2"/>
      <c r="I818" s="5"/>
      <c r="J818" s="5"/>
      <c r="K818" s="19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 spans="1:26">
      <c r="A819" s="5"/>
      <c r="B819" s="4"/>
      <c r="C819" s="5"/>
      <c r="D819" s="2"/>
      <c r="E819" s="2"/>
      <c r="F819" s="2"/>
      <c r="G819" s="3"/>
      <c r="H819" s="2"/>
      <c r="I819" s="5"/>
      <c r="J819" s="5"/>
      <c r="K819" s="19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 spans="1:26">
      <c r="A820" s="5"/>
      <c r="B820" s="4"/>
      <c r="C820" s="5"/>
      <c r="D820" s="2"/>
      <c r="E820" s="2"/>
      <c r="F820" s="2"/>
      <c r="G820" s="3"/>
      <c r="H820" s="2"/>
      <c r="I820" s="5"/>
      <c r="J820" s="5"/>
      <c r="K820" s="19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 spans="1:26">
      <c r="A821" s="5"/>
      <c r="B821" s="4"/>
      <c r="C821" s="5"/>
      <c r="D821" s="2"/>
      <c r="E821" s="2"/>
      <c r="F821" s="2"/>
      <c r="G821" s="3"/>
      <c r="H821" s="2"/>
      <c r="I821" s="5"/>
      <c r="J821" s="5"/>
      <c r="K821" s="19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 spans="1:26">
      <c r="A822" s="5"/>
      <c r="B822" s="4"/>
      <c r="C822" s="5"/>
      <c r="D822" s="2"/>
      <c r="E822" s="2"/>
      <c r="F822" s="2"/>
      <c r="G822" s="3"/>
      <c r="H822" s="2"/>
      <c r="I822" s="5"/>
      <c r="J822" s="5"/>
      <c r="K822" s="19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 spans="1:26">
      <c r="A823" s="5"/>
      <c r="B823" s="4"/>
      <c r="C823" s="5"/>
      <c r="D823" s="2"/>
      <c r="E823" s="2"/>
      <c r="F823" s="2"/>
      <c r="G823" s="3"/>
      <c r="H823" s="2"/>
      <c r="I823" s="5"/>
      <c r="J823" s="5"/>
      <c r="K823" s="19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 spans="1:26">
      <c r="A824" s="5"/>
      <c r="B824" s="4"/>
      <c r="C824" s="5"/>
      <c r="D824" s="2"/>
      <c r="E824" s="2"/>
      <c r="F824" s="2"/>
      <c r="G824" s="3"/>
      <c r="H824" s="2"/>
      <c r="I824" s="5"/>
      <c r="J824" s="5"/>
      <c r="K824" s="19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 spans="1:26">
      <c r="A825" s="5"/>
      <c r="B825" s="4"/>
      <c r="C825" s="5"/>
      <c r="D825" s="2"/>
      <c r="E825" s="2"/>
      <c r="F825" s="2"/>
      <c r="G825" s="3"/>
      <c r="H825" s="2"/>
      <c r="I825" s="5"/>
      <c r="J825" s="5"/>
      <c r="K825" s="19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 spans="1:26">
      <c r="A826" s="5"/>
      <c r="B826" s="4"/>
      <c r="C826" s="5"/>
      <c r="D826" s="2"/>
      <c r="E826" s="2"/>
      <c r="F826" s="2"/>
      <c r="G826" s="3"/>
      <c r="H826" s="2"/>
      <c r="I826" s="5"/>
      <c r="J826" s="5"/>
      <c r="K826" s="19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 spans="1:26">
      <c r="A827" s="5"/>
      <c r="B827" s="4"/>
      <c r="C827" s="5"/>
      <c r="D827" s="2"/>
      <c r="E827" s="2"/>
      <c r="F827" s="2"/>
      <c r="G827" s="3"/>
      <c r="H827" s="2"/>
      <c r="I827" s="5"/>
      <c r="J827" s="5"/>
      <c r="K827" s="19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 spans="1:26">
      <c r="A828" s="5"/>
      <c r="B828" s="4"/>
      <c r="C828" s="5"/>
      <c r="D828" s="2"/>
      <c r="E828" s="2"/>
      <c r="F828" s="2"/>
      <c r="G828" s="3"/>
      <c r="H828" s="2"/>
      <c r="I828" s="5"/>
      <c r="J828" s="5"/>
      <c r="K828" s="19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 spans="1:26">
      <c r="A829" s="5"/>
      <c r="B829" s="4"/>
      <c r="C829" s="5"/>
      <c r="D829" s="2"/>
      <c r="E829" s="2"/>
      <c r="F829" s="2"/>
      <c r="G829" s="3"/>
      <c r="H829" s="2"/>
      <c r="I829" s="5"/>
      <c r="J829" s="5"/>
      <c r="K829" s="19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 spans="1:26">
      <c r="A830" s="5"/>
      <c r="B830" s="4"/>
      <c r="C830" s="5"/>
      <c r="D830" s="2"/>
      <c r="E830" s="2"/>
      <c r="F830" s="2"/>
      <c r="G830" s="3"/>
      <c r="H830" s="2"/>
      <c r="I830" s="5"/>
      <c r="J830" s="5"/>
      <c r="K830" s="19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 spans="1:26">
      <c r="A831" s="5"/>
      <c r="B831" s="4"/>
      <c r="C831" s="5"/>
      <c r="D831" s="2"/>
      <c r="E831" s="2"/>
      <c r="F831" s="2"/>
      <c r="G831" s="3"/>
      <c r="H831" s="2"/>
      <c r="I831" s="5"/>
      <c r="J831" s="5"/>
      <c r="K831" s="19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 spans="1:26">
      <c r="A832" s="5"/>
      <c r="B832" s="4"/>
      <c r="C832" s="5"/>
      <c r="D832" s="2"/>
      <c r="E832" s="2"/>
      <c r="F832" s="2"/>
      <c r="G832" s="3"/>
      <c r="H832" s="2"/>
      <c r="I832" s="5"/>
      <c r="J832" s="5"/>
      <c r="K832" s="19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 spans="1:26">
      <c r="A833" s="5"/>
      <c r="B833" s="4"/>
      <c r="C833" s="5"/>
      <c r="D833" s="2"/>
      <c r="E833" s="2"/>
      <c r="F833" s="2"/>
      <c r="G833" s="3"/>
      <c r="H833" s="2"/>
      <c r="I833" s="5"/>
      <c r="J833" s="5"/>
      <c r="K833" s="19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 spans="1:26">
      <c r="A834" s="5"/>
      <c r="B834" s="4"/>
      <c r="C834" s="5"/>
      <c r="D834" s="2"/>
      <c r="E834" s="2"/>
      <c r="F834" s="2"/>
      <c r="G834" s="3"/>
      <c r="H834" s="2"/>
      <c r="I834" s="5"/>
      <c r="J834" s="5"/>
      <c r="K834" s="19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 spans="1:26">
      <c r="A835" s="5"/>
      <c r="B835" s="4"/>
      <c r="C835" s="5"/>
      <c r="D835" s="2"/>
      <c r="E835" s="2"/>
      <c r="F835" s="2"/>
      <c r="G835" s="3"/>
      <c r="H835" s="2"/>
      <c r="I835" s="5"/>
      <c r="J835" s="5"/>
      <c r="K835" s="19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 spans="1:26">
      <c r="A836" s="5"/>
      <c r="B836" s="4"/>
      <c r="C836" s="5"/>
      <c r="D836" s="2"/>
      <c r="E836" s="2"/>
      <c r="F836" s="2"/>
      <c r="G836" s="3"/>
      <c r="H836" s="2"/>
      <c r="I836" s="5"/>
      <c r="J836" s="5"/>
      <c r="K836" s="19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 spans="1:26">
      <c r="A837" s="5"/>
      <c r="B837" s="4"/>
      <c r="C837" s="5"/>
      <c r="D837" s="2"/>
      <c r="E837" s="2"/>
      <c r="F837" s="2"/>
      <c r="G837" s="3"/>
      <c r="H837" s="2"/>
      <c r="I837" s="5"/>
      <c r="J837" s="5"/>
      <c r="K837" s="19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 spans="1:26">
      <c r="A838" s="5"/>
      <c r="B838" s="4"/>
      <c r="C838" s="5"/>
      <c r="D838" s="2"/>
      <c r="E838" s="2"/>
      <c r="F838" s="2"/>
      <c r="G838" s="3"/>
      <c r="H838" s="2"/>
      <c r="I838" s="5"/>
      <c r="J838" s="5"/>
      <c r="K838" s="19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 spans="1:26">
      <c r="A839" s="5"/>
      <c r="B839" s="4"/>
      <c r="C839" s="5"/>
      <c r="D839" s="2"/>
      <c r="E839" s="2"/>
      <c r="F839" s="2"/>
      <c r="G839" s="3"/>
      <c r="H839" s="2"/>
      <c r="I839" s="5"/>
      <c r="J839" s="5"/>
      <c r="K839" s="19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 spans="1:26">
      <c r="A840" s="5"/>
      <c r="B840" s="4"/>
      <c r="C840" s="5"/>
      <c r="D840" s="2"/>
      <c r="E840" s="2"/>
      <c r="F840" s="2"/>
      <c r="G840" s="3"/>
      <c r="H840" s="2"/>
      <c r="I840" s="5"/>
      <c r="J840" s="5"/>
      <c r="K840" s="19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 spans="1:26">
      <c r="A841" s="5"/>
      <c r="B841" s="4"/>
      <c r="C841" s="5"/>
      <c r="D841" s="2"/>
      <c r="E841" s="2"/>
      <c r="F841" s="2"/>
      <c r="G841" s="3"/>
      <c r="H841" s="2"/>
      <c r="I841" s="5"/>
      <c r="J841" s="5"/>
      <c r="K841" s="19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 spans="1:26">
      <c r="A842" s="5"/>
      <c r="B842" s="4"/>
      <c r="C842" s="5"/>
      <c r="D842" s="2"/>
      <c r="E842" s="2"/>
      <c r="F842" s="2"/>
      <c r="G842" s="3"/>
      <c r="H842" s="2"/>
      <c r="I842" s="5"/>
      <c r="J842" s="5"/>
      <c r="K842" s="19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 spans="1:26">
      <c r="A843" s="5"/>
      <c r="B843" s="4"/>
      <c r="C843" s="5"/>
      <c r="D843" s="2"/>
      <c r="E843" s="2"/>
      <c r="F843" s="2"/>
      <c r="G843" s="3"/>
      <c r="H843" s="2"/>
      <c r="I843" s="5"/>
      <c r="J843" s="5"/>
      <c r="K843" s="19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 spans="1:26">
      <c r="A844" s="5"/>
      <c r="B844" s="4"/>
      <c r="C844" s="5"/>
      <c r="D844" s="2"/>
      <c r="E844" s="2"/>
      <c r="F844" s="2"/>
      <c r="G844" s="3"/>
      <c r="H844" s="2"/>
      <c r="I844" s="5"/>
      <c r="J844" s="5"/>
      <c r="K844" s="19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 spans="1:26">
      <c r="A845" s="5"/>
      <c r="B845" s="4"/>
      <c r="C845" s="5"/>
      <c r="D845" s="2"/>
      <c r="E845" s="2"/>
      <c r="F845" s="2"/>
      <c r="G845" s="3"/>
      <c r="H845" s="2"/>
      <c r="I845" s="5"/>
      <c r="J845" s="5"/>
      <c r="K845" s="19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 spans="1:26">
      <c r="A846" s="5"/>
      <c r="B846" s="4"/>
      <c r="C846" s="5"/>
      <c r="D846" s="2"/>
      <c r="E846" s="2"/>
      <c r="F846" s="2"/>
      <c r="G846" s="3"/>
      <c r="H846" s="2"/>
      <c r="I846" s="5"/>
      <c r="J846" s="5"/>
      <c r="K846" s="19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 spans="1:26">
      <c r="A847" s="5"/>
      <c r="B847" s="4"/>
      <c r="C847" s="5"/>
      <c r="D847" s="2"/>
      <c r="E847" s="2"/>
      <c r="F847" s="2"/>
      <c r="G847" s="3"/>
      <c r="H847" s="2"/>
      <c r="I847" s="5"/>
      <c r="J847" s="5"/>
      <c r="K847" s="19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 spans="1:26">
      <c r="A848" s="5"/>
      <c r="B848" s="4"/>
      <c r="C848" s="5"/>
      <c r="D848" s="2"/>
      <c r="E848" s="2"/>
      <c r="F848" s="2"/>
      <c r="G848" s="3"/>
      <c r="H848" s="2"/>
      <c r="I848" s="5"/>
      <c r="J848" s="5"/>
      <c r="K848" s="19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 spans="1:26">
      <c r="A849" s="5"/>
      <c r="B849" s="4"/>
      <c r="C849" s="5"/>
      <c r="D849" s="2"/>
      <c r="E849" s="2"/>
      <c r="F849" s="2"/>
      <c r="G849" s="3"/>
      <c r="H849" s="2"/>
      <c r="I849" s="5"/>
      <c r="J849" s="5"/>
      <c r="K849" s="19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 spans="1:26">
      <c r="A850" s="5"/>
      <c r="B850" s="4"/>
      <c r="C850" s="5"/>
      <c r="D850" s="2"/>
      <c r="E850" s="2"/>
      <c r="F850" s="2"/>
      <c r="G850" s="3"/>
      <c r="H850" s="2"/>
      <c r="I850" s="5"/>
      <c r="J850" s="5"/>
      <c r="K850" s="19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 spans="1:26">
      <c r="A851" s="5"/>
      <c r="B851" s="4"/>
      <c r="C851" s="5"/>
      <c r="D851" s="2"/>
      <c r="E851" s="2"/>
      <c r="F851" s="2"/>
      <c r="G851" s="3"/>
      <c r="H851" s="2"/>
      <c r="I851" s="5"/>
      <c r="J851" s="5"/>
      <c r="K851" s="19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 spans="1:26">
      <c r="A852" s="5"/>
      <c r="B852" s="4"/>
      <c r="C852" s="5"/>
      <c r="D852" s="2"/>
      <c r="E852" s="2"/>
      <c r="F852" s="2"/>
      <c r="G852" s="3"/>
      <c r="H852" s="2"/>
      <c r="I852" s="5"/>
      <c r="J852" s="5"/>
      <c r="K852" s="19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 spans="1:26">
      <c r="A853" s="5"/>
      <c r="B853" s="4"/>
      <c r="C853" s="5"/>
      <c r="D853" s="2"/>
      <c r="E853" s="2"/>
      <c r="F853" s="2"/>
      <c r="G853" s="3"/>
      <c r="H853" s="2"/>
      <c r="I853" s="5"/>
      <c r="J853" s="5"/>
      <c r="K853" s="19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 spans="1:26">
      <c r="A854" s="5"/>
      <c r="B854" s="4"/>
      <c r="C854" s="5"/>
      <c r="D854" s="2"/>
      <c r="E854" s="2"/>
      <c r="F854" s="2"/>
      <c r="G854" s="3"/>
      <c r="H854" s="2"/>
      <c r="I854" s="5"/>
      <c r="J854" s="5"/>
      <c r="K854" s="19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 spans="1:26">
      <c r="A855" s="5"/>
      <c r="B855" s="4"/>
      <c r="C855" s="5"/>
      <c r="D855" s="2"/>
      <c r="E855" s="2"/>
      <c r="F855" s="2"/>
      <c r="G855" s="3"/>
      <c r="H855" s="2"/>
      <c r="I855" s="5"/>
      <c r="J855" s="5"/>
      <c r="K855" s="19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 spans="1:26">
      <c r="A856" s="5"/>
      <c r="B856" s="4"/>
      <c r="C856" s="5"/>
      <c r="D856" s="2"/>
      <c r="E856" s="2"/>
      <c r="F856" s="2"/>
      <c r="G856" s="3"/>
      <c r="H856" s="2"/>
      <c r="I856" s="5"/>
      <c r="J856" s="5"/>
      <c r="K856" s="19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 spans="1:26">
      <c r="A857" s="5"/>
      <c r="B857" s="4"/>
      <c r="C857" s="5"/>
      <c r="D857" s="2"/>
      <c r="E857" s="2"/>
      <c r="F857" s="2"/>
      <c r="G857" s="3"/>
      <c r="H857" s="2"/>
      <c r="I857" s="5"/>
      <c r="J857" s="5"/>
      <c r="K857" s="19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 spans="1:26">
      <c r="A858" s="5"/>
      <c r="B858" s="4"/>
      <c r="C858" s="5"/>
      <c r="D858" s="2"/>
      <c r="E858" s="2"/>
      <c r="F858" s="2"/>
      <c r="G858" s="3"/>
      <c r="H858" s="2"/>
      <c r="I858" s="5"/>
      <c r="J858" s="5"/>
      <c r="K858" s="19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 spans="1:26">
      <c r="A859" s="5"/>
      <c r="B859" s="4"/>
      <c r="C859" s="5"/>
      <c r="D859" s="2"/>
      <c r="E859" s="2"/>
      <c r="F859" s="2"/>
      <c r="G859" s="3"/>
      <c r="H859" s="2"/>
      <c r="I859" s="5"/>
      <c r="J859" s="5"/>
      <c r="K859" s="19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 spans="1:26">
      <c r="A860" s="5"/>
      <c r="B860" s="4"/>
      <c r="C860" s="5"/>
      <c r="D860" s="2"/>
      <c r="E860" s="2"/>
      <c r="F860" s="2"/>
      <c r="G860" s="3"/>
      <c r="H860" s="2"/>
      <c r="I860" s="5"/>
      <c r="J860" s="5"/>
      <c r="K860" s="19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 spans="1:26">
      <c r="A861" s="5"/>
      <c r="B861" s="4"/>
      <c r="C861" s="5"/>
      <c r="D861" s="2"/>
      <c r="E861" s="2"/>
      <c r="F861" s="2"/>
      <c r="G861" s="3"/>
      <c r="H861" s="2"/>
      <c r="I861" s="5"/>
      <c r="J861" s="5"/>
      <c r="K861" s="19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 spans="1:26">
      <c r="A862" s="5"/>
      <c r="B862" s="4"/>
      <c r="C862" s="5"/>
      <c r="D862" s="2"/>
      <c r="E862" s="2"/>
      <c r="F862" s="2"/>
      <c r="G862" s="3"/>
      <c r="H862" s="2"/>
      <c r="I862" s="5"/>
      <c r="J862" s="5"/>
      <c r="K862" s="19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 spans="1:26">
      <c r="A863" s="5"/>
      <c r="B863" s="4"/>
      <c r="C863" s="5"/>
      <c r="D863" s="2"/>
      <c r="E863" s="2"/>
      <c r="F863" s="2"/>
      <c r="G863" s="3"/>
      <c r="H863" s="2"/>
      <c r="I863" s="5"/>
      <c r="J863" s="5"/>
      <c r="K863" s="19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 spans="1:26">
      <c r="A864" s="5"/>
      <c r="B864" s="4"/>
      <c r="C864" s="5"/>
      <c r="D864" s="2"/>
      <c r="E864" s="2"/>
      <c r="F864" s="2"/>
      <c r="G864" s="3"/>
      <c r="H864" s="2"/>
      <c r="I864" s="5"/>
      <c r="J864" s="5"/>
      <c r="K864" s="19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 spans="1:26">
      <c r="A865" s="5"/>
      <c r="B865" s="4"/>
      <c r="C865" s="5"/>
      <c r="D865" s="2"/>
      <c r="E865" s="2"/>
      <c r="F865" s="2"/>
      <c r="G865" s="3"/>
      <c r="H865" s="2"/>
      <c r="I865" s="5"/>
      <c r="J865" s="5"/>
      <c r="K865" s="19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 spans="1:26">
      <c r="A866" s="5"/>
      <c r="B866" s="4"/>
      <c r="C866" s="5"/>
      <c r="D866" s="2"/>
      <c r="E866" s="2"/>
      <c r="F866" s="2"/>
      <c r="G866" s="3"/>
      <c r="H866" s="2"/>
      <c r="I866" s="5"/>
      <c r="J866" s="5"/>
      <c r="K866" s="19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 spans="1:26">
      <c r="A867" s="5"/>
      <c r="B867" s="4"/>
      <c r="C867" s="5"/>
      <c r="D867" s="2"/>
      <c r="E867" s="2"/>
      <c r="F867" s="2"/>
      <c r="G867" s="3"/>
      <c r="H867" s="2"/>
      <c r="I867" s="5"/>
      <c r="J867" s="5"/>
      <c r="K867" s="19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 spans="1:26">
      <c r="A868" s="5"/>
      <c r="B868" s="4"/>
      <c r="C868" s="5"/>
      <c r="D868" s="2"/>
      <c r="E868" s="2"/>
      <c r="F868" s="2"/>
      <c r="G868" s="3"/>
      <c r="H868" s="2"/>
      <c r="I868" s="5"/>
      <c r="J868" s="5"/>
      <c r="K868" s="19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 spans="1:26">
      <c r="A869" s="5"/>
      <c r="B869" s="4"/>
      <c r="C869" s="5"/>
      <c r="D869" s="2"/>
      <c r="E869" s="2"/>
      <c r="F869" s="2"/>
      <c r="G869" s="3"/>
      <c r="H869" s="2"/>
      <c r="I869" s="5"/>
      <c r="J869" s="5"/>
      <c r="K869" s="19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 spans="1:26">
      <c r="A870" s="5"/>
      <c r="B870" s="4"/>
      <c r="C870" s="5"/>
      <c r="D870" s="2"/>
      <c r="E870" s="2"/>
      <c r="F870" s="2"/>
      <c r="G870" s="3"/>
      <c r="H870" s="2"/>
      <c r="I870" s="5"/>
      <c r="J870" s="5"/>
      <c r="K870" s="19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 spans="1:26">
      <c r="A871" s="5"/>
      <c r="B871" s="4"/>
      <c r="C871" s="5"/>
      <c r="D871" s="2"/>
      <c r="E871" s="2"/>
      <c r="F871" s="2"/>
      <c r="G871" s="3"/>
      <c r="H871" s="2"/>
      <c r="I871" s="5"/>
      <c r="J871" s="5"/>
      <c r="K871" s="19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 spans="1:26">
      <c r="A872" s="5"/>
      <c r="B872" s="4"/>
      <c r="C872" s="5"/>
      <c r="D872" s="2"/>
      <c r="E872" s="2"/>
      <c r="F872" s="2"/>
      <c r="G872" s="3"/>
      <c r="H872" s="2"/>
      <c r="I872" s="5"/>
      <c r="J872" s="5"/>
      <c r="K872" s="19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 spans="1:26">
      <c r="A873" s="5"/>
      <c r="B873" s="4"/>
      <c r="C873" s="5"/>
      <c r="D873" s="2"/>
      <c r="E873" s="2"/>
      <c r="F873" s="2"/>
      <c r="G873" s="3"/>
      <c r="H873" s="2"/>
      <c r="I873" s="5"/>
      <c r="J873" s="5"/>
      <c r="K873" s="19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 spans="1:26">
      <c r="A874" s="5"/>
      <c r="B874" s="4"/>
      <c r="C874" s="5"/>
      <c r="D874" s="2"/>
      <c r="E874" s="2"/>
      <c r="F874" s="2"/>
      <c r="G874" s="3"/>
      <c r="H874" s="2"/>
      <c r="I874" s="5"/>
      <c r="J874" s="5"/>
      <c r="K874" s="19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 spans="1:26">
      <c r="A875" s="5"/>
      <c r="B875" s="4"/>
      <c r="C875" s="5"/>
      <c r="D875" s="2"/>
      <c r="E875" s="2"/>
      <c r="F875" s="2"/>
      <c r="G875" s="3"/>
      <c r="H875" s="2"/>
      <c r="I875" s="5"/>
      <c r="J875" s="5"/>
      <c r="K875" s="19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 spans="1:26">
      <c r="A876" s="5"/>
      <c r="B876" s="4"/>
      <c r="C876" s="5"/>
      <c r="D876" s="2"/>
      <c r="E876" s="2"/>
      <c r="F876" s="2"/>
      <c r="G876" s="3"/>
      <c r="H876" s="2"/>
      <c r="I876" s="5"/>
      <c r="J876" s="5"/>
      <c r="K876" s="19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 spans="1:26">
      <c r="A877" s="5"/>
      <c r="B877" s="4"/>
      <c r="C877" s="5"/>
      <c r="D877" s="2"/>
      <c r="E877" s="2"/>
      <c r="F877" s="2"/>
      <c r="G877" s="3"/>
      <c r="H877" s="2"/>
      <c r="I877" s="5"/>
      <c r="J877" s="5"/>
      <c r="K877" s="19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 spans="1:26">
      <c r="A878" s="5"/>
      <c r="B878" s="4"/>
      <c r="C878" s="5"/>
      <c r="D878" s="2"/>
      <c r="E878" s="2"/>
      <c r="F878" s="2"/>
      <c r="G878" s="3"/>
      <c r="H878" s="2"/>
      <c r="I878" s="5"/>
      <c r="J878" s="5"/>
      <c r="K878" s="19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 spans="1:26">
      <c r="A879" s="5"/>
      <c r="B879" s="4"/>
      <c r="C879" s="5"/>
      <c r="D879" s="2"/>
      <c r="E879" s="2"/>
      <c r="F879" s="2"/>
      <c r="G879" s="3"/>
      <c r="H879" s="2"/>
      <c r="I879" s="5"/>
      <c r="J879" s="5"/>
      <c r="K879" s="19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 spans="1:26">
      <c r="A880" s="5"/>
      <c r="B880" s="4"/>
      <c r="C880" s="5"/>
      <c r="D880" s="2"/>
      <c r="E880" s="2"/>
      <c r="F880" s="2"/>
      <c r="G880" s="3"/>
      <c r="H880" s="2"/>
      <c r="I880" s="5"/>
      <c r="J880" s="5"/>
      <c r="K880" s="19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 spans="1:26">
      <c r="A881" s="5"/>
      <c r="B881" s="4"/>
      <c r="C881" s="5"/>
      <c r="D881" s="2"/>
      <c r="E881" s="2"/>
      <c r="F881" s="2"/>
      <c r="G881" s="3"/>
      <c r="H881" s="2"/>
      <c r="I881" s="5"/>
      <c r="J881" s="5"/>
      <c r="K881" s="19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 spans="1:26">
      <c r="A882" s="5"/>
      <c r="B882" s="4"/>
      <c r="C882" s="5"/>
      <c r="D882" s="2"/>
      <c r="E882" s="2"/>
      <c r="F882" s="2"/>
      <c r="G882" s="3"/>
      <c r="H882" s="2"/>
      <c r="I882" s="5"/>
      <c r="J882" s="5"/>
      <c r="K882" s="19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 spans="1:26">
      <c r="A883" s="5"/>
      <c r="B883" s="4"/>
      <c r="C883" s="5"/>
      <c r="D883" s="2"/>
      <c r="E883" s="2"/>
      <c r="F883" s="2"/>
      <c r="G883" s="3"/>
      <c r="H883" s="2"/>
      <c r="I883" s="5"/>
      <c r="J883" s="5"/>
      <c r="K883" s="19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 spans="1:26">
      <c r="A884" s="5"/>
      <c r="B884" s="4"/>
      <c r="C884" s="5"/>
      <c r="D884" s="2"/>
      <c r="E884" s="2"/>
      <c r="F884" s="2"/>
      <c r="G884" s="3"/>
      <c r="H884" s="2"/>
      <c r="I884" s="5"/>
      <c r="J884" s="5"/>
      <c r="K884" s="19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 spans="1:26">
      <c r="A885" s="5"/>
      <c r="B885" s="4"/>
      <c r="C885" s="5"/>
      <c r="D885" s="2"/>
      <c r="E885" s="2"/>
      <c r="F885" s="2"/>
      <c r="G885" s="3"/>
      <c r="H885" s="2"/>
      <c r="I885" s="5"/>
      <c r="J885" s="5"/>
      <c r="K885" s="19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 spans="1:26">
      <c r="A886" s="5"/>
      <c r="B886" s="4"/>
      <c r="C886" s="5"/>
      <c r="D886" s="2"/>
      <c r="E886" s="2"/>
      <c r="F886" s="2"/>
      <c r="G886" s="3"/>
      <c r="H886" s="2"/>
      <c r="I886" s="5"/>
      <c r="J886" s="5"/>
      <c r="K886" s="19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 spans="1:26">
      <c r="A887" s="5"/>
      <c r="B887" s="4"/>
      <c r="C887" s="5"/>
      <c r="D887" s="2"/>
      <c r="E887" s="2"/>
      <c r="F887" s="2"/>
      <c r="G887" s="3"/>
      <c r="H887" s="2"/>
      <c r="I887" s="5"/>
      <c r="J887" s="5"/>
      <c r="K887" s="19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 spans="1:26">
      <c r="A888" s="5"/>
      <c r="B888" s="4"/>
      <c r="C888" s="5"/>
      <c r="D888" s="2"/>
      <c r="E888" s="2"/>
      <c r="F888" s="2"/>
      <c r="G888" s="3"/>
      <c r="H888" s="2"/>
      <c r="I888" s="5"/>
      <c r="J888" s="5"/>
      <c r="K888" s="19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 spans="1:26">
      <c r="A889" s="5"/>
      <c r="B889" s="4"/>
      <c r="C889" s="5"/>
      <c r="D889" s="2"/>
      <c r="E889" s="2"/>
      <c r="F889" s="2"/>
      <c r="G889" s="3"/>
      <c r="H889" s="2"/>
      <c r="I889" s="5"/>
      <c r="J889" s="5"/>
      <c r="K889" s="19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 spans="1:26">
      <c r="A890" s="5"/>
      <c r="B890" s="4"/>
      <c r="C890" s="5"/>
      <c r="D890" s="2"/>
      <c r="E890" s="2"/>
      <c r="F890" s="2"/>
      <c r="G890" s="3"/>
      <c r="H890" s="2"/>
      <c r="I890" s="5"/>
      <c r="J890" s="5"/>
      <c r="K890" s="19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 spans="1:26">
      <c r="A891" s="5"/>
      <c r="B891" s="4"/>
      <c r="C891" s="5"/>
      <c r="D891" s="2"/>
      <c r="E891" s="2"/>
      <c r="F891" s="2"/>
      <c r="G891" s="3"/>
      <c r="H891" s="2"/>
      <c r="I891" s="5"/>
      <c r="J891" s="5"/>
      <c r="K891" s="19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 spans="1:26">
      <c r="A892" s="5"/>
      <c r="B892" s="4"/>
      <c r="C892" s="5"/>
      <c r="D892" s="2"/>
      <c r="E892" s="2"/>
      <c r="F892" s="2"/>
      <c r="G892" s="3"/>
      <c r="H892" s="2"/>
      <c r="I892" s="5"/>
      <c r="J892" s="5"/>
      <c r="K892" s="19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 spans="1:26">
      <c r="A893" s="5"/>
      <c r="B893" s="4"/>
      <c r="C893" s="5"/>
      <c r="D893" s="2"/>
      <c r="E893" s="2"/>
      <c r="F893" s="2"/>
      <c r="G893" s="3"/>
      <c r="H893" s="2"/>
      <c r="I893" s="5"/>
      <c r="J893" s="5"/>
      <c r="K893" s="19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 spans="1:26">
      <c r="A894" s="5"/>
      <c r="B894" s="4"/>
      <c r="C894" s="5"/>
      <c r="D894" s="2"/>
      <c r="E894" s="2"/>
      <c r="F894" s="2"/>
      <c r="G894" s="3"/>
      <c r="H894" s="2"/>
      <c r="I894" s="5"/>
      <c r="J894" s="5"/>
      <c r="K894" s="19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 spans="1:26">
      <c r="A895" s="5"/>
      <c r="B895" s="4"/>
      <c r="C895" s="5"/>
      <c r="D895" s="2"/>
      <c r="E895" s="2"/>
      <c r="F895" s="2"/>
      <c r="G895" s="3"/>
      <c r="H895" s="2"/>
      <c r="I895" s="5"/>
      <c r="J895" s="5"/>
      <c r="K895" s="19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 spans="1:26">
      <c r="A896" s="5"/>
      <c r="B896" s="4"/>
      <c r="C896" s="5"/>
      <c r="D896" s="2"/>
      <c r="E896" s="2"/>
      <c r="F896" s="2"/>
      <c r="G896" s="3"/>
      <c r="H896" s="2"/>
      <c r="I896" s="5"/>
      <c r="J896" s="5"/>
      <c r="K896" s="19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 spans="1:26">
      <c r="A897" s="5"/>
      <c r="B897" s="4"/>
      <c r="C897" s="5"/>
      <c r="D897" s="2"/>
      <c r="E897" s="2"/>
      <c r="F897" s="2"/>
      <c r="G897" s="3"/>
      <c r="H897" s="2"/>
      <c r="I897" s="5"/>
      <c r="J897" s="5"/>
      <c r="K897" s="19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 spans="1:26">
      <c r="A898" s="5"/>
      <c r="B898" s="4"/>
      <c r="C898" s="5"/>
      <c r="D898" s="2"/>
      <c r="E898" s="2"/>
      <c r="F898" s="2"/>
      <c r="G898" s="3"/>
      <c r="H898" s="2"/>
      <c r="I898" s="5"/>
      <c r="J898" s="5"/>
      <c r="K898" s="19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 spans="1:26">
      <c r="A899" s="5"/>
      <c r="B899" s="4"/>
      <c r="C899" s="5"/>
      <c r="D899" s="2"/>
      <c r="E899" s="2"/>
      <c r="F899" s="2"/>
      <c r="G899" s="3"/>
      <c r="H899" s="2"/>
      <c r="I899" s="5"/>
      <c r="J899" s="5"/>
      <c r="K899" s="19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 spans="1:26">
      <c r="A900" s="5"/>
      <c r="B900" s="4"/>
      <c r="C900" s="5"/>
      <c r="D900" s="2"/>
      <c r="E900" s="2"/>
      <c r="F900" s="2"/>
      <c r="G900" s="3"/>
      <c r="H900" s="2"/>
      <c r="I900" s="5"/>
      <c r="J900" s="5"/>
      <c r="K900" s="19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 spans="1:26">
      <c r="A901" s="5"/>
      <c r="B901" s="4"/>
      <c r="C901" s="5"/>
      <c r="D901" s="2"/>
      <c r="E901" s="2"/>
      <c r="F901" s="2"/>
      <c r="G901" s="3"/>
      <c r="H901" s="2"/>
      <c r="I901" s="5"/>
      <c r="J901" s="5"/>
      <c r="K901" s="19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 spans="1:26">
      <c r="A902" s="5"/>
      <c r="B902" s="4"/>
      <c r="C902" s="5"/>
      <c r="D902" s="2"/>
      <c r="E902" s="2"/>
      <c r="F902" s="2"/>
      <c r="G902" s="3"/>
      <c r="H902" s="2"/>
      <c r="I902" s="5"/>
      <c r="J902" s="5"/>
      <c r="K902" s="19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 spans="1:26">
      <c r="A903" s="5"/>
      <c r="B903" s="4"/>
      <c r="C903" s="5"/>
      <c r="D903" s="2"/>
      <c r="E903" s="2"/>
      <c r="F903" s="2"/>
      <c r="G903" s="3"/>
      <c r="H903" s="2"/>
      <c r="I903" s="5"/>
      <c r="J903" s="5"/>
      <c r="K903" s="19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 spans="1:26">
      <c r="A904" s="5"/>
      <c r="B904" s="4"/>
      <c r="C904" s="5"/>
      <c r="D904" s="2"/>
      <c r="E904" s="2"/>
      <c r="F904" s="2"/>
      <c r="G904" s="3"/>
      <c r="H904" s="2"/>
      <c r="I904" s="5"/>
      <c r="J904" s="5"/>
      <c r="K904" s="19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 spans="1:26">
      <c r="A905" s="5"/>
      <c r="B905" s="4"/>
      <c r="C905" s="5"/>
      <c r="D905" s="2"/>
      <c r="E905" s="2"/>
      <c r="F905" s="2"/>
      <c r="G905" s="3"/>
      <c r="H905" s="2"/>
      <c r="I905" s="5"/>
      <c r="J905" s="5"/>
      <c r="K905" s="19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 spans="1:26">
      <c r="A906" s="5"/>
      <c r="B906" s="4"/>
      <c r="C906" s="5"/>
      <c r="D906" s="2"/>
      <c r="E906" s="2"/>
      <c r="F906" s="2"/>
      <c r="G906" s="3"/>
      <c r="H906" s="2"/>
      <c r="I906" s="5"/>
      <c r="J906" s="5"/>
      <c r="K906" s="19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 spans="1:26">
      <c r="A907" s="5"/>
      <c r="B907" s="4"/>
      <c r="C907" s="5"/>
      <c r="D907" s="2"/>
      <c r="E907" s="2"/>
      <c r="F907" s="2"/>
      <c r="G907" s="3"/>
      <c r="H907" s="2"/>
      <c r="I907" s="5"/>
      <c r="J907" s="5"/>
      <c r="K907" s="19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 spans="1:26">
      <c r="A908" s="5"/>
      <c r="B908" s="4"/>
      <c r="C908" s="5"/>
      <c r="D908" s="2"/>
      <c r="E908" s="2"/>
      <c r="F908" s="2"/>
      <c r="G908" s="3"/>
      <c r="H908" s="2"/>
      <c r="I908" s="5"/>
      <c r="J908" s="5"/>
      <c r="K908" s="19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 spans="1:26">
      <c r="A909" s="5"/>
      <c r="B909" s="4"/>
      <c r="C909" s="5"/>
      <c r="D909" s="2"/>
      <c r="E909" s="2"/>
      <c r="F909" s="2"/>
      <c r="G909" s="3"/>
      <c r="H909" s="2"/>
      <c r="I909" s="5"/>
      <c r="J909" s="5"/>
      <c r="K909" s="19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 spans="1:26">
      <c r="A910" s="5"/>
      <c r="B910" s="4"/>
      <c r="C910" s="5"/>
      <c r="D910" s="2"/>
      <c r="E910" s="2"/>
      <c r="F910" s="2"/>
      <c r="G910" s="3"/>
      <c r="H910" s="2"/>
      <c r="I910" s="5"/>
      <c r="J910" s="5"/>
      <c r="K910" s="19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 spans="1:26">
      <c r="A911" s="5"/>
      <c r="B911" s="4"/>
      <c r="C911" s="5"/>
      <c r="D911" s="2"/>
      <c r="E911" s="2"/>
      <c r="F911" s="2"/>
      <c r="G911" s="3"/>
      <c r="H911" s="2"/>
      <c r="I911" s="5"/>
      <c r="J911" s="5"/>
      <c r="K911" s="19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 spans="1:26">
      <c r="A912" s="5"/>
      <c r="B912" s="4"/>
      <c r="C912" s="5"/>
      <c r="D912" s="2"/>
      <c r="E912" s="2"/>
      <c r="F912" s="2"/>
      <c r="G912" s="3"/>
      <c r="H912" s="2"/>
      <c r="I912" s="5"/>
      <c r="J912" s="5"/>
      <c r="K912" s="19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 spans="1:26">
      <c r="A913" s="5"/>
      <c r="B913" s="4"/>
      <c r="C913" s="5"/>
      <c r="D913" s="2"/>
      <c r="E913" s="2"/>
      <c r="F913" s="2"/>
      <c r="G913" s="3"/>
      <c r="H913" s="2"/>
      <c r="I913" s="5"/>
      <c r="J913" s="5"/>
      <c r="K913" s="19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 spans="1:26">
      <c r="A914" s="5"/>
      <c r="B914" s="4"/>
      <c r="C914" s="5"/>
      <c r="D914" s="2"/>
      <c r="E914" s="2"/>
      <c r="F914" s="2"/>
      <c r="G914" s="3"/>
      <c r="H914" s="2"/>
      <c r="I914" s="5"/>
      <c r="J914" s="5"/>
      <c r="K914" s="19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 spans="1:26">
      <c r="A915" s="5"/>
      <c r="B915" s="4"/>
      <c r="C915" s="5"/>
      <c r="D915" s="2"/>
      <c r="E915" s="2"/>
      <c r="F915" s="2"/>
      <c r="G915" s="3"/>
      <c r="H915" s="2"/>
      <c r="I915" s="5"/>
      <c r="J915" s="5"/>
      <c r="K915" s="19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 spans="1:26">
      <c r="A916" s="5"/>
      <c r="B916" s="4"/>
      <c r="C916" s="5"/>
      <c r="D916" s="2"/>
      <c r="E916" s="2"/>
      <c r="F916" s="2"/>
      <c r="G916" s="3"/>
      <c r="H916" s="2"/>
      <c r="I916" s="5"/>
      <c r="J916" s="5"/>
      <c r="K916" s="19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 spans="1:26">
      <c r="A917" s="5"/>
      <c r="B917" s="4"/>
      <c r="C917" s="5"/>
      <c r="D917" s="2"/>
      <c r="E917" s="2"/>
      <c r="F917" s="2"/>
      <c r="G917" s="3"/>
      <c r="H917" s="2"/>
      <c r="I917" s="5"/>
      <c r="J917" s="5"/>
      <c r="K917" s="19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 spans="1:26">
      <c r="A918" s="5"/>
      <c r="B918" s="4"/>
      <c r="C918" s="5"/>
      <c r="D918" s="2"/>
      <c r="E918" s="2"/>
      <c r="F918" s="2"/>
      <c r="G918" s="3"/>
      <c r="H918" s="2"/>
      <c r="I918" s="5"/>
      <c r="J918" s="5"/>
      <c r="K918" s="19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 spans="1:26">
      <c r="A919" s="5"/>
      <c r="B919" s="4"/>
      <c r="C919" s="5"/>
      <c r="D919" s="2"/>
      <c r="E919" s="2"/>
      <c r="F919" s="2"/>
      <c r="G919" s="3"/>
      <c r="H919" s="2"/>
      <c r="I919" s="5"/>
      <c r="J919" s="5"/>
      <c r="K919" s="19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 spans="1:26">
      <c r="A920" s="5"/>
      <c r="B920" s="4"/>
      <c r="C920" s="5"/>
      <c r="D920" s="2"/>
      <c r="E920" s="2"/>
      <c r="F920" s="2"/>
      <c r="G920" s="3"/>
      <c r="H920" s="2"/>
      <c r="I920" s="5"/>
      <c r="J920" s="5"/>
      <c r="K920" s="19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 spans="1:26">
      <c r="A921" s="5"/>
      <c r="B921" s="4"/>
      <c r="C921" s="5"/>
      <c r="D921" s="2"/>
      <c r="E921" s="2"/>
      <c r="F921" s="2"/>
      <c r="G921" s="3"/>
      <c r="H921" s="2"/>
      <c r="I921" s="5"/>
      <c r="J921" s="5"/>
      <c r="K921" s="19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 spans="1:26">
      <c r="A922" s="5"/>
      <c r="B922" s="4"/>
      <c r="C922" s="5"/>
      <c r="D922" s="2"/>
      <c r="E922" s="2"/>
      <c r="F922" s="2"/>
      <c r="G922" s="3"/>
      <c r="H922" s="2"/>
      <c r="I922" s="5"/>
      <c r="J922" s="5"/>
      <c r="K922" s="19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 spans="1:26">
      <c r="A923" s="5"/>
      <c r="B923" s="4"/>
      <c r="C923" s="5"/>
      <c r="D923" s="2"/>
      <c r="E923" s="2"/>
      <c r="F923" s="2"/>
      <c r="G923" s="3"/>
      <c r="H923" s="2"/>
      <c r="I923" s="5"/>
      <c r="J923" s="5"/>
      <c r="K923" s="19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 spans="1:26">
      <c r="A924" s="5"/>
      <c r="B924" s="4"/>
      <c r="C924" s="5"/>
      <c r="D924" s="2"/>
      <c r="E924" s="2"/>
      <c r="F924" s="2"/>
      <c r="G924" s="3"/>
      <c r="H924" s="2"/>
      <c r="I924" s="5"/>
      <c r="J924" s="5"/>
      <c r="K924" s="19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 spans="1:26">
      <c r="A925" s="5"/>
      <c r="B925" s="4"/>
      <c r="C925" s="5"/>
      <c r="D925" s="2"/>
      <c r="E925" s="2"/>
      <c r="F925" s="2"/>
      <c r="G925" s="3"/>
      <c r="H925" s="2"/>
      <c r="I925" s="5"/>
      <c r="J925" s="5"/>
      <c r="K925" s="19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 spans="1:26">
      <c r="A926" s="5"/>
      <c r="B926" s="4"/>
      <c r="C926" s="5"/>
      <c r="D926" s="2"/>
      <c r="E926" s="2"/>
      <c r="F926" s="2"/>
      <c r="G926" s="3"/>
      <c r="H926" s="2"/>
      <c r="I926" s="5"/>
      <c r="J926" s="5"/>
      <c r="K926" s="19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 spans="1:26">
      <c r="A927" s="5"/>
      <c r="B927" s="4"/>
      <c r="C927" s="5"/>
      <c r="D927" s="2"/>
      <c r="E927" s="2"/>
      <c r="F927" s="2"/>
      <c r="G927" s="3"/>
      <c r="H927" s="2"/>
      <c r="I927" s="5"/>
      <c r="J927" s="5"/>
      <c r="K927" s="19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 spans="1:26">
      <c r="A928" s="5"/>
      <c r="B928" s="4"/>
      <c r="C928" s="5"/>
      <c r="D928" s="2"/>
      <c r="E928" s="2"/>
      <c r="F928" s="2"/>
      <c r="G928" s="3"/>
      <c r="H928" s="2"/>
      <c r="I928" s="5"/>
      <c r="J928" s="5"/>
      <c r="K928" s="19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 spans="1:26">
      <c r="A929" s="5"/>
      <c r="B929" s="4"/>
      <c r="C929" s="5"/>
      <c r="D929" s="2"/>
      <c r="E929" s="2"/>
      <c r="F929" s="2"/>
      <c r="G929" s="3"/>
      <c r="H929" s="2"/>
      <c r="I929" s="5"/>
      <c r="J929" s="5"/>
      <c r="K929" s="19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 spans="1:26">
      <c r="A930" s="5"/>
      <c r="B930" s="4"/>
      <c r="C930" s="5"/>
      <c r="D930" s="2"/>
      <c r="E930" s="2"/>
      <c r="F930" s="2"/>
      <c r="G930" s="3"/>
      <c r="H930" s="2"/>
      <c r="I930" s="5"/>
      <c r="J930" s="5"/>
      <c r="K930" s="19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 spans="1:26">
      <c r="A931" s="5"/>
      <c r="B931" s="4"/>
      <c r="C931" s="5"/>
      <c r="D931" s="2"/>
      <c r="E931" s="2"/>
      <c r="F931" s="2"/>
      <c r="G931" s="3"/>
      <c r="H931" s="2"/>
      <c r="I931" s="5"/>
      <c r="J931" s="5"/>
      <c r="K931" s="19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 spans="1:26">
      <c r="A932" s="5"/>
      <c r="B932" s="4"/>
      <c r="C932" s="5"/>
      <c r="D932" s="2"/>
      <c r="E932" s="2"/>
      <c r="F932" s="2"/>
      <c r="G932" s="3"/>
      <c r="H932" s="2"/>
      <c r="I932" s="5"/>
      <c r="J932" s="5"/>
      <c r="K932" s="19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 spans="1:26">
      <c r="A933" s="5"/>
      <c r="B933" s="4"/>
      <c r="C933" s="5"/>
      <c r="D933" s="2"/>
      <c r="E933" s="2"/>
      <c r="F933" s="2"/>
      <c r="G933" s="3"/>
      <c r="H933" s="2"/>
      <c r="I933" s="5"/>
      <c r="J933" s="5"/>
      <c r="K933" s="19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 spans="1:26">
      <c r="A934" s="5"/>
      <c r="B934" s="4"/>
      <c r="C934" s="5"/>
      <c r="D934" s="2"/>
      <c r="E934" s="2"/>
      <c r="F934" s="2"/>
      <c r="G934" s="3"/>
      <c r="H934" s="2"/>
      <c r="I934" s="5"/>
      <c r="J934" s="5"/>
      <c r="K934" s="19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 spans="1:26">
      <c r="A935" s="5"/>
      <c r="B935" s="4"/>
      <c r="C935" s="5"/>
      <c r="D935" s="2"/>
      <c r="E935" s="2"/>
      <c r="F935" s="2"/>
      <c r="G935" s="3"/>
      <c r="H935" s="2"/>
      <c r="I935" s="5"/>
      <c r="J935" s="5"/>
      <c r="K935" s="19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 spans="1:26">
      <c r="A936" s="5"/>
      <c r="B936" s="4"/>
      <c r="C936" s="5"/>
      <c r="D936" s="2"/>
      <c r="E936" s="2"/>
      <c r="F936" s="2"/>
      <c r="G936" s="3"/>
      <c r="H936" s="2"/>
      <c r="I936" s="5"/>
      <c r="J936" s="5"/>
      <c r="K936" s="19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 spans="1:26">
      <c r="A937" s="5"/>
      <c r="B937" s="4"/>
      <c r="C937" s="5"/>
      <c r="D937" s="2"/>
      <c r="E937" s="2"/>
      <c r="F937" s="2"/>
      <c r="G937" s="3"/>
      <c r="H937" s="2"/>
      <c r="I937" s="5"/>
      <c r="J937" s="5"/>
      <c r="K937" s="19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 spans="1:26">
      <c r="A938" s="5"/>
      <c r="B938" s="4"/>
      <c r="C938" s="5"/>
      <c r="D938" s="2"/>
      <c r="E938" s="2"/>
      <c r="F938" s="2"/>
      <c r="G938" s="3"/>
      <c r="H938" s="2"/>
      <c r="I938" s="5"/>
      <c r="J938" s="5"/>
      <c r="K938" s="19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 spans="1:26">
      <c r="A939" s="5"/>
      <c r="B939" s="4"/>
      <c r="C939" s="5"/>
      <c r="D939" s="2"/>
      <c r="E939" s="2"/>
      <c r="F939" s="2"/>
      <c r="G939" s="3"/>
      <c r="H939" s="2"/>
      <c r="I939" s="5"/>
      <c r="J939" s="5"/>
      <c r="K939" s="19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 spans="1:26">
      <c r="A940" s="5"/>
      <c r="B940" s="4"/>
      <c r="C940" s="5"/>
      <c r="D940" s="2"/>
      <c r="E940" s="2"/>
      <c r="F940" s="2"/>
      <c r="G940" s="3"/>
      <c r="H940" s="2"/>
      <c r="I940" s="5"/>
      <c r="J940" s="5"/>
      <c r="K940" s="19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 spans="1:26">
      <c r="A941" s="5"/>
      <c r="B941" s="4"/>
      <c r="C941" s="5"/>
      <c r="D941" s="2"/>
      <c r="E941" s="2"/>
      <c r="F941" s="2"/>
      <c r="G941" s="3"/>
      <c r="H941" s="2"/>
      <c r="I941" s="5"/>
      <c r="J941" s="5"/>
      <c r="K941" s="19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 spans="1:26">
      <c r="A942" s="5"/>
      <c r="B942" s="4"/>
      <c r="C942" s="5"/>
      <c r="D942" s="2"/>
      <c r="E942" s="2"/>
      <c r="F942" s="2"/>
      <c r="G942" s="3"/>
      <c r="H942" s="2"/>
      <c r="I942" s="5"/>
      <c r="J942" s="5"/>
      <c r="K942" s="19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 spans="1:26">
      <c r="A943" s="5"/>
      <c r="B943" s="4"/>
      <c r="C943" s="5"/>
      <c r="D943" s="2"/>
      <c r="E943" s="2"/>
      <c r="F943" s="2"/>
      <c r="G943" s="3"/>
      <c r="H943" s="2"/>
      <c r="I943" s="5"/>
      <c r="J943" s="5"/>
      <c r="K943" s="19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 spans="1:26">
      <c r="A944" s="5"/>
      <c r="B944" s="4"/>
      <c r="C944" s="5"/>
      <c r="D944" s="2"/>
      <c r="E944" s="2"/>
      <c r="F944" s="2"/>
      <c r="G944" s="3"/>
      <c r="H944" s="2"/>
      <c r="I944" s="5"/>
      <c r="J944" s="5"/>
      <c r="K944" s="19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 spans="1:26">
      <c r="A945" s="5"/>
      <c r="B945" s="4"/>
      <c r="C945" s="5"/>
      <c r="D945" s="2"/>
      <c r="E945" s="2"/>
      <c r="F945" s="2"/>
      <c r="G945" s="3"/>
      <c r="H945" s="2"/>
      <c r="I945" s="5"/>
      <c r="J945" s="5"/>
      <c r="K945" s="19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 spans="1:26">
      <c r="A946" s="5"/>
      <c r="B946" s="4"/>
      <c r="C946" s="5"/>
      <c r="D946" s="2"/>
      <c r="E946" s="2"/>
      <c r="F946" s="2"/>
      <c r="G946" s="3"/>
      <c r="H946" s="2"/>
      <c r="I946" s="5"/>
      <c r="J946" s="5"/>
      <c r="K946" s="19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 spans="1:26">
      <c r="A947" s="5"/>
      <c r="B947" s="4"/>
      <c r="C947" s="5"/>
      <c r="D947" s="2"/>
      <c r="E947" s="2"/>
      <c r="F947" s="2"/>
      <c r="G947" s="3"/>
      <c r="H947" s="2"/>
      <c r="I947" s="5"/>
      <c r="J947" s="5"/>
      <c r="K947" s="19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 spans="1:26">
      <c r="A948" s="5"/>
      <c r="B948" s="4"/>
      <c r="C948" s="5"/>
      <c r="D948" s="2"/>
      <c r="E948" s="2"/>
      <c r="F948" s="2"/>
      <c r="G948" s="3"/>
      <c r="H948" s="2"/>
      <c r="I948" s="5"/>
      <c r="J948" s="5"/>
      <c r="K948" s="19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 spans="1:26">
      <c r="A949" s="5"/>
      <c r="B949" s="4"/>
      <c r="C949" s="5"/>
      <c r="D949" s="2"/>
      <c r="E949" s="2"/>
      <c r="F949" s="2"/>
      <c r="G949" s="3"/>
      <c r="H949" s="2"/>
      <c r="I949" s="5"/>
      <c r="J949" s="5"/>
      <c r="K949" s="19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 spans="1:26">
      <c r="A950" s="5"/>
      <c r="B950" s="4"/>
      <c r="C950" s="5"/>
      <c r="D950" s="2"/>
      <c r="E950" s="2"/>
      <c r="F950" s="2"/>
      <c r="G950" s="3"/>
      <c r="H950" s="2"/>
      <c r="I950" s="5"/>
      <c r="J950" s="5"/>
      <c r="K950" s="19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 spans="1:26">
      <c r="A951" s="5"/>
      <c r="B951" s="4"/>
      <c r="C951" s="5"/>
      <c r="D951" s="2"/>
      <c r="E951" s="2"/>
      <c r="F951" s="2"/>
      <c r="G951" s="3"/>
      <c r="H951" s="2"/>
      <c r="I951" s="5"/>
      <c r="J951" s="5"/>
      <c r="K951" s="19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 spans="1:26">
      <c r="A952" s="5"/>
      <c r="B952" s="4"/>
      <c r="C952" s="5"/>
      <c r="D952" s="2"/>
      <c r="E952" s="2"/>
      <c r="F952" s="2"/>
      <c r="G952" s="3"/>
      <c r="H952" s="2"/>
      <c r="I952" s="5"/>
      <c r="J952" s="5"/>
      <c r="K952" s="19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 spans="1:26">
      <c r="A953" s="5"/>
      <c r="B953" s="4"/>
      <c r="C953" s="5"/>
      <c r="D953" s="2"/>
      <c r="E953" s="2"/>
      <c r="F953" s="2"/>
      <c r="G953" s="3"/>
      <c r="H953" s="2"/>
      <c r="I953" s="5"/>
      <c r="J953" s="5"/>
      <c r="K953" s="19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 spans="1:26">
      <c r="A954" s="5"/>
      <c r="B954" s="4"/>
      <c r="C954" s="5"/>
      <c r="D954" s="2"/>
      <c r="E954" s="2"/>
      <c r="F954" s="2"/>
      <c r="G954" s="3"/>
      <c r="H954" s="2"/>
      <c r="I954" s="5"/>
      <c r="J954" s="5"/>
      <c r="K954" s="19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 spans="1:26">
      <c r="A955" s="5"/>
      <c r="B955" s="4"/>
      <c r="C955" s="5"/>
      <c r="D955" s="2"/>
      <c r="E955" s="2"/>
      <c r="F955" s="2"/>
      <c r="G955" s="3"/>
      <c r="H955" s="2"/>
      <c r="I955" s="5"/>
      <c r="J955" s="5"/>
      <c r="K955" s="19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 spans="1:26">
      <c r="A956" s="5"/>
      <c r="B956" s="4"/>
      <c r="C956" s="5"/>
      <c r="D956" s="2"/>
      <c r="E956" s="2"/>
      <c r="F956" s="2"/>
      <c r="G956" s="3"/>
      <c r="H956" s="2"/>
      <c r="I956" s="5"/>
      <c r="J956" s="5"/>
      <c r="K956" s="19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 spans="1:26">
      <c r="A957" s="5"/>
      <c r="B957" s="4"/>
      <c r="C957" s="5"/>
      <c r="D957" s="2"/>
      <c r="E957" s="2"/>
      <c r="F957" s="2"/>
      <c r="G957" s="3"/>
      <c r="H957" s="2"/>
      <c r="I957" s="5"/>
      <c r="J957" s="5"/>
      <c r="K957" s="19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 spans="1:26">
      <c r="A958" s="5"/>
      <c r="B958" s="4"/>
      <c r="C958" s="5"/>
      <c r="D958" s="2"/>
      <c r="E958" s="2"/>
      <c r="F958" s="2"/>
      <c r="G958" s="3"/>
      <c r="H958" s="2"/>
      <c r="I958" s="5"/>
      <c r="J958" s="5"/>
      <c r="K958" s="19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 spans="1:26">
      <c r="A959" s="5"/>
      <c r="B959" s="4"/>
      <c r="C959" s="5"/>
      <c r="D959" s="2"/>
      <c r="E959" s="2"/>
      <c r="F959" s="2"/>
      <c r="G959" s="3"/>
      <c r="H959" s="2"/>
      <c r="I959" s="5"/>
      <c r="J959" s="5"/>
      <c r="K959" s="19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 spans="1:26">
      <c r="A960" s="5"/>
      <c r="B960" s="4"/>
      <c r="C960" s="5"/>
      <c r="D960" s="2"/>
      <c r="E960" s="2"/>
      <c r="F960" s="2"/>
      <c r="G960" s="3"/>
      <c r="H960" s="2"/>
      <c r="I960" s="5"/>
      <c r="J960" s="5"/>
      <c r="K960" s="19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 spans="1:26">
      <c r="A961" s="5"/>
      <c r="B961" s="4"/>
      <c r="C961" s="5"/>
      <c r="D961" s="2"/>
      <c r="E961" s="2"/>
      <c r="F961" s="2"/>
      <c r="G961" s="3"/>
      <c r="H961" s="2"/>
      <c r="I961" s="5"/>
      <c r="J961" s="5"/>
      <c r="K961" s="19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 spans="1:26">
      <c r="A962" s="5"/>
      <c r="B962" s="4"/>
      <c r="C962" s="5"/>
      <c r="D962" s="2"/>
      <c r="E962" s="2"/>
      <c r="F962" s="2"/>
      <c r="G962" s="3"/>
      <c r="H962" s="2"/>
      <c r="I962" s="5"/>
      <c r="J962" s="5"/>
      <c r="K962" s="19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 spans="1:26">
      <c r="A963" s="5"/>
      <c r="B963" s="4"/>
      <c r="C963" s="5"/>
      <c r="D963" s="2"/>
      <c r="E963" s="2"/>
      <c r="F963" s="2"/>
      <c r="G963" s="3"/>
      <c r="H963" s="2"/>
      <c r="I963" s="5"/>
      <c r="J963" s="5"/>
      <c r="K963" s="19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 spans="1:26">
      <c r="A964" s="5"/>
      <c r="B964" s="4"/>
      <c r="C964" s="5"/>
      <c r="D964" s="2"/>
      <c r="E964" s="2"/>
      <c r="F964" s="2"/>
      <c r="G964" s="3"/>
      <c r="H964" s="2"/>
      <c r="I964" s="5"/>
      <c r="J964" s="5"/>
      <c r="K964" s="19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 spans="1:26">
      <c r="A965" s="5"/>
      <c r="B965" s="4"/>
      <c r="C965" s="5"/>
      <c r="D965" s="2"/>
      <c r="E965" s="2"/>
      <c r="F965" s="2"/>
      <c r="G965" s="3"/>
      <c r="H965" s="2"/>
      <c r="I965" s="5"/>
      <c r="J965" s="5"/>
      <c r="K965" s="19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 spans="1:26">
      <c r="A966" s="5"/>
      <c r="B966" s="4"/>
      <c r="C966" s="5"/>
      <c r="D966" s="2"/>
      <c r="E966" s="2"/>
      <c r="F966" s="2"/>
      <c r="G966" s="3"/>
      <c r="H966" s="2"/>
      <c r="I966" s="5"/>
      <c r="J966" s="5"/>
      <c r="K966" s="19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 spans="1:26">
      <c r="A967" s="5"/>
      <c r="B967" s="4"/>
      <c r="C967" s="5"/>
      <c r="D967" s="2"/>
      <c r="E967" s="2"/>
      <c r="F967" s="2"/>
      <c r="G967" s="3"/>
      <c r="H967" s="2"/>
      <c r="I967" s="5"/>
      <c r="J967" s="5"/>
      <c r="K967" s="19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 spans="1:26">
      <c r="A968" s="5"/>
      <c r="B968" s="4"/>
      <c r="C968" s="5"/>
      <c r="D968" s="2"/>
      <c r="E968" s="2"/>
      <c r="F968" s="2"/>
      <c r="G968" s="3"/>
      <c r="H968" s="2"/>
      <c r="I968" s="5"/>
      <c r="J968" s="5"/>
      <c r="K968" s="19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 spans="1:26">
      <c r="A969" s="5"/>
      <c r="B969" s="4"/>
      <c r="C969" s="5"/>
      <c r="D969" s="2"/>
      <c r="E969" s="2"/>
      <c r="F969" s="2"/>
      <c r="G969" s="3"/>
      <c r="H969" s="2"/>
      <c r="I969" s="5"/>
      <c r="J969" s="5"/>
      <c r="K969" s="19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 spans="1:26">
      <c r="A970" s="5"/>
      <c r="B970" s="4"/>
      <c r="C970" s="5"/>
      <c r="D970" s="2"/>
      <c r="E970" s="2"/>
      <c r="F970" s="2"/>
      <c r="G970" s="3"/>
      <c r="H970" s="2"/>
      <c r="I970" s="5"/>
      <c r="J970" s="5"/>
      <c r="K970" s="19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 spans="1:26">
      <c r="A971" s="5"/>
      <c r="B971" s="4"/>
      <c r="C971" s="5"/>
      <c r="D971" s="2"/>
      <c r="E971" s="2"/>
      <c r="F971" s="2"/>
      <c r="G971" s="3"/>
      <c r="H971" s="2"/>
      <c r="I971" s="5"/>
      <c r="J971" s="5"/>
      <c r="K971" s="19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 spans="1:26">
      <c r="A972" s="5"/>
      <c r="B972" s="4"/>
      <c r="C972" s="5"/>
      <c r="D972" s="2"/>
      <c r="E972" s="2"/>
      <c r="F972" s="2"/>
      <c r="G972" s="3"/>
      <c r="H972" s="2"/>
      <c r="I972" s="5"/>
      <c r="J972" s="5"/>
      <c r="K972" s="19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 spans="1:26">
      <c r="A973" s="5"/>
      <c r="B973" s="4"/>
      <c r="C973" s="5"/>
      <c r="D973" s="2"/>
      <c r="E973" s="2"/>
      <c r="F973" s="2"/>
      <c r="G973" s="3"/>
      <c r="H973" s="2"/>
      <c r="I973" s="5"/>
      <c r="J973" s="5"/>
      <c r="K973" s="19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 spans="1:26">
      <c r="A974" s="5"/>
      <c r="B974" s="4"/>
      <c r="C974" s="5"/>
      <c r="D974" s="2"/>
      <c r="E974" s="2"/>
      <c r="F974" s="2"/>
      <c r="G974" s="3"/>
      <c r="H974" s="2"/>
      <c r="I974" s="5"/>
      <c r="J974" s="5"/>
      <c r="K974" s="19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 spans="1:26">
      <c r="A975" s="5"/>
      <c r="B975" s="4"/>
      <c r="C975" s="5"/>
      <c r="D975" s="2"/>
      <c r="E975" s="2"/>
      <c r="F975" s="2"/>
      <c r="G975" s="3"/>
      <c r="H975" s="2"/>
      <c r="I975" s="5"/>
      <c r="J975" s="5"/>
      <c r="K975" s="19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 spans="1:26">
      <c r="A976" s="5"/>
      <c r="B976" s="4"/>
      <c r="C976" s="5"/>
      <c r="D976" s="2"/>
      <c r="E976" s="2"/>
      <c r="F976" s="2"/>
      <c r="G976" s="3"/>
      <c r="H976" s="2"/>
      <c r="I976" s="5"/>
      <c r="J976" s="5"/>
      <c r="K976" s="19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 spans="1:26">
      <c r="A977" s="5"/>
      <c r="B977" s="4"/>
      <c r="C977" s="5"/>
      <c r="D977" s="2"/>
      <c r="E977" s="2"/>
      <c r="F977" s="2"/>
      <c r="G977" s="3"/>
      <c r="H977" s="2"/>
      <c r="I977" s="5"/>
      <c r="J977" s="5"/>
      <c r="K977" s="19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 spans="1:26">
      <c r="A978" s="5"/>
      <c r="B978" s="4"/>
      <c r="C978" s="5"/>
      <c r="D978" s="2"/>
      <c r="E978" s="2"/>
      <c r="F978" s="2"/>
      <c r="G978" s="3"/>
      <c r="H978" s="2"/>
      <c r="I978" s="5"/>
      <c r="J978" s="5"/>
      <c r="K978" s="19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 spans="1:26">
      <c r="A979" s="5"/>
      <c r="B979" s="4"/>
      <c r="C979" s="5"/>
      <c r="D979" s="2"/>
      <c r="E979" s="2"/>
      <c r="F979" s="2"/>
      <c r="G979" s="3"/>
      <c r="H979" s="2"/>
      <c r="I979" s="5"/>
      <c r="J979" s="5"/>
      <c r="K979" s="19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 spans="1:26">
      <c r="A980" s="5"/>
      <c r="B980" s="4"/>
      <c r="C980" s="5"/>
      <c r="D980" s="2"/>
      <c r="E980" s="2"/>
      <c r="F980" s="2"/>
      <c r="G980" s="3"/>
      <c r="H980" s="2"/>
      <c r="I980" s="5"/>
      <c r="J980" s="5"/>
      <c r="K980" s="19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 spans="1:26">
      <c r="A981" s="5"/>
      <c r="B981" s="4"/>
      <c r="C981" s="5"/>
      <c r="D981" s="2"/>
      <c r="E981" s="2"/>
      <c r="F981" s="2"/>
      <c r="G981" s="3"/>
      <c r="H981" s="2"/>
      <c r="I981" s="5"/>
      <c r="J981" s="5"/>
      <c r="K981" s="19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 spans="1:26">
      <c r="A982" s="5"/>
      <c r="B982" s="4"/>
      <c r="C982" s="5"/>
      <c r="D982" s="2"/>
      <c r="E982" s="2"/>
      <c r="F982" s="2"/>
      <c r="G982" s="3"/>
      <c r="H982" s="2"/>
      <c r="I982" s="5"/>
      <c r="J982" s="5"/>
      <c r="K982" s="19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 spans="1:26">
      <c r="A983" s="5"/>
      <c r="B983" s="4"/>
      <c r="C983" s="5"/>
      <c r="D983" s="2"/>
      <c r="E983" s="2"/>
      <c r="F983" s="2"/>
      <c r="G983" s="3"/>
      <c r="H983" s="2"/>
      <c r="I983" s="5"/>
      <c r="J983" s="5"/>
      <c r="K983" s="19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 spans="1:26">
      <c r="A984" s="5"/>
      <c r="B984" s="4"/>
      <c r="C984" s="5"/>
      <c r="D984" s="2"/>
      <c r="E984" s="2"/>
      <c r="F984" s="2"/>
      <c r="G984" s="3"/>
      <c r="H984" s="2"/>
      <c r="I984" s="5"/>
      <c r="J984" s="5"/>
      <c r="K984" s="19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 spans="1:26">
      <c r="A985" s="5"/>
      <c r="B985" s="4"/>
      <c r="C985" s="5"/>
      <c r="D985" s="2"/>
      <c r="E985" s="2"/>
      <c r="F985" s="2"/>
      <c r="G985" s="3"/>
      <c r="H985" s="2"/>
      <c r="I985" s="5"/>
      <c r="J985" s="5"/>
      <c r="K985" s="19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 spans="1:26">
      <c r="A986" s="5"/>
      <c r="B986" s="4"/>
      <c r="C986" s="5"/>
      <c r="D986" s="2"/>
      <c r="E986" s="2"/>
      <c r="F986" s="2"/>
      <c r="G986" s="3"/>
      <c r="H986" s="2"/>
      <c r="I986" s="5"/>
      <c r="J986" s="5"/>
      <c r="K986" s="19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 spans="1:26">
      <c r="A987" s="5"/>
      <c r="B987" s="4"/>
      <c r="C987" s="5"/>
      <c r="D987" s="2"/>
      <c r="E987" s="2"/>
      <c r="F987" s="2"/>
      <c r="G987" s="3"/>
      <c r="H987" s="2"/>
      <c r="I987" s="5"/>
      <c r="J987" s="5"/>
      <c r="K987" s="19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 spans="1:26">
      <c r="A988" s="5"/>
      <c r="B988" s="4"/>
      <c r="C988" s="5"/>
      <c r="D988" s="2"/>
      <c r="E988" s="2"/>
      <c r="F988" s="2"/>
      <c r="G988" s="3"/>
      <c r="H988" s="2"/>
      <c r="I988" s="5"/>
      <c r="J988" s="5"/>
      <c r="K988" s="19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 spans="1:26">
      <c r="A989" s="5"/>
      <c r="B989" s="4"/>
      <c r="C989" s="5"/>
      <c r="D989" s="2"/>
      <c r="E989" s="2"/>
      <c r="F989" s="2"/>
      <c r="G989" s="3"/>
      <c r="H989" s="2"/>
      <c r="I989" s="5"/>
      <c r="J989" s="5"/>
      <c r="K989" s="19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 spans="1:26">
      <c r="A990" s="5"/>
      <c r="B990" s="4"/>
      <c r="C990" s="5"/>
      <c r="D990" s="2"/>
      <c r="E990" s="2"/>
      <c r="F990" s="2"/>
      <c r="G990" s="3"/>
      <c r="H990" s="2"/>
      <c r="I990" s="5"/>
      <c r="J990" s="5"/>
      <c r="K990" s="19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 spans="1:26">
      <c r="A991" s="5"/>
      <c r="B991" s="4"/>
      <c r="C991" s="5"/>
      <c r="D991" s="2"/>
      <c r="E991" s="2"/>
      <c r="F991" s="2"/>
      <c r="G991" s="3"/>
      <c r="H991" s="2"/>
      <c r="I991" s="5"/>
      <c r="J991" s="5"/>
      <c r="K991" s="19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 spans="1:26">
      <c r="A992" s="5"/>
      <c r="B992" s="4"/>
      <c r="C992" s="5"/>
      <c r="D992" s="2"/>
      <c r="E992" s="2"/>
      <c r="F992" s="2"/>
      <c r="G992" s="3"/>
      <c r="H992" s="2"/>
      <c r="I992" s="5"/>
      <c r="J992" s="5"/>
      <c r="K992" s="19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 spans="1:26">
      <c r="A993" s="5"/>
      <c r="B993" s="4"/>
      <c r="C993" s="5"/>
      <c r="D993" s="2"/>
      <c r="E993" s="2"/>
      <c r="F993" s="2"/>
      <c r="G993" s="3"/>
      <c r="H993" s="2"/>
      <c r="I993" s="5"/>
      <c r="J993" s="5"/>
      <c r="K993" s="19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 spans="1:26">
      <c r="A994" s="5"/>
      <c r="B994" s="4"/>
      <c r="C994" s="5"/>
      <c r="D994" s="2"/>
      <c r="E994" s="2"/>
      <c r="F994" s="2"/>
      <c r="G994" s="3"/>
      <c r="H994" s="2"/>
      <c r="I994" s="5"/>
      <c r="J994" s="5"/>
      <c r="K994" s="19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 spans="1:26">
      <c r="A995" s="5"/>
      <c r="B995" s="4"/>
      <c r="C995" s="5"/>
      <c r="D995" s="2"/>
      <c r="E995" s="2"/>
      <c r="F995" s="2"/>
      <c r="G995" s="3"/>
      <c r="H995" s="2"/>
      <c r="I995" s="5"/>
      <c r="J995" s="5"/>
      <c r="K995" s="19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 spans="1:26">
      <c r="A996" s="5"/>
      <c r="B996" s="4"/>
      <c r="C996" s="5"/>
      <c r="D996" s="2"/>
      <c r="E996" s="2"/>
      <c r="F996" s="2"/>
      <c r="G996" s="3"/>
      <c r="H996" s="2"/>
      <c r="I996" s="5"/>
      <c r="J996" s="5"/>
      <c r="K996" s="19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 spans="1:26">
      <c r="A997" s="5"/>
      <c r="B997" s="4"/>
      <c r="C997" s="5"/>
      <c r="D997" s="2"/>
      <c r="E997" s="2"/>
      <c r="F997" s="2"/>
      <c r="G997" s="3"/>
      <c r="H997" s="2"/>
      <c r="I997" s="5"/>
      <c r="J997" s="5"/>
      <c r="K997" s="19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 spans="1:26">
      <c r="A998" s="5"/>
      <c r="B998" s="4"/>
      <c r="C998" s="5"/>
      <c r="D998" s="2"/>
      <c r="E998" s="2"/>
      <c r="F998" s="2"/>
      <c r="G998" s="3"/>
      <c r="H998" s="2"/>
      <c r="I998" s="5"/>
      <c r="J998" s="5"/>
      <c r="K998" s="19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 spans="1:26">
      <c r="A999" s="5"/>
      <c r="B999" s="4"/>
      <c r="C999" s="5"/>
      <c r="D999" s="2"/>
      <c r="E999" s="2"/>
      <c r="F999" s="2"/>
      <c r="G999" s="3"/>
      <c r="H999" s="2"/>
      <c r="I999" s="5"/>
      <c r="J999" s="5"/>
      <c r="K999" s="19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 spans="1:26">
      <c r="A1000" s="5"/>
      <c r="B1000" s="4"/>
      <c r="C1000" s="5"/>
      <c r="D1000" s="2"/>
      <c r="E1000" s="2"/>
      <c r="F1000" s="2"/>
      <c r="G1000" s="3"/>
      <c r="H1000" s="2"/>
      <c r="I1000" s="5"/>
      <c r="J1000" s="5"/>
      <c r="K1000" s="19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XN</vt:lpstr>
      <vt:lpstr>PL-CF-BS</vt:lpstr>
      <vt:lpstr>DCF</vt:lpstr>
      <vt:lpstr>SumFS</vt:lpstr>
      <vt:lpstr>营收预测</vt:lpstr>
      <vt:lpstr>S&amp;C</vt:lpstr>
      <vt:lpstr>Other ASPT</vt:lpstr>
      <vt:lpstr>股权结构(草稿)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Bing</dc:creator>
  <cp:lastModifiedBy>罗强</cp:lastModifiedBy>
  <dcterms:created xsi:type="dcterms:W3CDTF">2001-09-01T14:59:00Z</dcterms:created>
  <dcterms:modified xsi:type="dcterms:W3CDTF">2026-03-09T10:26:12Z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D_Doc_Temp_ID">
    <vt:lpwstr>02307261-42e2-404d-8684-cd0432075adf</vt:lpwstr>
  </property>
  <property fmtid="{D5CDD505-2E9C-101B-9397-08002B2CF9AE}" pid="3" name="KSOProductBuildVer">
    <vt:lpwstr>2052-12.1.0.25225</vt:lpwstr>
  </property>
  <property fmtid="{D5CDD505-2E9C-101B-9397-08002B2CF9AE}" pid="4" name="ICV">
    <vt:lpwstr>36E918B6125E462E99C83087117A2642_12</vt:lpwstr>
  </property>
  <property fmtid="{D5CDD505-2E9C-101B-9397-08002B2CF9AE}" pid="5" name="CalculationRule">
    <vt:i4>0</vt:i4>
  </property>
</Properties>
</file>