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fb92e85d57d94469/华福国际/西锐/"/>
    </mc:Choice>
  </mc:AlternateContent>
  <xr:revisionPtr revIDLastSave="225" documentId="8_{4D0A66BB-F518-4AE7-B820-B4BAEE184B8E}" xr6:coauthVersionLast="47" xr6:coauthVersionMax="47" xr10:uidLastSave="{7DD04CD7-6D95-4E78-9701-CF085B1BFA53}"/>
  <bookViews>
    <workbookView xWindow="570" yWindow="740" windowWidth="20530" windowHeight="14270" tabRatio="879" firstSheet="1" activeTab="1" xr2:uid="{00000000-000D-0000-FFFF-FFFF00000000}"/>
  </bookViews>
  <sheets>
    <sheet name="XN" sheetId="24" r:id="rId1"/>
    <sheet name="XN-output" sheetId="12" r:id="rId2"/>
    <sheet name="PL-CF-BS" sheetId="30" r:id="rId3"/>
    <sheet name="forecast" sheetId="47" r:id="rId4"/>
    <sheet name="DCF " sheetId="51" r:id="rId5"/>
    <sheet name="PL" sheetId="53" r:id="rId6"/>
    <sheet name="BS" sheetId="52" r:id="rId7"/>
    <sheet name="CF" sheetId="54" r:id="rId8"/>
    <sheet name="订单及交付" sheetId="59" r:id="rId9"/>
    <sheet name="产品 -wind" sheetId="55"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b">#REF!</definedName>
    <definedName name="\c">#REF!</definedName>
    <definedName name="\d">#REF!</definedName>
    <definedName name="\e">#REF!</definedName>
    <definedName name="\f">#REF!</definedName>
    <definedName name="\g">#REF!</definedName>
    <definedName name="\h">#REF!</definedName>
    <definedName name="\i">#REF!</definedName>
    <definedName name="\j">#N/A</definedName>
    <definedName name="\k">#REF!</definedName>
    <definedName name="\l">#REF!</definedName>
    <definedName name="\m">#REF!</definedName>
    <definedName name="\p">#REF!</definedName>
    <definedName name="\q">#REF!</definedName>
    <definedName name="\s">#REF!</definedName>
    <definedName name="\u">#REF!</definedName>
    <definedName name="\v">#N/A</definedName>
    <definedName name="\x">#REF!</definedName>
    <definedName name="\z">#REF!</definedName>
    <definedName name="_______DAT1">#REF!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CF2">#REF!</definedName>
    <definedName name="_______EPS94">#REF!</definedName>
    <definedName name="_______EPS95">#REF!</definedName>
    <definedName name="_______EPS96">#REF!</definedName>
    <definedName name="_______EPS97">#REF!</definedName>
    <definedName name="_______EPS98">#REF!</definedName>
    <definedName name="_______rev1997">#REF!</definedName>
    <definedName name="_______rev1999">#REF!</definedName>
    <definedName name="_______rev2000">#REF!</definedName>
    <definedName name="_______rev2001">#REF!</definedName>
    <definedName name="_______rev2002">#REF!</definedName>
    <definedName name="_______rev2003">#REF!</definedName>
    <definedName name="_______REV89">#REF!</definedName>
    <definedName name="_______REV90">#REF!</definedName>
    <definedName name="_______REV91">#REF!</definedName>
    <definedName name="_______REV92">#REF!</definedName>
    <definedName name="_______REV93">#REF!</definedName>
    <definedName name="_______REV94">#REF!</definedName>
    <definedName name="_______REV95">#REF!</definedName>
    <definedName name="_______REV96">#REF!</definedName>
    <definedName name="_______REV97">#REF!</definedName>
    <definedName name="_______REV98">#REF!</definedName>
    <definedName name="______DAT1">#REF!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CF2">#REF!</definedName>
    <definedName name="______EPS94">#REF!</definedName>
    <definedName name="______EPS95">#REF!</definedName>
    <definedName name="______EPS96">#REF!</definedName>
    <definedName name="______EPS97">#REF!</definedName>
    <definedName name="______EPS98">#REF!</definedName>
    <definedName name="______rev1997">#REF!</definedName>
    <definedName name="______rev1999">#REF!</definedName>
    <definedName name="______rev2000">#REF!</definedName>
    <definedName name="______rev2001">#REF!</definedName>
    <definedName name="______rev2002">#REF!</definedName>
    <definedName name="______rev2003">#REF!</definedName>
    <definedName name="______REV89">#REF!</definedName>
    <definedName name="______REV90">#REF!</definedName>
    <definedName name="______REV91">#REF!</definedName>
    <definedName name="______REV92">#REF!</definedName>
    <definedName name="______REV93">#REF!</definedName>
    <definedName name="______REV94">#REF!</definedName>
    <definedName name="______REV95">#REF!</definedName>
    <definedName name="______REV96">#REF!</definedName>
    <definedName name="______REV97">#REF!</definedName>
    <definedName name="______REV98">#REF!</definedName>
    <definedName name="_____DAT1">#REF!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CF2">#REF!</definedName>
    <definedName name="_____EPS94">#REF!</definedName>
    <definedName name="_____EPS95">#REF!</definedName>
    <definedName name="_____EPS96">#REF!</definedName>
    <definedName name="_____EPS97">#REF!</definedName>
    <definedName name="_____EPS98">#REF!</definedName>
    <definedName name="_____rev1997">#REF!</definedName>
    <definedName name="_____rev1999">#REF!</definedName>
    <definedName name="_____rev2000">#REF!</definedName>
    <definedName name="_____rev2001">#REF!</definedName>
    <definedName name="_____rev2002">#REF!</definedName>
    <definedName name="_____rev2003">#REF!</definedName>
    <definedName name="_____REV89">#REF!</definedName>
    <definedName name="_____REV90">#REF!</definedName>
    <definedName name="_____REV91">#REF!</definedName>
    <definedName name="_____REV92">#REF!</definedName>
    <definedName name="_____REV93">#REF!</definedName>
    <definedName name="_____REV94">#REF!</definedName>
    <definedName name="_____REV95">#REF!</definedName>
    <definedName name="_____REV96">#REF!</definedName>
    <definedName name="_____REV97">#REF!</definedName>
    <definedName name="_____REV98">#REF!</definedName>
    <definedName name="____DAT1">#REF!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CF2">#REF!</definedName>
    <definedName name="____EPS94">#REF!</definedName>
    <definedName name="____EPS95">#REF!</definedName>
    <definedName name="____EPS96">#REF!</definedName>
    <definedName name="____EPS97">#REF!</definedName>
    <definedName name="____EPS98">#REF!</definedName>
    <definedName name="____rev1997">#REF!</definedName>
    <definedName name="____rev1999">#REF!</definedName>
    <definedName name="____rev2000">#REF!</definedName>
    <definedName name="____rev2001">#REF!</definedName>
    <definedName name="____rev2002">#REF!</definedName>
    <definedName name="____rev2003">#REF!</definedName>
    <definedName name="____REV89">#REF!</definedName>
    <definedName name="____REV90">#REF!</definedName>
    <definedName name="____REV91">#REF!</definedName>
    <definedName name="____REV92">#REF!</definedName>
    <definedName name="____REV93">#REF!</definedName>
    <definedName name="____REV94">#REF!</definedName>
    <definedName name="____REV95">#REF!</definedName>
    <definedName name="____REV96">#REF!</definedName>
    <definedName name="____REV97">#REF!</definedName>
    <definedName name="____REV98">#REF!</definedName>
    <definedName name="____W.O.R.K.B.O.O.K..C.O.N.T.E.N.T.S____">#REF!</definedName>
    <definedName name="___DAT1">#REF!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CF2">#REF!</definedName>
    <definedName name="___EPS94">#REF!</definedName>
    <definedName name="___EPS95">#REF!</definedName>
    <definedName name="___EPS96">#REF!</definedName>
    <definedName name="___EPS97">#REF!</definedName>
    <definedName name="___EPS98">#REF!</definedName>
    <definedName name="___Key1">#REF!</definedName>
    <definedName name="___Key2">#REF!</definedName>
    <definedName name="___rev1997">#REF!</definedName>
    <definedName name="___rev1999">#REF!</definedName>
    <definedName name="___rev2000">#REF!</definedName>
    <definedName name="___rev2001">#REF!</definedName>
    <definedName name="___rev2002">#REF!</definedName>
    <definedName name="___rev2003">#REF!</definedName>
    <definedName name="___REV89">#REF!</definedName>
    <definedName name="___REV90">#REF!</definedName>
    <definedName name="___REV91">#REF!</definedName>
    <definedName name="___REV92">#REF!</definedName>
    <definedName name="___REV93">#REF!</definedName>
    <definedName name="___REV94">#REF!</definedName>
    <definedName name="___REV95">#REF!</definedName>
    <definedName name="___REV96">#REF!</definedName>
    <definedName name="___REV97">#REF!</definedName>
    <definedName name="___REV98">#REF!</definedName>
    <definedName name="__123Graph_A" hidden="1">#REF!</definedName>
    <definedName name="__123Graph_ACHART7" hidden="1">#REF!</definedName>
    <definedName name="__123Graph_ACURRENT" hidden="1">#REF!</definedName>
    <definedName name="__123Graph_AGRAPH1" localSheetId="2" hidden="1">[1]A!#REF!</definedName>
    <definedName name="__123Graph_AGRAPH1" localSheetId="1" hidden="1">[2]A!#REF!</definedName>
    <definedName name="__123Graph_AGRAPH1" hidden="1">[2]A!#REF!</definedName>
    <definedName name="__123Graph_APROFIT" hidden="1">#REF!</definedName>
    <definedName name="__123Graph_B" hidden="1">#REF!</definedName>
    <definedName name="__123Graph_BGRAPH1" localSheetId="2" hidden="1">[1]A!#REF!</definedName>
    <definedName name="__123Graph_BGRAPH1" localSheetId="1" hidden="1">[2]A!#REF!</definedName>
    <definedName name="__123Graph_BGRAPH1" hidden="1">[2]A!#REF!</definedName>
    <definedName name="__123Graph_BPROFIT" hidden="1">#REF!</definedName>
    <definedName name="__123Graph_BTURNOVER" hidden="1">#REF!</definedName>
    <definedName name="__123Graph_C" hidden="1">#REF!</definedName>
    <definedName name="__123Graph_CGRAPH1" localSheetId="2" hidden="1">[1]A!#REF!</definedName>
    <definedName name="__123Graph_CGRAPH1" localSheetId="1" hidden="1">[2]A!#REF!</definedName>
    <definedName name="__123Graph_CGRAPH1" hidden="1">[2]A!#REF!</definedName>
    <definedName name="__123Graph_CPROFIT" hidden="1">#REF!</definedName>
    <definedName name="__123Graph_CTURNOVER" hidden="1">#REF!</definedName>
    <definedName name="__123Graph_D" hidden="1">#REF!</definedName>
    <definedName name="__123Graph_DGRAPH1" localSheetId="2" hidden="1">[1]A!#REF!</definedName>
    <definedName name="__123Graph_DGRAPH1" localSheetId="1" hidden="1">[2]A!#REF!</definedName>
    <definedName name="__123Graph_DGRAPH1" hidden="1">[2]A!#REF!</definedName>
    <definedName name="__123Graph_DPROFIT" hidden="1">#REF!</definedName>
    <definedName name="__123Graph_DTURNOVER" hidden="1">#REF!</definedName>
    <definedName name="__123Graph_XGRAPH1" localSheetId="2" hidden="1">[1]A!#REF!</definedName>
    <definedName name="__123Graph_XGRAPH1" localSheetId="1" hidden="1">[2]A!#REF!</definedName>
    <definedName name="__123Graph_XGRAPH1" hidden="1">[2]A!#REF!</definedName>
    <definedName name="__acq97">#REF!</definedName>
    <definedName name="__acq98">#REF!</definedName>
    <definedName name="__acq99">#REF!</definedName>
    <definedName name="__amt01">#REF!</definedName>
    <definedName name="__amt94">#REF!</definedName>
    <definedName name="__amt95">#REF!</definedName>
    <definedName name="__amt96">#REF!</definedName>
    <definedName name="__amt97">#REF!</definedName>
    <definedName name="__amt98">#REF!</definedName>
    <definedName name="__amt99">#REF!</definedName>
    <definedName name="__bal1">#REF!</definedName>
    <definedName name="__boe96">#REF!</definedName>
    <definedName name="__boe97">#REF!</definedName>
    <definedName name="__boe98">#REF!</definedName>
    <definedName name="__boe99">#REF!</definedName>
    <definedName name="__bpd93">#REF!</definedName>
    <definedName name="__bpd94">#REF!</definedName>
    <definedName name="__cap93">#REF!</definedName>
    <definedName name="__cap94">#REF!</definedName>
    <definedName name="__cap95">#REF!</definedName>
    <definedName name="__cap96">#REF!</definedName>
    <definedName name="__cap97">#REF!</definedName>
    <definedName name="__cap98">#REF!</definedName>
    <definedName name="__ccf93">#REF!</definedName>
    <definedName name="__ccf94">#REF!</definedName>
    <definedName name="__cni93">#REF!</definedName>
    <definedName name="__cni94">#REF!</definedName>
    <definedName name="__DAT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CF2">#REF!</definedName>
    <definedName name="__DCF95">#REF!</definedName>
    <definedName name="__DCF96">#REF!</definedName>
    <definedName name="__DCF97">#REF!</definedName>
    <definedName name="__dda93">#REF!</definedName>
    <definedName name="__dda94">#REF!</definedName>
    <definedName name="__def94">#REF!</definedName>
    <definedName name="__Div2000">#REF!</definedName>
    <definedName name="__DIV86">#REF!</definedName>
    <definedName name="__DIV87">#REF!</definedName>
    <definedName name="__DIV88">#REF!</definedName>
    <definedName name="__DIV89">#REF!</definedName>
    <definedName name="__DIV90">#REF!</definedName>
    <definedName name="__DIV91">#REF!</definedName>
    <definedName name="__DIV92">#REF!</definedName>
    <definedName name="__div93">#REF!</definedName>
    <definedName name="__div94">#REF!</definedName>
    <definedName name="__div95">#REF!</definedName>
    <definedName name="__div96">#REF!</definedName>
    <definedName name="__div97">#REF!</definedName>
    <definedName name="__div98">#REF!</definedName>
    <definedName name="__DIV99">#REF!</definedName>
    <definedName name="__EPS2">#REF!</definedName>
    <definedName name="__EPS2000">#REF!</definedName>
    <definedName name="__EPS86">#REF!</definedName>
    <definedName name="__EPS87">#REF!</definedName>
    <definedName name="__EPS88">#REF!</definedName>
    <definedName name="__EPS89">#REF!</definedName>
    <definedName name="__EPS90">#REF!</definedName>
    <definedName name="__EPS91">#REF!</definedName>
    <definedName name="__EPS92">#REF!</definedName>
    <definedName name="__EPS93">#REF!</definedName>
    <definedName name="__EPS94">#REF!</definedName>
    <definedName name="__EPS95">#REF!</definedName>
    <definedName name="__EPS96">#REF!</definedName>
    <definedName name="__EPS97">#REF!</definedName>
    <definedName name="__EPS98">#REF!</definedName>
    <definedName name="__EPS99">#REF!</definedName>
    <definedName name="__FCF2000">#REF!</definedName>
    <definedName name="__FCF96">#REF!</definedName>
    <definedName name="__FCF97">#REF!</definedName>
    <definedName name="__FCF98">#REF!</definedName>
    <definedName name="__FCF99">#REF!</definedName>
    <definedName name="__FDS_HYPERLINK_TOGGLE_STATE__" hidden="1">"ON"</definedName>
    <definedName name="__FDS_UNIQUE_RANGE_ID_GENERATOR_COUNTER">28</definedName>
    <definedName name="__FDS_USED_FOR_REUSING_RANGE_IDS_RECYCLE">{16,16,16,16,16,16,16,16,16,16,16}</definedName>
    <definedName name="__fsu96">#REF!</definedName>
    <definedName name="__fsu97">#REF!</definedName>
    <definedName name="__fsu98">#REF!</definedName>
    <definedName name="__fsu99">#REF!</definedName>
    <definedName name="__iea1">#REF!</definedName>
    <definedName name="__iea2">#REF!</definedName>
    <definedName name="__int93">#REF!</definedName>
    <definedName name="__int94">#REF!</definedName>
    <definedName name="__Jet1">#REF!</definedName>
    <definedName name="__Jet2">#REF!</definedName>
    <definedName name="__Jet3">#REF!</definedName>
    <definedName name="__Jet4">#REF!</definedName>
    <definedName name="__Key1">#REF!</definedName>
    <definedName name="__Key2">#REF!</definedName>
    <definedName name="__key3">#REF!</definedName>
    <definedName name="__key4">#REF!</definedName>
    <definedName name="__lga94">#REF!</definedName>
    <definedName name="__mul1">#REF!</definedName>
    <definedName name="__Net1">#REF!</definedName>
    <definedName name="__Net2000">#REF!</definedName>
    <definedName name="__Net96">#REF!</definedName>
    <definedName name="__Net97">#REF!</definedName>
    <definedName name="__Net98">#REF!</definedName>
    <definedName name="__Net99">#REF!</definedName>
    <definedName name="__new1">#REF!</definedName>
    <definedName name="__new10">#REF!</definedName>
    <definedName name="__new11">#REF!</definedName>
    <definedName name="__new2">#REF!</definedName>
    <definedName name="__new5">#REF!</definedName>
    <definedName name="__new6">#REF!</definedName>
    <definedName name="__new7">#REF!</definedName>
    <definedName name="__new8">#REF!</definedName>
    <definedName name="__new9">#REF!</definedName>
    <definedName name="__ngl93">#REF!</definedName>
    <definedName name="__ngl94">#REF!</definedName>
    <definedName name="__ngl95">#REF!</definedName>
    <definedName name="__ngl96">#REF!</definedName>
    <definedName name="__ngl97">#REF!</definedName>
    <definedName name="__ngl98">#REF!</definedName>
    <definedName name="__NP87">#REF!</definedName>
    <definedName name="__NP88">#REF!</definedName>
    <definedName name="__NP89">#REF!</definedName>
    <definedName name="__NP90">#REF!</definedName>
    <definedName name="__NP91">#REF!</definedName>
    <definedName name="__NP92">#REF!</definedName>
    <definedName name="__NP93">#REF!</definedName>
    <definedName name="__NP94">#REF!</definedName>
    <definedName name="__NP95">#REF!</definedName>
    <definedName name="__NP96">#REF!</definedName>
    <definedName name="__NP97">#REF!</definedName>
    <definedName name="__NP98">#REF!</definedName>
    <definedName name="__NP99">#REF!</definedName>
    <definedName name="__NS86">#REF!</definedName>
    <definedName name="__NS87">#REF!</definedName>
    <definedName name="__NS88">#REF!</definedName>
    <definedName name="__NS89">#REF!</definedName>
    <definedName name="__NS90">#REF!</definedName>
    <definedName name="__NS91">#REF!</definedName>
    <definedName name="__NS92">#REF!</definedName>
    <definedName name="__NS93">#REF!</definedName>
    <definedName name="__NS94">#REF!</definedName>
    <definedName name="__NS95">#REF!</definedName>
    <definedName name="__NS96">#REF!</definedName>
    <definedName name="__NS97">#REF!</definedName>
    <definedName name="__NS98">#REF!</definedName>
    <definedName name="__NS99">#REF!</definedName>
    <definedName name="__Pet1">#REF!</definedName>
    <definedName name="__Pet2">#REF!</definedName>
    <definedName name="__pfd98">#REF!</definedName>
    <definedName name="__PV10">#REF!</definedName>
    <definedName name="__rev1997">#REF!</definedName>
    <definedName name="__rev1999">#REF!</definedName>
    <definedName name="__rev2000">#REF!</definedName>
    <definedName name="__rev2001">#REF!</definedName>
    <definedName name="__rev2002">#REF!</definedName>
    <definedName name="__rev2003">#REF!</definedName>
    <definedName name="__REV89">#REF!</definedName>
    <definedName name="__REV90">#REF!</definedName>
    <definedName name="__REV91">#REF!</definedName>
    <definedName name="__REV92">#REF!</definedName>
    <definedName name="__rev93">#REF!</definedName>
    <definedName name="__rev94">#REF!</definedName>
    <definedName name="__REV95">#REF!</definedName>
    <definedName name="__REV96">#REF!</definedName>
    <definedName name="__REV97">#REF!</definedName>
    <definedName name="__REV98">#REF!</definedName>
    <definedName name="__sh1">#REF!</definedName>
    <definedName name="__sh2">#REF!</definedName>
    <definedName name="__sh3">#REF!</definedName>
    <definedName name="__sh4">#REF!</definedName>
    <definedName name="__Val1">#REF!</definedName>
    <definedName name="__val11">#REF!</definedName>
    <definedName name="__val2">#REF!</definedName>
    <definedName name="__val3">#REF!</definedName>
    <definedName name="_07_02_94">#REF!</definedName>
    <definedName name="_1">#REF!</definedName>
    <definedName name="_1_">#REF!</definedName>
    <definedName name="_1__FDSAUDITLINK__">{"fdsup://directions/FAT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0EBITDA_Sh">#REF!</definedName>
    <definedName name="_1_0HS">[3]EPS!#REF!</definedName>
    <definedName name="_10">#REF!</definedName>
    <definedName name="_10_.__Restructuring_char">#REF!</definedName>
    <definedName name="_10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_0cu14.FinancialY">#REF!</definedName>
    <definedName name="_10_0FAMERangeGCI_BAL">#REF!</definedName>
    <definedName name="_10_0R">#REF!</definedName>
    <definedName name="_10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FAMERangeDJ_BALA">#REF!</definedName>
    <definedName name="_11">#REF!</definedName>
    <definedName name="_11_.__SGA_gro">#REF!</definedName>
    <definedName name="_11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_0cu12.PeriodT">#REF!</definedName>
    <definedName name="_11_0cu43.ActualForecast">#REF!</definedName>
    <definedName name="_11_0R">#REF!</definedName>
    <definedName name="_11_0Revenu">#REF!</definedName>
    <definedName name="_11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FAMERangeDJ_BALA">#REF!</definedName>
    <definedName name="_12">#REF!</definedName>
    <definedName name="_12_.__Shares_repurchase_liabil">#REF!</definedName>
    <definedName name="_12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_0cu12.PeriodT">#REF!</definedName>
    <definedName name="_12_0UniqueRang">#REF!</definedName>
    <definedName name="_12_10">#REF!</definedName>
    <definedName name="_12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FAMERangeDJ_BALA">#REF!</definedName>
    <definedName name="_13">#REF!</definedName>
    <definedName name="_13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_0cu13.PeriodY">#REF!</definedName>
    <definedName name="_13_0EBITDA_Sh">#REF!</definedName>
    <definedName name="_13_0FAMERangeDJ_BALA">#REF!</definedName>
    <definedName name="_13_11">#REF!</definedName>
    <definedName name="_13_3_0Income_before_ta">#REF!</definedName>
    <definedName name="_1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FAMERangeGCI_BAL">#REF!</definedName>
    <definedName name="_14">#REF!</definedName>
    <definedName name="_14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_0cu14.FinancialY">#REF!</definedName>
    <definedName name="_14_0FAMERangeDJ_BALA">#REF!</definedName>
    <definedName name="_14_0NOPAT_Sh">#REF!</definedName>
    <definedName name="_14_3_0Increase_in_other_liabilit">#REF!</definedName>
    <definedName name="_14_6">#REF!</definedName>
    <definedName name="_1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Revenu">#REF!</definedName>
    <definedName name="_15">#REF!</definedName>
    <definedName name="_15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_0cu43.ActualForecast">#REF!</definedName>
    <definedName name="_15_0FAMERangeDJ_BALA">#REF!</definedName>
    <definedName name="_15_3_0Other_Segment_Reven">#REF!</definedName>
    <definedName name="_15_7">#REF!</definedName>
    <definedName name="_1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cu08.PeriodMonthC">#REF!</definedName>
    <definedName name="_15UniqueRang">#REF!</definedName>
    <definedName name="_16">#REF!</definedName>
    <definedName name="_16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_0cu12.PeriodT">#REF!</definedName>
    <definedName name="_16_0cu57.Prelim">#REF!</definedName>
    <definedName name="_16_0FAMERangeGCI_BAL">#REF!</definedName>
    <definedName name="_16_8">#REF!</definedName>
    <definedName name="_1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cu12.PeriodT">#REF!</definedName>
    <definedName name="_17">#REF!</definedName>
    <definedName name="_17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_0EBITDA_Sh">#REF!</definedName>
    <definedName name="_17_0Revenu">#REF!</definedName>
    <definedName name="_17_8_0R">#REF!</definedName>
    <definedName name="_1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cu13.PeriodY">#REF!</definedName>
    <definedName name="_18">#REF!</definedName>
    <definedName name="_18_._0Gross_inc_gro">#REF!</definedName>
    <definedName name="_18__FDSAUDITLINK__">{"fdsup://directions/FAT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_0NOPAT_Sh">#REF!</definedName>
    <definedName name="_18_0UniqueRang">#REF!</definedName>
    <definedName name="_18_9">#REF!</definedName>
    <definedName name="_1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cu14.FinancialY">#REF!</definedName>
    <definedName name="_19">#REF!</definedName>
    <definedName name="_19__FDSAUDITLINK__">{"fdsup://directions/FAT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_3_0Income_before_ta">#REF!</definedName>
    <definedName name="_1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91">#REF!</definedName>
    <definedName name="_1992">#REF!</definedName>
    <definedName name="_1993">#REF!</definedName>
    <definedName name="_1994">#REF!</definedName>
    <definedName name="_1995">#REF!</definedName>
    <definedName name="_1995e">#REF!</definedName>
    <definedName name="_1996">#REF!</definedName>
    <definedName name="_1996e">#REF!</definedName>
    <definedName name="_1997">#REF!</definedName>
    <definedName name="_1997e">#REF!</definedName>
    <definedName name="_1998">#REF!</definedName>
    <definedName name="_1998e">#REF!</definedName>
    <definedName name="_1999">#REF!</definedName>
    <definedName name="_1999E">'[4]P&amp;L'!$Q$9:$Q$68</definedName>
    <definedName name="_19B_0R">#REF!</definedName>
    <definedName name="_19cu08.PeriodMonthC">#REF!</definedName>
    <definedName name="_19cu43.ActualForecast">#REF!</definedName>
    <definedName name="_1EBITDA_Sh">#REF!</definedName>
    <definedName name="_1Q94">#REF!</definedName>
    <definedName name="_1Q95">#REF!</definedName>
    <definedName name="_1Q97A">'[4]P&amp;L'!$C$9:$C$68</definedName>
    <definedName name="_1Q98A">'[4]P&amp;L'!$H$9:$H$68</definedName>
    <definedName name="_1Q99A">'[4]P&amp;L'!$M$9:$M$68</definedName>
    <definedName name="_2">#REF!</definedName>
    <definedName name="_2__123Graph_AR_M_MARG" localSheetId="2" hidden="1">[5]P!#REF!</definedName>
    <definedName name="_2__123Graph_AR_M_MARG" hidden="1">[5]P!#REF!</definedName>
    <definedName name="_2__FDSAUDITLINK__">{"fdsup://directions/FAT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_0NOPAT_Sh">#REF!</definedName>
    <definedName name="_20">#REF!</definedName>
    <definedName name="_20__FDSAUDITLINK__">{"fdsup://directions/FAT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_3_0Increase_in_other_liabilit">#REF!</definedName>
    <definedName name="_20_Jul_94">#REF!</definedName>
    <definedName name="_2000E">'[4]P&amp;L'!$V$9:$V$68</definedName>
    <definedName name="_2001E">'[4]P&amp;L'!$AA$9:$AA$68</definedName>
    <definedName name="_2002E">'[4]P&amp;L'!$AB$9:$AB$68</definedName>
    <definedName name="_2003E">'[4]P&amp;L'!$AC$9:$AC$68</definedName>
    <definedName name="_2004E">'[4]P&amp;L'!$AD$9:$AD$68</definedName>
    <definedName name="_2005E">'[4]P&amp;L'!$AE$9:$AE$68</definedName>
    <definedName name="_2006E">'[4]P&amp;L'!$AF$9:$AF$68</definedName>
    <definedName name="_2007E">'[4]P&amp;L'!$AG$9:$AG$68</definedName>
    <definedName name="_2008E">'[4]P&amp;L'!$AH$9:$AH$68</definedName>
    <definedName name="_20cu12.PeriodT">#REF!</definedName>
    <definedName name="_20cu57.Prelim">#REF!</definedName>
    <definedName name="_20D_0R">#REF!</definedName>
    <definedName name="_21__FDSAUDITLINK__">{"fdsup://directions/FAT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1_0cu13.PeriodY">#REF!</definedName>
    <definedName name="_21_3_0Other_Segment_Reven">#REF!</definedName>
    <definedName name="_21cu13.PeriodY">#REF!</definedName>
    <definedName name="_21EBITDA_Sh">#REF!</definedName>
    <definedName name="_21L_0R">#REF!</definedName>
    <definedName name="_22__FDSAUDITLINK__">{"fdsup://directions/FAT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2_3__Income_before_ta">#REF!</definedName>
    <definedName name="_22cu14.FinancialY">#REF!</definedName>
    <definedName name="_22N_0R">#REF!</definedName>
    <definedName name="_22NOPAT_Sh">#REF!</definedName>
    <definedName name="_23_._0Gross_inc_gro">#REF!</definedName>
    <definedName name="_23__FDSAUDITLINK__">{"fdsup://directions/FAT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3_3__Increase_in_other_liabilit">#REF!</definedName>
    <definedName name="_23cu43.ActualForecast">#REF!</definedName>
    <definedName name="_23P_0R">#REF!</definedName>
    <definedName name="_24_._0Restructuring_char">#REF!</definedName>
    <definedName name="_24_._0Shares_repurchase_liabil">#REF!</definedName>
    <definedName name="_24__FDSAUDITLINK__">{"fdsup://directions/FAT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4_3__Other_Segment_Reven">#REF!</definedName>
    <definedName name="_24cu57.Prelim">#REF!</definedName>
    <definedName name="_24T_0R">#REF!</definedName>
    <definedName name="_25_._0SGA_gro">#REF!</definedName>
    <definedName name="_25__FDSAUDITLINK__">{"fdsup://directions/FAT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5EBITDA_Sh">#REF!</definedName>
    <definedName name="_25FAMERangeDJ_BALA">#REF!</definedName>
    <definedName name="_25V_0R">#REF!</definedName>
    <definedName name="_26_._0Shares_repurchase_liabil">#REF!</definedName>
    <definedName name="_26__FDSAUDITLINK__">{"fdsup://directions/FAT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6_0cu14.FinancialY">#REF!</definedName>
    <definedName name="_26_0FAMERangeDJ_BALA">#REF!</definedName>
    <definedName name="_26FAMERangeDJ_BALA">#REF!</definedName>
    <definedName name="_26NOPAT_Sh">#REF!</definedName>
    <definedName name="_26X_0R">#REF!</definedName>
    <definedName name="_27_.__Gross_inc_gro">#REF!</definedName>
    <definedName name="_27_._0Gross_inc_gro">#REF!</definedName>
    <definedName name="_27__FDSAUDITLINK__">{"fdsup://directions/FAT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7FAMERangeDJ_BALA">#REF!</definedName>
    <definedName name="_28_.__Restructuring_char">#REF!</definedName>
    <definedName name="_28_._0Restructuring_char">#REF!</definedName>
    <definedName name="_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8_0FAMERangeDJ_BALA">#REF!</definedName>
    <definedName name="_28FAMERangeGCI_BAL">#REF!</definedName>
    <definedName name="_29_.__SGA_gro">#REF!</definedName>
    <definedName name="_29_._0SGA_gro">#REF!</definedName>
    <definedName name="_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9Revenu">#REF!</definedName>
    <definedName name="_2NOPAT_Sh">#REF!</definedName>
    <definedName name="_2Q94">#REF!</definedName>
    <definedName name="_2Q95">#REF!</definedName>
    <definedName name="_2Q97A">'[4]P&amp;L'!$D$9:$D$68</definedName>
    <definedName name="_2Q98A">'[4]P&amp;L'!$I$9:$I$68</definedName>
    <definedName name="_2Q99A">'[4]P&amp;L'!$N$9:$N$68</definedName>
    <definedName name="_3">#REF!</definedName>
    <definedName name="_3_.__Gross_inc_gro">#REF!</definedName>
    <definedName name="_3_._0Gross_inc_gro">#REF!</definedName>
    <definedName name="_3__FDSAUDITLINK__">{"fdsup://directions/FAT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_0cu12.PeriodT">#REF!</definedName>
    <definedName name="_30_.__Shares_repurchase_liabil">#REF!</definedName>
    <definedName name="_30_._0Shares_repurchase_liabil">#REF!</definedName>
    <definedName name="_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0UniqueRang">#REF!</definedName>
    <definedName name="_31_.__Gross_inc_gro">#REF!</definedName>
    <definedName name="_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1_0cu43.ActualForecast">#REF!</definedName>
    <definedName name="_31_0FAMERangeDJ_BALA">#REF!</definedName>
    <definedName name="_32_.__Restructuring_char">#REF!</definedName>
    <definedName name="_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2_0FAMERangeDJ_BALA">#REF!</definedName>
    <definedName name="_32_0FAMERangeGCI_BAL">#REF!</definedName>
    <definedName name="_33_.__SGA_gro">#REF!</definedName>
    <definedName name="_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3_0FAMERangeDJ_BALA">#REF!</definedName>
    <definedName name="_34_.__Shares_repurchase_liabil">#REF!</definedName>
    <definedName name="_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4_0FAMERangeGCI_BAL">#REF!</definedName>
    <definedName name="_34_0Revenu">#REF!</definedName>
    <definedName name="_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5_0FAMERangeDJ_BALA">#REF!</definedName>
    <definedName name="_35_0Revenu">#REF!</definedName>
    <definedName name="_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6_0cu57.Prelim">#REF!</definedName>
    <definedName name="_36_0FAMERangeDJ_BALA">#REF!</definedName>
    <definedName name="_36_0UniqueRang">#REF!</definedName>
    <definedName name="_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7_0EBITDA_Sh">#REF!</definedName>
    <definedName name="_37_0FAMERangeDJ_BALA">#REF!</definedName>
    <definedName name="_37_3_0Income_before_ta">#REF!</definedName>
    <definedName name="_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8_0FAMERangeGCI_BAL">#REF!</definedName>
    <definedName name="_38_0NOPAT_Sh">#REF!</definedName>
    <definedName name="_38_3_0Income_before_ta">#REF!</definedName>
    <definedName name="_38_3_0Increase_in_other_liabilit">#REF!</definedName>
    <definedName name="_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9_0Revenu">#REF!</definedName>
    <definedName name="_39_3_0Other_Segment_Reven">#REF!</definedName>
    <definedName name="_39cu08.PeriodMonthC">#REF!</definedName>
    <definedName name="_3EBITDA_Sh">#REF!</definedName>
    <definedName name="_3Q94">#REF!</definedName>
    <definedName name="_3Q95">#REF!</definedName>
    <definedName name="_3Q97A">'[4]P&amp;L'!$E$9:$E$68</definedName>
    <definedName name="_3Q98A">'[4]P&amp;L'!$J$9:$J$68</definedName>
    <definedName name="_4">#REF!</definedName>
    <definedName name="_4_.__Restructuring_char">#REF!</definedName>
    <definedName name="_4_._0Restructuring_char">#REF!</definedName>
    <definedName name="_4__FDSAUDITLINK__">{"fdsup://directions/FAT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_0cu08.PeriodMonthC">#REF!</definedName>
    <definedName name="_4_0cu13.PeriodY">#REF!</definedName>
    <definedName name="_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0_0UniqueRang">#REF!</definedName>
    <definedName name="_40_3__Income_before_ta">#REF!</definedName>
    <definedName name="_40cu12.PeriodT">#REF!</definedName>
    <definedName name="_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1_3__Increase_in_other_liabilit">#REF!</definedName>
    <definedName name="_41_3_0Income_before_ta">#REF!</definedName>
    <definedName name="_41cu13.PeriodY">#REF!</definedName>
    <definedName name="_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2_3__Other_Segment_Reven">#REF!</definedName>
    <definedName name="_42_3_0Increase_in_other_liabilit">#REF!</definedName>
    <definedName name="_42cu14.FinancialY">#REF!</definedName>
    <definedName name="_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3_3_0Other_Segment_Reven">#REF!</definedName>
    <definedName name="_43cu43.ActualForecast">#REF!</definedName>
    <definedName name="_43FAMERangeDJ_BALA">#REF!</definedName>
    <definedName name="_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4_3__Income_before_ta">#REF!</definedName>
    <definedName name="_44cu57.Prelim">#REF!</definedName>
    <definedName name="_44FAMERangeDJ_BALA">#REF!</definedName>
    <definedName name="_44ÿ_0I">#REF!</definedName>
    <definedName name="_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5_3__Increase_in_other_liabilit">#REF!</definedName>
    <definedName name="_45EBITDA_Sh">#REF!</definedName>
    <definedName name="_45FAMERangeDJ_BALA">#REF!</definedName>
    <definedName name="_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6_3__Other_Segment_Reven">#REF!</definedName>
    <definedName name="_46FAMERangeGCI_BAL">#REF!</definedName>
    <definedName name="_46NOPAT_Sh">#REF!</definedName>
    <definedName name="_46ÿ_0M">#REF!</definedName>
    <definedName name="_47_._0Gross_inc_gro">#REF!</definedName>
    <definedName name="_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7FAMERangeDJ_BALA">#REF!</definedName>
    <definedName name="_47Revenu">#REF!</definedName>
    <definedName name="_48_._0Restructuring_char">#REF!</definedName>
    <definedName name="_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8FAMERangeDJ_BALA">#REF!</definedName>
    <definedName name="_48UniqueRang">#REF!</definedName>
    <definedName name="_48ÿ_0Q">#REF!</definedName>
    <definedName name="_49_._0SGA_gro">#REF!</definedName>
    <definedName name="_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9FAMERangeDJ_BALA">#REF!</definedName>
    <definedName name="_4a1_">{"Client Name or Project Name"}</definedName>
    <definedName name="_4NOPAT_Sh">#REF!</definedName>
    <definedName name="_4Q94">#REF!</definedName>
    <definedName name="_4Q95">#REF!</definedName>
    <definedName name="_4Q97A">'[4]P&amp;L'!$F$9:$F$68</definedName>
    <definedName name="_4Q98A">'[4]P&amp;L'!$K$9:$K$68</definedName>
    <definedName name="_4Q99E">'[4]P&amp;L'!$P$9:$P$68</definedName>
    <definedName name="_5">#REF!</definedName>
    <definedName name="_5_.__SGA_gro">#REF!</definedName>
    <definedName name="_5_._0Gross_inc_gro">#REF!</definedName>
    <definedName name="_5_._0SGA_gro">#REF!</definedName>
    <definedName name="_5__FDSAUDITLINK__">{"fdsup://directions/FAT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_0cu08.PeriodMonthC">#REF!</definedName>
    <definedName name="_5_0cu14.FinancialY">#REF!</definedName>
    <definedName name="_50_._0Shares_repurchase_liabil">#REF!</definedName>
    <definedName name="_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0FAMERangeGCI_BAL">#REF!</definedName>
    <definedName name="_51_.__Gross_inc_gro">#REF!</definedName>
    <definedName name="_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1Revenu">#REF!</definedName>
    <definedName name="_52_.__Restructuring_char">#REF!</definedName>
    <definedName name="_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2UniqueRang">#REF!</definedName>
    <definedName name="_53_.__SGA_gro">#REF!</definedName>
    <definedName name="_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4_.__Shares_repurchase_liabil">#REF!</definedName>
    <definedName name="_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5_0FAMERangeDJ_BALA">#REF!</definedName>
    <definedName name="_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6_0FAMERangeDJ_BALA">#REF!</definedName>
    <definedName name="_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7_0FAMERangeDJ_BALA">#REF!</definedName>
    <definedName name="_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8_0FAMERangeGCI_BAL">#REF!</definedName>
    <definedName name="_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9_0Revenu">#REF!</definedName>
    <definedName name="_6">#REF!</definedName>
    <definedName name="_6_.__Shares_repurchase_liabil">#REF!</definedName>
    <definedName name="_6_._0Restructuring_char">#REF!</definedName>
    <definedName name="_6_._0Shares_repurchase_liabil">#REF!</definedName>
    <definedName name="_6__FDSAUDITLINK__">{"fdsup://directions/FAT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_0cu08.PeriodMonthC">#REF!</definedName>
    <definedName name="_6_0cu43.ActualForecast">#REF!</definedName>
    <definedName name="_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0_0UniqueRang">#REF!</definedName>
    <definedName name="_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1_3_0Income_before_ta">#REF!</definedName>
    <definedName name="_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2_3_0Increase_in_other_liabilit">#REF!</definedName>
    <definedName name="_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3_3_0Other_Segment_Reven">#REF!</definedName>
    <definedName name="_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4_3__Income_before_ta">#REF!</definedName>
    <definedName name="_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5_3__Increase_in_other_liabilit">#REF!</definedName>
    <definedName name="_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6_3__Other_Segment_Reven">#REF!</definedName>
    <definedName name="_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7FAMERangeDJ_BALA">#REF!</definedName>
    <definedName name="_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8FAMERangeDJ_BALA">#REF!</definedName>
    <definedName name="_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9FAMERangeDJ_BALA">#REF!</definedName>
    <definedName name="_7">#REF!</definedName>
    <definedName name="_7_._0SGA_gro">#REF!</definedName>
    <definedName name="_7__FDSAUDITLINK__">{"fdsup://directions/FAT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_0cu57.Prelim">#REF!</definedName>
    <definedName name="_7_0FAMERangeDJ_BALA">#REF!</definedName>
    <definedName name="_7_3__Income_before_ta">#REF!</definedName>
    <definedName name="_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0FAMERangeGCI_BAL">#REF!</definedName>
    <definedName name="_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1Revenu">#REF!</definedName>
    <definedName name="_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2UniqueRang">#REF!</definedName>
    <definedName name="_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#REF!</definedName>
    <definedName name="_8_._0Shares_repurchase_liabil">#REF!</definedName>
    <definedName name="_8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_0cu08.PeriodMonthC">#REF!</definedName>
    <definedName name="_8_0cu12.PeriodT">#REF!</definedName>
    <definedName name="_8_0FAMERangeDJ_BALA">#REF!</definedName>
    <definedName name="_8_3__Increase_in_other_liabilit">#REF!</definedName>
    <definedName name="_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a2_">{"Client Name or Project Name"}</definedName>
    <definedName name="_8C">#REF!</definedName>
    <definedName name="_9">#REF!</definedName>
    <definedName name="_9_.__Gross_inc_gro">#REF!</definedName>
    <definedName name="_9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_0cu13.PeriodY">#REF!</definedName>
    <definedName name="_9_0FAMERangeDJ_BALA">#REF!</definedName>
    <definedName name="_9_0R">#REF!</definedName>
    <definedName name="_9_3__Other_Segment_Reven">#REF!</definedName>
    <definedName name="_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1_Adj">#REF!</definedName>
    <definedName name="_9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2_Adj">#REF!</definedName>
    <definedName name="_9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3_Adj">#REF!</definedName>
    <definedName name="_9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5_1">#REF!</definedName>
    <definedName name="_95_10">#REF!</definedName>
    <definedName name="_95_11">#REF!</definedName>
    <definedName name="_95_2">#REF!</definedName>
    <definedName name="_95_3">#REF!</definedName>
    <definedName name="_95_4">#REF!</definedName>
    <definedName name="_95_5">#REF!</definedName>
    <definedName name="_95_6">#REF!</definedName>
    <definedName name="_95_7">#REF!</definedName>
    <definedName name="_95_8">#REF!</definedName>
    <definedName name="_95_9">#REF!</definedName>
    <definedName name="_9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6_1">#REF!</definedName>
    <definedName name="_96_10">#REF!</definedName>
    <definedName name="_96_2">#REF!</definedName>
    <definedName name="_96_3">#REF!</definedName>
    <definedName name="_96_4">#REF!</definedName>
    <definedName name="_96_5">#REF!</definedName>
    <definedName name="_96_6">#REF!</definedName>
    <definedName name="_96_7">#REF!</definedName>
    <definedName name="_96_8">#REF!</definedName>
    <definedName name="_96_9">#REF!</definedName>
    <definedName name="_9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7_1">#REF!</definedName>
    <definedName name="_97_10">#REF!</definedName>
    <definedName name="_97_2">#REF!</definedName>
    <definedName name="_97_3">#REF!</definedName>
    <definedName name="_97_4">#REF!</definedName>
    <definedName name="_97_5">#REF!</definedName>
    <definedName name="_97_6">#REF!</definedName>
    <definedName name="_97_7">#REF!</definedName>
    <definedName name="_97_8">#REF!</definedName>
    <definedName name="_97_9">#REF!</definedName>
    <definedName name="_9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acq97">#REF!</definedName>
    <definedName name="_acq98">#REF!</definedName>
    <definedName name="_acq99">#REF!</definedName>
    <definedName name="_afx97">#REF!</definedName>
    <definedName name="_amt01">#REF!</definedName>
    <definedName name="_amt94">#REF!</definedName>
    <definedName name="_amt95">#REF!</definedName>
    <definedName name="_amt96">#REF!</definedName>
    <definedName name="_amt97">#REF!</definedName>
    <definedName name="_amt98">#REF!</definedName>
    <definedName name="_amt99">#REF!</definedName>
    <definedName name="_ann11">[6]Financials!$A$318:$J$361</definedName>
    <definedName name="_ann12">[6]Financials!$A$389:$J$457</definedName>
    <definedName name="_ann13">[6]Financials!$A$461:$J$509</definedName>
    <definedName name="_ann14">[6]Financials!$A$514:$J$537</definedName>
    <definedName name="_ann16">[6]Financials!$A$543:$J$562</definedName>
    <definedName name="_ann6">[6]Financials!$A$6:$J$64</definedName>
    <definedName name="_ann7">[6]Financials!$A$68:$J$103</definedName>
    <definedName name="_ann8">[6]Financials!$A$230:$J$315</definedName>
    <definedName name="_avg9293">[7]Curtrans!$O$15</definedName>
    <definedName name="_avg9394">[7]Curtrans!$O$14</definedName>
    <definedName name="_avg9495">[7]Curtrans!$O$13</definedName>
    <definedName name="_avg9596">[7]Curtrans!$O$12</definedName>
    <definedName name="_avg9697">[7]Curtrans!$O$11</definedName>
    <definedName name="_avg9798">[7]Curtrans!$O$10</definedName>
    <definedName name="_bal1">#REF!</definedName>
    <definedName name="_bdm.04F94F5C95524416927C11A6688331DE.edm" localSheetId="2" hidden="1">#REF!</definedName>
    <definedName name="_bdm.04F94F5C95524416927C11A6688331DE.edm" hidden="1">#REF!</definedName>
    <definedName name="_bdm.088A3F2FA3AB4A58A3B7B2737C05B74B.edm" localSheetId="2" hidden="1">#REF!</definedName>
    <definedName name="_bdm.088A3F2FA3AB4A58A3B7B2737C05B74B.edm" hidden="1">#REF!</definedName>
    <definedName name="_bdm.08A3A6FB693442A689580F2AFC2ED9B8.edm" hidden="1">[8]Details!$A:$IV</definedName>
    <definedName name="_bdm.08DDF895224D4AA6BB31BFE67179BC08.edm" hidden="1">#REF!</definedName>
    <definedName name="_bdm.0B185E51A026419C8CEA81D25AF4187E.edm">[9]MODEL!$1:$1048576</definedName>
    <definedName name="_bdm.0EAC942374B849AA9A6471177DD63BFE.edm" localSheetId="2" hidden="1">#REF!</definedName>
    <definedName name="_bdm.0EAC942374B849AA9A6471177DD63BFE.edm" hidden="1">#REF!</definedName>
    <definedName name="_bdm.0F3572E9DC5347B4A2BB4268329A1EF8.edm" localSheetId="2" hidden="1">#REF!</definedName>
    <definedName name="_bdm.0F3572E9DC5347B4A2BB4268329A1EF8.edm" hidden="1">#REF!</definedName>
    <definedName name="_bdm.0FD81B58FA204565ACFFE03A10A84ED4.edm" hidden="1">[8]Investment!$A:$IV</definedName>
    <definedName name="_bdm.148386F11EB644A1BDBA247153F153D5.edm" hidden="1">[8]GCF!$A:$IV</definedName>
    <definedName name="_bdm.1B91790B81DA41E58A41831AAEA0B603.edm" hidden="1">[8]Highway!$A:$IV</definedName>
    <definedName name="_bdm.2146E1E080234E2AA3383C2E53531D68.edm" localSheetId="2" hidden="1">[10]DCF!$1:$1048576</definedName>
    <definedName name="_bdm.2146E1E080234E2AA3383C2E53531D68.edm" hidden="1">[11]DCF!$1:$1048576</definedName>
    <definedName name="_bdm.22C32FBD2E5D4791B951AB558B89AF65.edm" localSheetId="2" hidden="1">#REF!</definedName>
    <definedName name="_bdm.22C32FBD2E5D4791B951AB558B89AF65.edm" hidden="1">#REF!</definedName>
    <definedName name="_bdm.2834120AA41A4F369CE3A4F40FC430BA.edm" localSheetId="2" hidden="1">#REF!</definedName>
    <definedName name="_bdm.2834120AA41A4F369CE3A4F40FC430BA.edm" hidden="1">#REF!</definedName>
    <definedName name="_bdm.2B786A0C8E23454A813466D7DC51E734.edm" localSheetId="2" hidden="1">#REF!</definedName>
    <definedName name="_bdm.2B786A0C8E23454A813466D7DC51E734.edm" hidden="1">#REF!</definedName>
    <definedName name="_bdm.398597B72BE246D0BA7F092E5CBD82F3.edm" localSheetId="2" hidden="1">#REF!</definedName>
    <definedName name="_bdm.398597B72BE246D0BA7F092E5CBD82F3.edm" hidden="1">#REF!</definedName>
    <definedName name="_bdm.3A1DD13DC7104A31B36B546CE1F0B34D.edm" localSheetId="2" hidden="1">[10]Model!$1:$1048576</definedName>
    <definedName name="_bdm.3A1DD13DC7104A31B36B546CE1F0B34D.edm" hidden="1">[11]Model!$1:$1048576</definedName>
    <definedName name="_bdm.3B8DCC85551448139E8F7E6DB91B740C.edm" hidden="1">#REF!</definedName>
    <definedName name="_bdm.41BB4E3F61AA4959A830F318836A633B.edm" hidden="1">#REF!</definedName>
    <definedName name="_bdm.424D9D07DD004975A40B2F21D4C3836B.edm" localSheetId="2" hidden="1">#REF!</definedName>
    <definedName name="_bdm.424D9D07DD004975A40B2F21D4C3836B.edm" hidden="1">#REF!</definedName>
    <definedName name="_bdm.447A4D03C10F45ED81C2EC8AE9C67191.edm" hidden="1">'[8]Urbanization--by province'!$A:$IV</definedName>
    <definedName name="_bdm.450E2FAD2EA049B4B7A630A68BF599EF.edm" hidden="1">#REF!</definedName>
    <definedName name="_bdm.4531052E6CD546B5B46B078C2053353E.edm" hidden="1">#REF!</definedName>
    <definedName name="_bdm.4AA2300831804531AB1CF6162AB9EC64.edm" localSheetId="2" hidden="1">#REF!</definedName>
    <definedName name="_bdm.4AA2300831804531AB1CF6162AB9EC64.edm" hidden="1">#REF!</definedName>
    <definedName name="_bdm.50B7E63794294C9E84D8474EFC8ADBE4.edm" localSheetId="2" hidden="1">#REF!</definedName>
    <definedName name="_bdm.50B7E63794294C9E84D8474EFC8ADBE4.edm" hidden="1">#REF!</definedName>
    <definedName name="_bdm.52D513488CC5403BA3BFE2360648BF46.edm" hidden="1">[12]Sheet4!$A:$IV</definedName>
    <definedName name="_bdm.544403D39B2C423F876D7E248370103E.edm" hidden="1">[8]GDP!$A:$IV</definedName>
    <definedName name="_bdm.64E2166FD78B4A0A8E4DD29D7BCDF7D2.edm" localSheetId="2" hidden="1">#REF!</definedName>
    <definedName name="_bdm.64E2166FD78B4A0A8E4DD29D7BCDF7D2.edm" hidden="1">#REF!</definedName>
    <definedName name="_bdm.6AFF294FB240469D91EAD6CE6F5BD3C2.edm" hidden="1">[8]Wage!$A:$IV</definedName>
    <definedName name="_bdm.6EFD5C2191ED4FD1A5A4F2A4995A5578.edm" localSheetId="2" hidden="1">#REF!</definedName>
    <definedName name="_bdm.6EFD5C2191ED4FD1A5A4F2A4995A5578.edm" hidden="1">#REF!</definedName>
    <definedName name="_bdm.7035742CF9664D038721A120112FA6E1.edm" localSheetId="2" hidden="1">#REF!</definedName>
    <definedName name="_bdm.7035742CF9664D038721A120112FA6E1.edm" hidden="1">#REF!</definedName>
    <definedName name="_bdm.77A5B36C53C0434CA471D95905EFD4FD.edm" localSheetId="2" hidden="1">#REF!</definedName>
    <definedName name="_bdm.77A5B36C53C0434CA471D95905EFD4FD.edm" hidden="1">#REF!</definedName>
    <definedName name="_bdm.78070F8414B7463F9087B7E2DE520909.edm" localSheetId="2" hidden="1">#REF!</definedName>
    <definedName name="_bdm.78070F8414B7463F9087B7E2DE520909.edm" hidden="1">#REF!</definedName>
    <definedName name="_bdm.7944833C583046629EE7F9833267280F.edm" localSheetId="2" hidden="1">#REF!</definedName>
    <definedName name="_bdm.7944833C583046629EE7F9833267280F.edm" hidden="1">#REF!</definedName>
    <definedName name="_bdm.807C594E36034424B302FBF9DE77B264.edm" hidden="1">#REF!</definedName>
    <definedName name="_bdm.82E4C5BB8B3849AABE08117983E7EBE6.edm" localSheetId="2" hidden="1">#REF!</definedName>
    <definedName name="_bdm.82E4C5BB8B3849AABE08117983E7EBE6.edm" hidden="1">#REF!</definedName>
    <definedName name="_bdm.853346EF025146EC93FF42D5FF757A61.edm" hidden="1">[8]Secondary!$A:$IV</definedName>
    <definedName name="_bdm.8C53EB64D8B2482795742AC7F6CEC9CC.edm" localSheetId="2" hidden="1">#REF!</definedName>
    <definedName name="_bdm.8C53EB64D8B2482795742AC7F6CEC9CC.edm" hidden="1">#REF!</definedName>
    <definedName name="_bdm.90D15D604D304B43BE993E42ABCA6B28.edm" localSheetId="2" hidden="1">#REF!</definedName>
    <definedName name="_bdm.90D15D604D304B43BE993E42ABCA6B28.edm" hidden="1">#REF!</definedName>
    <definedName name="_bdm.96D7DC1981E443A8B0A8D27935EDB273.edm" localSheetId="2" hidden="1">#REF!</definedName>
    <definedName name="_bdm.96D7DC1981E443A8B0A8D27935EDB273.edm" hidden="1">#REF!</definedName>
    <definedName name="_bdm.9AF536CFB45449FA8ABA66F4B42C1163.edm" hidden="1">[8]Cement!$A:$IV</definedName>
    <definedName name="_bdm.9C189FC3EDA64B39B0954C5C76483230.edm" localSheetId="2" hidden="1">#REF!</definedName>
    <definedName name="_bdm.9C189FC3EDA64B39B0954C5C76483230.edm" hidden="1">#REF!</definedName>
    <definedName name="_bdm.B5776DFF12EA49C58C1C5CE3A619301F.edm" hidden="1">[8]Railway!$A:$IV</definedName>
    <definedName name="_bdm.B81BF1B09E5046E4A1462A17A7083105.edm" hidden="1">#REF!</definedName>
    <definedName name="_bdm.B82C97E3D0834BD48F7C7FD8DBD8141B.edm" hidden="1">#REF!</definedName>
    <definedName name="_bdm.B884C96075144E6F9AF1F8CC7EAF5316.edm" hidden="1">[8]Service!$A:$IV</definedName>
    <definedName name="_bdm.B9E3A7DE84C348D09FFED009B1896E7B.edm" hidden="1">#REF!</definedName>
    <definedName name="_bdm.BEFD4DF2934642218C029351FE43A64E.edm" localSheetId="2" hidden="1">#REF!</definedName>
    <definedName name="_bdm.BEFD4DF2934642218C029351FE43A64E.edm" hidden="1">#REF!</definedName>
    <definedName name="_bdm.C08C8689084D4798B47A167600C028B0.edm" localSheetId="2" hidden="1">#REF!</definedName>
    <definedName name="_bdm.C08C8689084D4798B47A167600C028B0.edm" hidden="1">#REF!</definedName>
    <definedName name="_bdm.C66878AA343946AAB00DF20815189482.edm" localSheetId="2" hidden="1">#REF!</definedName>
    <definedName name="_bdm.C66878AA343946AAB00DF20815189482.edm" hidden="1">#REF!</definedName>
    <definedName name="_bdm.CC4736F3F1934C43AB5EAAF179080C95.edm" localSheetId="2" hidden="1">#REF!</definedName>
    <definedName name="_bdm.CC4736F3F1934C43AB5EAAF179080C95.edm" hidden="1">#REF!</definedName>
    <definedName name="_bdm.CC53B34C3C564FCB9A81C246A102D6EA.edm" localSheetId="2" hidden="1">#REF!</definedName>
    <definedName name="_bdm.CC53B34C3C564FCB9A81C246A102D6EA.edm" hidden="1">#REF!</definedName>
    <definedName name="_bdm.D2A246A0CFED4873BA6C5BD8A0116500.edm" localSheetId="2" hidden="1">#REF!</definedName>
    <definedName name="_bdm.D2A246A0CFED4873BA6C5BD8A0116500.edm" hidden="1">#REF!</definedName>
    <definedName name="_bdm.D502B7BAE42141B1AAC2FA5ED1B5827D.edm" hidden="1">[8]International!$A:$IV</definedName>
    <definedName name="_bdm.D5B3A73FAAD6414A9FFC255B008E5482.edm" hidden="1">[8]Cities!$A:$IV</definedName>
    <definedName name="_bdm.D788F60FC3C14424BB134181BD8AC182.edm" localSheetId="2" hidden="1">#REF!</definedName>
    <definedName name="_bdm.D788F60FC3C14424BB134181BD8AC182.edm" hidden="1">#REF!</definedName>
    <definedName name="_bdm.DB2F9A975F9B422FA85C800A0C441813.edm" hidden="1">#REF!</definedName>
    <definedName name="_bdm.DD32B9BD57EA48FF908ED759110A8023.edm" localSheetId="2" hidden="1">#REF!</definedName>
    <definedName name="_bdm.DD32B9BD57EA48FF908ED759110A8023.edm" hidden="1">#REF!</definedName>
    <definedName name="_bdm.DECF30F0CAE5481D9CFDA17E1F56AD35.edm" localSheetId="2" hidden="1">#REF!</definedName>
    <definedName name="_bdm.DECF30F0CAE5481D9CFDA17E1F56AD35.edm" hidden="1">#REF!</definedName>
    <definedName name="_bdm.EA32E16D117C44CE86A322F8FBDEE6B3.edm" hidden="1">#REF!</definedName>
    <definedName name="_bdm.EC71F54BCEA946ED92405294400372BE.edm" hidden="1">[8]Steel!$A:$IV</definedName>
    <definedName name="_bdm.ECEF9418573446E595DEF574FF8D0EDC.edm" hidden="1">#REF!</definedName>
    <definedName name="_bdm.F02D4573CB2641D09F12AA464B2DF3D0.edm" hidden="1">#REF!</definedName>
    <definedName name="_bdm.F410961418F5452FAB6411068488B9E3.edm" localSheetId="2" hidden="1">#REF!</definedName>
    <definedName name="_bdm.F410961418F5452FAB6411068488B9E3.edm" hidden="1">#REF!</definedName>
    <definedName name="_bdm.F5C2328D5B334648A03CCB13D67153E7.edm" hidden="1">'[8]Consumption (2)'!$A:$IV</definedName>
    <definedName name="_bdm.F7F33F78F7E7489D90AF164EA7AD25EF.edm" hidden="1">#REF!</definedName>
    <definedName name="_bdm.FB67D38B9AB2446ABF16E8DC7CDD29CF.edm" localSheetId="2" hidden="1">#REF!</definedName>
    <definedName name="_bdm.FB67D38B9AB2446ABF16E8DC7CDD29CF.edm" hidden="1">#REF!</definedName>
    <definedName name="_bdm.FE8A0DFDBE474647BBB6D8D3DDA6EBB6.edm" localSheetId="2" hidden="1">'[10]Drivers &amp; Metrics'!$1:$1048576</definedName>
    <definedName name="_bdm.FE8A0DFDBE474647BBB6D8D3DDA6EBB6.edm" hidden="1">'[11]Drivers &amp; Metrics'!$1:$1048576</definedName>
    <definedName name="_boe96">#REF!</definedName>
    <definedName name="_boe97">#REF!</definedName>
    <definedName name="_boe98">#REF!</definedName>
    <definedName name="_boe99">#REF!</definedName>
    <definedName name="_bpd93">#REF!</definedName>
    <definedName name="_bpd94">#REF!</definedName>
    <definedName name="_C">#REF!</definedName>
    <definedName name="_CAP1">#REF!</definedName>
    <definedName name="_cap93">#REF!</definedName>
    <definedName name="_cap94">#REF!</definedName>
    <definedName name="_cap95">#REF!</definedName>
    <definedName name="_cap96">#REF!</definedName>
    <definedName name="_cap97">#REF!</definedName>
    <definedName name="_cap98">#REF!</definedName>
    <definedName name="_ccf93">#REF!</definedName>
    <definedName name="_ccf94">#REF!</definedName>
    <definedName name="_ccVersion">1.41</definedName>
    <definedName name="_cni93">#REF!</definedName>
    <definedName name="_cni94">#REF!</definedName>
    <definedName name="_cos93">#REF!</definedName>
    <definedName name="_cos94">#REF!</definedName>
    <definedName name="_cos96">#REF!</definedName>
    <definedName name="_cpu1">#REF!</definedName>
    <definedName name="_cpu2">#REF!</definedName>
    <definedName name="_cpu3">#REF!</definedName>
    <definedName name="_cpu4">#REF!</definedName>
    <definedName name="_CSC2">#REF!</definedName>
    <definedName name="_cur92">#REF!</definedName>
    <definedName name="_cur93">#REF!</definedName>
    <definedName name="_cur94">#REF!</definedName>
    <definedName name="_DAT1">[13]Price!$A$9:$F$15</definedName>
    <definedName name="_DAT2">[13]Price!$A$19:$F$25</definedName>
    <definedName name="_DAT3">[13]Price!$A$29:$F$35</definedName>
    <definedName name="_DAT4">[13]Price!$H$9:$M$15</definedName>
    <definedName name="_DAT5">[13]Price!$H$19:$M$25</definedName>
    <definedName name="_DAT6">[13]Price!$H$29:$M$35</definedName>
    <definedName name="_DAT7">[13]Price!$A$39:$F$45</definedName>
    <definedName name="_DAT8">[13]Price!$H$39:$M$45</definedName>
    <definedName name="_DCF2">#REF!</definedName>
    <definedName name="_DCF95">#REF!</definedName>
    <definedName name="_DCF96">#REF!</definedName>
    <definedName name="_DCF97">#REF!</definedName>
    <definedName name="_dda93">#REF!</definedName>
    <definedName name="_dda94">#REF!</definedName>
    <definedName name="_def94">#REF!</definedName>
    <definedName name="_dep91">#REF!</definedName>
    <definedName name="_dep92">#REF!</definedName>
    <definedName name="_dep93">#REF!</definedName>
    <definedName name="_dep94">#REF!</definedName>
    <definedName name="_dep95">#REF!</definedName>
    <definedName name="_dep96">#REF!</definedName>
    <definedName name="_div92">#REF!</definedName>
    <definedName name="_div93">#REF!</definedName>
    <definedName name="_div94">#REF!</definedName>
    <definedName name="_div95">#REF!</definedName>
    <definedName name="_div96">#REF!</definedName>
    <definedName name="_div97">#REF!</definedName>
    <definedName name="_div98">'[14]Consolidated Financials'!$H$339</definedName>
    <definedName name="_div99">'[14]Consolidated Financials'!$M$339</definedName>
    <definedName name="_DLX5.INC">#REF!</definedName>
    <definedName name="_DLX6.INC">#REF!</definedName>
    <definedName name="_eps1998">#REF!</definedName>
    <definedName name="_eps1999">#REF!</definedName>
    <definedName name="_EPS2">#REF!</definedName>
    <definedName name="_eps2000">#REF!</definedName>
    <definedName name="_eps2001">#REF!</definedName>
    <definedName name="_EPS98">#REF!</definedName>
    <definedName name="_xlnm._FilterDatabase" hidden="1">#REF!</definedName>
    <definedName name="_fpu1">#REF!</definedName>
    <definedName name="_fpu2">#REF!</definedName>
    <definedName name="_fpu3">#REF!</definedName>
    <definedName name="_fpu4">#REF!</definedName>
    <definedName name="_fsu96">#REF!</definedName>
    <definedName name="_fsu97">#REF!</definedName>
    <definedName name="_fsu98">#REF!</definedName>
    <definedName name="_fsu99">#REF!</definedName>
    <definedName name="_FYE2">#REF!</definedName>
    <definedName name="_HJAppendixVersion">2</definedName>
    <definedName name="_iea1">#REF!</definedName>
    <definedName name="_iea2">#REF!</definedName>
    <definedName name="_iiv65536">#REF!</definedName>
    <definedName name="_inv92">#REF!</definedName>
    <definedName name="_inv93">#REF!</definedName>
    <definedName name="_inv94">#REF!</definedName>
    <definedName name="_inv96">#REF!</definedName>
    <definedName name="_Jet1">#REF!</definedName>
    <definedName name="_Jet2">#REF!</definedName>
    <definedName name="_Jet3">#REF!</definedName>
    <definedName name="_Jet4">#REF!</definedName>
    <definedName name="_Key1" hidden="1">#REF!</definedName>
    <definedName name="_key3">#REF!</definedName>
    <definedName name="_key4">#REF!</definedName>
    <definedName name="_lga94">#REF!</definedName>
    <definedName name="_mi2001">'[14]Consolidated Financials'!$W$171</definedName>
    <definedName name="_mi98">'[14]Consolidated Financials'!$H$171</definedName>
    <definedName name="_mi99">'[14]Consolidated Financials'!$M$171</definedName>
    <definedName name="_mul1">#REF!</definedName>
    <definedName name="_mv1">#REF!</definedName>
    <definedName name="_mv2">#REF!</definedName>
    <definedName name="_mv3">#REF!</definedName>
    <definedName name="_mv4">#REF!</definedName>
    <definedName name="_Net1">#REF!</definedName>
    <definedName name="_new1">#REF!</definedName>
    <definedName name="_new10">#REF!</definedName>
    <definedName name="_new11">#REF!</definedName>
    <definedName name="_new2">#REF!</definedName>
    <definedName name="_new5">#REF!</definedName>
    <definedName name="_new6">#REF!</definedName>
    <definedName name="_new7">#REF!</definedName>
    <definedName name="_new8">#REF!</definedName>
    <definedName name="_new9">#REF!</definedName>
    <definedName name="_ngl93">#REF!</definedName>
    <definedName name="_ngl94">#REF!</definedName>
    <definedName name="_ngl95">#REF!</definedName>
    <definedName name="_ngl96">#REF!</definedName>
    <definedName name="_ngl97">#REF!</definedName>
    <definedName name="_ngl98">#REF!</definedName>
    <definedName name="_nie91">#REF!</definedName>
    <definedName name="_nie92">#REF!</definedName>
    <definedName name="_no1">#REF!,#REF!,#REF!,#REF!,#REF!,#REF!,#REF!,#REF!</definedName>
    <definedName name="_np91">#REF!</definedName>
    <definedName name="_np92">#REF!</definedName>
    <definedName name="_np93">#REF!</definedName>
    <definedName name="_np94">#REF!</definedName>
    <definedName name="_np95">#REF!</definedName>
    <definedName name="_np96">#REF!</definedName>
    <definedName name="_np97">#REF!</definedName>
    <definedName name="_old2" localSheetId="2" hidden="1">{#N/A,#N/A,FALSE,"Chart 2 by Prop Type"}</definedName>
    <definedName name="_old2" localSheetId="1" hidden="1">{#N/A,#N/A,FALSE,"Chart 2 by Prop Type"}</definedName>
    <definedName name="_old2" hidden="1">{#N/A,#N/A,FALSE,"Chart 2 by Prop Type"}</definedName>
    <definedName name="_Order1" hidden="1">255</definedName>
    <definedName name="_Order1_1" hidden="1">255</definedName>
    <definedName name="_Order2" hidden="1">255</definedName>
    <definedName name="_P1">#REF!</definedName>
    <definedName name="_P2">#REF!</definedName>
    <definedName name="_P3">#REF!</definedName>
    <definedName name="_P4">#REF!</definedName>
    <definedName name="_Pet1">#REF!</definedName>
    <definedName name="_Pet2">#REF!</definedName>
    <definedName name="_pfd98">#REF!</definedName>
    <definedName name="_PL1">#REF!</definedName>
    <definedName name="_pri93">#REF!</definedName>
    <definedName name="_pri94">#REF!</definedName>
    <definedName name="_pri95">#REF!</definedName>
    <definedName name="_pri96">#REF!</definedName>
    <definedName name="_pri97">#REF!</definedName>
    <definedName name="_pu1">#REF!</definedName>
    <definedName name="_pu2">#REF!</definedName>
    <definedName name="_pu3">#REF!</definedName>
    <definedName name="_pu4">#REF!</definedName>
    <definedName name="_PV10">#REF!</definedName>
    <definedName name="_RE01">#REF!</definedName>
    <definedName name="_RE02">#REF!</definedName>
    <definedName name="_RE03">#REF!</definedName>
    <definedName name="_RE04">#REF!</definedName>
    <definedName name="_RE05">#REF!</definedName>
    <definedName name="_RE06">#REF!</definedName>
    <definedName name="_RE07">#REF!</definedName>
    <definedName name="_RE08">#REF!</definedName>
    <definedName name="_RE09">#REF!</definedName>
    <definedName name="_RE10">#REF!</definedName>
    <definedName name="_RE100">#REF!</definedName>
    <definedName name="_RE11">#REF!</definedName>
    <definedName name="_RE12">#REF!</definedName>
    <definedName name="_Regression_Int" hidden="1">1</definedName>
    <definedName name="_rev1997">#REF!</definedName>
    <definedName name="_rev1998">#REF!</definedName>
    <definedName name="_rev1999">#REF!</definedName>
    <definedName name="_rev2000">#REF!</definedName>
    <definedName name="_rev2001">#REF!</definedName>
    <definedName name="_rev2002">#REF!</definedName>
    <definedName name="_rev2003">#REF!</definedName>
    <definedName name="_REV89">#REF!</definedName>
    <definedName name="_REV90">#REF!</definedName>
    <definedName name="_REV91">#REF!</definedName>
    <definedName name="_REV92">#REF!</definedName>
    <definedName name="_rev93">#REF!</definedName>
    <definedName name="_rev94">#REF!</definedName>
    <definedName name="_REV95">#REF!</definedName>
    <definedName name="_REV96">#REF!</definedName>
    <definedName name="_REV97">#REF!</definedName>
    <definedName name="_REV98">#REF!</definedName>
    <definedName name="_roa92">#REF!</definedName>
    <definedName name="_roa93">#REF!</definedName>
    <definedName name="_roa94">#REF!</definedName>
    <definedName name="_roa96">#REF!</definedName>
    <definedName name="_roe92">#REF!</definedName>
    <definedName name="_roe93">#REF!</definedName>
    <definedName name="_roe94">#REF!</definedName>
    <definedName name="_roe96">#REF!</definedName>
    <definedName name="_ROP99">#REF!</definedName>
    <definedName name="_scenchg_count" hidden="1">1</definedName>
    <definedName name="_sh3">#REF!</definedName>
    <definedName name="_sh4">#REF!</definedName>
    <definedName name="_Sort" hidden="1">#REF!</definedName>
    <definedName name="_su1">#REF!</definedName>
    <definedName name="_su2">#REF!</definedName>
    <definedName name="_su3">#REF!</definedName>
    <definedName name="_su4">#REF!</definedName>
    <definedName name="_ta92">#REF!</definedName>
    <definedName name="_ta93">#REF!</definedName>
    <definedName name="_ta94">#REF!</definedName>
    <definedName name="_Table2_In1" hidden="1">#REF!</definedName>
    <definedName name="_Table2_Out" localSheetId="2" hidden="1">#REF!</definedName>
    <definedName name="_Table2_Out" hidden="1">#REF!</definedName>
    <definedName name="_tk1">#REF!</definedName>
    <definedName name="_tk2">#REF!</definedName>
    <definedName name="_tk3">#REF!</definedName>
    <definedName name="_tk4">#REF!</definedName>
    <definedName name="_TOP1">#REF!</definedName>
    <definedName name="_TOP10">#REF!</definedName>
    <definedName name="_TOP2">#REF!</definedName>
    <definedName name="_TOP3">#REF!</definedName>
    <definedName name="_TOP4">#REF!</definedName>
    <definedName name="_TOP5">#REF!</definedName>
    <definedName name="_TOP6">#REF!</definedName>
    <definedName name="_TOP7">#REF!</definedName>
    <definedName name="_TOP8">#REF!</definedName>
    <definedName name="_TOP9">#REF!</definedName>
    <definedName name="_TV1">[15]Summary!#REF!</definedName>
    <definedName name="_TV2">[15]Summary!#REF!</definedName>
    <definedName name="_TV3">[15]Summary!#REF!</definedName>
    <definedName name="_twx2">'[16]old Model'!$A$102:$C$194</definedName>
    <definedName name="_twx3">'[16]old Model'!$A$195:$C$266</definedName>
    <definedName name="_Val1">#REF!</definedName>
    <definedName name="_val11">#REF!</definedName>
    <definedName name="_val2">#REF!</definedName>
    <definedName name="_val3">#REF!</definedName>
    <definedName name="_van1">#REF!</definedName>
    <definedName name="_van2">#REF!</definedName>
    <definedName name="_van3">#REF!</definedName>
    <definedName name="_van4">#REF!</definedName>
    <definedName name="_vol93">#REF!</definedName>
    <definedName name="_vol94">#REF!</definedName>
    <definedName name="_vol95">#REF!</definedName>
    <definedName name="_vol96">#REF!</definedName>
    <definedName name="_vol97">#REF!</definedName>
    <definedName name="_WGT1">#REF!</definedName>
    <definedName name="_WGT2">#REF!</definedName>
    <definedName name="_WGT3">#REF!</definedName>
    <definedName name="_WGT4">#REF!</definedName>
    <definedName name="_WGT5">#REF!</definedName>
    <definedName name="_WGT6">#REF!</definedName>
    <definedName name="_xx1">#REF!</definedName>
    <definedName name="_xx100">#REF!</definedName>
    <definedName name="_xx101">#REF!</definedName>
    <definedName name="_xx2">#REF!</definedName>
    <definedName name="_xx200">#REF!</definedName>
    <definedName name="_xx201">#REF!</definedName>
    <definedName name="_xx3">#REF!</definedName>
    <definedName name="_xx300">#REF!</definedName>
    <definedName name="_xx301">#REF!</definedName>
    <definedName name="_xx302">#REF!</definedName>
    <definedName name="_xx4">#REF!</definedName>
    <definedName name="_xx400">#REF!</definedName>
    <definedName name="_xx5">#REF!</definedName>
    <definedName name="_xx500">#REF!</definedName>
    <definedName name="_xx6">#REF!</definedName>
    <definedName name="_xx600">#REF!</definedName>
    <definedName name="_xx7">#REF!</definedName>
    <definedName name="_xx8">#REF!</definedName>
    <definedName name="_xx9">#REF!</definedName>
    <definedName name="A_ALL_000157.SZ">#REF!</definedName>
    <definedName name="A_ALL_002008.SZ">#REF!</definedName>
    <definedName name="A_ALL_002050.SZ">#REF!</definedName>
    <definedName name="A_ALL_002527.SZ">#REF!</definedName>
    <definedName name="A_ALL_010950.KS">#REF!</definedName>
    <definedName name="A_ALL_0358.HK">#REF!</definedName>
    <definedName name="A_ALL_0669.HK">#REF!</definedName>
    <definedName name="A_ALL_0750.HK">#REF!</definedName>
    <definedName name="A_ALL_1157.HK">#REF!</definedName>
    <definedName name="A_ALL_300024.SZ">#REF!</definedName>
    <definedName name="A_ALL_300124.SZ">#REF!</definedName>
    <definedName name="A_ALL_300747.SZ">#REF!</definedName>
    <definedName name="A_ALL_300750.SZ">#REF!</definedName>
    <definedName name="A_ALL_600019.SS">#REF!</definedName>
    <definedName name="A_ALL_600761.SS">#REF!</definedName>
    <definedName name="A_ALL_688567.SS">#REF!</definedName>
    <definedName name="A_ALL_688686.SS">#REF!</definedName>
    <definedName name="A_ALL_CSIQ">#REF!</definedName>
    <definedName name="A_ALL_KEYWORDS_TYPE_ScalarContributed_EQTY_200005264">#REF!,#REF!</definedName>
    <definedName name="A_ALL_KEYWORDS_TYPE_ScalarContributed_EQTY_200005566">#REF!,#REF!</definedName>
    <definedName name="A_ALL_KEYWORDS_TYPE_ScalarContributed_EQTY_200006225">#REF!,#REF!</definedName>
    <definedName name="A_ALL_KEYWORDS_TYPE_ScalarContributed_EQTY_200006887">#REF!,#REF!</definedName>
    <definedName name="A_ALL_KEYWORDS_TYPE_ScalarContributed_EQTY_200007026">#REF!,#REF!</definedName>
    <definedName name="A_ALL_KEYWORDS_TYPE_ScalarContributed_EQTY_200008494">#REF!,#REF!</definedName>
    <definedName name="A_ALL_KEYWORDS_TYPE_ScalarContributed_EQTY_200008521">#REF!,#REF!</definedName>
    <definedName name="A_ALL_KEYWORDS_TYPE_ScalarContributed_EQTY_200009654">#REF!,#REF!</definedName>
    <definedName name="A_ALL_KEYWORDS_TYPE_ScalarContributed_EQTY_200009655">#REF!,#REF!</definedName>
    <definedName name="A_ALL_KEYWORDS_TYPE_ScalarContributed_EQTY_200009737">#REF!,#REF!</definedName>
    <definedName name="A_ALL_KEYWORDS_TYPE_ScalarContributed_EQTY_200009791">#REF!,#REF!</definedName>
    <definedName name="A_ALL_KEYWORDS_TYPE_ScalarContributed_EQTY_200009867">#REF!,#REF!</definedName>
    <definedName name="A_ALL_KEYWORDS_TYPE_ScalarContributed_EQTY_200009998">#REF!,#REF!</definedName>
    <definedName name="A_ALL_KEYWORDS_TYPE_ScalarContributed_EQTY_200010001">#REF!,#REF!</definedName>
    <definedName name="A_ALL_KEYWORDS_TYPE_ScalarContributed_EQTY_200011150">#REF!,#REF!</definedName>
    <definedName name="A_ALL_KEYWORDS_TYPE_ScalarContributed_EQTY_200011151">#REF!,#REF!</definedName>
    <definedName name="A_ALL_KEYWORDS_TYPE_ScalarContributed_EQTY_200012041">#REF!,#REF!</definedName>
    <definedName name="A_ALL_KEYWORDS_TYPE_ScalarContributed_EQTY_200012053">#REF!,#REF!</definedName>
    <definedName name="A_ALL_KEYWORDS_TYPE_ScalarContributed_EQTY_200012667">#REF!,#REF!</definedName>
    <definedName name="A_ALL_KEYWORDS_TYPE_ScalarContributed_EQTY_200012890">#REF!,#REF!</definedName>
    <definedName name="A_ALL_KEYWORDS_TYPE_ScalarContributed_EQTY_200013639">#REF!,#REF!</definedName>
    <definedName name="A_ALL_KEYWORDS_TYPE_ScalarContributed_EQTY_200014649">#REF!,#REF!</definedName>
    <definedName name="A_ALL_KEYWORDS_TYPE_ScalarContributed_EQTY_200015216">#REF!,#REF!,#REF!</definedName>
    <definedName name="A_ALL_KEYWORDS_TYPE_ScalarContributed_EQTY_200015601">#REF!,#REF!</definedName>
    <definedName name="A_ALL_KEYWORDS_TYPE_ScalarContributed_EQTY_200015873">#REF!,#REF!</definedName>
    <definedName name="A_ALL_KEYWORDS_TYPE_ScalarContributed_EQTY_200016577">#REF!,#REF!</definedName>
    <definedName name="A_ALL_KEYWORDS_TYPE_ScalarContributed_EQTY_200016905">#REF!,#REF!</definedName>
    <definedName name="A_ALL_KEYWORDS_TYPE_ScalarContributed_EQTY_200017327">#REF!,#REF!</definedName>
    <definedName name="A_ALL_KEYWORDS_TYPE_ScalarContributed_EQTY_200018275">#REF!,#REF!,#REF!</definedName>
    <definedName name="A_ALL_KEYWORDS_TYPE_ScalarContributed_EQTY_200018291">#REF!,#REF!</definedName>
    <definedName name="A_ALL_KEYWORDS_TYPE_ScalarContributed_EQTY_200018294">#REF!,#REF!</definedName>
    <definedName name="A_ALL_KEYWORDS_TYPE_ScalarContributed_EQTY_200019280">#REF!,#REF!</definedName>
    <definedName name="A_ALL_KEYWORDS_TYPE_ScalarContributed_ISSR_208001579">#REF!,#REF!</definedName>
    <definedName name="A_ALL_KEYWORDS_TYPE_ScalarContributed_ISSR_208002524">#REF!,#REF!</definedName>
    <definedName name="A_ALL_KEYWORDS_TYPE_ScalarContributed_ISSR_208007494">#REF!,#REF!</definedName>
    <definedName name="A_ALL_KEYWORDS_TYPE_ScalarContributed_ISSR_208007541">#REF!,#REF!</definedName>
    <definedName name="A_ALL_KEYWORDS_TYPE_ScalarContributed_ISSR_208008538">#REF!,#REF!</definedName>
    <definedName name="A_ALL_KEYWORDS_TYPE_ScalarContributed_ISSR_208008539">#REF!,#REF!</definedName>
    <definedName name="A_ALL_KEYWORDS_TYPE_ScalarContributed_ISSR_208009490">#REF!,#REF!</definedName>
    <definedName name="A_ALL_KEYWORDS_TYPE_ScalarContributed_ISSR_208010512">#REF!,#REF!</definedName>
    <definedName name="A_ALL_KEYWORDS_TYPE_Vector_EQTY_200005264">#REF!,#REF!,#REF!,#REF!,#REF!</definedName>
    <definedName name="A_ALL_KEYWORDS_TYPE_Vector_EQTY_200005566">#REF!,#REF!,#REF!,#REF!,#REF!</definedName>
    <definedName name="A_ALL_KEYWORDS_TYPE_Vector_EQTY_200006225">#REF!,#REF!,#REF!,#REF!,#REF!</definedName>
    <definedName name="A_ALL_KEYWORDS_TYPE_Vector_EQTY_200006887">#REF!,#REF!,#REF!,#REF!,#REF!</definedName>
    <definedName name="A_ALL_KEYWORDS_TYPE_Vector_EQTY_200007026">#REF!,#REF!,#REF!,#REF!,#REF!</definedName>
    <definedName name="A_ALL_KEYWORDS_TYPE_Vector_EQTY_200007202">#REF!,#REF!,#REF!,#REF!,#REF!</definedName>
    <definedName name="A_ALL_KEYWORDS_TYPE_Vector_EQTY_200008494">#REF!,#REF!,#REF!,#REF!,#REF!</definedName>
    <definedName name="A_ALL_KEYWORDS_TYPE_Vector_EQTY_200008521">#REF!,#REF!,#REF!,#REF!,#REF!</definedName>
    <definedName name="A_ALL_KEYWORDS_TYPE_Vector_EQTY_200009654">#REF!,#REF!,#REF!,#REF!,#REF!</definedName>
    <definedName name="A_ALL_KEYWORDS_TYPE_Vector_EQTY_200009655">#REF!,#REF!,#REF!,#REF!,#REF!</definedName>
    <definedName name="A_ALL_KEYWORDS_TYPE_Vector_EQTY_200009737">#REF!,#REF!,#REF!,#REF!,#REF!</definedName>
    <definedName name="A_ALL_KEYWORDS_TYPE_Vector_EQTY_200009791">#REF!,#REF!,#REF!,#REF!,#REF!</definedName>
    <definedName name="A_ALL_KEYWORDS_TYPE_Vector_EQTY_200009867">#REF!,#REF!,#REF!,#REF!,#REF!</definedName>
    <definedName name="A_ALL_KEYWORDS_TYPE_Vector_EQTY_200009998">#REF!,#REF!,#REF!,#REF!,#REF!,#REF!</definedName>
    <definedName name="A_ALL_KEYWORDS_TYPE_Vector_EQTY_200010001">#REF!,#REF!,#REF!,#REF!,#REF!,#REF!</definedName>
    <definedName name="A_ALL_KEYWORDS_TYPE_Vector_EQTY_200010839">#REF!,#REF!,#REF!,#REF!,#REF!</definedName>
    <definedName name="A_ALL_KEYWORDS_TYPE_Vector_EQTY_200011150">#REF!,#REF!,#REF!,#REF!,#REF!,#REF!</definedName>
    <definedName name="A_ALL_KEYWORDS_TYPE_Vector_EQTY_200011151">#REF!,#REF!,#REF!,#REF!,#REF!,#REF!</definedName>
    <definedName name="A_ALL_KEYWORDS_TYPE_Vector_EQTY_200012554">#REF!,#REF!,#REF!,#REF!,#REF!</definedName>
    <definedName name="A_ALL_KEYWORDS_TYPE_Vector_EQTY_200012667">#REF!,#REF!,#REF!,#REF!,#REF!,#REF!</definedName>
    <definedName name="A_ALL_KEYWORDS_TYPE_Vector_EQTY_200015216">#REF!,#REF!,#REF!,#REF!,#REF!,#REF!</definedName>
    <definedName name="A_ALL_KEYWORDS_TYPE_Vector_EQTY_200015601">#REF!,#REF!,#REF!,#REF!,#REF!</definedName>
    <definedName name="A_ALL_KEYWORDS_TYPE_Vector_EQTY_200015873">#REF!,#REF!,#REF!,#REF!,#REF!</definedName>
    <definedName name="A_ALL_KEYWORDS_TYPE_Vector_EQTY_200016577">#REF!,#REF!,#REF!,#REF!,#REF!</definedName>
    <definedName name="A_ALL_KEYWORDS_TYPE_Vector_EQTY_200016786">#REF!,#REF!,#REF!,#REF!,#REF!</definedName>
    <definedName name="A_ALL_KEYWORDS_TYPE_Vector_EQTY_200016787">#REF!,#REF!,#REF!,#REF!,#REF!</definedName>
    <definedName name="A_ALL_KEYWORDS_TYPE_Vector_EQTY_200018291">#REF!,#REF!,#REF!,#REF!,#REF!,#REF!</definedName>
    <definedName name="A_ALL_KEYWORDS_TYPE_Vector_EQTY_200018294">#REF!,#REF!,#REF!,#REF!,#REF!,#REF!</definedName>
    <definedName name="A_ALL_KEYWORDS_TYPE_Vector_EQTY_200019639">#REF!,#REF!,#REF!,#REF!,#REF!,#REF!</definedName>
    <definedName name="A_ALL_KEYWORDS_TYPE_Vector_ISSR_208001579">#REF!,#REF!,#REF!,#REF!,#REF!,#REF!,#REF!,#REF!,#REF!,#REF!,#REF!,#REF!,#REF!,#REF!</definedName>
    <definedName name="A_ALL_KEYWORDS_TYPE_Vector_ISSR_208016097">#REF!,#REF!,#REF!,#REF!,#REF!,#REF!,#REF!,#REF!,#REF!,#REF!,#REF!,#REF!,#REF!,#REF!,#REF!,#REF!,#REF!</definedName>
    <definedName name="A_ALL_KEYWORDS_TYPE_Vector_ISSR_208016100">#REF!,#REF!,#REF!,#REF!,#REF!,#REF!,#REF!,#REF!,#REF!,#REF!,#REF!,#REF!,#REF!,#REF!,#REF!,#REF!</definedName>
    <definedName name="A_ALL_KEYWORDS_TYPE_Vector_ISSR_208018230">#REF!,#REF!,#REF!,#REF!,#REF!,#REF!,#REF!,#REF!,#REF!,#REF!,#REF!,#REF!,#REF!,#REF!,#REF!</definedName>
    <definedName name="A_ALL_SECTION_KEYWORDS_ISSR_208001154_13A">#REF!,#REF!</definedName>
    <definedName name="A_ALL_SECTION_KEYWORDS_ISSR_208001154_13V">#REF!,#REF!</definedName>
    <definedName name="A_ALL_SECTION_KEYWORDS_ISSR_208001156_136E">#REF!,#REF!</definedName>
    <definedName name="A_ALL_SECTION_KEYWORDS_ISSR_208001156_13A">#REF!,#REF!</definedName>
    <definedName name="A_ALL_SECTION_KEYWORDS_ISSR_208001156_13V">#REF!,#REF!</definedName>
    <definedName name="A_ALL_SECTION_KEYWORDS_ISSR_208001501_136E">#REF!,#REF!</definedName>
    <definedName name="A_ALL_SECTION_KEYWORDS_ISSR_208001501_13A">#REF!,#REF!</definedName>
    <definedName name="A_ALL_SECTION_KEYWORDS_ISSR_208001501_13V">#REF!,#REF!</definedName>
    <definedName name="A_ALL_SECTION_KEYWORDS_ISSR_208001579_136E">#REF!,#REF!</definedName>
    <definedName name="A_ALL_SECTION_KEYWORDS_ISSR_208001579_13A">#REF!,#REF!</definedName>
    <definedName name="A_ALL_SECTION_KEYWORDS_ISSR_208001579_13V">#REF!,#REF!</definedName>
    <definedName name="A_ALL_SECTION_KEYWORDS_ISSR_208002524_13V">#REF!,#REF!</definedName>
    <definedName name="A_ALL_SECTION_KEYWORDS_ISSR_208007494_136E">#REF!,#REF!</definedName>
    <definedName name="A_ALL_SECTION_KEYWORDS_ISSR_208007494_13A">#REF!,#REF!</definedName>
    <definedName name="A_ALL_SECTION_KEYWORDS_ISSR_208007494_13V">#REF!,#REF!</definedName>
    <definedName name="A_ALL_SECTION_KEYWORDS_ISSR_208007541_13V">#REF!,#REF!</definedName>
    <definedName name="A_ALL_SECTION_KEYWORDS_ISSR_208008849_13168">#REF!,#REF!</definedName>
    <definedName name="A_ALL_SECTION_KEYWORDS_ISSR_208008849_1319">#REF!,#REF!</definedName>
    <definedName name="A_ALL_SECTION_KEYWORDS_ISSR_208009490_13V">#REF!,#REF!</definedName>
    <definedName name="A_ALL_SECTION_KEYWORDS_ISSR_208010512_1314">#REF!</definedName>
    <definedName name="A_ALL_SECTION_KEYWORDS_ISSR_208010512_1316S">#REF!,#REF!</definedName>
    <definedName name="A_ALL_SECTION_KEYWORDS_ISSR_208010512_1319">#REF!</definedName>
    <definedName name="A_ALL_SECTION_KEYWORDS_ISSR_208010512_131E">#REF!</definedName>
    <definedName name="A_ALL_SECTION_KEYWORDS_ISSR_208010512_13V">#REF!,#REF!</definedName>
    <definedName name="A_ALL_SECTION_KEYWORDS_ISSR_208014120_13168">#REF!</definedName>
    <definedName name="A_ALL_SECTION_KEYWORDS_ISSR_208014120_1316T">#REF!</definedName>
    <definedName name="A_ALL_SECTION_KEYWORDS_ISSR_208014120_1319">#REF!</definedName>
    <definedName name="A_ALL_SECTION_KEYWORDS_ISSR_208016097_13V">#REF!,#REF!</definedName>
    <definedName name="A_ALL_SECTION_KEYWORDS_ISSR_208016100_136E">#REF!,#REF!</definedName>
    <definedName name="A_ALL_SECTION_KEYWORDS_ISSR_208016100_13V">#REF!,#REF!</definedName>
    <definedName name="A_ALL_SECTION_KEYWORDS_ISSR_208018230_13V">#REF!,#REF!</definedName>
    <definedName name="A_ALL_SECTIONS_EQTY_200001447">#REF!,#REF!,#REF!,#REF!,#REF!,#REF!,#REF!,#REF!,#REF!,#REF!</definedName>
    <definedName name="A_ALL_SECTIONS_EQTY_200002809">#REF!,#REF!,#REF!,#REF!,#REF!,#REF!,#REF!,#REF!</definedName>
    <definedName name="A_ALL_SECTIONS_EQTY_200003565">#REF!,#REF!,#REF!,#REF!,#REF!,#REF!,#REF!,#REF!</definedName>
    <definedName name="A_ALL_SECTIONS_EQTY_200006225">#REF!,#REF!,#REF!,#REF!,#REF!,#REF!,#REF!,#REF!</definedName>
    <definedName name="A_ALL_SECTIONS_EQTY_200006887">#REF!,#REF!,#REF!,#REF!,#REF!,#REF!,#REF!,#REF!</definedName>
    <definedName name="A_ALL_SECTIONS_EQTY_200007202">#REF!,#REF!,#REF!,#REF!,#REF!,#REF!,#REF!,#REF!</definedName>
    <definedName name="A_ALL_SECTIONS_EQTY_200008521">#REF!,#REF!,#REF!,#REF!,#REF!,#REF!,#REF!,#REF!</definedName>
    <definedName name="A_ALL_SECTIONS_EQTY_200009654">#REF!,#REF!,#REF!,#REF!,#REF!,#REF!,#REF!,#REF!</definedName>
    <definedName name="A_ALL_SECTIONS_EQTY_200009655">#REF!,#REF!,#REF!,#REF!,#REF!,#REF!,#REF!,#REF!</definedName>
    <definedName name="A_ALL_SECTIONS_EQTY_200009867">#REF!,#REF!,#REF!,#REF!,#REF!,#REF!,#REF!,#REF!</definedName>
    <definedName name="A_ALL_SECTIONS_EQTY_200009998">#REF!,#REF!,#REF!,#REF!,#REF!,#REF!,#REF!,#REF!,#REF!</definedName>
    <definedName name="A_ALL_SECTIONS_EQTY_200010001">#REF!,#REF!,#REF!,#REF!,#REF!,#REF!,#REF!,#REF!,#REF!</definedName>
    <definedName name="A_ALL_SECTIONS_EQTY_200011150">#REF!,#REF!,#REF!,#REF!,#REF!,#REF!,#REF!,#REF!,#REF!</definedName>
    <definedName name="A_ALL_SECTIONS_EQTY_200011151">#REF!,#REF!,#REF!,#REF!,#REF!,#REF!,#REF!,#REF!,#REF!</definedName>
    <definedName name="A_ALL_SECTIONS_EQTY_200015601">#REF!,#REF!,#REF!,#REF!,#REF!,#REF!,#REF!,#REF!</definedName>
    <definedName name="A_ALL_SECTIONS_EQTY_200015873">#REF!,#REF!,#REF!,#REF!,#REF!,#REF!,#REF!,#REF!</definedName>
    <definedName name="A_ALL_SECTIONS_EQTY_200016577">#REF!,#REF!,#REF!,#REF!,#REF!,#REF!,#REF!,#REF!</definedName>
    <definedName name="A_ALL_SECTIONS_ISSR_208008538">#REF!,#REF!,#REF!,#REF!,#REF!,#REF!,#REF!,#REF!,#REF!,#REF!</definedName>
    <definedName name="A_ALL_SECTIONS_ISSR_208008539">#REF!,#REF!,#REF!,#REF!,#REF!,#REF!,#REF!,#REF!,#REF!,#REF!</definedName>
    <definedName name="A_ALL_SECTIONS_ISSR_208009120">#REF!,#REF!,#REF!,#REF!,#REF!,#REF!,#REF!,#REF!,#REF!,#REF!</definedName>
    <definedName name="A_ALL_SECTIONS_ISSR_208009639">#REF!,#REF!,#REF!,#REF!,#REF!,#REF!,#REF!,#REF!,#REF!</definedName>
    <definedName name="A_ALL_SECTIONS_ISSR_208009891">#REF!,#REF!,#REF!,#REF!,#REF!,#REF!,#REF!,#REF!,#REF!</definedName>
    <definedName name="A_ALL_SECTIONS_ISSR_208010545">#REF!,#REF!,#REF!,#REF!,#REF!,#REF!,#REF!,#REF!,#REF!,#REF!</definedName>
    <definedName name="A_ALL_SECTIONS_ISSR_208012475">#REF!,#REF!,#REF!,#REF!,#REF!,#REF!,#REF!,#REF!,#REF!,#REF!</definedName>
    <definedName name="A_ALL_SECTIONS_ISSR_208012783">#REF!,#REF!,#REF!,#REF!,#REF!,#REF!,#REF!,#REF!,#REF!</definedName>
    <definedName name="A_impresión_EXTRA">#REF!</definedName>
    <definedName name="A_impresión_IM">#REF!</definedName>
    <definedName name="A_impresión_META">#REF!</definedName>
    <definedName name="A_Impresión_ORO">#REF!</definedName>
    <definedName name="A_impresión_PLOMO">#REF!</definedName>
    <definedName name="A_impresión_PRO">#REF!</definedName>
    <definedName name="A_impresión_ZN">#REF!</definedName>
    <definedName name="a_is">#REF!</definedName>
    <definedName name="A_KEYWORD_EQTY_200011150_CURRENCY_ISO">#REF!</definedName>
    <definedName name="A_KEYWORD_EQTY_200011150_DILUTE_SHARES">#REF!</definedName>
    <definedName name="A_KEYWORD_EQTY_200011150_DPS">#REF!</definedName>
    <definedName name="A_KEYWORD_EQTY_200011150_DPS_PUB">#REF!</definedName>
    <definedName name="A_KEYWORD_EQTY_200011150_EBIT_PUB">#REF!</definedName>
    <definedName name="A_KEYWORD_EQTY_200011150_EBITDA_PUB">#REF!</definedName>
    <definedName name="A_KEYWORD_EQTY_200011150_EPS">#REF!</definedName>
    <definedName name="A_KEYWORD_EQTY_200011150_EPS_CONS_PUB">#REF!</definedName>
    <definedName name="A_KEYWORD_EQTY_200011150_EPS_FUL_DIL">#REF!</definedName>
    <definedName name="A_KEYWORD_EQTY_200011150_EPS_POST_BASIC">#REF!</definedName>
    <definedName name="A_KEYWORD_EQTY_200011150_EPS_PUB">#REF!</definedName>
    <definedName name="A_KEYWORD_EQTY_200011150_EQ_PUB">#REF!</definedName>
    <definedName name="A_KEYWORD_EQTY_200011150_EV_ADJ_PUB">#REF!</definedName>
    <definedName name="A_KEYWORD_EQTY_200011150_FOREIGN_HOLDNG">#REF!</definedName>
    <definedName name="A_KEYWORD_EQTY_200011150_FREE_FLOAT">#REF!</definedName>
    <definedName name="A_KEYWORD_EQTY_200011150_FULLY_DIL_EPS">#REF!</definedName>
    <definedName name="A_KEYWORD_EQTY_200011150_INC_MINORITY">#REF!</definedName>
    <definedName name="A_KEYWORD_EQTY_200011150_Interim_Type">#REF!</definedName>
    <definedName name="A_KEYWORD_EQTY_200011150_LEGAL_RATING">#REF!</definedName>
    <definedName name="A_KEYWORD_EQTY_200011150_MARGIN_TAX_RATE">#REF!</definedName>
    <definedName name="A_KEYWORD_EQTY_200011150_MKT_EQ_RISK_PREM">#REF!</definedName>
    <definedName name="A_KEYWORD_EQTY_200011150_NET_DEBT_PUB">#REF!</definedName>
    <definedName name="A_KEYWORD_EQTY_200011150_NET_EARNING">#REF!</definedName>
    <definedName name="A_KEYWORD_EQTY_200011150_NET_INC">#REF!</definedName>
    <definedName name="A_KEYWORD_EQTY_200011150_NI_CONS">#REF!</definedName>
    <definedName name="A_KEYWORD_EQTY_200011150_NI_PRE_PREF">#REF!</definedName>
    <definedName name="A_KEYWORD_EQTY_200011150_NI_PUB">#REF!</definedName>
    <definedName name="A_KEYWORD_EQTY_200011150_NON_OP_ADD">#REF!</definedName>
    <definedName name="A_KEYWORD_EQTY_200011150_NUM_SH">#REF!</definedName>
    <definedName name="A_KEYWORD_EQTY_200011150_PREF_DIV">#REF!</definedName>
    <definedName name="A_KEYWORD_EQTY_200011150_PRI_TARG_METH">#REF!</definedName>
    <definedName name="A_KEYWORD_EQTY_200011150_PRI_TARG_MULT">#REF!</definedName>
    <definedName name="A_KEYWORD_EQTY_200011150_PRICE_CURRENCY_ISO">#REF!</definedName>
    <definedName name="A_KEYWORD_EQTY_200011150_PROV_INC_TAX">#REF!</definedName>
    <definedName name="A_KEYWORD_EQTY_200011150_PTP_PUB">#REF!</definedName>
    <definedName name="A_KEYWORD_EQTY_200011150_PUB_CURRENCY_ISO">#REF!</definedName>
    <definedName name="A_KEYWORD_ISSR_208008538_MINORITIES">#REF!</definedName>
    <definedName name="A_KEYWORD_ISSR_208008538_MV_ASSOCIATES">#REF!</definedName>
    <definedName name="A_KEYWORD_ISSR_208008538_NET_DEBT">#REF!</definedName>
    <definedName name="A_KEYWORD_ISSR_208008538_NET_DEBT_ADJ">#REF!</definedName>
    <definedName name="A_KEYWORD_ISSR_208008538_NET_FIX_ASS">#REF!</definedName>
    <definedName name="A_KEYWORD_ISSR_208008538_NET_INT_CH">#REF!</definedName>
    <definedName name="A_KEYWORD_ISSR_208008538_NET_INT_EXP">#REF!</definedName>
    <definedName name="A_KEYWORD_ISSR_208008538_NET_INTANG">#REF!</definedName>
    <definedName name="A_KEYWORD_ISSR_208008538_NONPPE_CAPEX">#REF!</definedName>
    <definedName name="A_KEYWORD_ISSR_208008538_OP_COST">#REF!</definedName>
    <definedName name="A_KEYWORD_ISSR_208008538_ORD_SH_FUND">#REF!</definedName>
    <definedName name="A_KEYWORD_ISSR_208008538_OTH_COST_INC">#REF!</definedName>
    <definedName name="A_KEYWORD_ISSR_208008538_OTH_CUR_ASS">#REF!</definedName>
    <definedName name="A_KEYWORD_ISSR_208008538_OTH_CUR_LIABS">#REF!</definedName>
    <definedName name="A_KEYWORD_ISSR_208008538_OTH_DACF_ADJ">#REF!</definedName>
    <definedName name="A_KEYWORD_ISSR_208008538_OTH_FIN_CF">#REF!</definedName>
    <definedName name="A_KEYWORD_ISSR_208008538_OTH_GCI_ADJ">#REF!</definedName>
    <definedName name="A_KEYWORD_ISSR_208008538_OTH_INV_CF">#REF!</definedName>
    <definedName name="A_KEYWORD_ISSR_208008538_OTH_LT_ASS">#REF!</definedName>
    <definedName name="A_KEYWORD_ISSR_208008538_OTH_LT_CRED_GQ">#REF!</definedName>
    <definedName name="A_KEYWORD_ISSR_208008538_OTH_NONCASH_ADJ">#REF!</definedName>
    <definedName name="A_KEYWORD_ISSR_208008538_OTH_OP_CF">#REF!</definedName>
    <definedName name="A_KEYWORD_ISSR_208008538_OTH_OP_INC_EXP">#REF!</definedName>
    <definedName name="A_KEYWORD_ISSR_208008538_PERIOD_MILESTONE">#REF!</definedName>
    <definedName name="A_KEYWORD_ISSR_208008538_PERSONNEL">#REF!</definedName>
    <definedName name="A_PERIOD_2009_H2">#REF!</definedName>
    <definedName name="A_PERIOD_2010_H2">#REF!</definedName>
    <definedName name="A_PERIOD_2011_H2">#REF!</definedName>
    <definedName name="A_PERIOD_2012_H1">#REF!</definedName>
    <definedName name="A_PERIOD_2012_H2">#REF!</definedName>
    <definedName name="aa">#N/A</definedName>
    <definedName name="AAA_DOCTOPS" hidden="1">"AAA_SET"</definedName>
    <definedName name="AAA_duser" hidden="1">"OFF"</definedName>
    <definedName name="aaaaaa">"Chart 45"</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TRUE,TRUE,-1.25,-15.5,456.75,279.75,FALSE,FALSE,TRUE,TRUE,0,1,21,1,127,6,3,4,TRUE,TRUE,3,TRUE,1,TRUE,100,"Swvu.profits.","ACwvu.profits.",1,FALSE,FALSE,0.511811023622047,0.511811023622047,0.511811023622047,0.511811023622047,1,"","",FALSE,FALSE,FALSE,FALSE,1,#N/A,1,1,#DIV/0!,FALSE,"Rwvu.profits.",#N/A,FALSE,FALSE}</definedName>
    <definedName name="ABS">#REF!</definedName>
    <definedName name="ac">#REF!</definedName>
    <definedName name="ACA_00D">#REF!</definedName>
    <definedName name="ACA_00J">#REF!</definedName>
    <definedName name="ACA_00M">#REF!</definedName>
    <definedName name="ACA_00S">#REF!</definedName>
    <definedName name="ACA_01D">#REF!</definedName>
    <definedName name="ACA_01J">#REF!</definedName>
    <definedName name="ACA_01M">#REF!</definedName>
    <definedName name="ACA_01S">#REF!</definedName>
    <definedName name="ACA_02D">#REF!</definedName>
    <definedName name="ACA_02J">#REF!</definedName>
    <definedName name="ACA_02M">#REF!</definedName>
    <definedName name="ACA_02S">#REF!</definedName>
    <definedName name="ACA_03D">#REF!</definedName>
    <definedName name="ACA_03J">#REF!</definedName>
    <definedName name="ACA_03M">#REF!</definedName>
    <definedName name="ACA_03S">#REF!</definedName>
    <definedName name="ACA_04D">#REF!</definedName>
    <definedName name="ACA_04J">#REF!</definedName>
    <definedName name="ACA_04M">#REF!</definedName>
    <definedName name="ACA_04S">#REF!</definedName>
    <definedName name="ACA_05D">#REF!</definedName>
    <definedName name="ACA_05J">#REF!</definedName>
    <definedName name="ACA_05M">#REF!</definedName>
    <definedName name="ACA_05S">#REF!</definedName>
    <definedName name="ACA_06D">#REF!</definedName>
    <definedName name="ACA_06J">#REF!</definedName>
    <definedName name="ACA_06M">#REF!</definedName>
    <definedName name="ACA_06S">#REF!</definedName>
    <definedName name="ACA_07D">#REF!</definedName>
    <definedName name="ACA_07J">#REF!</definedName>
    <definedName name="ACA_07M">#REF!</definedName>
    <definedName name="ACA_07S">#REF!</definedName>
    <definedName name="ACA_08D">#REF!</definedName>
    <definedName name="ACA_08J">#REF!</definedName>
    <definedName name="ACA_08M">#REF!</definedName>
    <definedName name="ACA_08S">#REF!</definedName>
    <definedName name="ACA_09D">#REF!</definedName>
    <definedName name="ACA_09J">#REF!</definedName>
    <definedName name="ACA_09M">#REF!</definedName>
    <definedName name="ACA_09S">#REF!</definedName>
    <definedName name="ACA_10D">#REF!</definedName>
    <definedName name="ACA_10J">#REF!</definedName>
    <definedName name="ACA_10M">#REF!</definedName>
    <definedName name="ACA_10S">#REF!</definedName>
    <definedName name="ACA_11D">#REF!</definedName>
    <definedName name="ACA_11J">#REF!</definedName>
    <definedName name="ACA_11M">#REF!</definedName>
    <definedName name="ACA_11S">#REF!</definedName>
    <definedName name="ACA_12D">#REF!</definedName>
    <definedName name="ACA_12J">#REF!</definedName>
    <definedName name="ACA_12M">#REF!</definedName>
    <definedName name="ACA_12S">#REF!</definedName>
    <definedName name="ACA_13D">#REF!</definedName>
    <definedName name="ACA_13J">#REF!</definedName>
    <definedName name="ACA_13M">#REF!</definedName>
    <definedName name="ACA_13S">#REF!</definedName>
    <definedName name="ACA_14D">#REF!</definedName>
    <definedName name="ACA_14J">#REF!</definedName>
    <definedName name="ACA_14M">#REF!</definedName>
    <definedName name="ACA_14S">#REF!</definedName>
    <definedName name="ACA_15D">#REF!</definedName>
    <definedName name="ACA_15J">#REF!</definedName>
    <definedName name="ACA_15M">#REF!</definedName>
    <definedName name="ACA_15S">#REF!</definedName>
    <definedName name="ACA_16D">#REF!</definedName>
    <definedName name="ACA_16J">#REF!</definedName>
    <definedName name="ACA_16M">#REF!</definedName>
    <definedName name="ACA_16S">#REF!</definedName>
    <definedName name="ACA_17D">#REF!</definedName>
    <definedName name="ACA_17J">#REF!</definedName>
    <definedName name="ACA_17M">#REF!</definedName>
    <definedName name="ACA_17S">#REF!</definedName>
    <definedName name="ACA_18D">#REF!</definedName>
    <definedName name="ACA_18J">#REF!</definedName>
    <definedName name="ACA_18M">#REF!</definedName>
    <definedName name="ACA_18S">#REF!</definedName>
    <definedName name="ACA_19D">#REF!</definedName>
    <definedName name="ACA_19J">#REF!</definedName>
    <definedName name="ACA_19M">#REF!</definedName>
    <definedName name="ACA_19S">#REF!</definedName>
    <definedName name="ACA_20D">#REF!</definedName>
    <definedName name="ACA_20J">#REF!</definedName>
    <definedName name="ACA_20M">#REF!</definedName>
    <definedName name="ACA_20S">#REF!</definedName>
    <definedName name="ACA_21D">#REF!</definedName>
    <definedName name="ACA_21J">#REF!</definedName>
    <definedName name="ACA_21M">#REF!</definedName>
    <definedName name="ACA_21S">#REF!</definedName>
    <definedName name="ACA_22D">#REF!</definedName>
    <definedName name="ACA_22J">#REF!</definedName>
    <definedName name="ACA_22M">#REF!</definedName>
    <definedName name="ACA_22S">#REF!</definedName>
    <definedName name="ACA_23D">#REF!</definedName>
    <definedName name="ACA_23J">#REF!</definedName>
    <definedName name="ACA_23M">#REF!</definedName>
    <definedName name="ACA_23S">#REF!</definedName>
    <definedName name="ACA_24D">#REF!</definedName>
    <definedName name="ACA_24J">#REF!</definedName>
    <definedName name="ACA_24M">#REF!</definedName>
    <definedName name="ACA_24S">#REF!</definedName>
    <definedName name="ACA_25D">#REF!</definedName>
    <definedName name="ACA_25J">#REF!</definedName>
    <definedName name="ACA_25M">#REF!</definedName>
    <definedName name="ACA_25S">#REF!</definedName>
    <definedName name="ACA_87D">#REF!</definedName>
    <definedName name="ACA_87J">#REF!</definedName>
    <definedName name="ACA_87M">#REF!</definedName>
    <definedName name="ACA_87S">#REF!</definedName>
    <definedName name="ACA_88D">#REF!</definedName>
    <definedName name="ACA_88J">#REF!</definedName>
    <definedName name="ACA_88M">#REF!</definedName>
    <definedName name="ACA_88S">#REF!</definedName>
    <definedName name="ACA_89D">#REF!</definedName>
    <definedName name="ACA_89J">#REF!</definedName>
    <definedName name="ACA_89M">#REF!</definedName>
    <definedName name="ACA_89S">#REF!</definedName>
    <definedName name="ACA_90D">#REF!</definedName>
    <definedName name="ACA_90J">#REF!</definedName>
    <definedName name="ACA_90M">#REF!</definedName>
    <definedName name="ACA_90S">#REF!</definedName>
    <definedName name="ACA_91D">#REF!</definedName>
    <definedName name="ACA_91J">#REF!</definedName>
    <definedName name="ACA_91M">#REF!</definedName>
    <definedName name="ACA_91S">#REF!</definedName>
    <definedName name="ACA_92D">#REF!</definedName>
    <definedName name="ACA_92J">#REF!</definedName>
    <definedName name="ACA_92M">#REF!</definedName>
    <definedName name="ACA_92S">#REF!</definedName>
    <definedName name="ACA_93D">#REF!</definedName>
    <definedName name="ACA_93J">#REF!</definedName>
    <definedName name="ACA_93M">#REF!</definedName>
    <definedName name="ACA_93S">#REF!</definedName>
    <definedName name="ACA_94D">#REF!</definedName>
    <definedName name="ACA_94J">#REF!</definedName>
    <definedName name="ACA_94M">#REF!</definedName>
    <definedName name="ACA_94S">#REF!</definedName>
    <definedName name="ACA_95D">#REF!</definedName>
    <definedName name="ACA_95J">#REF!</definedName>
    <definedName name="ACA_95M">#REF!</definedName>
    <definedName name="ACA_95S">#REF!</definedName>
    <definedName name="ACA_96D">#REF!</definedName>
    <definedName name="ACA_96J">#REF!</definedName>
    <definedName name="ACA_96M">#REF!</definedName>
    <definedName name="ACA_96S">#REF!</definedName>
    <definedName name="ACA_97D">#REF!</definedName>
    <definedName name="ACA_97J">#REF!</definedName>
    <definedName name="ACA_97M">#REF!</definedName>
    <definedName name="ACA_97S">#REF!</definedName>
    <definedName name="ACA_98D">#REF!</definedName>
    <definedName name="ACA_98J">#REF!</definedName>
    <definedName name="ACA_98M">#REF!</definedName>
    <definedName name="ACA_98S">#REF!</definedName>
    <definedName name="ACA_99D">#REF!</definedName>
    <definedName name="ACA_99J">#REF!</definedName>
    <definedName name="ACA_99M">#REF!</definedName>
    <definedName name="ACA_99S">#REF!</definedName>
    <definedName name="acc_payable_driver">#REF!</definedName>
    <definedName name="Acc_payable_growth_fore">#REF!</definedName>
    <definedName name="Acc_Rec_growth_fore">#REF!</definedName>
    <definedName name="AccAmortGood">#REF!</definedName>
    <definedName name="AccountMethod">[17]投资!$C$66</definedName>
    <definedName name="Accounts_payable">#REF!</definedName>
    <definedName name="Accounts_receivable">#REF!</definedName>
    <definedName name="Accrued_compensation_growth_fore">#REF!</definedName>
    <definedName name="Accrued_expenses_and_other_current_liabilities">#REF!</definedName>
    <definedName name="Accrued_expenses_growth_fore">#REF!</definedName>
    <definedName name="Accum_Cap_Expenses_growth_fore">#REF!</definedName>
    <definedName name="Accum_Goodwill_Amort_growth_fore">#REF!</definedName>
    <definedName name="Accumulated_DDA">#REF!</definedName>
    <definedName name="accumulated_depn_end">#REF!</definedName>
    <definedName name="Accumulated_depreciation">#REF!</definedName>
    <definedName name="ACJPTRK2">#REF!</definedName>
    <definedName name="ACJPTRK3">#REF!</definedName>
    <definedName name="ACJPTRK4">#REF!</definedName>
    <definedName name="Acquisition">#REF!</definedName>
    <definedName name="Acquisition_divestments">#REF!</definedName>
    <definedName name="Acquisitions">#REF!</definedName>
    <definedName name="Acquisitions_Disposals">#REF!</definedName>
    <definedName name="actionlist">#REF!</definedName>
    <definedName name="active_flag">#REF!</definedName>
    <definedName name="Activities_to_be_divested">#REF!</definedName>
    <definedName name="actual_start_year">1992</definedName>
    <definedName name="ACUSCAR1">#REF!</definedName>
    <definedName name="ACUSCAR2">#REF!</definedName>
    <definedName name="ACUSCAR3">#REF!</definedName>
    <definedName name="ACUSCAR4">#REF!</definedName>
    <definedName name="ad">#REF!</definedName>
    <definedName name="Add__Cash">#REF!</definedName>
    <definedName name="Add__Listed_Investments">#REF!</definedName>
    <definedName name="Add__Other_Investments">#REF!</definedName>
    <definedName name="ADDED_VALUE">#REF!</definedName>
    <definedName name="Additional_paid_in_capital">#REF!</definedName>
    <definedName name="Adj_net_oper_fore">#REF!</definedName>
    <definedName name="adjust">#REF!</definedName>
    <definedName name="Adjusted_EPS">#REF!</definedName>
    <definedName name="Adjusted_Net_Operating_Profit">#REF!</definedName>
    <definedName name="Adjusted_Net_Operating_ProfitA">#REF!</definedName>
    <definedName name="Adjusted_profit">#REF!</definedName>
    <definedName name="AdjustValue">AdjustValue</definedName>
    <definedName name="admin">1</definedName>
    <definedName name="ADR_EXRATE">#REF!</definedName>
    <definedName name="adsf">{TRUE,TRUE,-1.25,-15.5,456.75,279.75,FALSE,FALSE,TRUE,TRUE,0,1,21,1,127,6,3,4,TRUE,TRUE,3,TRUE,1,TRUE,100,"Swvu.profits.","ACwvu.profits.",1,FALSE,FALSE,0.511811023622047,0.511811023622047,0.511811023622047,0.511811023622047,1,"","",FALSE,FALSE,FALSE,FALSE,1,#N/A,1,1,#DIV/0!,FALSE,"Rwvu.profits.",#N/A,FALSE,FALSE}</definedName>
    <definedName name="AE">#REF!</definedName>
    <definedName name="AG_00D">#REF!</definedName>
    <definedName name="AG_00J">#REF!</definedName>
    <definedName name="AG_00M">#REF!</definedName>
    <definedName name="AG_00S">#REF!</definedName>
    <definedName name="AG_01D">#REF!</definedName>
    <definedName name="AG_01J">#REF!</definedName>
    <definedName name="AG_01M">#REF!</definedName>
    <definedName name="AG_01S">#REF!</definedName>
    <definedName name="AG_02D">#REF!</definedName>
    <definedName name="AG_02J">#REF!</definedName>
    <definedName name="AG_02M">#REF!</definedName>
    <definedName name="AG_02S">#REF!</definedName>
    <definedName name="AG_03D">#REF!</definedName>
    <definedName name="AG_03J">#REF!</definedName>
    <definedName name="AG_03M">#REF!</definedName>
    <definedName name="AG_03S">#REF!</definedName>
    <definedName name="AG_04D">#REF!</definedName>
    <definedName name="AG_04J">#REF!</definedName>
    <definedName name="AG_04M">#REF!</definedName>
    <definedName name="AG_04S">#REF!</definedName>
    <definedName name="AG_05D">#REF!</definedName>
    <definedName name="AG_05J">#REF!</definedName>
    <definedName name="AG_05M">#REF!</definedName>
    <definedName name="AG_05S">#REF!</definedName>
    <definedName name="AG_06D">#REF!</definedName>
    <definedName name="AG_06J">#REF!</definedName>
    <definedName name="AG_06M">#REF!</definedName>
    <definedName name="AG_06S">#REF!</definedName>
    <definedName name="AG_07D">#REF!</definedName>
    <definedName name="AG_07J">#REF!</definedName>
    <definedName name="AG_07M">#REF!</definedName>
    <definedName name="AG_07S">#REF!</definedName>
    <definedName name="AG_08D">#REF!</definedName>
    <definedName name="AG_08J">#REF!</definedName>
    <definedName name="AG_08M">#REF!</definedName>
    <definedName name="AG_08S">#REF!</definedName>
    <definedName name="AG_09D">#REF!</definedName>
    <definedName name="AG_09J">#REF!</definedName>
    <definedName name="AG_09M">#REF!</definedName>
    <definedName name="AG_09S">#REF!</definedName>
    <definedName name="AG_10D">#REF!</definedName>
    <definedName name="AG_10J">#REF!</definedName>
    <definedName name="AG_10M">#REF!</definedName>
    <definedName name="AG_10S">#REF!</definedName>
    <definedName name="AG_11D">#REF!</definedName>
    <definedName name="AG_11J">#REF!</definedName>
    <definedName name="AG_11M">#REF!</definedName>
    <definedName name="AG_11S">#REF!</definedName>
    <definedName name="AG_12D">#REF!</definedName>
    <definedName name="AG_12J">#REF!</definedName>
    <definedName name="AG_12M">#REF!</definedName>
    <definedName name="AG_12S">#REF!</definedName>
    <definedName name="AG_13D">#REF!</definedName>
    <definedName name="AG_13J">#REF!</definedName>
    <definedName name="AG_13M">#REF!</definedName>
    <definedName name="AG_13S">#REF!</definedName>
    <definedName name="AG_14D">#REF!</definedName>
    <definedName name="AG_14J">#REF!</definedName>
    <definedName name="AG_14M">#REF!</definedName>
    <definedName name="AG_14S">#REF!</definedName>
    <definedName name="AG_15D">#REF!</definedName>
    <definedName name="AG_15J">#REF!</definedName>
    <definedName name="AG_15M">#REF!</definedName>
    <definedName name="AG_15S">#REF!</definedName>
    <definedName name="AG_16D">#REF!</definedName>
    <definedName name="AG_16J">#REF!</definedName>
    <definedName name="AG_16M">#REF!</definedName>
    <definedName name="AG_16S">#REF!</definedName>
    <definedName name="AG_17D">#REF!</definedName>
    <definedName name="AG_17J">#REF!</definedName>
    <definedName name="AG_17M">#REF!</definedName>
    <definedName name="AG_17S">#REF!</definedName>
    <definedName name="AG_18D">#REF!</definedName>
    <definedName name="AG_18J">#REF!</definedName>
    <definedName name="AG_18M">#REF!</definedName>
    <definedName name="AG_18S">#REF!</definedName>
    <definedName name="AG_19D">#REF!</definedName>
    <definedName name="AG_19J">#REF!</definedName>
    <definedName name="AG_19M">#REF!</definedName>
    <definedName name="AG_19S">#REF!</definedName>
    <definedName name="AG_20D">#REF!</definedName>
    <definedName name="AG_20J">#REF!</definedName>
    <definedName name="AG_20M">#REF!</definedName>
    <definedName name="AG_20S">#REF!</definedName>
    <definedName name="AG_21D">#REF!</definedName>
    <definedName name="AG_21J">#REF!</definedName>
    <definedName name="AG_21M">#REF!</definedName>
    <definedName name="AG_21S">#REF!</definedName>
    <definedName name="AG_22D">#REF!</definedName>
    <definedName name="AG_22J">#REF!</definedName>
    <definedName name="AG_22M">#REF!</definedName>
    <definedName name="AG_22S">#REF!</definedName>
    <definedName name="AG_23D">#REF!</definedName>
    <definedName name="AG_23J">#REF!</definedName>
    <definedName name="AG_23M">#REF!</definedName>
    <definedName name="AG_23S">#REF!</definedName>
    <definedName name="AG_24D">#REF!</definedName>
    <definedName name="AG_24J">#REF!</definedName>
    <definedName name="AG_24M">#REF!</definedName>
    <definedName name="AG_24S">#REF!</definedName>
    <definedName name="AG_25D">#REF!</definedName>
    <definedName name="AG_25J">#REF!</definedName>
    <definedName name="AG_25M">#REF!</definedName>
    <definedName name="AG_25S">#REF!</definedName>
    <definedName name="AG_87D">#REF!</definedName>
    <definedName name="AG_87J">#REF!</definedName>
    <definedName name="AG_87M">#REF!</definedName>
    <definedName name="AG_87S">#REF!</definedName>
    <definedName name="AG_88D">#REF!</definedName>
    <definedName name="AG_88J">#REF!</definedName>
    <definedName name="AG_88M">#REF!</definedName>
    <definedName name="AG_88S">#REF!</definedName>
    <definedName name="AG_89D">#REF!</definedName>
    <definedName name="AG_89J">#REF!</definedName>
    <definedName name="AG_89M">#REF!</definedName>
    <definedName name="AG_89S">#REF!</definedName>
    <definedName name="AG_90D">#REF!</definedName>
    <definedName name="AG_90J">#REF!</definedName>
    <definedName name="AG_90M">#REF!</definedName>
    <definedName name="AG_90S">#REF!</definedName>
    <definedName name="AG_91D">#REF!</definedName>
    <definedName name="AG_91J">#REF!</definedName>
    <definedName name="AG_91M">#REF!</definedName>
    <definedName name="AG_91S">#REF!</definedName>
    <definedName name="AG_92D">#REF!</definedName>
    <definedName name="AG_92J">#REF!</definedName>
    <definedName name="AG_92M">#REF!</definedName>
    <definedName name="AG_92S">#REF!</definedName>
    <definedName name="AG_93D">#REF!</definedName>
    <definedName name="AG_93J">#REF!</definedName>
    <definedName name="AG_93M">#REF!</definedName>
    <definedName name="AG_93S">#REF!</definedName>
    <definedName name="AG_94D">#REF!</definedName>
    <definedName name="AG_94J">#REF!</definedName>
    <definedName name="AG_94M">#REF!</definedName>
    <definedName name="AG_94S">#REF!</definedName>
    <definedName name="AG_95D">#REF!</definedName>
    <definedName name="AG_95J">#REF!</definedName>
    <definedName name="AG_95M">#REF!</definedName>
    <definedName name="AG_95S">#REF!</definedName>
    <definedName name="AG_96D">#REF!</definedName>
    <definedName name="AG_96J">#REF!</definedName>
    <definedName name="AG_96M">#REF!</definedName>
    <definedName name="AG_96S">#REF!</definedName>
    <definedName name="AG_97D">#REF!</definedName>
    <definedName name="AG_97J">#REF!</definedName>
    <definedName name="AG_97M">#REF!</definedName>
    <definedName name="AG_97S">#REF!</definedName>
    <definedName name="AG_98D">#REF!</definedName>
    <definedName name="AG_98J">#REF!</definedName>
    <definedName name="AG_98M">#REF!</definedName>
    <definedName name="AG_98S">#REF!</definedName>
    <definedName name="AG_99D">#REF!</definedName>
    <definedName name="AG_99J">#REF!</definedName>
    <definedName name="AG_99M">#REF!</definedName>
    <definedName name="AG_99S">#REF!</definedName>
    <definedName name="AG_LT">#REF!</definedName>
    <definedName name="AG_OUT">#REF!</definedName>
    <definedName name="AG_Spot">#REF!</definedName>
    <definedName name="aggregationTableFooter_bonds">#REF!</definedName>
    <definedName name="aggregationTableFooter_data_bonds">#REF!</definedName>
    <definedName name="Agriculture_inflation_uplift">#REF!</definedName>
    <definedName name="Agriculture_maintenance_capex">#REF!</definedName>
    <definedName name="AIS_analog_postpaid_subs">#REF!</definedName>
    <definedName name="AIS_analog_prepaid_subs">#REF!</definedName>
    <definedName name="AIS_annavge_paging_subs">#REF!</definedName>
    <definedName name="AIS_datanet_revs">#REF!</definedName>
    <definedName name="AIS_digital_postpaid_subs">#REF!</definedName>
    <definedName name="AIS_digital_prepaid_subs">#REF!</definedName>
    <definedName name="AIS_other_revs">#REF!</definedName>
    <definedName name="AIS_other_wireless_revs">#REF!</definedName>
    <definedName name="AIS_pager_equip_revs">#REF!</definedName>
    <definedName name="AIS_paging_service_revs">#REF!</definedName>
    <definedName name="AIS_TOT_Revshare">#REF!</definedName>
    <definedName name="AIS_total_analog_subs">#REF!</definedName>
    <definedName name="AIS_total_costs">#REF!</definedName>
    <definedName name="AIS_total_digital_subs">#REF!</definedName>
    <definedName name="ais_total_gro">#REF!</definedName>
    <definedName name="AIS_total_revs">#REF!</definedName>
    <definedName name="AIS_transmission_costs">#REF!</definedName>
    <definedName name="AKAM">#REF!</definedName>
    <definedName name="Akzo_Nobel___Balance_Sheet_Summary_1988___1998E__DFLm">#REF!</definedName>
    <definedName name="Akzo_Nobel___Divisional_Trends_Quarterly_Sales_and_Profit_Trend_1988___1998E__DFLm">#REF!</definedName>
    <definedName name="Akzo_Nobel___Margins_and_Ratios_1988___1998E__DFLm">#REF!</definedName>
    <definedName name="Akzo_Nobel___Profit_and_Loss_Summary_1988___1998E__DFLm">#REF!</definedName>
    <definedName name="Akzo_Nobel___Quarterly_Sales_and_Profit_Trend_1996___1998E__DFLm">#REF!</definedName>
    <definedName name="AL_">#REF!</definedName>
    <definedName name="AL_00D">#REF!</definedName>
    <definedName name="AL_00J">#REF!</definedName>
    <definedName name="AL_00M">#REF!</definedName>
    <definedName name="AL_00S">#REF!</definedName>
    <definedName name="AL_01D">#REF!</definedName>
    <definedName name="AL_01J">#REF!</definedName>
    <definedName name="AL_01M">#REF!</definedName>
    <definedName name="AL_01S">#REF!</definedName>
    <definedName name="AL_02D">#REF!</definedName>
    <definedName name="AL_02J">#REF!</definedName>
    <definedName name="AL_02M">#REF!</definedName>
    <definedName name="AL_02S">#REF!</definedName>
    <definedName name="AL_03D">#REF!</definedName>
    <definedName name="AL_03J">#REF!</definedName>
    <definedName name="AL_03M">#REF!</definedName>
    <definedName name="AL_03S">#REF!</definedName>
    <definedName name="AL_04D">#REF!</definedName>
    <definedName name="AL_04J">#REF!</definedName>
    <definedName name="AL_04M">#REF!</definedName>
    <definedName name="AL_04S">#REF!</definedName>
    <definedName name="AL_05D">#REF!</definedName>
    <definedName name="AL_05J">#REF!</definedName>
    <definedName name="AL_05M">#REF!</definedName>
    <definedName name="AL_05S">#REF!</definedName>
    <definedName name="AL_06D">#REF!</definedName>
    <definedName name="AL_06J">#REF!</definedName>
    <definedName name="AL_06M">#REF!</definedName>
    <definedName name="AL_06S">#REF!</definedName>
    <definedName name="AL_07D">#REF!</definedName>
    <definedName name="AL_07J">#REF!</definedName>
    <definedName name="AL_07M">#REF!</definedName>
    <definedName name="AL_07S">#REF!</definedName>
    <definedName name="AL_08D">#REF!</definedName>
    <definedName name="AL_08J">#REF!</definedName>
    <definedName name="AL_08M">#REF!</definedName>
    <definedName name="AL_08S">#REF!</definedName>
    <definedName name="AL_09D">#REF!</definedName>
    <definedName name="AL_09J">#REF!</definedName>
    <definedName name="AL_09M">#REF!</definedName>
    <definedName name="AL_09S">#REF!</definedName>
    <definedName name="AL_10D">#REF!</definedName>
    <definedName name="AL_10J">#REF!</definedName>
    <definedName name="AL_10M">#REF!</definedName>
    <definedName name="AL_10S">#REF!</definedName>
    <definedName name="AL_11D">#REF!</definedName>
    <definedName name="AL_11J">#REF!</definedName>
    <definedName name="AL_11M">#REF!</definedName>
    <definedName name="AL_11S">#REF!</definedName>
    <definedName name="AL_12D">#REF!</definedName>
    <definedName name="AL_12J">#REF!</definedName>
    <definedName name="AL_12M">#REF!</definedName>
    <definedName name="AL_12S">#REF!</definedName>
    <definedName name="AL_13D">#REF!</definedName>
    <definedName name="AL_13J">#REF!</definedName>
    <definedName name="AL_13M">#REF!</definedName>
    <definedName name="AL_13S">#REF!</definedName>
    <definedName name="AL_14D">#REF!</definedName>
    <definedName name="AL_14J">#REF!</definedName>
    <definedName name="AL_14M">#REF!</definedName>
    <definedName name="AL_14S">#REF!</definedName>
    <definedName name="AL_15D">#REF!</definedName>
    <definedName name="AL_15J">#REF!</definedName>
    <definedName name="AL_15M">#REF!</definedName>
    <definedName name="AL_15S">#REF!</definedName>
    <definedName name="AL_16D">#REF!</definedName>
    <definedName name="AL_16J">#REF!</definedName>
    <definedName name="AL_16M">#REF!</definedName>
    <definedName name="AL_16S">#REF!</definedName>
    <definedName name="AL_17D">#REF!</definedName>
    <definedName name="AL_17J">#REF!</definedName>
    <definedName name="AL_17M">#REF!</definedName>
    <definedName name="AL_17S">#REF!</definedName>
    <definedName name="AL_18D">#REF!</definedName>
    <definedName name="AL_18J">#REF!</definedName>
    <definedName name="AL_18M">#REF!</definedName>
    <definedName name="AL_18S">#REF!</definedName>
    <definedName name="AL_19D">#REF!</definedName>
    <definedName name="AL_19J">#REF!</definedName>
    <definedName name="AL_19M">#REF!</definedName>
    <definedName name="AL_19S">#REF!</definedName>
    <definedName name="AL_20D">#REF!</definedName>
    <definedName name="AL_20J">#REF!</definedName>
    <definedName name="AL_20M">#REF!</definedName>
    <definedName name="AL_20S">#REF!</definedName>
    <definedName name="AL_21D">#REF!</definedName>
    <definedName name="AL_21J">#REF!</definedName>
    <definedName name="AL_21M">#REF!</definedName>
    <definedName name="AL_21S">#REF!</definedName>
    <definedName name="AL_22D">#REF!</definedName>
    <definedName name="AL_22J">#REF!</definedName>
    <definedName name="AL_22M">#REF!</definedName>
    <definedName name="AL_22S">#REF!</definedName>
    <definedName name="AL_23D">#REF!</definedName>
    <definedName name="AL_23J">#REF!</definedName>
    <definedName name="AL_23M">#REF!</definedName>
    <definedName name="AL_23S">#REF!</definedName>
    <definedName name="AL_24D">#REF!</definedName>
    <definedName name="AL_24J">#REF!</definedName>
    <definedName name="AL_24M">#REF!</definedName>
    <definedName name="AL_24S">#REF!</definedName>
    <definedName name="AL_25D">#REF!</definedName>
    <definedName name="AL_25J">#REF!</definedName>
    <definedName name="AL_25M">#REF!</definedName>
    <definedName name="AL_25S">#REF!</definedName>
    <definedName name="AL_87D">#REF!</definedName>
    <definedName name="AL_87J">#REF!</definedName>
    <definedName name="AL_87M">#REF!</definedName>
    <definedName name="AL_87S">#REF!</definedName>
    <definedName name="AL_88D">#REF!</definedName>
    <definedName name="AL_88J">#REF!</definedName>
    <definedName name="AL_88M">#REF!</definedName>
    <definedName name="AL_88S">#REF!</definedName>
    <definedName name="AL_89D">#REF!</definedName>
    <definedName name="AL_89J">#REF!</definedName>
    <definedName name="AL_89M">#REF!</definedName>
    <definedName name="AL_89S">#REF!</definedName>
    <definedName name="AL_90D">#REF!</definedName>
    <definedName name="AL_90J">#REF!</definedName>
    <definedName name="AL_90M">#REF!</definedName>
    <definedName name="AL_90S">#REF!</definedName>
    <definedName name="AL_91D">#REF!</definedName>
    <definedName name="AL_91J">#REF!</definedName>
    <definedName name="AL_91M">#REF!</definedName>
    <definedName name="AL_91S">#REF!</definedName>
    <definedName name="AL_92D">#REF!</definedName>
    <definedName name="AL_92J">#REF!</definedName>
    <definedName name="AL_92M">#REF!</definedName>
    <definedName name="AL_92S">#REF!</definedName>
    <definedName name="AL_93D">#REF!</definedName>
    <definedName name="AL_93J">#REF!</definedName>
    <definedName name="AL_93M">#REF!</definedName>
    <definedName name="AL_93S">#REF!</definedName>
    <definedName name="AL_94D">#REF!</definedName>
    <definedName name="AL_94J">#REF!</definedName>
    <definedName name="AL_94M">#REF!</definedName>
    <definedName name="AL_94S">#REF!</definedName>
    <definedName name="AL_95D">#REF!</definedName>
    <definedName name="AL_95J">#REF!</definedName>
    <definedName name="AL_95M">#REF!</definedName>
    <definedName name="AL_95S">#REF!</definedName>
    <definedName name="AL_96D">#REF!</definedName>
    <definedName name="AL_96J">#REF!</definedName>
    <definedName name="AL_96M">#REF!</definedName>
    <definedName name="AL_96S">#REF!</definedName>
    <definedName name="AL_97D">#REF!</definedName>
    <definedName name="AL_97J">#REF!</definedName>
    <definedName name="AL_97M">#REF!</definedName>
    <definedName name="AL_97S">#REF!</definedName>
    <definedName name="AL_98D">#REF!</definedName>
    <definedName name="AL_98J">#REF!</definedName>
    <definedName name="AL_98M">#REF!</definedName>
    <definedName name="AL_98S">#REF!</definedName>
    <definedName name="AL_99D">#REF!</definedName>
    <definedName name="AL_99J">#REF!</definedName>
    <definedName name="AL_99M">#REF!</definedName>
    <definedName name="AL_99S">#REF!</definedName>
    <definedName name="AL_LT">#REF!</definedName>
    <definedName name="AL_OUT">#REF!</definedName>
    <definedName name="AL_Spot">#REF!</definedName>
    <definedName name="AL3_">#REF!</definedName>
    <definedName name="ALA_00D">#REF!</definedName>
    <definedName name="ALA_00J">#REF!</definedName>
    <definedName name="ALA_00M">#REF!</definedName>
    <definedName name="ALA_00S">#REF!</definedName>
    <definedName name="ALA_01D">#REF!</definedName>
    <definedName name="ALA_01J">#REF!</definedName>
    <definedName name="ALA_01M">#REF!</definedName>
    <definedName name="ALA_01S">#REF!</definedName>
    <definedName name="ALA_02D">#REF!</definedName>
    <definedName name="ALA_02J">#REF!</definedName>
    <definedName name="ALA_02M">#REF!</definedName>
    <definedName name="ALA_02S">#REF!</definedName>
    <definedName name="ALA_03D">#REF!</definedName>
    <definedName name="ALA_03J">#REF!</definedName>
    <definedName name="ALA_03M">#REF!</definedName>
    <definedName name="ALA_03S">#REF!</definedName>
    <definedName name="ALA_04D">#REF!</definedName>
    <definedName name="ALA_04J">#REF!</definedName>
    <definedName name="ALA_04M">#REF!</definedName>
    <definedName name="ALA_04S">#REF!</definedName>
    <definedName name="ALA_05D">#REF!</definedName>
    <definedName name="ALA_05J">#REF!</definedName>
    <definedName name="ALA_05M">#REF!</definedName>
    <definedName name="ALA_05S">#REF!</definedName>
    <definedName name="ALA_06D">#REF!</definedName>
    <definedName name="ALA_06J">#REF!</definedName>
    <definedName name="ALA_06M">#REF!</definedName>
    <definedName name="ALA_06S">#REF!</definedName>
    <definedName name="ALA_07D">#REF!</definedName>
    <definedName name="ALA_07J">#REF!</definedName>
    <definedName name="ALA_07M">#REF!</definedName>
    <definedName name="ALA_07S">#REF!</definedName>
    <definedName name="ALA_08D">#REF!</definedName>
    <definedName name="ALA_08J">#REF!</definedName>
    <definedName name="ALA_08M">#REF!</definedName>
    <definedName name="ALA_08S">#REF!</definedName>
    <definedName name="ALA_09D">#REF!</definedName>
    <definedName name="ALA_09J">#REF!</definedName>
    <definedName name="ALA_09M">#REF!</definedName>
    <definedName name="ALA_09S">#REF!</definedName>
    <definedName name="ALA_10D">#REF!</definedName>
    <definedName name="ALA_10J">#REF!</definedName>
    <definedName name="ALA_10M">#REF!</definedName>
    <definedName name="ALA_10S">#REF!</definedName>
    <definedName name="ALA_11D">#REF!</definedName>
    <definedName name="ALA_11J">#REF!</definedName>
    <definedName name="ALA_11M">#REF!</definedName>
    <definedName name="ALA_11S">#REF!</definedName>
    <definedName name="ALA_12D">#REF!</definedName>
    <definedName name="ALA_12J">#REF!</definedName>
    <definedName name="ALA_12M">#REF!</definedName>
    <definedName name="ALA_12S">#REF!</definedName>
    <definedName name="ALA_13D">#REF!</definedName>
    <definedName name="ALA_13J">#REF!</definedName>
    <definedName name="ALA_13M">#REF!</definedName>
    <definedName name="ALA_13S">#REF!</definedName>
    <definedName name="ALA_14D">#REF!</definedName>
    <definedName name="ALA_14J">#REF!</definedName>
    <definedName name="ALA_14M">#REF!</definedName>
    <definedName name="ALA_14S">#REF!</definedName>
    <definedName name="ALA_15D">#REF!</definedName>
    <definedName name="ALA_15J">#REF!</definedName>
    <definedName name="ALA_15M">#REF!</definedName>
    <definedName name="ALA_15S">#REF!</definedName>
    <definedName name="ALA_16D">#REF!</definedName>
    <definedName name="ALA_16J">#REF!</definedName>
    <definedName name="ALA_16M">#REF!</definedName>
    <definedName name="ALA_16S">#REF!</definedName>
    <definedName name="ALA_17D">#REF!</definedName>
    <definedName name="ALA_17J">#REF!</definedName>
    <definedName name="ALA_17M">#REF!</definedName>
    <definedName name="ALA_17S">#REF!</definedName>
    <definedName name="ALA_18D">#REF!</definedName>
    <definedName name="ALA_18J">#REF!</definedName>
    <definedName name="ALA_18M">#REF!</definedName>
    <definedName name="ALA_18S">#REF!</definedName>
    <definedName name="ALA_19D">#REF!</definedName>
    <definedName name="ALA_19J">#REF!</definedName>
    <definedName name="ALA_19M">#REF!</definedName>
    <definedName name="ALA_19S">#REF!</definedName>
    <definedName name="ALA_20D">#REF!</definedName>
    <definedName name="ALA_20J">#REF!</definedName>
    <definedName name="ALA_20M">#REF!</definedName>
    <definedName name="ALA_20S">#REF!</definedName>
    <definedName name="ALA_21D">#REF!</definedName>
    <definedName name="ALA_21J">#REF!</definedName>
    <definedName name="ALA_21M">#REF!</definedName>
    <definedName name="ALA_21S">#REF!</definedName>
    <definedName name="ALA_22D">#REF!</definedName>
    <definedName name="ALA_22J">#REF!</definedName>
    <definedName name="ALA_22M">#REF!</definedName>
    <definedName name="ALA_22S">#REF!</definedName>
    <definedName name="ALA_23D">#REF!</definedName>
    <definedName name="ALA_23J">#REF!</definedName>
    <definedName name="ALA_23M">#REF!</definedName>
    <definedName name="ALA_23S">#REF!</definedName>
    <definedName name="ALA_24D">#REF!</definedName>
    <definedName name="ALA_24J">#REF!</definedName>
    <definedName name="ALA_24M">#REF!</definedName>
    <definedName name="ALA_24S">#REF!</definedName>
    <definedName name="ALA_25D">#REF!</definedName>
    <definedName name="ALA_25J">#REF!</definedName>
    <definedName name="ALA_25M">#REF!</definedName>
    <definedName name="ALA_25S">#REF!</definedName>
    <definedName name="ALA_87D">#REF!</definedName>
    <definedName name="ALA_87J">#REF!</definedName>
    <definedName name="ALA_87M">#REF!</definedName>
    <definedName name="ALA_87S">#REF!</definedName>
    <definedName name="ALA_88D">#REF!</definedName>
    <definedName name="ALA_88J">#REF!</definedName>
    <definedName name="ALA_88M">#REF!</definedName>
    <definedName name="ALA_88S">#REF!</definedName>
    <definedName name="ALA_89D">#REF!</definedName>
    <definedName name="ALA_89J">#REF!</definedName>
    <definedName name="ALA_89M">#REF!</definedName>
    <definedName name="ALA_89S">#REF!</definedName>
    <definedName name="ALA_90D">#REF!</definedName>
    <definedName name="ALA_90J">#REF!</definedName>
    <definedName name="ALA_90M">#REF!</definedName>
    <definedName name="ALA_90S">#REF!</definedName>
    <definedName name="ALA_91D">#REF!</definedName>
    <definedName name="ALA_91J">#REF!</definedName>
    <definedName name="ALA_91M">#REF!</definedName>
    <definedName name="ALA_91S">#REF!</definedName>
    <definedName name="ALA_92D">#REF!</definedName>
    <definedName name="ALA_92J">#REF!</definedName>
    <definedName name="ALA_92M">#REF!</definedName>
    <definedName name="ALA_92S">#REF!</definedName>
    <definedName name="ALA_93D">#REF!</definedName>
    <definedName name="ALA_93J">#REF!</definedName>
    <definedName name="ALA_93M">#REF!</definedName>
    <definedName name="ALA_93S">#REF!</definedName>
    <definedName name="ALA_94D">#REF!</definedName>
    <definedName name="ALA_94J">#REF!</definedName>
    <definedName name="ALA_94M">#REF!</definedName>
    <definedName name="ALA_94S">#REF!</definedName>
    <definedName name="ALA_95D">#REF!</definedName>
    <definedName name="ALA_95J">#REF!</definedName>
    <definedName name="ALA_95M">#REF!</definedName>
    <definedName name="ALA_95S">#REF!</definedName>
    <definedName name="ALA_96D">#REF!</definedName>
    <definedName name="ALA_96J">#REF!</definedName>
    <definedName name="ALA_96M">#REF!</definedName>
    <definedName name="ALA_96S">#REF!</definedName>
    <definedName name="ALA_97D">#REF!</definedName>
    <definedName name="ALA_97J">#REF!</definedName>
    <definedName name="ALA_97M">#REF!</definedName>
    <definedName name="ALA_97S">#REF!</definedName>
    <definedName name="ALA_98D">#REF!</definedName>
    <definedName name="ALA_98J">#REF!</definedName>
    <definedName name="ALA_98M">#REF!</definedName>
    <definedName name="ALA_98S">#REF!</definedName>
    <definedName name="ALA_99D">#REF!</definedName>
    <definedName name="ALA_99J">#REF!</definedName>
    <definedName name="ALA_99M">#REF!</definedName>
    <definedName name="ALA_99S">#REF!</definedName>
    <definedName name="ALA_LT">#REF!</definedName>
    <definedName name="ALA_OUT">#REF!</definedName>
    <definedName name="ALA_Spot">#REF!</definedName>
    <definedName name="All">[18]Model!$A$1:$J$611</definedName>
    <definedName name="All_00_PS">#REF!</definedName>
    <definedName name="All_00_Rev">#REF!</definedName>
    <definedName name="All_97_PS">#REF!</definedName>
    <definedName name="All_97_Rev">#REF!</definedName>
    <definedName name="All_98_PS">#REF!</definedName>
    <definedName name="All_98_Rev">#REF!</definedName>
    <definedName name="All_99_PS">#REF!</definedName>
    <definedName name="All_99_Rev">#REF!</definedName>
    <definedName name="All_EPS_00">#REF!</definedName>
    <definedName name="All_EPS_98">#REF!</definedName>
    <definedName name="All_EPS_99">#REF!</definedName>
    <definedName name="ALL_FILE">#REF!</definedName>
    <definedName name="All_Mkt_Cap">#REF!</definedName>
    <definedName name="All_Off_High">#REF!</definedName>
    <definedName name="All_other_items">#REF!</definedName>
    <definedName name="ALL_STATEMENTS">#REF!</definedName>
    <definedName name="All_Stocks">#REF!</definedName>
    <definedName name="Allowances">#REF!</definedName>
    <definedName name="alloypx">#REF!</definedName>
    <definedName name="AllTables">{7}</definedName>
    <definedName name="aluminium_price">#REF!</definedName>
    <definedName name="ALUSAF_NPV">#REF!</definedName>
    <definedName name="AMCAR1">#REF!</definedName>
    <definedName name="AMCAR2">#REF!</definedName>
    <definedName name="AMCAR3">#REF!</definedName>
    <definedName name="AMCAR4">#REF!</definedName>
    <definedName name="America">#REF!</definedName>
    <definedName name="AmericaE">#REF!</definedName>
    <definedName name="AmericaEG">#REF!</definedName>
    <definedName name="AmericaES">#REF!</definedName>
    <definedName name="AmericaG">#REF!</definedName>
    <definedName name="AmericanCellular">#REF!</definedName>
    <definedName name="Americas">#REF!</definedName>
    <definedName name="amichohhh">#REF!</definedName>
    <definedName name="AMJPCAR1">#REF!</definedName>
    <definedName name="AMJPCAR1A">#REF!</definedName>
    <definedName name="AMJPCAR1B">#REF!</definedName>
    <definedName name="AMJPCAR2">#REF!</definedName>
    <definedName name="AMJPCAR2A">#REF!</definedName>
    <definedName name="AMJPCAR2B">#REF!</definedName>
    <definedName name="AMJPCAR3">#REF!</definedName>
    <definedName name="AMJPCAR3A">#REF!</definedName>
    <definedName name="AMJPCAR3B">#REF!</definedName>
    <definedName name="AMJPCAR4">#REF!</definedName>
    <definedName name="AMJPCAR4A">#REF!</definedName>
    <definedName name="AMJPCAR4B">#REF!</definedName>
    <definedName name="Ammo">#REF!</definedName>
    <definedName name="AmmoG">#REF!</definedName>
    <definedName name="AmmoS">#REF!</definedName>
    <definedName name="Amort">#REF!</definedName>
    <definedName name="amt00">#REF!</definedName>
    <definedName name="AMUSTRK1">#REF!</definedName>
    <definedName name="AMUSTRK2">#REF!</definedName>
    <definedName name="AMUSTRK3">#REF!</definedName>
    <definedName name="AMUSTRK4">#REF!</definedName>
    <definedName name="analyst">#REF!</definedName>
    <definedName name="analyst_code">#REF!</definedName>
    <definedName name="Anard">#REF!</definedName>
    <definedName name="aneps1q95">#REF!</definedName>
    <definedName name="aneps1q96">#REF!</definedName>
    <definedName name="Ann_revenue">#REF!</definedName>
    <definedName name="anscount">3</definedName>
    <definedName name="ANZ_00D">#REF!</definedName>
    <definedName name="ANZ_00J">#REF!</definedName>
    <definedName name="ANZ_00M">#REF!</definedName>
    <definedName name="ANZ_00S">#REF!</definedName>
    <definedName name="ANZ_01D">#REF!</definedName>
    <definedName name="ANZ_01J">#REF!</definedName>
    <definedName name="ANZ_01M">#REF!</definedName>
    <definedName name="ANZ_01S">#REF!</definedName>
    <definedName name="ANZ_02D">#REF!</definedName>
    <definedName name="ANZ_02J">#REF!</definedName>
    <definedName name="ANZ_02M">#REF!</definedName>
    <definedName name="ANZ_02S">#REF!</definedName>
    <definedName name="ANZ_03D">#REF!</definedName>
    <definedName name="ANZ_03J">#REF!</definedName>
    <definedName name="ANZ_03M">#REF!</definedName>
    <definedName name="ANZ_03S">#REF!</definedName>
    <definedName name="ANZ_04D">#REF!</definedName>
    <definedName name="ANZ_04J">#REF!</definedName>
    <definedName name="ANZ_04M">#REF!</definedName>
    <definedName name="ANZ_04S">#REF!</definedName>
    <definedName name="ANZ_05D">#REF!</definedName>
    <definedName name="ANZ_05J">#REF!</definedName>
    <definedName name="ANZ_05M">#REF!</definedName>
    <definedName name="ANZ_05S">#REF!</definedName>
    <definedName name="ANZ_06D">#REF!</definedName>
    <definedName name="ANZ_06J">#REF!</definedName>
    <definedName name="ANZ_06M">#REF!</definedName>
    <definedName name="ANZ_06S">#REF!</definedName>
    <definedName name="ANZ_07D">#REF!</definedName>
    <definedName name="ANZ_07J">#REF!</definedName>
    <definedName name="ANZ_07M">#REF!</definedName>
    <definedName name="ANZ_07S">#REF!</definedName>
    <definedName name="ANZ_08D">#REF!</definedName>
    <definedName name="ANZ_08J">#REF!</definedName>
    <definedName name="ANZ_08M">#REF!</definedName>
    <definedName name="ANZ_08S">#REF!</definedName>
    <definedName name="ANZ_09D">#REF!</definedName>
    <definedName name="ANZ_09J">#REF!</definedName>
    <definedName name="ANZ_09M">#REF!</definedName>
    <definedName name="ANZ_09S">#REF!</definedName>
    <definedName name="ANZ_10D">#REF!</definedName>
    <definedName name="ANZ_10J">#REF!</definedName>
    <definedName name="ANZ_10M">#REF!</definedName>
    <definedName name="ANZ_10S">#REF!</definedName>
    <definedName name="ANZ_11D">#REF!</definedName>
    <definedName name="ANZ_11J">#REF!</definedName>
    <definedName name="ANZ_11M">#REF!</definedName>
    <definedName name="ANZ_11S">#REF!</definedName>
    <definedName name="ANZ_12D">#REF!</definedName>
    <definedName name="ANZ_12J">#REF!</definedName>
    <definedName name="ANZ_12M">#REF!</definedName>
    <definedName name="ANZ_12S">#REF!</definedName>
    <definedName name="ANZ_13D">#REF!</definedName>
    <definedName name="ANZ_13J">#REF!</definedName>
    <definedName name="ANZ_13M">#REF!</definedName>
    <definedName name="ANZ_13S">#REF!</definedName>
    <definedName name="ANZ_14D">#REF!</definedName>
    <definedName name="ANZ_14J">#REF!</definedName>
    <definedName name="ANZ_14M">#REF!</definedName>
    <definedName name="ANZ_14S">#REF!</definedName>
    <definedName name="ANZ_15D">#REF!</definedName>
    <definedName name="ANZ_15J">#REF!</definedName>
    <definedName name="ANZ_15M">#REF!</definedName>
    <definedName name="ANZ_15S">#REF!</definedName>
    <definedName name="ANZ_16D">#REF!</definedName>
    <definedName name="ANZ_16J">#REF!</definedName>
    <definedName name="ANZ_16M">#REF!</definedName>
    <definedName name="ANZ_16S">#REF!</definedName>
    <definedName name="ANZ_17D">#REF!</definedName>
    <definedName name="ANZ_17J">#REF!</definedName>
    <definedName name="ANZ_17M">#REF!</definedName>
    <definedName name="ANZ_17S">#REF!</definedName>
    <definedName name="ANZ_18D">#REF!</definedName>
    <definedName name="ANZ_18J">#REF!</definedName>
    <definedName name="ANZ_18M">#REF!</definedName>
    <definedName name="ANZ_18S">#REF!</definedName>
    <definedName name="ANZ_19D">#REF!</definedName>
    <definedName name="ANZ_19J">#REF!</definedName>
    <definedName name="ANZ_19M">#REF!</definedName>
    <definedName name="ANZ_19S">#REF!</definedName>
    <definedName name="ANZ_20D">#REF!</definedName>
    <definedName name="ANZ_20J">#REF!</definedName>
    <definedName name="ANZ_20M">#REF!</definedName>
    <definedName name="ANZ_20S">#REF!</definedName>
    <definedName name="ANZ_21D">#REF!</definedName>
    <definedName name="ANZ_21J">#REF!</definedName>
    <definedName name="ANZ_21M">#REF!</definedName>
    <definedName name="ANZ_21S">#REF!</definedName>
    <definedName name="ANZ_22D">#REF!</definedName>
    <definedName name="ANZ_22J">#REF!</definedName>
    <definedName name="ANZ_22M">#REF!</definedName>
    <definedName name="ANZ_22S">#REF!</definedName>
    <definedName name="ANZ_23D">#REF!</definedName>
    <definedName name="ANZ_23J">#REF!</definedName>
    <definedName name="ANZ_23M">#REF!</definedName>
    <definedName name="ANZ_23S">#REF!</definedName>
    <definedName name="ANZ_24D">#REF!</definedName>
    <definedName name="ANZ_24J">#REF!</definedName>
    <definedName name="ANZ_24M">#REF!</definedName>
    <definedName name="ANZ_24S">#REF!</definedName>
    <definedName name="ANZ_25D">#REF!</definedName>
    <definedName name="ANZ_25J">#REF!</definedName>
    <definedName name="ANZ_25M">#REF!</definedName>
    <definedName name="ANZ_25S">#REF!</definedName>
    <definedName name="ANZ_87D">#REF!</definedName>
    <definedName name="ANZ_87J">#REF!</definedName>
    <definedName name="ANZ_87M">#REF!</definedName>
    <definedName name="ANZ_87S">#REF!</definedName>
    <definedName name="ANZ_88D">#REF!</definedName>
    <definedName name="ANZ_88J">#REF!</definedName>
    <definedName name="ANZ_88M">#REF!</definedName>
    <definedName name="ANZ_88S">#REF!</definedName>
    <definedName name="ANZ_89D">#REF!</definedName>
    <definedName name="ANZ_89J">#REF!</definedName>
    <definedName name="ANZ_89M">#REF!</definedName>
    <definedName name="ANZ_89S">#REF!</definedName>
    <definedName name="ANZ_90D">#REF!</definedName>
    <definedName name="ANZ_90J">#REF!</definedName>
    <definedName name="ANZ_90M">#REF!</definedName>
    <definedName name="ANZ_90S">#REF!</definedName>
    <definedName name="ANZ_91D">#REF!</definedName>
    <definedName name="ANZ_91J">#REF!</definedName>
    <definedName name="ANZ_91M">#REF!</definedName>
    <definedName name="ANZ_91S">#REF!</definedName>
    <definedName name="ANZ_92D">#REF!</definedName>
    <definedName name="ANZ_92J">#REF!</definedName>
    <definedName name="ANZ_92M">#REF!</definedName>
    <definedName name="ANZ_92S">#REF!</definedName>
    <definedName name="ANZ_93D">#REF!</definedName>
    <definedName name="ANZ_93J">#REF!</definedName>
    <definedName name="ANZ_93M">#REF!</definedName>
    <definedName name="ANZ_93S">#REF!</definedName>
    <definedName name="ANZ_94D">#REF!</definedName>
    <definedName name="ANZ_94J">#REF!</definedName>
    <definedName name="ANZ_94M">#REF!</definedName>
    <definedName name="ANZ_94S">#REF!</definedName>
    <definedName name="ANZ_95D">#REF!</definedName>
    <definedName name="ANZ_95J">#REF!</definedName>
    <definedName name="ANZ_95M">#REF!</definedName>
    <definedName name="ANZ_95S">#REF!</definedName>
    <definedName name="ANZ_96D">#REF!</definedName>
    <definedName name="ANZ_96J">#REF!</definedName>
    <definedName name="ANZ_96M">#REF!</definedName>
    <definedName name="ANZ_96S">#REF!</definedName>
    <definedName name="ANZ_97D">#REF!</definedName>
    <definedName name="ANZ_97J">#REF!</definedName>
    <definedName name="ANZ_97M">#REF!</definedName>
    <definedName name="ANZ_97S">#REF!</definedName>
    <definedName name="ANZ_98D">#REF!</definedName>
    <definedName name="ANZ_98J">#REF!</definedName>
    <definedName name="ANZ_98M">#REF!</definedName>
    <definedName name="ANZ_98S">#REF!</definedName>
    <definedName name="ANZ_99D">#REF!</definedName>
    <definedName name="ANZ_99J">#REF!</definedName>
    <definedName name="ANZ_99M">#REF!</definedName>
    <definedName name="ANZ_99S">#REF!</definedName>
    <definedName name="ANZ_LT">#REF!</definedName>
    <definedName name="apper">#N/A</definedName>
    <definedName name="arcc">#REF!</definedName>
    <definedName name="ARCC_g">#REF!</definedName>
    <definedName name="ARCC_is">#REF!</definedName>
    <definedName name="AREA1">#REF!</definedName>
    <definedName name="AREA2">'[19]P&amp;L'!#REF!</definedName>
    <definedName name="arev93">#REF!</definedName>
    <definedName name="arev94">#REF!</definedName>
    <definedName name="arev95">#REF!</definedName>
    <definedName name="arev96">#REF!</definedName>
    <definedName name="arev97">#REF!</definedName>
    <definedName name="Arial">#REF!</definedName>
    <definedName name="ARITCAR1">#REF!</definedName>
    <definedName name="ARITCAR2">#REF!</definedName>
    <definedName name="ARITCAR3">#REF!</definedName>
    <definedName name="ARITCAR4">#REF!</definedName>
    <definedName name="ARPU_adjust_04_06">#REF!</definedName>
    <definedName name="ARPU_adjust_2005">#REF!</definedName>
    <definedName name="ARPU_blended">#REF!</definedName>
    <definedName name="ARPU_driver">#REF!</definedName>
    <definedName name="ARPU_postpaid">#REF!</definedName>
    <definedName name="ARPU_prepaid">#REF!</definedName>
    <definedName name="ARPUadjustment_04_06">#REF!</definedName>
    <definedName name="as">#REF!</definedName>
    <definedName name="AS2DocOpenMode" hidden="1">"AS2DocumentEdit"</definedName>
    <definedName name="asd" localSheetId="2" hidden="1">{#N/A,#N/A,FALSE,"Chart 2 by Prop Type"}</definedName>
    <definedName name="asd" localSheetId="1" hidden="1">{#N/A,#N/A,FALSE,"Chart 2 by Prop Type"}</definedName>
    <definedName name="asd" hidden="1">{#N/A,#N/A,FALSE,"Chart 2 by Prop Type"}</definedName>
    <definedName name="asdf">{TRUE,TRUE,-1.25,-15.5,456.75,279.75,FALSE,FALSE,TRUE,TRUE,0,1,8,1,4,6,3,4,TRUE,TRUE,3,TRUE,1,TRUE,100,"Swvu.turnover.","ACwvu.turnover.",1,FALSE,FALSE,0.511811023622047,0.511811023622047,0.511811023622047,0.511811023622047,1,"","",FALSE,FALSE,FALSE,FALSE,1,#N/A,1,1,#DIV/0!,FALSE,"Rwvu.turnover.",#N/A,FALSE,FALSE}</definedName>
    <definedName name="asf">#REF!</definedName>
    <definedName name="Asia">#REF!</definedName>
    <definedName name="Asia_w">#REF!</definedName>
    <definedName name="asia2">#REF!</definedName>
    <definedName name="AsiaPacific">#REF!</definedName>
    <definedName name="AsiaPacificDistributors">#REF!</definedName>
    <definedName name="AsiaPacificDutyFree">#REF!</definedName>
    <definedName name="Asset_Name_Brine">#REF!</definedName>
    <definedName name="ASSET_SALES">#REF!</definedName>
    <definedName name="Asset_value">#REF!</definedName>
    <definedName name="asset1">#REF!</definedName>
    <definedName name="AssetQuality">[20]NERD!$G$18:$N$18</definedName>
    <definedName name="ASSETS">#REF!</definedName>
    <definedName name="AssetsCurrentDeferredIncomeTax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etStructure">[20]NERD!$G$12:$N$12</definedName>
    <definedName name="Asso">#REF!</definedName>
    <definedName name="Assoc_Divs_Recd">#REF!</definedName>
    <definedName name="associate.2000">#REF!</definedName>
    <definedName name="associate.2001">#REF!</definedName>
    <definedName name="associate.99">#REF!</definedName>
    <definedName name="Associate_affiliate_income">#REF!</definedName>
    <definedName name="Associate_Dividends">#REF!</definedName>
    <definedName name="Associate_income">#REF!</definedName>
    <definedName name="Associated_income">#REF!</definedName>
    <definedName name="Associates">#REF!</definedName>
    <definedName name="Associates_PL">#REF!</definedName>
    <definedName name="AssociatesCash">#REF!</definedName>
    <definedName name="AssoG">#REF!</definedName>
    <definedName name="AssoS">#REF!</definedName>
    <definedName name="assum1">#REF!</definedName>
    <definedName name="assum2">#REF!</definedName>
    <definedName name="ASUKTRK1">#REF!</definedName>
    <definedName name="ASUKTRK2">#REF!</definedName>
    <definedName name="ASUKTRK3">#REF!</definedName>
    <definedName name="ASUKTRK4">#REF!</definedName>
    <definedName name="AT_5YRGROWTH">#REF!</definedName>
    <definedName name="Atlanta" localSheetId="2" hidden="1">{#N/A,#N/A,FALSE,"Chart 2 by Prop Type"}</definedName>
    <definedName name="Atlanta" localSheetId="1" hidden="1">{#N/A,#N/A,FALSE,"Chart 2 by Prop Type"}</definedName>
    <definedName name="Atlanta" hidden="1">{#N/A,#N/A,FALSE,"Chart 2 by Prop Type"}</definedName>
    <definedName name="Attributable_Profits">#REF!</definedName>
    <definedName name="AU_00D">#REF!</definedName>
    <definedName name="AU_00J">#REF!</definedName>
    <definedName name="AU_00M">#REF!</definedName>
    <definedName name="AU_00S">#REF!</definedName>
    <definedName name="AU_01D">#REF!</definedName>
    <definedName name="AU_01J">#REF!</definedName>
    <definedName name="AU_01M">#REF!</definedName>
    <definedName name="AU_01S">#REF!</definedName>
    <definedName name="AU_02D">#REF!</definedName>
    <definedName name="AU_02J">#REF!</definedName>
    <definedName name="AU_02M">#REF!</definedName>
    <definedName name="AU_02S">#REF!</definedName>
    <definedName name="AU_03D">#REF!</definedName>
    <definedName name="AU_03J">#REF!</definedName>
    <definedName name="AU_03M">#REF!</definedName>
    <definedName name="AU_03S">#REF!</definedName>
    <definedName name="AU_04D">#REF!</definedName>
    <definedName name="AU_04J">#REF!</definedName>
    <definedName name="AU_04M">#REF!</definedName>
    <definedName name="AU_04S">#REF!</definedName>
    <definedName name="AU_05D">#REF!</definedName>
    <definedName name="AU_05J">#REF!</definedName>
    <definedName name="AU_05M">#REF!</definedName>
    <definedName name="AU_05S">#REF!</definedName>
    <definedName name="AU_06D">#REF!</definedName>
    <definedName name="AU_06J">#REF!</definedName>
    <definedName name="AU_06M">#REF!</definedName>
    <definedName name="AU_06S">#REF!</definedName>
    <definedName name="AU_07D">#REF!</definedName>
    <definedName name="AU_07J">#REF!</definedName>
    <definedName name="AU_07M">#REF!</definedName>
    <definedName name="AU_07S">#REF!</definedName>
    <definedName name="AU_08D">#REF!</definedName>
    <definedName name="AU_08J">#REF!</definedName>
    <definedName name="AU_08M">#REF!</definedName>
    <definedName name="AU_08S">#REF!</definedName>
    <definedName name="AU_09D">#REF!</definedName>
    <definedName name="AU_09J">#REF!</definedName>
    <definedName name="AU_09M">#REF!</definedName>
    <definedName name="AU_09S">#REF!</definedName>
    <definedName name="AU_10D">#REF!</definedName>
    <definedName name="AU_10J">#REF!</definedName>
    <definedName name="AU_10M">#REF!</definedName>
    <definedName name="AU_10S">#REF!</definedName>
    <definedName name="AU_11D">#REF!</definedName>
    <definedName name="AU_11J">#REF!</definedName>
    <definedName name="AU_11M">#REF!</definedName>
    <definedName name="AU_11S">#REF!</definedName>
    <definedName name="AU_12D">#REF!</definedName>
    <definedName name="AU_12J">#REF!</definedName>
    <definedName name="AU_12M">#REF!</definedName>
    <definedName name="AU_12S">#REF!</definedName>
    <definedName name="AU_13D">#REF!</definedName>
    <definedName name="AU_13J">#REF!</definedName>
    <definedName name="AU_13M">#REF!</definedName>
    <definedName name="AU_13S">#REF!</definedName>
    <definedName name="AU_14D">#REF!</definedName>
    <definedName name="AU_14J">#REF!</definedName>
    <definedName name="AU_14M">#REF!</definedName>
    <definedName name="AU_14S">#REF!</definedName>
    <definedName name="AU_15D">#REF!</definedName>
    <definedName name="AU_15J">#REF!</definedName>
    <definedName name="AU_15M">#REF!</definedName>
    <definedName name="AU_15S">#REF!</definedName>
    <definedName name="AU_16D">#REF!</definedName>
    <definedName name="AU_16J">#REF!</definedName>
    <definedName name="AU_16M">#REF!</definedName>
    <definedName name="AU_16S">#REF!</definedName>
    <definedName name="AU_17D">#REF!</definedName>
    <definedName name="AU_17J">#REF!</definedName>
    <definedName name="AU_17M">#REF!</definedName>
    <definedName name="AU_17S">#REF!</definedName>
    <definedName name="AU_18D">#REF!</definedName>
    <definedName name="AU_18J">#REF!</definedName>
    <definedName name="AU_18M">#REF!</definedName>
    <definedName name="AU_18S">#REF!</definedName>
    <definedName name="AU_19D">#REF!</definedName>
    <definedName name="AU_19J">#REF!</definedName>
    <definedName name="AU_19M">#REF!</definedName>
    <definedName name="AU_19S">#REF!</definedName>
    <definedName name="AU_20D">#REF!</definedName>
    <definedName name="AU_20J">#REF!</definedName>
    <definedName name="AU_20M">#REF!</definedName>
    <definedName name="AU_20S">#REF!</definedName>
    <definedName name="AU_21D">#REF!</definedName>
    <definedName name="AU_21J">#REF!</definedName>
    <definedName name="AU_21M">#REF!</definedName>
    <definedName name="AU_21S">#REF!</definedName>
    <definedName name="AU_22D">#REF!</definedName>
    <definedName name="AU_22J">#REF!</definedName>
    <definedName name="AU_22M">#REF!</definedName>
    <definedName name="AU_22S">#REF!</definedName>
    <definedName name="AU_23D">#REF!</definedName>
    <definedName name="AU_23J">#REF!</definedName>
    <definedName name="AU_23M">#REF!</definedName>
    <definedName name="AU_23S">#REF!</definedName>
    <definedName name="AU_24D">#REF!</definedName>
    <definedName name="AU_24J">#REF!</definedName>
    <definedName name="AU_24M">#REF!</definedName>
    <definedName name="AU_24S">#REF!</definedName>
    <definedName name="AU_25D">#REF!</definedName>
    <definedName name="AU_25J">#REF!</definedName>
    <definedName name="AU_25M">#REF!</definedName>
    <definedName name="AU_25S">#REF!</definedName>
    <definedName name="AU_87D">#REF!</definedName>
    <definedName name="AU_87J">#REF!</definedName>
    <definedName name="AU_87M">#REF!</definedName>
    <definedName name="AU_87S">#REF!</definedName>
    <definedName name="AU_88D">#REF!</definedName>
    <definedName name="AU_88J">#REF!</definedName>
    <definedName name="AU_88M">#REF!</definedName>
    <definedName name="AU_88S">#REF!</definedName>
    <definedName name="AU_89D">#REF!</definedName>
    <definedName name="AU_89J">#REF!</definedName>
    <definedName name="AU_89M">#REF!</definedName>
    <definedName name="AU_89S">#REF!</definedName>
    <definedName name="AU_90D">#REF!</definedName>
    <definedName name="AU_90J">#REF!</definedName>
    <definedName name="AU_90M">#REF!</definedName>
    <definedName name="AU_90S">#REF!</definedName>
    <definedName name="AU_91D">#REF!</definedName>
    <definedName name="AU_91J">#REF!</definedName>
    <definedName name="AU_91M">#REF!</definedName>
    <definedName name="AU_91S">#REF!</definedName>
    <definedName name="AU_92D">#REF!</definedName>
    <definedName name="AU_92J">#REF!</definedName>
    <definedName name="AU_92M">#REF!</definedName>
    <definedName name="AU_92S">#REF!</definedName>
    <definedName name="AU_93D">#REF!</definedName>
    <definedName name="AU_93J">#REF!</definedName>
    <definedName name="AU_93M">#REF!</definedName>
    <definedName name="AU_93S">#REF!</definedName>
    <definedName name="AU_94D">#REF!</definedName>
    <definedName name="AU_94J">#REF!</definedName>
    <definedName name="AU_94M">#REF!</definedName>
    <definedName name="AU_94S">#REF!</definedName>
    <definedName name="AU_95D">#REF!</definedName>
    <definedName name="AU_95J">#REF!</definedName>
    <definedName name="AU_95M">#REF!</definedName>
    <definedName name="AU_95S">#REF!</definedName>
    <definedName name="AU_96D">#REF!</definedName>
    <definedName name="AU_96J">#REF!</definedName>
    <definedName name="AU_96M">#REF!</definedName>
    <definedName name="AU_96S">#REF!</definedName>
    <definedName name="AU_97D">#REF!</definedName>
    <definedName name="AU_97J">#REF!</definedName>
    <definedName name="AU_97M">#REF!</definedName>
    <definedName name="AU_97S">#REF!</definedName>
    <definedName name="AU_98D">#REF!</definedName>
    <definedName name="AU_98J">#REF!</definedName>
    <definedName name="AU_98M">#REF!</definedName>
    <definedName name="AU_98S">#REF!</definedName>
    <definedName name="AU_99D">#REF!</definedName>
    <definedName name="AU_99J">#REF!</definedName>
    <definedName name="AU_99M">#REF!</definedName>
    <definedName name="AU_99S">#REF!</definedName>
    <definedName name="AU_LT">#REF!</definedName>
    <definedName name="AU_OUT">#REF!</definedName>
    <definedName name="AU_Spot">#REF!</definedName>
    <definedName name="AUA_00D">#REF!</definedName>
    <definedName name="AUA_00J">#REF!</definedName>
    <definedName name="AUA_00M">#REF!</definedName>
    <definedName name="AUA_00S">#REF!</definedName>
    <definedName name="AUA_01D">#REF!</definedName>
    <definedName name="AUA_01J">#REF!</definedName>
    <definedName name="AUA_01M">#REF!</definedName>
    <definedName name="AUA_01S">#REF!</definedName>
    <definedName name="AUA_02D">#REF!</definedName>
    <definedName name="AUA_02J">#REF!</definedName>
    <definedName name="AUA_02M">#REF!</definedName>
    <definedName name="AUA_02S">#REF!</definedName>
    <definedName name="AUA_03D">#REF!</definedName>
    <definedName name="AUA_03J">#REF!</definedName>
    <definedName name="AUA_03M">#REF!</definedName>
    <definedName name="AUA_03S">#REF!</definedName>
    <definedName name="AUA_04D">#REF!</definedName>
    <definedName name="AUA_04J">#REF!</definedName>
    <definedName name="AUA_04M">#REF!</definedName>
    <definedName name="AUA_04S">#REF!</definedName>
    <definedName name="AUA_05D">#REF!</definedName>
    <definedName name="AUA_05J">#REF!</definedName>
    <definedName name="AUA_05M">#REF!</definedName>
    <definedName name="AUA_05S">#REF!</definedName>
    <definedName name="AUA_06D">#REF!</definedName>
    <definedName name="AUA_06J">#REF!</definedName>
    <definedName name="AUA_06M">#REF!</definedName>
    <definedName name="AUA_06S">#REF!</definedName>
    <definedName name="AUA_07D">#REF!</definedName>
    <definedName name="AUA_07J">#REF!</definedName>
    <definedName name="AUA_07M">#REF!</definedName>
    <definedName name="AUA_07S">#REF!</definedName>
    <definedName name="AUA_08D">#REF!</definedName>
    <definedName name="AUA_08J">#REF!</definedName>
    <definedName name="AUA_08M">#REF!</definedName>
    <definedName name="AUA_08S">#REF!</definedName>
    <definedName name="AUA_09D">#REF!</definedName>
    <definedName name="AUA_09J">#REF!</definedName>
    <definedName name="AUA_09M">#REF!</definedName>
    <definedName name="AUA_09S">#REF!</definedName>
    <definedName name="AUA_10D">#REF!</definedName>
    <definedName name="AUA_10J">#REF!</definedName>
    <definedName name="AUA_10M">#REF!</definedName>
    <definedName name="AUA_10S">#REF!</definedName>
    <definedName name="AUA_11D">#REF!</definedName>
    <definedName name="AUA_11J">#REF!</definedName>
    <definedName name="AUA_11M">#REF!</definedName>
    <definedName name="AUA_11S">#REF!</definedName>
    <definedName name="AUA_12D">#REF!</definedName>
    <definedName name="AUA_12J">#REF!</definedName>
    <definedName name="AUA_12M">#REF!</definedName>
    <definedName name="AUA_12S">#REF!</definedName>
    <definedName name="AUA_13D">#REF!</definedName>
    <definedName name="AUA_13J">#REF!</definedName>
    <definedName name="AUA_13M">#REF!</definedName>
    <definedName name="AUA_13S">#REF!</definedName>
    <definedName name="AUA_14D">#REF!</definedName>
    <definedName name="AUA_14J">#REF!</definedName>
    <definedName name="AUA_14M">#REF!</definedName>
    <definedName name="AUA_14S">#REF!</definedName>
    <definedName name="AUA_15D">#REF!</definedName>
    <definedName name="AUA_15J">#REF!</definedName>
    <definedName name="AUA_15M">#REF!</definedName>
    <definedName name="AUA_15S">#REF!</definedName>
    <definedName name="AUA_16D">#REF!</definedName>
    <definedName name="AUA_16J">#REF!</definedName>
    <definedName name="AUA_16M">#REF!</definedName>
    <definedName name="AUA_16S">#REF!</definedName>
    <definedName name="AUA_17D">#REF!</definedName>
    <definedName name="AUA_17J">#REF!</definedName>
    <definedName name="AUA_17M">#REF!</definedName>
    <definedName name="AUA_17S">#REF!</definedName>
    <definedName name="AUA_18D">#REF!</definedName>
    <definedName name="AUA_18J">#REF!</definedName>
    <definedName name="AUA_18M">#REF!</definedName>
    <definedName name="AUA_18S">#REF!</definedName>
    <definedName name="AUA_19D">#REF!</definedName>
    <definedName name="AUA_19J">#REF!</definedName>
    <definedName name="AUA_19M">#REF!</definedName>
    <definedName name="AUA_19S">#REF!</definedName>
    <definedName name="AUA_20D">#REF!</definedName>
    <definedName name="AUA_20J">#REF!</definedName>
    <definedName name="AUA_20M">#REF!</definedName>
    <definedName name="AUA_20S">#REF!</definedName>
    <definedName name="AUA_21D">#REF!</definedName>
    <definedName name="AUA_21J">#REF!</definedName>
    <definedName name="AUA_21M">#REF!</definedName>
    <definedName name="AUA_21S">#REF!</definedName>
    <definedName name="AUA_22D">#REF!</definedName>
    <definedName name="AUA_22J">#REF!</definedName>
    <definedName name="AUA_22M">#REF!</definedName>
    <definedName name="AUA_22S">#REF!</definedName>
    <definedName name="AUA_23D">#REF!</definedName>
    <definedName name="AUA_23J">#REF!</definedName>
    <definedName name="AUA_23M">#REF!</definedName>
    <definedName name="AUA_23S">#REF!</definedName>
    <definedName name="AUA_24D">#REF!</definedName>
    <definedName name="AUA_24J">#REF!</definedName>
    <definedName name="AUA_24M">#REF!</definedName>
    <definedName name="AUA_24S">#REF!</definedName>
    <definedName name="AUA_25D">#REF!</definedName>
    <definedName name="AUA_25J">#REF!</definedName>
    <definedName name="AUA_25M">#REF!</definedName>
    <definedName name="AUA_25S">#REF!</definedName>
    <definedName name="AUA_87D">#REF!</definedName>
    <definedName name="AUA_87J">#REF!</definedName>
    <definedName name="AUA_87M">#REF!</definedName>
    <definedName name="AUA_87S">#REF!</definedName>
    <definedName name="AUA_88D">#REF!</definedName>
    <definedName name="AUA_88J">#REF!</definedName>
    <definedName name="AUA_88M">#REF!</definedName>
    <definedName name="AUA_88S">#REF!</definedName>
    <definedName name="AUA_89D">#REF!</definedName>
    <definedName name="AUA_89J">#REF!</definedName>
    <definedName name="AUA_89M">#REF!</definedName>
    <definedName name="AUA_89S">#REF!</definedName>
    <definedName name="AUA_90D">#REF!</definedName>
    <definedName name="AUA_90J">#REF!</definedName>
    <definedName name="AUA_90M">#REF!</definedName>
    <definedName name="AUA_90S">#REF!</definedName>
    <definedName name="AUA_91D">#REF!</definedName>
    <definedName name="AUA_91J">#REF!</definedName>
    <definedName name="AUA_91M">#REF!</definedName>
    <definedName name="AUA_91S">#REF!</definedName>
    <definedName name="AUA_92D">#REF!</definedName>
    <definedName name="AUA_92J">#REF!</definedName>
    <definedName name="AUA_92M">#REF!</definedName>
    <definedName name="AUA_92S">#REF!</definedName>
    <definedName name="AUA_93D">#REF!</definedName>
    <definedName name="AUA_93J">#REF!</definedName>
    <definedName name="AUA_93M">#REF!</definedName>
    <definedName name="AUA_93S">#REF!</definedName>
    <definedName name="AUA_94D">#REF!</definedName>
    <definedName name="AUA_94J">#REF!</definedName>
    <definedName name="AUA_94M">#REF!</definedName>
    <definedName name="AUA_94S">#REF!</definedName>
    <definedName name="AUA_95D">#REF!</definedName>
    <definedName name="AUA_95J">#REF!</definedName>
    <definedName name="AUA_95M">#REF!</definedName>
    <definedName name="AUA_95S">#REF!</definedName>
    <definedName name="AUA_96D">#REF!</definedName>
    <definedName name="AUA_96J">#REF!</definedName>
    <definedName name="AUA_96M">#REF!</definedName>
    <definedName name="AUA_96S">#REF!</definedName>
    <definedName name="AUA_97D">#REF!</definedName>
    <definedName name="AUA_97J">#REF!</definedName>
    <definedName name="AUA_97M">#REF!</definedName>
    <definedName name="AUA_97S">#REF!</definedName>
    <definedName name="AUA_98D">#REF!</definedName>
    <definedName name="AUA_98J">#REF!</definedName>
    <definedName name="AUA_98M">#REF!</definedName>
    <definedName name="AUA_98S">#REF!</definedName>
    <definedName name="AUA_99D">#REF!</definedName>
    <definedName name="AUA_99J">#REF!</definedName>
    <definedName name="AUA_99M">#REF!</definedName>
    <definedName name="AUA_99S">#REF!</definedName>
    <definedName name="AUA_Code">#REF!</definedName>
    <definedName name="AUD_OUT">#REF!</definedName>
    <definedName name="AUS_00D">#REF!</definedName>
    <definedName name="AUS_00J">#REF!</definedName>
    <definedName name="AUS_00M">#REF!</definedName>
    <definedName name="AUS_00S">#REF!</definedName>
    <definedName name="AUS_01D">#REF!</definedName>
    <definedName name="AUS_01J">#REF!</definedName>
    <definedName name="AUS_01M">#REF!</definedName>
    <definedName name="AUS_01S">#REF!</definedName>
    <definedName name="AUS_02D">#REF!</definedName>
    <definedName name="AUS_02J">#REF!</definedName>
    <definedName name="AUS_02M">#REF!</definedName>
    <definedName name="AUS_02S">#REF!</definedName>
    <definedName name="AUS_03D">#REF!</definedName>
    <definedName name="AUS_03J">#REF!</definedName>
    <definedName name="AUS_03M">#REF!</definedName>
    <definedName name="AUS_03S">#REF!</definedName>
    <definedName name="AUS_04D">#REF!</definedName>
    <definedName name="AUS_04J">#REF!</definedName>
    <definedName name="AUS_04M">#REF!</definedName>
    <definedName name="AUS_04S">#REF!</definedName>
    <definedName name="AUS_05D">#REF!</definedName>
    <definedName name="AUS_05J">#REF!</definedName>
    <definedName name="AUS_05M">#REF!</definedName>
    <definedName name="AUS_05S">#REF!</definedName>
    <definedName name="AUS_06D">#REF!</definedName>
    <definedName name="AUS_06J">#REF!</definedName>
    <definedName name="AUS_06M">#REF!</definedName>
    <definedName name="AUS_06S">#REF!</definedName>
    <definedName name="AUS_07D">#REF!</definedName>
    <definedName name="AUS_07J">#REF!</definedName>
    <definedName name="AUS_07M">#REF!</definedName>
    <definedName name="AUS_07S">#REF!</definedName>
    <definedName name="AUS_08D">#REF!</definedName>
    <definedName name="AUS_08J">#REF!</definedName>
    <definedName name="AUS_08M">#REF!</definedName>
    <definedName name="AUS_08S">#REF!</definedName>
    <definedName name="AUS_09D">#REF!</definedName>
    <definedName name="AUS_09J">#REF!</definedName>
    <definedName name="AUS_09M">#REF!</definedName>
    <definedName name="AUS_09S">#REF!</definedName>
    <definedName name="AUS_10D">#REF!</definedName>
    <definedName name="AUS_10J">#REF!</definedName>
    <definedName name="AUS_10M">#REF!</definedName>
    <definedName name="AUS_10S">#REF!</definedName>
    <definedName name="AUS_11D">#REF!</definedName>
    <definedName name="AUS_11J">#REF!</definedName>
    <definedName name="AUS_11M">#REF!</definedName>
    <definedName name="AUS_11S">#REF!</definedName>
    <definedName name="AUS_12D">#REF!</definedName>
    <definedName name="AUS_12J">#REF!</definedName>
    <definedName name="AUS_12M">#REF!</definedName>
    <definedName name="AUS_12S">#REF!</definedName>
    <definedName name="AUS_13D">#REF!</definedName>
    <definedName name="AUS_13J">#REF!</definedName>
    <definedName name="AUS_13M">#REF!</definedName>
    <definedName name="AUS_13S">#REF!</definedName>
    <definedName name="AUS_14D">#REF!</definedName>
    <definedName name="AUS_14J">#REF!</definedName>
    <definedName name="AUS_14M">#REF!</definedName>
    <definedName name="AUS_14S">#REF!</definedName>
    <definedName name="AUS_15D">#REF!</definedName>
    <definedName name="AUS_15J">#REF!</definedName>
    <definedName name="AUS_15M">#REF!</definedName>
    <definedName name="AUS_15S">#REF!</definedName>
    <definedName name="AUS_16D">#REF!</definedName>
    <definedName name="AUS_16J">#REF!</definedName>
    <definedName name="AUS_16M">#REF!</definedName>
    <definedName name="AUS_16S">#REF!</definedName>
    <definedName name="AUS_17D">#REF!</definedName>
    <definedName name="AUS_17J">#REF!</definedName>
    <definedName name="AUS_17M">#REF!</definedName>
    <definedName name="AUS_17S">#REF!</definedName>
    <definedName name="AUS_18D">#REF!</definedName>
    <definedName name="AUS_18J">#REF!</definedName>
    <definedName name="AUS_18M">#REF!</definedName>
    <definedName name="AUS_18S">#REF!</definedName>
    <definedName name="AUS_19D">#REF!</definedName>
    <definedName name="AUS_19J">#REF!</definedName>
    <definedName name="AUS_19M">#REF!</definedName>
    <definedName name="AUS_19S">#REF!</definedName>
    <definedName name="AUS_20D">#REF!</definedName>
    <definedName name="AUS_20J">#REF!</definedName>
    <definedName name="AUS_20M">#REF!</definedName>
    <definedName name="AUS_20S">#REF!</definedName>
    <definedName name="AUS_21D">#REF!</definedName>
    <definedName name="AUS_21J">#REF!</definedName>
    <definedName name="AUS_21M">#REF!</definedName>
    <definedName name="AUS_21S">#REF!</definedName>
    <definedName name="AUS_22D">#REF!</definedName>
    <definedName name="AUS_22J">#REF!</definedName>
    <definedName name="AUS_22M">#REF!</definedName>
    <definedName name="AUS_22S">#REF!</definedName>
    <definedName name="AUS_23D">#REF!</definedName>
    <definedName name="AUS_23J">#REF!</definedName>
    <definedName name="AUS_23M">#REF!</definedName>
    <definedName name="AUS_23S">#REF!</definedName>
    <definedName name="AUS_24D">#REF!</definedName>
    <definedName name="AUS_24J">#REF!</definedName>
    <definedName name="AUS_24M">#REF!</definedName>
    <definedName name="AUS_24S">#REF!</definedName>
    <definedName name="AUS_25D">#REF!</definedName>
    <definedName name="AUS_25J">#REF!</definedName>
    <definedName name="AUS_25M">#REF!</definedName>
    <definedName name="AUS_25S">#REF!</definedName>
    <definedName name="AUS_87D">#REF!</definedName>
    <definedName name="AUS_87J">#REF!</definedName>
    <definedName name="AUS_87M">#REF!</definedName>
    <definedName name="AUS_87S">#REF!</definedName>
    <definedName name="AUS_88D">#REF!</definedName>
    <definedName name="AUS_88J">#REF!</definedName>
    <definedName name="AUS_88M">#REF!</definedName>
    <definedName name="AUS_88S">#REF!</definedName>
    <definedName name="AUS_89D">#REF!</definedName>
    <definedName name="AUS_89J">#REF!</definedName>
    <definedName name="AUS_89M">#REF!</definedName>
    <definedName name="AUS_89S">#REF!</definedName>
    <definedName name="AUS_90D">#REF!</definedName>
    <definedName name="AUS_90J">#REF!</definedName>
    <definedName name="AUS_90M">#REF!</definedName>
    <definedName name="AUS_90S">#REF!</definedName>
    <definedName name="AUS_91D">#REF!</definedName>
    <definedName name="AUS_91J">#REF!</definedName>
    <definedName name="AUS_91M">#REF!</definedName>
    <definedName name="AUS_91S">#REF!</definedName>
    <definedName name="AUS_92D">#REF!</definedName>
    <definedName name="AUS_92J">#REF!</definedName>
    <definedName name="AUS_92M">#REF!</definedName>
    <definedName name="AUS_92S">#REF!</definedName>
    <definedName name="AUS_93D">#REF!</definedName>
    <definedName name="AUS_93J">#REF!</definedName>
    <definedName name="AUS_93M">#REF!</definedName>
    <definedName name="AUS_93S">#REF!</definedName>
    <definedName name="AUS_94D">#REF!</definedName>
    <definedName name="AUS_94J">#REF!</definedName>
    <definedName name="AUS_94M">#REF!</definedName>
    <definedName name="AUS_94S">#REF!</definedName>
    <definedName name="AUS_95D">#REF!</definedName>
    <definedName name="AUS_95J">#REF!</definedName>
    <definedName name="AUS_95M">#REF!</definedName>
    <definedName name="AUS_95S">#REF!</definedName>
    <definedName name="AUS_96D">#REF!</definedName>
    <definedName name="AUS_96J">#REF!</definedName>
    <definedName name="AUS_96M">#REF!</definedName>
    <definedName name="AUS_96S">#REF!</definedName>
    <definedName name="AUS_97D">#REF!</definedName>
    <definedName name="AUS_97J">#REF!</definedName>
    <definedName name="AUS_97M">#REF!</definedName>
    <definedName name="AUS_97S">#REF!</definedName>
    <definedName name="AUS_98D">#REF!</definedName>
    <definedName name="AUS_98J">#REF!</definedName>
    <definedName name="AUS_98M">#REF!</definedName>
    <definedName name="AUS_98S">#REF!</definedName>
    <definedName name="AUS_99D">#REF!</definedName>
    <definedName name="AUS_99J">#REF!</definedName>
    <definedName name="AUS_99M">#REF!</definedName>
    <definedName name="AUS_99S">#REF!</definedName>
    <definedName name="AUS_LT">#REF!</definedName>
    <definedName name="AUS_Spot">#REF!</definedName>
    <definedName name="AUS_ZZZ">#REF!</definedName>
    <definedName name="AUSF_00D">#REF!</definedName>
    <definedName name="AUSF_00J">#REF!</definedName>
    <definedName name="AUSF_00M">#REF!</definedName>
    <definedName name="AUSF_00S">#REF!</definedName>
    <definedName name="AUSF_01D">#REF!</definedName>
    <definedName name="AUSF_01J">#REF!</definedName>
    <definedName name="AUSF_01M">#REF!</definedName>
    <definedName name="AUSF_01S">#REF!</definedName>
    <definedName name="AUSF_02D">#REF!</definedName>
    <definedName name="AUSF_02J">#REF!</definedName>
    <definedName name="AUSF_02M">#REF!</definedName>
    <definedName name="AUSF_02S">#REF!</definedName>
    <definedName name="AUSF_03D">#REF!</definedName>
    <definedName name="AUSF_03J">#REF!</definedName>
    <definedName name="AUSF_03M">#REF!</definedName>
    <definedName name="AUSF_03S">#REF!</definedName>
    <definedName name="AUSF_04D">#REF!</definedName>
    <definedName name="AUSF_04J">#REF!</definedName>
    <definedName name="AUSF_04M">#REF!</definedName>
    <definedName name="AUSF_04S">#REF!</definedName>
    <definedName name="AUSF_05D">#REF!</definedName>
    <definedName name="AUSF_05J">#REF!</definedName>
    <definedName name="AUSF_05M">#REF!</definedName>
    <definedName name="AUSF_05S">#REF!</definedName>
    <definedName name="AUSF_06D">#REF!</definedName>
    <definedName name="AUSF_06J">#REF!</definedName>
    <definedName name="AUSF_06M">#REF!</definedName>
    <definedName name="AUSF_06S">#REF!</definedName>
    <definedName name="AUSF_07D">#REF!</definedName>
    <definedName name="AUSF_07J">#REF!</definedName>
    <definedName name="AUSF_07M">#REF!</definedName>
    <definedName name="AUSF_07S">#REF!</definedName>
    <definedName name="AUSF_08D">#REF!</definedName>
    <definedName name="AUSF_08J">#REF!</definedName>
    <definedName name="AUSF_08M">#REF!</definedName>
    <definedName name="AUSF_08S">#REF!</definedName>
    <definedName name="AUSF_09D">#REF!</definedName>
    <definedName name="AUSF_09J">#REF!</definedName>
    <definedName name="AUSF_09M">#REF!</definedName>
    <definedName name="AUSF_09S">#REF!</definedName>
    <definedName name="AUSF_10D">#REF!</definedName>
    <definedName name="AUSF_10J">#REF!</definedName>
    <definedName name="AUSF_10M">#REF!</definedName>
    <definedName name="AUSF_10S">#REF!</definedName>
    <definedName name="AUSF_11D">#REF!</definedName>
    <definedName name="AUSF_11J">#REF!</definedName>
    <definedName name="AUSF_11M">#REF!</definedName>
    <definedName name="AUSF_11S">#REF!</definedName>
    <definedName name="AUSF_12D">#REF!</definedName>
    <definedName name="AUSF_12J">#REF!</definedName>
    <definedName name="AUSF_12M">#REF!</definedName>
    <definedName name="AUSF_12S">#REF!</definedName>
    <definedName name="AUSF_13D">#REF!</definedName>
    <definedName name="AUSF_13J">#REF!</definedName>
    <definedName name="AUSF_13M">#REF!</definedName>
    <definedName name="AUSF_13S">#REF!</definedName>
    <definedName name="AUSF_14D">#REF!</definedName>
    <definedName name="AUSF_14J">#REF!</definedName>
    <definedName name="AUSF_14M">#REF!</definedName>
    <definedName name="AUSF_14S">#REF!</definedName>
    <definedName name="AUSF_15D">#REF!</definedName>
    <definedName name="AUSF_15J">#REF!</definedName>
    <definedName name="AUSF_15M">#REF!</definedName>
    <definedName name="AUSF_15S">#REF!</definedName>
    <definedName name="AUSF_16D">#REF!</definedName>
    <definedName name="AUSF_16J">#REF!</definedName>
    <definedName name="AUSF_16M">#REF!</definedName>
    <definedName name="AUSF_16S">#REF!</definedName>
    <definedName name="AUSF_17D">#REF!</definedName>
    <definedName name="AUSF_17J">#REF!</definedName>
    <definedName name="AUSF_17M">#REF!</definedName>
    <definedName name="AUSF_17S">#REF!</definedName>
    <definedName name="AUSF_18D">#REF!</definedName>
    <definedName name="AUSF_18J">#REF!</definedName>
    <definedName name="AUSF_18M">#REF!</definedName>
    <definedName name="AUSF_18S">#REF!</definedName>
    <definedName name="AUSF_19D">#REF!</definedName>
    <definedName name="AUSF_19J">#REF!</definedName>
    <definedName name="AUSF_19M">#REF!</definedName>
    <definedName name="AUSF_19S">#REF!</definedName>
    <definedName name="AUSF_20D">#REF!</definedName>
    <definedName name="AUSF_20J">#REF!</definedName>
    <definedName name="AUSF_20M">#REF!</definedName>
    <definedName name="AUSF_20S">#REF!</definedName>
    <definedName name="AUSF_21D">#REF!</definedName>
    <definedName name="AUSF_21J">#REF!</definedName>
    <definedName name="AUSF_21M">#REF!</definedName>
    <definedName name="AUSF_21S">#REF!</definedName>
    <definedName name="AUSF_22D">#REF!</definedName>
    <definedName name="AUSF_22J">#REF!</definedName>
    <definedName name="AUSF_22M">#REF!</definedName>
    <definedName name="AUSF_22S">#REF!</definedName>
    <definedName name="AUSF_23D">#REF!</definedName>
    <definedName name="AUSF_23J">#REF!</definedName>
    <definedName name="AUSF_23M">#REF!</definedName>
    <definedName name="AUSF_23S">#REF!</definedName>
    <definedName name="AUSF_24D">#REF!</definedName>
    <definedName name="AUSF_24J">#REF!</definedName>
    <definedName name="AUSF_24M">#REF!</definedName>
    <definedName name="AUSF_24S">#REF!</definedName>
    <definedName name="AUSF_25D">#REF!</definedName>
    <definedName name="AUSF_25J">#REF!</definedName>
    <definedName name="AUSF_25M">#REF!</definedName>
    <definedName name="AUSF_25S">#REF!</definedName>
    <definedName name="AUSF_87D">#REF!</definedName>
    <definedName name="AUSF_87J">#REF!</definedName>
    <definedName name="AUSF_87M">#REF!</definedName>
    <definedName name="AUSF_87S">#REF!</definedName>
    <definedName name="AUSF_88D">#REF!</definedName>
    <definedName name="AUSF_88J">#REF!</definedName>
    <definedName name="AUSF_88M">#REF!</definedName>
    <definedName name="AUSF_88S">#REF!</definedName>
    <definedName name="AUSF_89D">#REF!</definedName>
    <definedName name="AUSF_89J">#REF!</definedName>
    <definedName name="AUSF_89M">#REF!</definedName>
    <definedName name="AUSF_89S">#REF!</definedName>
    <definedName name="AUSF_90D">#REF!</definedName>
    <definedName name="AUSF_90J">#REF!</definedName>
    <definedName name="AUSF_90M">#REF!</definedName>
    <definedName name="AUSF_90S">#REF!</definedName>
    <definedName name="AUSF_91D">#REF!</definedName>
    <definedName name="AUSF_91J">#REF!</definedName>
    <definedName name="AUSF_91M">#REF!</definedName>
    <definedName name="AUSF_91S">#REF!</definedName>
    <definedName name="AUSF_92D">#REF!</definedName>
    <definedName name="AUSF_92J">#REF!</definedName>
    <definedName name="AUSF_92M">#REF!</definedName>
    <definedName name="AUSF_92S">#REF!</definedName>
    <definedName name="AUSF_93D">#REF!</definedName>
    <definedName name="AUSF_93J">#REF!</definedName>
    <definedName name="AUSF_93M">#REF!</definedName>
    <definedName name="AUSF_93S">#REF!</definedName>
    <definedName name="AUSF_94D">#REF!</definedName>
    <definedName name="AUSF_94J">#REF!</definedName>
    <definedName name="AUSF_94M">#REF!</definedName>
    <definedName name="AUSF_94S">#REF!</definedName>
    <definedName name="AUSF_95D">#REF!</definedName>
    <definedName name="AUSF_95J">#REF!</definedName>
    <definedName name="AUSF_95M">#REF!</definedName>
    <definedName name="AUSF_95S">#REF!</definedName>
    <definedName name="AUSF_96D">#REF!</definedName>
    <definedName name="AUSF_96J">#REF!</definedName>
    <definedName name="AUSF_96M">#REF!</definedName>
    <definedName name="AUSF_96S">#REF!</definedName>
    <definedName name="AUSF_97D">#REF!</definedName>
    <definedName name="AUSF_97J">#REF!</definedName>
    <definedName name="AUSF_97M">#REF!</definedName>
    <definedName name="AUSF_97S">#REF!</definedName>
    <definedName name="AUSF_98D">#REF!</definedName>
    <definedName name="AUSF_98J">#REF!</definedName>
    <definedName name="AUSF_98M">#REF!</definedName>
    <definedName name="AUSF_98S">#REF!</definedName>
    <definedName name="AUSF_99D">#REF!</definedName>
    <definedName name="AUSF_99J">#REF!</definedName>
    <definedName name="AUSF_99M">#REF!</definedName>
    <definedName name="AUSF_99S">#REF!</definedName>
    <definedName name="AUSF_lt">#REF!</definedName>
    <definedName name="Australia">'[21]HK rates'!$A$1:$J$40</definedName>
    <definedName name="AUWGCAR1">#REF!</definedName>
    <definedName name="AUWGCAR2">#REF!</definedName>
    <definedName name="AUWGCAR3">#REF!</definedName>
    <definedName name="AUWGCAR4">#REF!</definedName>
    <definedName name="AUWGTDL1">#REF!</definedName>
    <definedName name="AUWGTDL2">#REF!</definedName>
    <definedName name="AUWGTDL3">#REF!</definedName>
    <definedName name="AUWGTDL4">#REF!</definedName>
    <definedName name="av_int_cash">#REF!</definedName>
    <definedName name="av_int_debt">#REF!</definedName>
    <definedName name="Av_no_Shares">#REF!</definedName>
    <definedName name="Avdyn85">#REF!</definedName>
    <definedName name="Avdyn86">#REF!</definedName>
    <definedName name="Avdyn87">#REF!</definedName>
    <definedName name="Avdyn88">#REF!</definedName>
    <definedName name="Avdyn89">#REF!</definedName>
    <definedName name="Avdyn90">#REF!</definedName>
    <definedName name="Avdyn91">#REF!</definedName>
    <definedName name="Avdyn92">#REF!</definedName>
    <definedName name="Avdyn93">#REF!</definedName>
    <definedName name="Avdyn94">#REF!</definedName>
    <definedName name="Avdyn95">#REF!</definedName>
    <definedName name="Avdyn96">#REF!</definedName>
    <definedName name="Avdyn97">#REF!</definedName>
    <definedName name="Average">#REF!</definedName>
    <definedName name="Average_invested_capital">#REF!</definedName>
    <definedName name="Average_invested_capital_DCF">#REF!</definedName>
    <definedName name="Average_Selling_Price">#REF!</definedName>
    <definedName name="Average_Tax_Rate">#REF!</definedName>
    <definedName name="AVGFDSHARES">#REF!</definedName>
    <definedName name="AVGSHARES">#REF!</definedName>
    <definedName name="Avstat85">#REF!</definedName>
    <definedName name="Avstat86">#REF!</definedName>
    <definedName name="Avstat87">#REF!</definedName>
    <definedName name="Avstat88">#REF!</definedName>
    <definedName name="Avstat89">#REF!</definedName>
    <definedName name="Avstat90">#REF!</definedName>
    <definedName name="Avstat91">#REF!</definedName>
    <definedName name="Avstat92">#REF!</definedName>
    <definedName name="Avstat93">#REF!</definedName>
    <definedName name="Avstat94">#REF!</definedName>
    <definedName name="Avstat95">#REF!</definedName>
    <definedName name="Avstat96">#REF!</definedName>
    <definedName name="Avstat97">#REF!</definedName>
    <definedName name="AxisLo">#REF!</definedName>
    <definedName name="B___DEMONSTRAÇÃO_DO_RESULTADO_PROJETADA">#REF!</definedName>
    <definedName name="B_EBIT">#REF!</definedName>
    <definedName name="B_S">#REF!</definedName>
    <definedName name="B_Sales">#REF!</definedName>
    <definedName name="ba_cash">#REF!</definedName>
    <definedName name="ba_cur_ass">#REF!</definedName>
    <definedName name="ba_stock">#REF!</definedName>
    <definedName name="ba_tot_ass">#REF!</definedName>
    <definedName name="ba_wip">#REF!</definedName>
    <definedName name="BACK_A">#REF!</definedName>
    <definedName name="backbone">#REF!</definedName>
    <definedName name="backto">#REF!</definedName>
    <definedName name="bad">#REF!</definedName>
    <definedName name="bad_debt_driver">#REF!</definedName>
    <definedName name="bae">#REF!</definedName>
    <definedName name="balance">#REF!</definedName>
    <definedName name="BALFULL">#REF!</definedName>
    <definedName name="bao">#REF!</definedName>
    <definedName name="bap">#REF!</definedName>
    <definedName name="barpx">#REF!</definedName>
    <definedName name="BaseName">#REF!</definedName>
    <definedName name="BASF____Balance_Sheet_Summary_1988_1998E__DMm">#REF!</definedName>
    <definedName name="BASF___Margins_and_Ratios_1988_1998E">#REF!</definedName>
    <definedName name="BASF___Profit_and_Loss_Summary_1988_2000E__EURm">#REF!</definedName>
    <definedName name="BASF___Quarterly_Sales_and_Profit_Trend_1998___2000E__EURm">#REF!</definedName>
    <definedName name="bat">#REF!</definedName>
    <definedName name="bay">#REF!</definedName>
    <definedName name="Bayer____Balance_Sheet_Summary_1988_1998E__DMm">#REF!</definedName>
    <definedName name="Bayer___Divisional_Trends_1996___1998E__DMm">#REF!</definedName>
    <definedName name="Bayer___Margins_and_Ratios_1988_1998E">#REF!</definedName>
    <definedName name="Bayer___Profit_and_Loss_Summary_1988_1998E__DMm">#REF!</definedName>
    <definedName name="Bayer___Quarterly_Sales_and_Profit_Trend_1996___1998E__DMm">#REF!</definedName>
    <definedName name="bb">#REF!</definedName>
    <definedName name="bb_M0FDOTAzRTVBMTZBNDc2RE" hidden="1">#REF!</definedName>
    <definedName name="bb_MTk0NDE5QTI2NTVBNDM0Mz" hidden="1">#REF!</definedName>
    <definedName name="bb_QTUwQ0MzMThGRUY4NDdFNj" hidden="1">#REF!</definedName>
    <definedName name="bb_RTRDMjFDM0I3NzRDNDAxQT" hidden="1">#REF!</definedName>
    <definedName name="bbb">#REF!</definedName>
    <definedName name="BBME">'[21]HK rates'!$A$1:$J$46</definedName>
    <definedName name="BC">#REF!</definedName>
    <definedName name="bca">#REF!</definedName>
    <definedName name="bcb">#REF!</definedName>
    <definedName name="bce">#REF!</definedName>
    <definedName name="bcfe101_00">#REF!</definedName>
    <definedName name="bcfe101_01">#REF!</definedName>
    <definedName name="bcfe101_93">#REF!</definedName>
    <definedName name="bcfe101_94">#REF!</definedName>
    <definedName name="bcfe101_95">#REF!</definedName>
    <definedName name="bcfe101_96">#REF!</definedName>
    <definedName name="bcfe101_97">#REF!</definedName>
    <definedName name="bcfe101_98">#REF!</definedName>
    <definedName name="bcfe101_99">#REF!</definedName>
    <definedName name="bcl">#REF!</definedName>
    <definedName name="bcm">#REF!</definedName>
    <definedName name="bcp">#REF!</definedName>
    <definedName name="BD">#REF!</definedName>
    <definedName name="bdp">#REF!</definedName>
    <definedName name="BE">#REF!</definedName>
    <definedName name="BEL_5YRGROWTH">#REF!</definedName>
    <definedName name="Benettonpr">#REF!</definedName>
    <definedName name="Best">#REF!</definedName>
    <definedName name="bet">#REF!</definedName>
    <definedName name="bfc">#REF!</definedName>
    <definedName name="BFrLo">#REF!</definedName>
    <definedName name="BGalLo">#REF!</definedName>
    <definedName name="bia">#REF!</definedName>
    <definedName name="BIGTABLE">#REF!</definedName>
    <definedName name="bin">#REF!</definedName>
    <definedName name="bio">#REF!</definedName>
    <definedName name="bir">#REF!</definedName>
    <definedName name="bit">#REF!</definedName>
    <definedName name="bl_pens_prov">#REF!</definedName>
    <definedName name="bl_sh_fund">#REF!</definedName>
    <definedName name="bl_tot_cur_liab">#REF!</definedName>
    <definedName name="bl_tot_liab_over">#REF!</definedName>
    <definedName name="bl_tot_liab_use_over">#REF!</definedName>
    <definedName name="BLA">#REF!</definedName>
    <definedName name="bll">#REF!</definedName>
    <definedName name="block.Assumptions.blue">#REF!</definedName>
    <definedName name="block.Author.blue">#REF!</definedName>
    <definedName name="block.BalanceSheet.blue">#REF!</definedName>
    <definedName name="block.BusinessBackground.blue">#REF!</definedName>
    <definedName name="block.CapitalHistory.blue">#REF!</definedName>
    <definedName name="block.Cashflow.blue">#REF!</definedName>
    <definedName name="block.DividendData.blue">#REF!</definedName>
    <definedName name="block.Expansion.blue">#REF!</definedName>
    <definedName name="block.Forecasts.blue">#REF!</definedName>
    <definedName name="block.mainpoints.red">#REF!</definedName>
    <definedName name="block.MajorShareholders.blue">#REF!</definedName>
    <definedName name="block.Miscellaneous.blue">#REF!</definedName>
    <definedName name="block.Outlook.blue">#REF!</definedName>
    <definedName name="block.PriceChart.none">#REF!</definedName>
    <definedName name="block.ProfitBreakdown.blue">#REF!</definedName>
    <definedName name="block.ShareData.blue">#REF!</definedName>
    <definedName name="block.Subsidiaries.blue">#REF!</definedName>
    <definedName name="block.Title.blue">#REF!</definedName>
    <definedName name="blockafx00">#REF!</definedName>
    <definedName name="blockafx01">#REF!</definedName>
    <definedName name="blockagas00">#REF!</definedName>
    <definedName name="blockagas01">#REF!</definedName>
    <definedName name="blockaoil00">#REF!</definedName>
    <definedName name="blockaoil01">#REF!</definedName>
    <definedName name="blockaopinc00">#REF!</definedName>
    <definedName name="blockaopinc01">#REF!</definedName>
    <definedName name="blockaopinus00">#REF!</definedName>
    <definedName name="BLPH1" localSheetId="2" hidden="1">#REF!</definedName>
    <definedName name="BLPH1" hidden="1">#REF!</definedName>
    <definedName name="BLPH10" localSheetId="2" hidden="1">[22]TCL_A!$D$3</definedName>
    <definedName name="BLPH10" hidden="1">[23]TCL_A!$D$3</definedName>
    <definedName name="BLPH11" localSheetId="2" hidden="1">[22]kejian!$A$3</definedName>
    <definedName name="BLPH11" hidden="1">[23]kejian!$A$3</definedName>
    <definedName name="BLPH12" localSheetId="2" hidden="1">[22]kejian!$D$3</definedName>
    <definedName name="BLPH12" hidden="1">[23]kejian!$D$3</definedName>
    <definedName name="BLPH13" localSheetId="2" hidden="1">[22]Bird!$A$3</definedName>
    <definedName name="BLPH13" hidden="1">[23]Bird!$A$3</definedName>
    <definedName name="BLPH14" localSheetId="2" hidden="1">[22]Bird!$D$3</definedName>
    <definedName name="BLPH14" hidden="1">[23]Bird!$D$3</definedName>
    <definedName name="BLPH15" localSheetId="2" hidden="1">#REF!</definedName>
    <definedName name="BLPH15" hidden="1">#REF!</definedName>
    <definedName name="BLPH16" localSheetId="2" hidden="1">#REF!</definedName>
    <definedName name="BLPH16" hidden="1">#REF!</definedName>
    <definedName name="BLPH17" localSheetId="2" hidden="1">#REF!</definedName>
    <definedName name="BLPH17" hidden="1">#REF!</definedName>
    <definedName name="BLPH18" localSheetId="2" hidden="1">#REF!</definedName>
    <definedName name="BLPH18" hidden="1">#REF!</definedName>
    <definedName name="BLPH19" localSheetId="2" hidden="1">#REF!</definedName>
    <definedName name="BLPH19" hidden="1">#REF!</definedName>
    <definedName name="BLPH2" localSheetId="2" hidden="1">#REF!</definedName>
    <definedName name="BLPH2" hidden="1">#REF!</definedName>
    <definedName name="BLPH20" localSheetId="2" hidden="1">#REF!</definedName>
    <definedName name="BLPH20" hidden="1">#REF!</definedName>
    <definedName name="BLPH21" localSheetId="2" hidden="1">#REF!</definedName>
    <definedName name="BLPH21" hidden="1">#REF!</definedName>
    <definedName name="BLPH22" localSheetId="2" hidden="1">#REF!</definedName>
    <definedName name="BLPH22" hidden="1">#REF!</definedName>
    <definedName name="BLPH23" localSheetId="2" hidden="1">[22]BYD!$A$3</definedName>
    <definedName name="BLPH23" hidden="1">[23]BYD!$A$3</definedName>
    <definedName name="BLPH24" localSheetId="2" hidden="1">[22]BYD!$D$3</definedName>
    <definedName name="BLPH24" hidden="1">[23]BYD!$D$3</definedName>
    <definedName name="BLPH25" localSheetId="2" hidden="1">#REF!</definedName>
    <definedName name="BLPH25" hidden="1">#REF!</definedName>
    <definedName name="BLPH26" localSheetId="2" hidden="1">#REF!</definedName>
    <definedName name="BLPH26" hidden="1">#REF!</definedName>
    <definedName name="BLPH27" localSheetId="2" hidden="1">#REF!</definedName>
    <definedName name="BLPH27" hidden="1">#REF!</definedName>
    <definedName name="BLPH28" localSheetId="2" hidden="1">#REF!</definedName>
    <definedName name="BLPH28" hidden="1">#REF!</definedName>
    <definedName name="BLPH29" localSheetId="2" hidden="1">#REF!</definedName>
    <definedName name="BLPH29" hidden="1">#REF!</definedName>
    <definedName name="BLPH3" localSheetId="2" hidden="1">#REF!</definedName>
    <definedName name="BLPH3" hidden="1">#REF!</definedName>
    <definedName name="BLPH30" localSheetId="2" hidden="1">#REF!</definedName>
    <definedName name="BLPH30" hidden="1">#REF!</definedName>
    <definedName name="BLPH31" localSheetId="2" hidden="1">#REF!</definedName>
    <definedName name="BLPH31" hidden="1">#REF!</definedName>
    <definedName name="BLPH32" localSheetId="2" hidden="1">#REF!</definedName>
    <definedName name="BLPH32" hidden="1">#REF!</definedName>
    <definedName name="BLPH33" localSheetId="2" hidden="1">#REF!</definedName>
    <definedName name="BLPH33" hidden="1">#REF!</definedName>
    <definedName name="BLPH34" localSheetId="2" hidden="1">#REF!</definedName>
    <definedName name="BLPH34" hidden="1">#REF!</definedName>
    <definedName name="BLPH35" localSheetId="2" hidden="1">#REF!</definedName>
    <definedName name="BLPH35" hidden="1">#REF!</definedName>
    <definedName name="BLPH36" localSheetId="2" hidden="1">#REF!</definedName>
    <definedName name="BLPH36" hidden="1">#REF!</definedName>
    <definedName name="BLPH37" localSheetId="2" hidden="1">#REF!</definedName>
    <definedName name="BLPH37" hidden="1">#REF!</definedName>
    <definedName name="BLPH38" localSheetId="2" hidden="1">#REF!</definedName>
    <definedName name="BLPH38" hidden="1">#REF!</definedName>
    <definedName name="BLPH39" localSheetId="2" hidden="1">#REF!</definedName>
    <definedName name="BLPH39" hidden="1">#REF!</definedName>
    <definedName name="BLPH4" localSheetId="2" hidden="1">#REF!</definedName>
    <definedName name="BLPH4" hidden="1">#REF!</definedName>
    <definedName name="BLPH40" localSheetId="2" hidden="1">#REF!</definedName>
    <definedName name="BLPH40" hidden="1">#REF!</definedName>
    <definedName name="BLPH41" localSheetId="2" hidden="1">#REF!</definedName>
    <definedName name="BLPH41" hidden="1">#REF!</definedName>
    <definedName name="BLPH42" localSheetId="2" hidden="1">#REF!</definedName>
    <definedName name="BLPH42" hidden="1">#REF!</definedName>
    <definedName name="BLPH43" localSheetId="2" hidden="1">#REF!</definedName>
    <definedName name="BLPH43" hidden="1">#REF!</definedName>
    <definedName name="BLPH44" localSheetId="2"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localSheetId="2" hidden="1">#REF!</definedName>
    <definedName name="BLPH5" hidden="1">#REF!</definedName>
    <definedName name="BLPH6" localSheetId="2" hidden="1">#REF!</definedName>
    <definedName name="BLPH6" hidden="1">#REF!</definedName>
    <definedName name="BLPH68" hidden="1">#REF!</definedName>
    <definedName name="BLPH69" hidden="1">#REF!</definedName>
    <definedName name="BLPH7" localSheetId="2" hidden="1">#REF!</definedName>
    <definedName name="BLPH7" hidden="1">#REF!</definedName>
    <definedName name="BLPH70" hidden="1">#REF!</definedName>
    <definedName name="BLPH71" hidden="1">#REF!</definedName>
    <definedName name="BLPH78" hidden="1">#REF!</definedName>
    <definedName name="BLPH8" localSheetId="2" hidden="1">#REF!</definedName>
    <definedName name="BLPH8" hidden="1">#REF!</definedName>
    <definedName name="BLPH80" hidden="1">#REF!</definedName>
    <definedName name="BLPH82" hidden="1">#REF!</definedName>
    <definedName name="BLPH84" hidden="1">#REF!</definedName>
    <definedName name="BLPH86" hidden="1">#REF!</definedName>
    <definedName name="BLPH88" hidden="1">#REF!</definedName>
    <definedName name="BLPH9" localSheetId="2" hidden="1">[22]TCL_A!$A$3</definedName>
    <definedName name="BLPH9" hidden="1">[23]TCL_A!$A$3</definedName>
    <definedName name="BLPH90" hidden="1">#REF!</definedName>
    <definedName name="BLQ">#REF!</definedName>
    <definedName name="BLS_5YRGROWTH">#REF!</definedName>
    <definedName name="blt">#REF!</definedName>
    <definedName name="BLUKCAR1">#REF!</definedName>
    <definedName name="BLUKCAR2">#REF!</definedName>
    <definedName name="BLUKCAR3">#REF!</definedName>
    <definedName name="BLUKCAR4">#REF!</definedName>
    <definedName name="BMC">#REF!</definedName>
    <definedName name="BMCAR1">#REF!</definedName>
    <definedName name="BMCAR2">#REF!</definedName>
    <definedName name="BMCAR3">#REF!</definedName>
    <definedName name="BMCAR4">#REF!</definedName>
    <definedName name="bmi">#REF!</definedName>
    <definedName name="BMS_NPV">#REF!</definedName>
    <definedName name="BMSA_NPV">#REF!</definedName>
    <definedName name="BMUSCAR1">#REF!</definedName>
    <definedName name="BMUSCAR2">#REF!</definedName>
    <definedName name="BMUSCAR3">#REF!</definedName>
    <definedName name="BMUSCAR4">#REF!</definedName>
    <definedName name="BMUSZ3R1">#REF!</definedName>
    <definedName name="BMUSZ3R2">#REF!</definedName>
    <definedName name="BMUSZ3R3">#REF!</definedName>
    <definedName name="BMUSZ3R4">#REF!</definedName>
    <definedName name="BMWGCAR1">#REF!</definedName>
    <definedName name="BMWGCAR2">#REF!</definedName>
    <definedName name="BMWGCAR3">#REF!</definedName>
    <definedName name="BMWGCAR4">#REF!</definedName>
    <definedName name="BMWGTDL1">#REF!</definedName>
    <definedName name="BMWGTDL2">#REF!</definedName>
    <definedName name="BMWGTDL3">#REF!</definedName>
    <definedName name="BMWGTDL4">#REF!</definedName>
    <definedName name="bnd">#REF!</definedName>
    <definedName name="bnf">#REF!</definedName>
    <definedName name="boc">#REF!</definedName>
    <definedName name="boe00">#REF!</definedName>
    <definedName name="bol">#REF!</definedName>
    <definedName name="BOOK">#REF!</definedName>
    <definedName name="Book2000">#REF!</definedName>
    <definedName name="Book96">#REF!</definedName>
    <definedName name="Book97">#REF!</definedName>
    <definedName name="Book98">#REF!</definedName>
    <definedName name="Book99">#REF!</definedName>
    <definedName name="BookValue">#REF!</definedName>
    <definedName name="BookValue_Consol">#REF!</definedName>
    <definedName name="bor">#REF!</definedName>
    <definedName name="bot">#REF!</definedName>
    <definedName name="bpp">#REF!</definedName>
    <definedName name="bpu">#REF!</definedName>
    <definedName name="Brands">#REF!</definedName>
    <definedName name="bre">#REF!</definedName>
    <definedName name="Brent_oil">#REF!</definedName>
    <definedName name="Brent_price">#REF!</definedName>
    <definedName name="BROADCASTING">#REF!</definedName>
    <definedName name="BRW_5YRGROWTH">#REF!</definedName>
    <definedName name="BS">[24]ISBSCF!$A$155:$AE$209</definedName>
    <definedName name="BS_00">#REF!</definedName>
    <definedName name="BS_01">#REF!</definedName>
    <definedName name="BS_02">#REF!</definedName>
    <definedName name="BS_03">#REF!</definedName>
    <definedName name="BS_04">#REF!</definedName>
    <definedName name="BS_05">#REF!</definedName>
    <definedName name="BS_06">#REF!</definedName>
    <definedName name="BS_07">#REF!</definedName>
    <definedName name="BS_08">#REF!</definedName>
    <definedName name="BS_1997">#REF!</definedName>
    <definedName name="BS_1998">#REF!</definedName>
    <definedName name="BS_1999">#REF!</definedName>
    <definedName name="BS_2000">#REF!</definedName>
    <definedName name="BS_2001">#REF!</definedName>
    <definedName name="BS_2002">#REF!</definedName>
    <definedName name="BS_2003">#REF!</definedName>
    <definedName name="BS_2004">#REF!</definedName>
    <definedName name="BS_2005">#REF!</definedName>
    <definedName name="BS_2006">#REF!</definedName>
    <definedName name="BS_2007">#REF!</definedName>
    <definedName name="BS_2008">#REF!</definedName>
    <definedName name="BS_97">#REF!</definedName>
    <definedName name="BS_98">#REF!</definedName>
    <definedName name="BS_99">#REF!</definedName>
    <definedName name="BS_acc_payable_related">#REF!</definedName>
    <definedName name="BS_acc_rec_gross">#REF!</definedName>
    <definedName name="BS_Accum_PL">#REF!</definedName>
    <definedName name="BS_allowances">#REF!</definedName>
    <definedName name="BS_Cash">#REF!</definedName>
    <definedName name="bs_concession_payable">#REF!</definedName>
    <definedName name="BS_Creditors">#REF!</definedName>
    <definedName name="BS_Creditors_Oth">#REF!</definedName>
    <definedName name="BS_cust_deposits">#REF!</definedName>
    <definedName name="BS_debt">#REF!</definedName>
    <definedName name="BS_Debt_LT">#REF!</definedName>
    <definedName name="BS_Debt_Net">#REF!</definedName>
    <definedName name="BS_debt_raised">#REF!</definedName>
    <definedName name="BS_debt_repaid">#REF!</definedName>
    <definedName name="BS_debt_repayments">#REF!</definedName>
    <definedName name="BS_Debt_ST">#REF!</definedName>
    <definedName name="BS_Debtors">#REF!</definedName>
    <definedName name="BS_Debtors_Oth">#REF!</definedName>
    <definedName name="bs_drivers">#REF!</definedName>
    <definedName name="BS_ending_debt">#REF!</definedName>
    <definedName name="BS_ending_LT_debt">#REF!</definedName>
    <definedName name="BS_Equity_Ord">#REF!</definedName>
    <definedName name="BS_Fixed_Assets">#REF!</definedName>
    <definedName name="BS_IA_Gross">#REF!</definedName>
    <definedName name="BS_IA_Net">#REF!</definedName>
    <definedName name="BS_inventory">#REF!</definedName>
    <definedName name="BS_Invest_LT">#REF!</definedName>
    <definedName name="BS_investments">#REF!</definedName>
    <definedName name="BS_LT_Liabilities">#REF!</definedName>
    <definedName name="BS_Min_Int">#REF!</definedName>
    <definedName name="bs_minorities">#REF!</definedName>
    <definedName name="BS_other_curr_assets">#REF!</definedName>
    <definedName name="BS_other_curr_liabilities">#REF!</definedName>
    <definedName name="BS_print">#REF!</definedName>
    <definedName name="BS_Prov_Pension">#REF!</definedName>
    <definedName name="BS_Provision">#REF!</definedName>
    <definedName name="BS_rec_related">#REF!</definedName>
    <definedName name="BS_restricted_cash">#REF!</definedName>
    <definedName name="BS_Shr_Cap">#REF!</definedName>
    <definedName name="BS_Stocks">#REF!</definedName>
    <definedName name="BS_Tax_Def_Asset">#REF!</definedName>
    <definedName name="BS_TFA_Gross">#REF!</definedName>
    <definedName name="BS_TFA_Net">#REF!</definedName>
    <definedName name="BS_total_assets">#REF!</definedName>
    <definedName name="BSA">[24]ISBSCF!$A$211:$AE$266</definedName>
    <definedName name="BSAssets">#REF!</definedName>
    <definedName name="BSCapital">#REF!</definedName>
    <definedName name="BSCash">#REF!</definedName>
    <definedName name="BSConvertible">#REF!</definedName>
    <definedName name="BSDebtors">#REF!</definedName>
    <definedName name="BSDefferedT">#REF!</definedName>
    <definedName name="BSEquity">#REF!</definedName>
    <definedName name="bsf">#REF!</definedName>
    <definedName name="BSFA">#REF!</definedName>
    <definedName name="BSGoodwill">#REF!</definedName>
    <definedName name="BSIngangible">#REF!</definedName>
    <definedName name="BSInvest">#REF!</definedName>
    <definedName name="BSLTD">#REF!</definedName>
    <definedName name="BSMinority">#REF!</definedName>
    <definedName name="BSND">#REF!</definedName>
    <definedName name="BSNetDebt">#REF!</definedName>
    <definedName name="BSOther">#REF!</definedName>
    <definedName name="BSPPE">#REF!</definedName>
    <definedName name="BSPrepay">#REF!</definedName>
    <definedName name="BSProvisions">#REF!</definedName>
    <definedName name="BSR">#REF!</definedName>
    <definedName name="BSSHEquity">#REF!</definedName>
    <definedName name="BSSTC">#REF!</definedName>
    <definedName name="BSSTD">#REF!</definedName>
    <definedName name="BSStocks">#REF!</definedName>
    <definedName name="bst">#REF!</definedName>
    <definedName name="BSTD">#REF!</definedName>
    <definedName name="bt">#REF!</definedName>
    <definedName name="bta">#REF!</definedName>
    <definedName name="btd">#REF!</definedName>
    <definedName name="bte">#REF!</definedName>
    <definedName name="btl">#REF!</definedName>
    <definedName name="btp">#REF!</definedName>
    <definedName name="buildout">#REF!</definedName>
    <definedName name="bullet_points">#REF!</definedName>
    <definedName name="bus_line_growth">#REF!</definedName>
    <definedName name="BusEc">#REF!</definedName>
    <definedName name="BusinessMix">[20]NERD!$G$16:$N$16</definedName>
    <definedName name="BUUSCAR1">#REF!</definedName>
    <definedName name="BUUSCAR2">#REF!</definedName>
    <definedName name="BUUSCAR3">#REF!</definedName>
    <definedName name="BUUSCAR4">#REF!</definedName>
    <definedName name="Buy_Out_Of_Minorities">#REF!</definedName>
    <definedName name="BVPS">#REF!</definedName>
    <definedName name="bvps96">#REF!</definedName>
    <definedName name="BVPSH86">#REF!</definedName>
    <definedName name="BVPSH87">#REF!</definedName>
    <definedName name="BVPSH88">#REF!</definedName>
    <definedName name="BVPSH89">#REF!</definedName>
    <definedName name="BVPSH90">#REF!</definedName>
    <definedName name="BVPSH91">#REF!</definedName>
    <definedName name="BVPSH92">#REF!</definedName>
    <definedName name="BVPSH93">#REF!</definedName>
    <definedName name="BVPSH94">#REF!</definedName>
    <definedName name="BVPSH95">#REF!</definedName>
    <definedName name="BVPSH96">#REF!</definedName>
    <definedName name="BVPSH97">#REF!</definedName>
    <definedName name="BVPSH98">#REF!</definedName>
    <definedName name="BVPSH99">#REF!</definedName>
    <definedName name="C_">#REF!</definedName>
    <definedName name="c_cash_eoy">#REF!</definedName>
    <definedName name="c_cash_fin">#REF!</definedName>
    <definedName name="c_cash_inv">#REF!</definedName>
    <definedName name="c_cash_op">#REF!</definedName>
    <definedName name="C_EBIT">#REF!</definedName>
    <definedName name="c_ex_acq">#REF!</definedName>
    <definedName name="c_fin_act_oth">#REF!</definedName>
    <definedName name="c_incr_nwc">#REF!</definedName>
    <definedName name="c_net_depr">#REF!</definedName>
    <definedName name="c_on_cap_ex">#REF!</definedName>
    <definedName name="c_proc_ltl">#REF!</definedName>
    <definedName name="c_proc_stb">#REF!</definedName>
    <definedName name="C_Sales">#REF!</definedName>
    <definedName name="c_tot_div">#REF!</definedName>
    <definedName name="c_tot_incr_cash">#REF!</definedName>
    <definedName name="CA">#REF!</definedName>
    <definedName name="CA_CASH">#REF!</definedName>
    <definedName name="CA_RECS">#REF!</definedName>
    <definedName name="CA_STK">#REF!</definedName>
    <definedName name="CAA">#REF!</definedName>
    <definedName name="cac">#REF!</definedName>
    <definedName name="CAD_00D">#REF!</definedName>
    <definedName name="CAD_00J">#REF!</definedName>
    <definedName name="CAD_00M">#REF!</definedName>
    <definedName name="CAD_00S">#REF!</definedName>
    <definedName name="CAD_01D">#REF!</definedName>
    <definedName name="CAD_01J">#REF!</definedName>
    <definedName name="CAD_01M">#REF!</definedName>
    <definedName name="CAD_01S">#REF!</definedName>
    <definedName name="CAD_02D">#REF!</definedName>
    <definedName name="CAD_02J">#REF!</definedName>
    <definedName name="CAD_02M">#REF!</definedName>
    <definedName name="CAD_02S">#REF!</definedName>
    <definedName name="CAD_03D">#REF!</definedName>
    <definedName name="CAD_03J">#REF!</definedName>
    <definedName name="CAD_03M">#REF!</definedName>
    <definedName name="CAD_03S">#REF!</definedName>
    <definedName name="CAD_04D">#REF!</definedName>
    <definedName name="CAD_04J">#REF!</definedName>
    <definedName name="CAD_04M">#REF!</definedName>
    <definedName name="CAD_04S">#REF!</definedName>
    <definedName name="CAD_05D">#REF!</definedName>
    <definedName name="CAD_05J">#REF!</definedName>
    <definedName name="CAD_05M">#REF!</definedName>
    <definedName name="CAD_05S">#REF!</definedName>
    <definedName name="CAD_06D">#REF!</definedName>
    <definedName name="CAD_06J">#REF!</definedName>
    <definedName name="CAD_06M">#REF!</definedName>
    <definedName name="CAD_06S">#REF!</definedName>
    <definedName name="CAD_07D">#REF!</definedName>
    <definedName name="CAD_07J">#REF!</definedName>
    <definedName name="CAD_07M">#REF!</definedName>
    <definedName name="CAD_07S">#REF!</definedName>
    <definedName name="CAD_08D">#REF!</definedName>
    <definedName name="CAD_08J">#REF!</definedName>
    <definedName name="CAD_08M">#REF!</definedName>
    <definedName name="CAD_08S">#REF!</definedName>
    <definedName name="CAD_09D">#REF!</definedName>
    <definedName name="CAD_09J">#REF!</definedName>
    <definedName name="CAD_09M">#REF!</definedName>
    <definedName name="CAD_09S">#REF!</definedName>
    <definedName name="CAD_10D">#REF!</definedName>
    <definedName name="CAD_10J">#REF!</definedName>
    <definedName name="CAD_10M">#REF!</definedName>
    <definedName name="CAD_10S">#REF!</definedName>
    <definedName name="CAD_11D">#REF!</definedName>
    <definedName name="CAD_11J">#REF!</definedName>
    <definedName name="CAD_11M">#REF!</definedName>
    <definedName name="CAD_11S">#REF!</definedName>
    <definedName name="CAD_12D">#REF!</definedName>
    <definedName name="CAD_12J">#REF!</definedName>
    <definedName name="CAD_12M">#REF!</definedName>
    <definedName name="CAD_12S">#REF!</definedName>
    <definedName name="CAD_13D">#REF!</definedName>
    <definedName name="CAD_13J">#REF!</definedName>
    <definedName name="CAD_13M">#REF!</definedName>
    <definedName name="CAD_13S">#REF!</definedName>
    <definedName name="CAD_14D">#REF!</definedName>
    <definedName name="CAD_14J">#REF!</definedName>
    <definedName name="CAD_14M">#REF!</definedName>
    <definedName name="CAD_14S">#REF!</definedName>
    <definedName name="CAD_15D">#REF!</definedName>
    <definedName name="CAD_15J">#REF!</definedName>
    <definedName name="CAD_15M">#REF!</definedName>
    <definedName name="CAD_15S">#REF!</definedName>
    <definedName name="CAD_16D">#REF!</definedName>
    <definedName name="CAD_16J">#REF!</definedName>
    <definedName name="CAD_16M">#REF!</definedName>
    <definedName name="CAD_16S">#REF!</definedName>
    <definedName name="CAD_17D">#REF!</definedName>
    <definedName name="CAD_17J">#REF!</definedName>
    <definedName name="CAD_17M">#REF!</definedName>
    <definedName name="CAD_17S">#REF!</definedName>
    <definedName name="CAD_18D">#REF!</definedName>
    <definedName name="CAD_18J">#REF!</definedName>
    <definedName name="CAD_18M">#REF!</definedName>
    <definedName name="CAD_18S">#REF!</definedName>
    <definedName name="CAD_19D">#REF!</definedName>
    <definedName name="CAD_19J">#REF!</definedName>
    <definedName name="CAD_19M">#REF!</definedName>
    <definedName name="CAD_19S">#REF!</definedName>
    <definedName name="CAD_20D">#REF!</definedName>
    <definedName name="CAD_20J">#REF!</definedName>
    <definedName name="CAD_20M">#REF!</definedName>
    <definedName name="CAD_20S">#REF!</definedName>
    <definedName name="CAD_21D">#REF!</definedName>
    <definedName name="CAD_21J">#REF!</definedName>
    <definedName name="CAD_21M">#REF!</definedName>
    <definedName name="CAD_21S">#REF!</definedName>
    <definedName name="CAD_22D">#REF!</definedName>
    <definedName name="CAD_22J">#REF!</definedName>
    <definedName name="CAD_22M">#REF!</definedName>
    <definedName name="CAD_22S">#REF!</definedName>
    <definedName name="CAD_23D">#REF!</definedName>
    <definedName name="CAD_23J">#REF!</definedName>
    <definedName name="CAD_23M">#REF!</definedName>
    <definedName name="CAD_23S">#REF!</definedName>
    <definedName name="CAD_24D">#REF!</definedName>
    <definedName name="CAD_24J">#REF!</definedName>
    <definedName name="CAD_24M">#REF!</definedName>
    <definedName name="CAD_24S">#REF!</definedName>
    <definedName name="CAD_25D">#REF!</definedName>
    <definedName name="CAD_25J">#REF!</definedName>
    <definedName name="CAD_25M">#REF!</definedName>
    <definedName name="CAD_25S">#REF!</definedName>
    <definedName name="CAD_87D">#REF!</definedName>
    <definedName name="CAD_87J">#REF!</definedName>
    <definedName name="CAD_87M">#REF!</definedName>
    <definedName name="CAD_87S">#REF!</definedName>
    <definedName name="CAD_88D">#REF!</definedName>
    <definedName name="CAD_88J">#REF!</definedName>
    <definedName name="CAD_88M">#REF!</definedName>
    <definedName name="CAD_88S">#REF!</definedName>
    <definedName name="CAD_89D">#REF!</definedName>
    <definedName name="CAD_89J">#REF!</definedName>
    <definedName name="CAD_89M">#REF!</definedName>
    <definedName name="CAD_89S">#REF!</definedName>
    <definedName name="CAD_90D">#REF!</definedName>
    <definedName name="CAD_90J">#REF!</definedName>
    <definedName name="CAD_90M">#REF!</definedName>
    <definedName name="CAD_90S">#REF!</definedName>
    <definedName name="CAD_91D">#REF!</definedName>
    <definedName name="CAD_91J">#REF!</definedName>
    <definedName name="CAD_91M">#REF!</definedName>
    <definedName name="CAD_91S">#REF!</definedName>
    <definedName name="CAD_92D">#REF!</definedName>
    <definedName name="CAD_92J">#REF!</definedName>
    <definedName name="CAD_92M">#REF!</definedName>
    <definedName name="CAD_92S">#REF!</definedName>
    <definedName name="CAD_93D">#REF!</definedName>
    <definedName name="CAD_93J">#REF!</definedName>
    <definedName name="CAD_93M">#REF!</definedName>
    <definedName name="CAD_93S">#REF!</definedName>
    <definedName name="CAD_94D">#REF!</definedName>
    <definedName name="CAD_94J">#REF!</definedName>
    <definedName name="CAD_94M">#REF!</definedName>
    <definedName name="CAD_94S">#REF!</definedName>
    <definedName name="CAD_95D">#REF!</definedName>
    <definedName name="CAD_95J">#REF!</definedName>
    <definedName name="CAD_95M">#REF!</definedName>
    <definedName name="CAD_95S">#REF!</definedName>
    <definedName name="CAD_96D">#REF!</definedName>
    <definedName name="CAD_96J">#REF!</definedName>
    <definedName name="CAD_96M">#REF!</definedName>
    <definedName name="CAD_96S">#REF!</definedName>
    <definedName name="CAD_97D">#REF!</definedName>
    <definedName name="CAD_97J">#REF!</definedName>
    <definedName name="CAD_97M">#REF!</definedName>
    <definedName name="CAD_97S">#REF!</definedName>
    <definedName name="CAD_98D">#REF!</definedName>
    <definedName name="CAD_98J">#REF!</definedName>
    <definedName name="CAD_98M">#REF!</definedName>
    <definedName name="CAD_98S">#REF!</definedName>
    <definedName name="CAD_99D">#REF!</definedName>
    <definedName name="CAD_99J">#REF!</definedName>
    <definedName name="CAD_99M">#REF!</definedName>
    <definedName name="CAD_99S">#REF!</definedName>
    <definedName name="CAD_LT">#REF!</definedName>
    <definedName name="CAI">#REF!</definedName>
    <definedName name="cal00_eps">#REF!</definedName>
    <definedName name="cal00_rev">#REF!</definedName>
    <definedName name="cal01_eps">#REF!</definedName>
    <definedName name="cal01_rev">#REF!</definedName>
    <definedName name="cal94_eps">#REF!</definedName>
    <definedName name="cal96_eps">#REF!</definedName>
    <definedName name="cal96_rev">#REF!</definedName>
    <definedName name="cal97_eps">#REF!</definedName>
    <definedName name="cal97_rev">#REF!</definedName>
    <definedName name="cal98_eps">#REF!</definedName>
    <definedName name="cal98_rev">#REF!</definedName>
    <definedName name="cal99_eps">#REF!</definedName>
    <definedName name="cal99_rev">#REF!</definedName>
    <definedName name="calendar">#REF!</definedName>
    <definedName name="caleps98">#REF!</definedName>
    <definedName name="caleps99">#REF!</definedName>
    <definedName name="Call_Note">#REF!</definedName>
    <definedName name="calrev95">#REF!</definedName>
    <definedName name="calrev96">#REF!</definedName>
    <definedName name="calrev97">#REF!</definedName>
    <definedName name="calrev98">#REF!</definedName>
    <definedName name="calrev99">#REF!</definedName>
    <definedName name="cam">#REF!</definedName>
    <definedName name="Canada">'[21]HK rates'!$A$1:$L$48</definedName>
    <definedName name="cap">#REF!</definedName>
    <definedName name="cap_exp">#REF!</definedName>
    <definedName name="CAP_print">#REF!</definedName>
    <definedName name="Capacity_Reserve">#REF!</definedName>
    <definedName name="capex.00">#REF!</definedName>
    <definedName name="capex.01">#REF!</definedName>
    <definedName name="capex.02">#REF!</definedName>
    <definedName name="capex.03">#REF!</definedName>
    <definedName name="capex.04">#REF!</definedName>
    <definedName name="capex.2000">#REF!</definedName>
    <definedName name="capex.2001">#REF!</definedName>
    <definedName name="capex.96">#REF!</definedName>
    <definedName name="capex.97">#REF!</definedName>
    <definedName name="capex.98">#REF!</definedName>
    <definedName name="capex.99">#REF!</definedName>
    <definedName name="capex_table">#REF!</definedName>
    <definedName name="capex00">#REF!</definedName>
    <definedName name="capex01">#REF!</definedName>
    <definedName name="capex98">#REF!</definedName>
    <definedName name="capex99">#REF!</definedName>
    <definedName name="Capexp_92">#REF!</definedName>
    <definedName name="Capexp_93">#REF!</definedName>
    <definedName name="Capexp_94">#REF!</definedName>
    <definedName name="Capexp_95">#REF!</definedName>
    <definedName name="CAPEXP92">#REF!</definedName>
    <definedName name="CAPEXP93">#REF!</definedName>
    <definedName name="CAPEXP94">#REF!</definedName>
    <definedName name="CAPEXP95">#REF!</definedName>
    <definedName name="CAPEXP96">#REF!</definedName>
    <definedName name="CAPEXP97">#REF!</definedName>
    <definedName name="capint00">#REF!</definedName>
    <definedName name="capint01">#REF!</definedName>
    <definedName name="capint93">#REF!</definedName>
    <definedName name="capint94">#REF!</definedName>
    <definedName name="capint95">#REF!</definedName>
    <definedName name="capint96">#REF!</definedName>
    <definedName name="capint97">#REF!</definedName>
    <definedName name="capint98">#REF!</definedName>
    <definedName name="capint99">#REF!</definedName>
    <definedName name="capita">#REF!</definedName>
    <definedName name="Capital_Employed_AVG">#REF!</definedName>
    <definedName name="Capital_Employed_CB">#REF!</definedName>
    <definedName name="Capital_Employed_OB">#REF!</definedName>
    <definedName name="Capital_employed2">#REF!</definedName>
    <definedName name="Capital_gains">#REF!</definedName>
    <definedName name="capital_investment">#REF!</definedName>
    <definedName name="Capital_spending">#REF!</definedName>
    <definedName name="Capital_Spending_Budgets__estimated_by_Salomon_Smith_Barney">#REF!</definedName>
    <definedName name="CapitalEmpl_Consol">#REF!</definedName>
    <definedName name="Capitalization">#REF!</definedName>
    <definedName name="CAPM">#REF!</definedName>
    <definedName name="captax93">#REF!</definedName>
    <definedName name="captax94">#REF!</definedName>
    <definedName name="captax95">#REF!</definedName>
    <definedName name="captax96">#REF!</definedName>
    <definedName name="captax97">#REF!</definedName>
    <definedName name="captax98">#REF!</definedName>
    <definedName name="Carriers__carrier">'[4]P&amp;L'!$B$24:$AH$24</definedName>
    <definedName name="cars">#REF!</definedName>
    <definedName name="CARSEG">#REF!</definedName>
    <definedName name="carsg">#REF!</definedName>
    <definedName name="CARSLMTH">#REF!</definedName>
    <definedName name="CARSLYTD">#REF!</definedName>
    <definedName name="CARSMTH">#REF!</definedName>
    <definedName name="CARSYTD">#REF!</definedName>
    <definedName name="case_num">1</definedName>
    <definedName name="case1">#REF!</definedName>
    <definedName name="case2">#REF!</definedName>
    <definedName name="case3">#REF!</definedName>
    <definedName name="Cash">#REF!</definedName>
    <definedName name="cash.2000">#REF!</definedName>
    <definedName name="cash.2001">#REF!</definedName>
    <definedName name="cash.99">#REF!</definedName>
    <definedName name="Cash___Liquid_assets">#REF!</definedName>
    <definedName name="Cash_DCF">#REF!</definedName>
    <definedName name="Cash_earnings">'[25]Jihe WestCashEarnings'!$A$58:$IV$58</definedName>
    <definedName name="Cash_flow_cover_of_dividend">#REF!</definedName>
    <definedName name="Cash_flow_from_operations">#REF!</definedName>
    <definedName name="Cash_flow_from_operations_per_share">#REF!</definedName>
    <definedName name="Cash_flow_from_operations2">#REF!</definedName>
    <definedName name="Cash_fore">#REF!</definedName>
    <definedName name="Cash_growth_fore">#REF!</definedName>
    <definedName name="Cash_Operating_Taxes">#REF!</definedName>
    <definedName name="Cash_operating_taxes_fore">#REF!</definedName>
    <definedName name="cash1">#REF!</definedName>
    <definedName name="cash2">#REF!</definedName>
    <definedName name="cash3">#REF!</definedName>
    <definedName name="cash93">#REF!</definedName>
    <definedName name="cash94">#REF!</definedName>
    <definedName name="cash95a">#REF!</definedName>
    <definedName name="cashburn">#REF!</definedName>
    <definedName name="cashflo">#REF!</definedName>
    <definedName name="cashflow">#REF!</definedName>
    <definedName name="Cashflow_1">#REF!</definedName>
    <definedName name="Cashflow_2">#REF!</definedName>
    <definedName name="Cashflow_per_share">#REF!</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ashFlowPerShare">#REF!</definedName>
    <definedName name="cashps">#REF!</definedName>
    <definedName name="Cassindy">#REF!</definedName>
    <definedName name="Catalog_Path">#REF!</definedName>
    <definedName name="CAUSCAR1">#REF!</definedName>
    <definedName name="CAUSCAR2">#REF!</definedName>
    <definedName name="CAUSCAR3">#REF!</definedName>
    <definedName name="CAUSCAR4">#REF!</definedName>
    <definedName name="cawgcar1">#REF!</definedName>
    <definedName name="cawgcar2">#REF!</definedName>
    <definedName name="cawgcar3">#REF!</definedName>
    <definedName name="cawgcar4">#REF!</definedName>
    <definedName name="CB">#REF!</definedName>
    <definedName name="cb_sChart12595BBC_opts" hidden="1">"1, 1, 1, False, 2, True, False, , 0, False, False, 2, 2"</definedName>
    <definedName name="cb_sChart12595E44_opts" hidden="1">"1, 3, 1, False, 2, True, False, , 0, True, False,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560B1BF_opts" hidden="1">"1, 9, 1, False, 2, False, False, , 0, False, False, 1, 1"</definedName>
    <definedName name="cb_sChart1560B326_opts" hidden="1">"1, 9, 1, False, 2, False, False, , 0, False, False, 1, 1"</definedName>
    <definedName name="cb_sChart1560B5DC_opts" hidden="1">"1, 9, 1, False, 2, False, False, , 0, False, False, 1, 1"</definedName>
    <definedName name="cb_sChart1560C23F_opts" hidden="1">"1, 9, 1, False, 2, False, False, , 0, False, False, 1, 1"</definedName>
    <definedName name="cb_sChart16EBA7BA_opts">"1, 1, 1, False, 2, True,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1B28B2AD_opts" hidden="1">"1, 3, 1, False, 2, False, False, , 0, False, True, 1, 1"</definedName>
    <definedName name="cb_sChart1B28B8C8_opts" hidden="1">"1, 3, 1, False, 2, False, False, , 0, False, True, 1, 1"</definedName>
    <definedName name="cb_sChart1B28BF3F_opts" hidden="1">"1, 3, 1, False, 2, False, False, , 0, False, True, 1, 1"</definedName>
    <definedName name="cb_sChart1B28C218_opts" hidden="1">"1, 3, 1, False, 2, False, False, , 0, False, True, 1, 1"</definedName>
    <definedName name="cb_sChart1B28C96B_opts" hidden="1">"1, 3, 1, False,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c">[26]BS!$D$4</definedName>
    <definedName name="CC_Line_Range_C1">OFFSET(#REF!,0,0,#REF!,1)</definedName>
    <definedName name="CC_Line_Range_C2">OFFSET(#REF!,0,0,#REF!,1)</definedName>
    <definedName name="CC_Line_Range_C3">OFFSET(#REF!,0,0,#REF!,1)</definedName>
    <definedName name="CC_OUT">#REF!</definedName>
    <definedName name="cc_ReportCurrencyUnit">"HK$"</definedName>
    <definedName name="cc_ReportCurrencyUnitFactor">1</definedName>
    <definedName name="CC_Stacked_C_Range">#REF!</definedName>
    <definedName name="CC_Stacked_D_Range">#REF!</definedName>
    <definedName name="CC_Stacked_E_Range">#REF!</definedName>
    <definedName name="CC1_00D">#REF!</definedName>
    <definedName name="CC1_00J">#REF!</definedName>
    <definedName name="CC1_00M">#REF!</definedName>
    <definedName name="CC1_00S">#REF!</definedName>
    <definedName name="CC1_01D">#REF!</definedName>
    <definedName name="CC1_01J">#REF!</definedName>
    <definedName name="CC1_01M">#REF!</definedName>
    <definedName name="CC1_01S">#REF!</definedName>
    <definedName name="CC1_02D">#REF!</definedName>
    <definedName name="CC1_02J">#REF!</definedName>
    <definedName name="CC1_02M">#REF!</definedName>
    <definedName name="CC1_02S">#REF!</definedName>
    <definedName name="CC1_03D">#REF!</definedName>
    <definedName name="CC1_03J">#REF!</definedName>
    <definedName name="CC1_03M">#REF!</definedName>
    <definedName name="CC1_03S">#REF!</definedName>
    <definedName name="CC1_04D">#REF!</definedName>
    <definedName name="CC1_04J">#REF!</definedName>
    <definedName name="CC1_04M">#REF!</definedName>
    <definedName name="CC1_04S">#REF!</definedName>
    <definedName name="CC1_05D">#REF!</definedName>
    <definedName name="CC1_05J">#REF!</definedName>
    <definedName name="CC1_05M">#REF!</definedName>
    <definedName name="CC1_05S">#REF!</definedName>
    <definedName name="CC1_06D">#REF!</definedName>
    <definedName name="CC1_06J">#REF!</definedName>
    <definedName name="CC1_06M">#REF!</definedName>
    <definedName name="CC1_06S">#REF!</definedName>
    <definedName name="CC1_07D">#REF!</definedName>
    <definedName name="CC1_07J">#REF!</definedName>
    <definedName name="CC1_07M">#REF!</definedName>
    <definedName name="CC1_07S">#REF!</definedName>
    <definedName name="CC1_08D">#REF!</definedName>
    <definedName name="CC1_08J">#REF!</definedName>
    <definedName name="CC1_08M">#REF!</definedName>
    <definedName name="CC1_08S">#REF!</definedName>
    <definedName name="CC1_09D">#REF!</definedName>
    <definedName name="CC1_09J">#REF!</definedName>
    <definedName name="CC1_09M">#REF!</definedName>
    <definedName name="CC1_09S">#REF!</definedName>
    <definedName name="CC1_10D">#REF!</definedName>
    <definedName name="CC1_10J">#REF!</definedName>
    <definedName name="CC1_10M">#REF!</definedName>
    <definedName name="CC1_10S">#REF!</definedName>
    <definedName name="CC1_11D">#REF!</definedName>
    <definedName name="CC1_11J">#REF!</definedName>
    <definedName name="CC1_11M">#REF!</definedName>
    <definedName name="CC1_11S">#REF!</definedName>
    <definedName name="CC1_12D">#REF!</definedName>
    <definedName name="CC1_12J">#REF!</definedName>
    <definedName name="CC1_12M">#REF!</definedName>
    <definedName name="CC1_12S">#REF!</definedName>
    <definedName name="CC1_13D">#REF!</definedName>
    <definedName name="CC1_13J">#REF!</definedName>
    <definedName name="CC1_13M">#REF!</definedName>
    <definedName name="CC1_13S">#REF!</definedName>
    <definedName name="CC1_14D">#REF!</definedName>
    <definedName name="CC1_14J">#REF!</definedName>
    <definedName name="CC1_14M">#REF!</definedName>
    <definedName name="CC1_14S">#REF!</definedName>
    <definedName name="CC1_15D">#REF!</definedName>
    <definedName name="CC1_15J">#REF!</definedName>
    <definedName name="CC1_15M">#REF!</definedName>
    <definedName name="CC1_15S">#REF!</definedName>
    <definedName name="CC1_16D">#REF!</definedName>
    <definedName name="CC1_16J">#REF!</definedName>
    <definedName name="CC1_16M">#REF!</definedName>
    <definedName name="CC1_16S">#REF!</definedName>
    <definedName name="CC1_17D">#REF!</definedName>
    <definedName name="CC1_17J">#REF!</definedName>
    <definedName name="CC1_17M">#REF!</definedName>
    <definedName name="CC1_17S">#REF!</definedName>
    <definedName name="CC1_18D">#REF!</definedName>
    <definedName name="CC1_18J">#REF!</definedName>
    <definedName name="CC1_18M">#REF!</definedName>
    <definedName name="CC1_18S">#REF!</definedName>
    <definedName name="CC1_19D">#REF!</definedName>
    <definedName name="CC1_19J">#REF!</definedName>
    <definedName name="CC1_19M">#REF!</definedName>
    <definedName name="CC1_19S">#REF!</definedName>
    <definedName name="CC1_20D">#REF!</definedName>
    <definedName name="CC1_20J">#REF!</definedName>
    <definedName name="CC1_20M">#REF!</definedName>
    <definedName name="CC1_20S">#REF!</definedName>
    <definedName name="CC1_21D">#REF!</definedName>
    <definedName name="CC1_21J">#REF!</definedName>
    <definedName name="CC1_21M">#REF!</definedName>
    <definedName name="CC1_21S">#REF!</definedName>
    <definedName name="CC1_22D">#REF!</definedName>
    <definedName name="CC1_22J">#REF!</definedName>
    <definedName name="CC1_22M">#REF!</definedName>
    <definedName name="CC1_22S">#REF!</definedName>
    <definedName name="CC1_23D">#REF!</definedName>
    <definedName name="CC1_23J">#REF!</definedName>
    <definedName name="CC1_23M">#REF!</definedName>
    <definedName name="CC1_23S">#REF!</definedName>
    <definedName name="CC1_24D">#REF!</definedName>
    <definedName name="CC1_24J">#REF!</definedName>
    <definedName name="CC1_24M">#REF!</definedName>
    <definedName name="CC1_24S">#REF!</definedName>
    <definedName name="CC1_25D">#REF!</definedName>
    <definedName name="CC1_25J">#REF!</definedName>
    <definedName name="CC1_25M">#REF!</definedName>
    <definedName name="CC1_25S">#REF!</definedName>
    <definedName name="CC1_87D">#REF!</definedName>
    <definedName name="CC1_87J">#REF!</definedName>
    <definedName name="CC1_87M">#REF!</definedName>
    <definedName name="CC1_87S">#REF!</definedName>
    <definedName name="CC1_88D">#REF!</definedName>
    <definedName name="CC1_88J">#REF!</definedName>
    <definedName name="CC1_88M">#REF!</definedName>
    <definedName name="CC1_88S">#REF!</definedName>
    <definedName name="CC1_89D">#REF!</definedName>
    <definedName name="CC1_89J">#REF!</definedName>
    <definedName name="CC1_89M">#REF!</definedName>
    <definedName name="CC1_89S">#REF!</definedName>
    <definedName name="CC1_90D">#REF!</definedName>
    <definedName name="CC1_90J">#REF!</definedName>
    <definedName name="CC1_90M">#REF!</definedName>
    <definedName name="CC1_90S">#REF!</definedName>
    <definedName name="CC1_91D">#REF!</definedName>
    <definedName name="CC1_91J">#REF!</definedName>
    <definedName name="CC1_91M">#REF!</definedName>
    <definedName name="CC1_91S">#REF!</definedName>
    <definedName name="CC1_92D">#REF!</definedName>
    <definedName name="CC1_92J">#REF!</definedName>
    <definedName name="CC1_92M">#REF!</definedName>
    <definedName name="CC1_92S">#REF!</definedName>
    <definedName name="CC1_93D">#REF!</definedName>
    <definedName name="CC1_93J">#REF!</definedName>
    <definedName name="CC1_93M">#REF!</definedName>
    <definedName name="CC1_93S">#REF!</definedName>
    <definedName name="CC1_94D">#REF!</definedName>
    <definedName name="CC1_94J">#REF!</definedName>
    <definedName name="CC1_94M">#REF!</definedName>
    <definedName name="CC1_94S">#REF!</definedName>
    <definedName name="CC1_95D">#REF!</definedName>
    <definedName name="CC1_95J">#REF!</definedName>
    <definedName name="CC1_95M">#REF!</definedName>
    <definedName name="CC1_95S">#REF!</definedName>
    <definedName name="CC1_96D">#REF!</definedName>
    <definedName name="CC1_96J">#REF!</definedName>
    <definedName name="CC1_96M">#REF!</definedName>
    <definedName name="CC1_96S">#REF!</definedName>
    <definedName name="CC1_97D">#REF!</definedName>
    <definedName name="CC1_97J">#REF!</definedName>
    <definedName name="CC1_97M">#REF!</definedName>
    <definedName name="CC1_97S">#REF!</definedName>
    <definedName name="CC1_98D">#REF!</definedName>
    <definedName name="CC1_98J">#REF!</definedName>
    <definedName name="CC1_98M">#REF!</definedName>
    <definedName name="CC1_98S">#REF!</definedName>
    <definedName name="CC1_99D">#REF!</definedName>
    <definedName name="CC1_99J">#REF!</definedName>
    <definedName name="CC1_99M">#REF!</definedName>
    <definedName name="CC1_99S">#REF!</definedName>
    <definedName name="CC1_LT">#REF!</definedName>
    <definedName name="CC1_Spot">#REF!</definedName>
    <definedName name="CC2_00D">#REF!</definedName>
    <definedName name="CC2_00J">#REF!</definedName>
    <definedName name="CC2_00M">#REF!</definedName>
    <definedName name="CC2_00S">#REF!</definedName>
    <definedName name="CC2_01D">#REF!</definedName>
    <definedName name="CC2_01J">#REF!</definedName>
    <definedName name="CC2_01M">#REF!</definedName>
    <definedName name="CC2_01S">#REF!</definedName>
    <definedName name="CC2_02D">#REF!</definedName>
    <definedName name="CC2_02J">#REF!</definedName>
    <definedName name="CC2_02M">#REF!</definedName>
    <definedName name="CC2_02S">#REF!</definedName>
    <definedName name="CC2_03D">#REF!</definedName>
    <definedName name="CC2_03J">#REF!</definedName>
    <definedName name="CC2_03M">#REF!</definedName>
    <definedName name="CC2_03S">#REF!</definedName>
    <definedName name="CC2_04D">#REF!</definedName>
    <definedName name="CC2_04J">#REF!</definedName>
    <definedName name="CC2_04M">#REF!</definedName>
    <definedName name="CC2_04S">#REF!</definedName>
    <definedName name="CC2_05D">#REF!</definedName>
    <definedName name="CC2_05J">#REF!</definedName>
    <definedName name="CC2_05M">#REF!</definedName>
    <definedName name="CC2_05S">#REF!</definedName>
    <definedName name="CC2_06D">#REF!</definedName>
    <definedName name="CC2_06J">#REF!</definedName>
    <definedName name="CC2_06M">#REF!</definedName>
    <definedName name="CC2_06S">#REF!</definedName>
    <definedName name="CC2_07D">#REF!</definedName>
    <definedName name="CC2_07J">#REF!</definedName>
    <definedName name="CC2_07M">#REF!</definedName>
    <definedName name="CC2_07S">#REF!</definedName>
    <definedName name="CC2_08D">#REF!</definedName>
    <definedName name="CC2_08J">#REF!</definedName>
    <definedName name="CC2_08M">#REF!</definedName>
    <definedName name="CC2_08S">#REF!</definedName>
    <definedName name="CC2_09D">#REF!</definedName>
    <definedName name="CC2_09J">#REF!</definedName>
    <definedName name="CC2_09M">#REF!</definedName>
    <definedName name="CC2_09S">#REF!</definedName>
    <definedName name="CC2_10D">#REF!</definedName>
    <definedName name="CC2_10J">#REF!</definedName>
    <definedName name="CC2_10M">#REF!</definedName>
    <definedName name="CC2_10S">#REF!</definedName>
    <definedName name="CC2_11D">#REF!</definedName>
    <definedName name="CC2_11J">#REF!</definedName>
    <definedName name="CC2_11M">#REF!</definedName>
    <definedName name="CC2_11S">#REF!</definedName>
    <definedName name="CC2_12D">#REF!</definedName>
    <definedName name="CC2_12J">#REF!</definedName>
    <definedName name="CC2_12M">#REF!</definedName>
    <definedName name="CC2_12S">#REF!</definedName>
    <definedName name="CC2_13D">#REF!</definedName>
    <definedName name="CC2_13J">#REF!</definedName>
    <definedName name="CC2_13M">#REF!</definedName>
    <definedName name="CC2_13S">#REF!</definedName>
    <definedName name="CC2_14D">#REF!</definedName>
    <definedName name="CC2_14J">#REF!</definedName>
    <definedName name="CC2_14M">#REF!</definedName>
    <definedName name="CC2_14S">#REF!</definedName>
    <definedName name="CC2_15D">#REF!</definedName>
    <definedName name="CC2_15J">#REF!</definedName>
    <definedName name="CC2_15M">#REF!</definedName>
    <definedName name="CC2_15S">#REF!</definedName>
    <definedName name="CC2_16D">#REF!</definedName>
    <definedName name="CC2_16J">#REF!</definedName>
    <definedName name="CC2_16M">#REF!</definedName>
    <definedName name="CC2_16S">#REF!</definedName>
    <definedName name="CC2_17D">#REF!</definedName>
    <definedName name="CC2_17J">#REF!</definedName>
    <definedName name="CC2_17M">#REF!</definedName>
    <definedName name="CC2_17S">#REF!</definedName>
    <definedName name="CC2_18D">#REF!</definedName>
    <definedName name="CC2_18J">#REF!</definedName>
    <definedName name="CC2_18M">#REF!</definedName>
    <definedName name="CC2_18S">#REF!</definedName>
    <definedName name="CC2_19D">#REF!</definedName>
    <definedName name="CC2_19J">#REF!</definedName>
    <definedName name="CC2_19M">#REF!</definedName>
    <definedName name="CC2_19S">#REF!</definedName>
    <definedName name="CC2_20D">#REF!</definedName>
    <definedName name="CC2_20J">#REF!</definedName>
    <definedName name="CC2_20M">#REF!</definedName>
    <definedName name="CC2_20S">#REF!</definedName>
    <definedName name="CC2_21D">#REF!</definedName>
    <definedName name="CC2_21J">#REF!</definedName>
    <definedName name="CC2_21M">#REF!</definedName>
    <definedName name="CC2_21S">#REF!</definedName>
    <definedName name="CC2_22D">#REF!</definedName>
    <definedName name="CC2_22J">#REF!</definedName>
    <definedName name="CC2_22M">#REF!</definedName>
    <definedName name="CC2_22S">#REF!</definedName>
    <definedName name="CC2_23D">#REF!</definedName>
    <definedName name="CC2_23J">#REF!</definedName>
    <definedName name="CC2_23M">#REF!</definedName>
    <definedName name="CC2_23S">#REF!</definedName>
    <definedName name="CC2_24D">#REF!</definedName>
    <definedName name="CC2_24J">#REF!</definedName>
    <definedName name="CC2_24M">#REF!</definedName>
    <definedName name="CC2_24S">#REF!</definedName>
    <definedName name="CC2_25D">#REF!</definedName>
    <definedName name="CC2_25J">#REF!</definedName>
    <definedName name="CC2_25M">#REF!</definedName>
    <definedName name="CC2_25S">#REF!</definedName>
    <definedName name="CC2_87D">#REF!</definedName>
    <definedName name="CC2_87J">#REF!</definedName>
    <definedName name="CC2_87M">#REF!</definedName>
    <definedName name="CC2_87S">#REF!</definedName>
    <definedName name="CC2_88D">#REF!</definedName>
    <definedName name="CC2_88J">#REF!</definedName>
    <definedName name="CC2_88M">#REF!</definedName>
    <definedName name="CC2_88S">#REF!</definedName>
    <definedName name="CC2_89D">#REF!</definedName>
    <definedName name="CC2_89J">#REF!</definedName>
    <definedName name="CC2_89M">#REF!</definedName>
    <definedName name="CC2_89S">#REF!</definedName>
    <definedName name="CC2_90D">#REF!</definedName>
    <definedName name="CC2_90J">#REF!</definedName>
    <definedName name="CC2_90M">#REF!</definedName>
    <definedName name="CC2_90S">#REF!</definedName>
    <definedName name="CC2_91D">#REF!</definedName>
    <definedName name="CC2_91J">#REF!</definedName>
    <definedName name="CC2_91M">#REF!</definedName>
    <definedName name="CC2_91S">#REF!</definedName>
    <definedName name="CC2_92D">#REF!</definedName>
    <definedName name="CC2_92J">#REF!</definedName>
    <definedName name="CC2_92M">#REF!</definedName>
    <definedName name="CC2_92S">#REF!</definedName>
    <definedName name="CC2_93D">#REF!</definedName>
    <definedName name="CC2_93J">#REF!</definedName>
    <definedName name="CC2_93M">#REF!</definedName>
    <definedName name="CC2_93S">#REF!</definedName>
    <definedName name="CC2_94D">#REF!</definedName>
    <definedName name="CC2_94J">#REF!</definedName>
    <definedName name="CC2_94M">#REF!</definedName>
    <definedName name="CC2_94S">#REF!</definedName>
    <definedName name="CC2_95D">#REF!</definedName>
    <definedName name="CC2_95J">#REF!</definedName>
    <definedName name="CC2_95M">#REF!</definedName>
    <definedName name="CC2_95S">#REF!</definedName>
    <definedName name="CC2_96D">#REF!</definedName>
    <definedName name="CC2_96J">#REF!</definedName>
    <definedName name="CC2_96M">#REF!</definedName>
    <definedName name="CC2_96S">#REF!</definedName>
    <definedName name="CC2_97D">#REF!</definedName>
    <definedName name="CC2_97J">#REF!</definedName>
    <definedName name="CC2_97M">#REF!</definedName>
    <definedName name="CC2_97S">#REF!</definedName>
    <definedName name="CC2_98D">#REF!</definedName>
    <definedName name="CC2_98J">#REF!</definedName>
    <definedName name="CC2_98M">#REF!</definedName>
    <definedName name="CC2_98S">#REF!</definedName>
    <definedName name="CC2_99D">#REF!</definedName>
    <definedName name="CC2_99J">#REF!</definedName>
    <definedName name="CC2_99M">#REF!</definedName>
    <definedName name="CC2_99S">#REF!</definedName>
    <definedName name="CC2_LT">#REF!</definedName>
    <definedName name="CC2_Spot">#REF!</definedName>
    <definedName name="cce">#REF!</definedName>
    <definedName name="CCLMTH">#REF!</definedName>
    <definedName name="CCLYTD">#REF!</definedName>
    <definedName name="CCMTH">#REF!</definedName>
    <definedName name="ccn">#REF!</definedName>
    <definedName name="ccs" localSheetId="2" hidden="1">{#N/A,#N/A,FALSE,"Chart 2 by Prop Type"}</definedName>
    <definedName name="ccs" localSheetId="1" hidden="1">{#N/A,#N/A,FALSE,"Chart 2 by Prop Type"}</definedName>
    <definedName name="ccs" hidden="1">{#N/A,#N/A,FALSE,"Chart 2 by Prop Type"}</definedName>
    <definedName name="CCYTD">#REF!</definedName>
    <definedName name="cdcfps93">#REF!</definedName>
    <definedName name="cdcfps94">#REF!</definedName>
    <definedName name="cde">#REF!</definedName>
    <definedName name="cdi">#REF!</definedName>
    <definedName name="cdp">#REF!</definedName>
    <definedName name="CE">#REF!</definedName>
    <definedName name="CEGwth">#REF!</definedName>
    <definedName name="cellYears2">#REF!</definedName>
    <definedName name="cellYears2c">#REF!</definedName>
    <definedName name="CEPS">#REF!</definedName>
    <definedName name="ceps93">#REF!</definedName>
    <definedName name="ceps94">#REF!</definedName>
    <definedName name="CF">[24]ISBSCF!$A$267:$AE$305</definedName>
    <definedName name="CF_00">#REF!</definedName>
    <definedName name="CF_01">#REF!</definedName>
    <definedName name="CF_02">#REF!</definedName>
    <definedName name="CF_03">#REF!</definedName>
    <definedName name="CF_04">#REF!</definedName>
    <definedName name="CF_05">#REF!</definedName>
    <definedName name="CF_06">#REF!</definedName>
    <definedName name="CF_07">#REF!</definedName>
    <definedName name="CF_08">#REF!</definedName>
    <definedName name="CF_09">#REF!</definedName>
    <definedName name="CF_10">#REF!</definedName>
    <definedName name="CF_11">#REF!</definedName>
    <definedName name="CF_12">#REF!</definedName>
    <definedName name="CF_13">#REF!</definedName>
    <definedName name="CF_1997">#REF!</definedName>
    <definedName name="CF_1998">#REF!</definedName>
    <definedName name="CF_1999">#REF!</definedName>
    <definedName name="CF_2000">#REF!</definedName>
    <definedName name="CF_2001">#REF!</definedName>
    <definedName name="CF_2002">#REF!</definedName>
    <definedName name="CF_2003">#REF!</definedName>
    <definedName name="CF_2004">#REF!</definedName>
    <definedName name="CF_2005">#REF!</definedName>
    <definedName name="CF_2006">#REF!</definedName>
    <definedName name="CF_2007">#REF!</definedName>
    <definedName name="CF_2008">#REF!</definedName>
    <definedName name="CF_97">#REF!</definedName>
    <definedName name="CF_98">#REF!</definedName>
    <definedName name="CF_99">#REF!</definedName>
    <definedName name="CF_Acqn_Disp">#REF!</definedName>
    <definedName name="CF_ASSOC">#REF!</definedName>
    <definedName name="CF_Cap_Inc">#REF!</definedName>
    <definedName name="CF_Capex_Oth">#REF!</definedName>
    <definedName name="CF_Capex_TFA">#REF!</definedName>
    <definedName name="CF_Chg_WC">#REF!</definedName>
    <definedName name="CF_CTP">#REF!</definedName>
    <definedName name="CF_Depn">#REF!</definedName>
    <definedName name="CF_DEPR">#REF!</definedName>
    <definedName name="CF_Divis_Assoc">#REF!</definedName>
    <definedName name="CF_Divis_Mins">#REF!</definedName>
    <definedName name="CF_Divis_Ord">#REF!</definedName>
    <definedName name="CF_GAIN_LOSS">#REF!</definedName>
    <definedName name="CF_Int_Net">#REF!</definedName>
    <definedName name="CF_interest_exp">#REF!</definedName>
    <definedName name="CF_Op_CF">#REF!</definedName>
    <definedName name="CF_PBT">#REF!</definedName>
    <definedName name="CF_print">#REF!</definedName>
    <definedName name="CF_Sale_FA">#REF!</definedName>
    <definedName name="CF_Tax">#REF!</definedName>
    <definedName name="CF_WC">#REF!</definedName>
    <definedName name="CFA">#REF!</definedName>
    <definedName name="CFAcquis">#REF!</definedName>
    <definedName name="CFAmo">#REF!</definedName>
    <definedName name="CFAssetDisp">#REF!</definedName>
    <definedName name="CFAsso">#REF!</definedName>
    <definedName name="cfc">#REF!</definedName>
    <definedName name="CFCapex">#REF!</definedName>
    <definedName name="cfcf00">#REF!</definedName>
    <definedName name="cfcf01">#REF!</definedName>
    <definedName name="cfcf93">#REF!</definedName>
    <definedName name="cfcf94">#REF!</definedName>
    <definedName name="cfcf95">#REF!</definedName>
    <definedName name="cfcf96">#REF!</definedName>
    <definedName name="cfcf97">#REF!</definedName>
    <definedName name="cfcf98">#REF!</definedName>
    <definedName name="cfcf99">#REF!</definedName>
    <definedName name="CFCFBDF">#REF!</definedName>
    <definedName name="CFCFBF">#REF!</definedName>
    <definedName name="cfcfps00">#REF!</definedName>
    <definedName name="cfcfps01">#REF!</definedName>
    <definedName name="cfcfps93">#REF!</definedName>
    <definedName name="cfcfps94">#REF!</definedName>
    <definedName name="cfcfps95">#REF!</definedName>
    <definedName name="cfcfps96">#REF!</definedName>
    <definedName name="cfcfps97">#REF!</definedName>
    <definedName name="cfcfps98">#REF!</definedName>
    <definedName name="cfcfps99">#REF!</definedName>
    <definedName name="CFDecreaseNetDebt">#REF!</definedName>
    <definedName name="CFDep">#REF!</definedName>
    <definedName name="CFDiv">#REF!</definedName>
    <definedName name="CFFCF">#REF!</definedName>
    <definedName name="CFForex">#REF!</definedName>
    <definedName name="CFInvest">#REF!</definedName>
    <definedName name="CFLFULL">#REF!</definedName>
    <definedName name="CFMinority">#REF!</definedName>
    <definedName name="CFNetinc">#REF!</definedName>
    <definedName name="CFOperating">#REF!</definedName>
    <definedName name="CFormats">#REF!</definedName>
    <definedName name="CFOther">#REF!</definedName>
    <definedName name="cfother00">#REF!</definedName>
    <definedName name="cfother01">#REF!</definedName>
    <definedName name="cfother93">#REF!</definedName>
    <definedName name="cfother94">#REF!</definedName>
    <definedName name="cfother95">#REF!</definedName>
    <definedName name="cfother96">#REF!</definedName>
    <definedName name="cfother97">#REF!</definedName>
    <definedName name="cfother98">#REF!</definedName>
    <definedName name="cfother99">#REF!</definedName>
    <definedName name="CFPPE">#REF!</definedName>
    <definedName name="CFProvisions">#REF!</definedName>
    <definedName name="CFPS">#REF!</definedName>
    <definedName name="cfps.2000">#REF!</definedName>
    <definedName name="cfps.2001">#REF!</definedName>
    <definedName name="cfps.96">#REF!</definedName>
    <definedName name="cfps.97">#REF!</definedName>
    <definedName name="cfps.98">#REF!</definedName>
    <definedName name="cfps.99">#REF!</definedName>
    <definedName name="CFPS_Curr_Yr">#REF!</definedName>
    <definedName name="CFPS_Lst_Yr">#REF!</definedName>
    <definedName name="CFPS_Next_Yr">#REF!</definedName>
    <definedName name="CFR">#REF!</definedName>
    <definedName name="CFShare">#REF!</definedName>
    <definedName name="CFWC">#REF!</definedName>
    <definedName name="cfx">#REF!</definedName>
    <definedName name="Ch_Oth_Provisions">#REF!</definedName>
    <definedName name="Change_in_Working_Capital">#REF!</definedName>
    <definedName name="Change_Provisions">#REF!</definedName>
    <definedName name="charge00">#REF!</definedName>
    <definedName name="charge01">#REF!</definedName>
    <definedName name="charge94">#REF!</definedName>
    <definedName name="charge95">#REF!</definedName>
    <definedName name="charge96">#REF!</definedName>
    <definedName name="charge97">#REF!</definedName>
    <definedName name="charge98">#REF!</definedName>
    <definedName name="charge99">#REF!</definedName>
    <definedName name="chart">"Chart 1"</definedName>
    <definedName name="CHART_CrociHist_Sector">OFFSET(#REF!,1,MATCH(1,(#REF!),0)-1,1,COUNT(#REF!))</definedName>
    <definedName name="CHART_CrociHist_Stock">OFFSET(#REF!,0,MATCH(1,(#REF!),0)-1,1,COUNT(#REF!))</definedName>
    <definedName name="chart_data">#REF!</definedName>
    <definedName name="chart_data_pd">#REF!</definedName>
    <definedName name="Chart_Division_Names">OFFSET(#REF!,0,0,COUNT(#REF!),1)</definedName>
    <definedName name="Chart_Division_Numbers">OFFSET(#REF!,0,0,COUNT(#REF!),1)</definedName>
    <definedName name="CHART_EVA_Labels">OFFSET(#REF!,0,COLUMN(#REF!)-(COUNT(OFFSET(#REF!,0,0,1,COLUMN(#REF!)))),1,COUNT(#REF!))</definedName>
    <definedName name="CHART_EVA_Numbers">OFFSET(#REF!,0,COLUMN(#REF!)-(COUNT(OFFSET(#REF!,0,0,1,COLUMN(#REF!)))),1,COUNT(#REF!))</definedName>
    <definedName name="Chart_Geography_Names">OFFSET(#REF!,0,0,COUNT(#REF!),1)</definedName>
    <definedName name="Chart_Geography_Numbers">OFFSET(#REF!,0,0,COUNT(#REF!),1)</definedName>
    <definedName name="chart_index">#REF!</definedName>
    <definedName name="chart_name">#REF!</definedName>
    <definedName name="Chart_PRICE_INDEXlevel">OFFSET(#REF!,COUNTA(#REF!)-COUNT(#REF!),1,COUNT(#REF!),1)</definedName>
    <definedName name="Chart_PRICE_LABELS">OFFSET(#REF!,COUNTA(#REF!)-COUNT(#REF!),-1,COUNT(#REF!),1)</definedName>
    <definedName name="Chart_PRICE_Prices">OFFSET(#REF!,COUNTA(#REF!)-COUNT(#REF!),0,COUNT(#REF!),1)</definedName>
    <definedName name="chart_range">#REF!</definedName>
    <definedName name="CHART_Sales_Labels">OFFSET(#REF!,0,COLUMN(#REF!)-(COUNT(OFFSET(#REF!,0,0,1,COLUMN(#REF!)))),1,COUNT(#REF!))</definedName>
    <definedName name="CHART_Sales_Numbers">OFFSET(#REF!,0,COLUMN(#REF!)-(COUNT(OFFSET(#REF!,0,0,1,COLUMN(#REF!)))),1,COUNT(#REF!))</definedName>
    <definedName name="CHART1">"Chart 2"</definedName>
    <definedName name="Charts.Display">#REF!</definedName>
    <definedName name="Charts.label">#REF!</definedName>
    <definedName name="Charts.Link">#REF!</definedName>
    <definedName name="CheckLeverage">[20]NERD!#REF!</definedName>
    <definedName name="CHECKLIST">#REF!</definedName>
    <definedName name="CheckROA">[20]NERD!#REF!</definedName>
    <definedName name="chem1">#REF!</definedName>
    <definedName name="chem2">#REF!</definedName>
    <definedName name="chem3">#REF!</definedName>
    <definedName name="chem4">#REF!</definedName>
    <definedName name="Chemicals_depreciation">#REF!</definedName>
    <definedName name="Chemicals_inflation_uplift">#REF!</definedName>
    <definedName name="Chemicals_maintenance_capex">#REF!</definedName>
    <definedName name="chevcar1">#REF!</definedName>
    <definedName name="chevcar2">#REF!</definedName>
    <definedName name="chevcar3">#REF!</definedName>
    <definedName name="chevcar4">#REF!</definedName>
    <definedName name="chg">#REF!</definedName>
    <definedName name="China_map">#REF!</definedName>
    <definedName name="chjpcar1">#REF!</definedName>
    <definedName name="chjpcar2">#REF!</definedName>
    <definedName name="chjpcar3">#REF!</definedName>
    <definedName name="chjpcar4">#REF!</definedName>
    <definedName name="chjptrk1">#REF!</definedName>
    <definedName name="chjptrk2">#REF!</definedName>
    <definedName name="chjptrk3">#REF!</definedName>
    <definedName name="chjptrk4">#REF!</definedName>
    <definedName name="Choices">#N/A</definedName>
    <definedName name="Choices_Wrapper">#N/A</definedName>
    <definedName name="Chongqing">#REF!</definedName>
    <definedName name="Chrysler级别">#REF!</definedName>
    <definedName name="CHTRK1">#REF!</definedName>
    <definedName name="CHTRK2">#REF!</definedName>
    <definedName name="CHTRK3">#REF!</definedName>
    <definedName name="CHTRK4">#REF!</definedName>
    <definedName name="CHUSCAR1">#REF!</definedName>
    <definedName name="CHUSCAR2">#REF!</definedName>
    <definedName name="CHUSCAR3">#REF!</definedName>
    <definedName name="CHUSCAR4">#REF!</definedName>
    <definedName name="CHUSMED1">#REF!</definedName>
    <definedName name="CHUSMED2">#REF!</definedName>
    <definedName name="CHUSMED3">#REF!</definedName>
    <definedName name="CHUSMED4">#REF!</definedName>
    <definedName name="CHUSTRK1">#REF!</definedName>
    <definedName name="CHUSTRK2">#REF!</definedName>
    <definedName name="CHUSTRK3">#REF!</definedName>
    <definedName name="CHUSTRK4">#REF!</definedName>
    <definedName name="CIEN_hst_ebit">#REF!</definedName>
    <definedName name="CIEN_hst_ebt">#REF!</definedName>
    <definedName name="CIEN_hst_eps">#REF!</definedName>
    <definedName name="CIEN_hst_inc_b_m">#REF!</definedName>
    <definedName name="CIEN_hst_r_d">#REF!</definedName>
    <definedName name="CIEN_hst_rev">#REF!</definedName>
    <definedName name="CIEN_hst_sg_a">#REF!</definedName>
    <definedName name="CIEN_lev_mcap">#REF!</definedName>
    <definedName name="CIEN_lt_debt">#REF!</definedName>
    <definedName name="CIEN_ltm_a">#REF!</definedName>
    <definedName name="CIEN_ltm_cap_ex">#REF!</definedName>
    <definedName name="CIEN_ltm_cogs">#REF!</definedName>
    <definedName name="CIEN_ltm_csh_int">#REF!</definedName>
    <definedName name="CIEN_ltm_d">#REF!</definedName>
    <definedName name="CIEN_ltm_ebit">#REF!</definedName>
    <definedName name="CIEN_ltm_ebt">#REF!</definedName>
    <definedName name="CIEN_ltm_eps">#REF!</definedName>
    <definedName name="CIEN_ltm_inc_b_m">#REF!</definedName>
    <definedName name="CIEN_ltm_int">#REF!</definedName>
    <definedName name="CIEN_ltm_min_int">#REF!</definedName>
    <definedName name="CIEN_ltm_pref_div">#REF!</definedName>
    <definedName name="CIEN_ltm_r_d">#REF!</definedName>
    <definedName name="CIEN_ltm_rev">#REF!</definedName>
    <definedName name="CIEN_ltm_sg_a">#REF!</definedName>
    <definedName name="CIEN_ltm_tax">#REF!</definedName>
    <definedName name="CIEN_ltm_tax_rate">#REF!</definedName>
    <definedName name="CIEN_name">#REF!</definedName>
    <definedName name="CIEN_o_debt_1">#REF!</definedName>
    <definedName name="CIEN_o_debt_2">#REF!</definedName>
    <definedName name="CIEN_o_debt_3">#REF!</definedName>
    <definedName name="CIEN_option_n">#REF!</definedName>
    <definedName name="CIEN_option_pr">#REF!</definedName>
    <definedName name="cien_pr">#REF!</definedName>
    <definedName name="CIEN_shares">#REF!</definedName>
    <definedName name="cien_ticker">#REF!</definedName>
    <definedName name="CIEN_total_dt">#REF!</definedName>
    <definedName name="cii">#REF!</definedName>
    <definedName name="CincinattiBell">#REF!</definedName>
    <definedName name="cingular">#REF!</definedName>
    <definedName name="CIQWBGuid" hidden="1">"Model-BBMG-20190827.xlsx"</definedName>
    <definedName name="circswitch">#REF!</definedName>
    <definedName name="Citizenpr">#REF!</definedName>
    <definedName name="civ">#REF!</definedName>
    <definedName name="CL">#REF!</definedName>
    <definedName name="CL_DEBT">#REF!</definedName>
    <definedName name="CL_MIN_INT">#REF!</definedName>
    <definedName name="CL_PAY">#REF!</definedName>
    <definedName name="Class_B">68.45</definedName>
    <definedName name="cm">1</definedName>
    <definedName name="CMP">#REF!</definedName>
    <definedName name="CMTN_10q_div">#REF!</definedName>
    <definedName name="CMTN_10q_shares">#REF!</definedName>
    <definedName name="CMTN_5_yr_est">#REF!</definedName>
    <definedName name="CMTN_52_wk">#REF!</definedName>
    <definedName name="CMTN_bk_cap">#REF!</definedName>
    <definedName name="CMTN_bk_equity">#REF!</definedName>
    <definedName name="CMTN_bs_conv_debt">#REF!</definedName>
    <definedName name="CMTN_bs_min_int">#REF!</definedName>
    <definedName name="CMTN_bs_pref">#REF!</definedName>
    <definedName name="CMTN_cash">#REF!</definedName>
    <definedName name="CMTN_conv_debt_pr">#REF!</definedName>
    <definedName name="CMTN_conv_pref_pr">#REF!</definedName>
    <definedName name="CMTN_curr">#REF!</definedName>
    <definedName name="CMTN_dil_shares">#REF!</definedName>
    <definedName name="CMTN_eps00">#REF!</definedName>
    <definedName name="CMTN_eps98">#REF!</definedName>
    <definedName name="CMTN_eps99">#REF!</definedName>
    <definedName name="CMTN_equity_mcap">#REF!</definedName>
    <definedName name="CMTN_fin_date">#REF!</definedName>
    <definedName name="CMTN_hist_d">#REF!</definedName>
    <definedName name="CMTN_hst_a">#REF!</definedName>
    <definedName name="CMTN_hst_cogs">#REF!</definedName>
    <definedName name="CMTN_hst_ebit">#REF!</definedName>
    <definedName name="CMTN_hst_ebt">#REF!</definedName>
    <definedName name="CMTN_hst_eps">#REF!</definedName>
    <definedName name="CMTN_hst_inc_b_m">#REF!</definedName>
    <definedName name="CMTN_hst_r_d">#REF!</definedName>
    <definedName name="CMTN_hst_rev">#REF!</definedName>
    <definedName name="CMTN_hst_sg_a">#REF!</definedName>
    <definedName name="CMTN_lev_mcap">#REF!</definedName>
    <definedName name="CMTN_LQ_ni">#REF!</definedName>
    <definedName name="CMTN_LQ_rev">#REF!</definedName>
    <definedName name="CMTN_lt_debt">#REF!</definedName>
    <definedName name="CMTN_ltm_a">#REF!</definedName>
    <definedName name="CMTN_ltm_cap_ex">#REF!</definedName>
    <definedName name="CMTN_ltm_cogs">#REF!</definedName>
    <definedName name="CMTN_ltm_csh_int">#REF!</definedName>
    <definedName name="CMTN_ltm_d">#REF!</definedName>
    <definedName name="CMTN_ltm_ebit">#REF!</definedName>
    <definedName name="CMTN_ltm_ebt">#REF!</definedName>
    <definedName name="CMTN_ltm_inc_b_m">#REF!</definedName>
    <definedName name="CMTN_ltm_int">#REF!</definedName>
    <definedName name="CMTN_ltm_min_int">#REF!</definedName>
    <definedName name="CMTN_ltm_pref_div">#REF!</definedName>
    <definedName name="CMTN_ltm_r_d">#REF!</definedName>
    <definedName name="CMTN_ltm_rev">#REF!</definedName>
    <definedName name="CMTN_ltm_sg_a">#REF!</definedName>
    <definedName name="CMTN_ltm_shares">#REF!</definedName>
    <definedName name="CMTN_ltm_tax">#REF!</definedName>
    <definedName name="CMTN_ltm_tax_rate">#REF!</definedName>
    <definedName name="CMTN_name">#REF!</definedName>
    <definedName name="CMTN_o_debt_1">#REF!</definedName>
    <definedName name="CMTN_o_debt_2">#REF!</definedName>
    <definedName name="CMTN_o_debt_3">#REF!</definedName>
    <definedName name="CMTN_option_n">#REF!</definedName>
    <definedName name="CMTN_option_pr">#REF!</definedName>
    <definedName name="CMTN_pq_ni">#REF!</definedName>
    <definedName name="CMTN_pq_rev">#REF!</definedName>
    <definedName name="CMTN_pr">#REF!</definedName>
    <definedName name="CMTN_shares">#REF!</definedName>
    <definedName name="CMTN_ticker">#REF!</definedName>
    <definedName name="CMTN_total_dt">#REF!</definedName>
    <definedName name="CMTN_YQ_ni">#REF!</definedName>
    <definedName name="CMTN_YQ_rev">#REF!</definedName>
    <definedName name="CMVT_10q_div">#REF!</definedName>
    <definedName name="CMVT_10q_shares">#REF!</definedName>
    <definedName name="CMVT_5_yr_est">#REF!</definedName>
    <definedName name="CMVT_52_wk">#REF!</definedName>
    <definedName name="CMVT_bk_cap">#REF!</definedName>
    <definedName name="CMVT_bk_equity">#REF!</definedName>
    <definedName name="CMVT_bs_conv_debt">#REF!</definedName>
    <definedName name="CMVT_bs_min_int">#REF!</definedName>
    <definedName name="CMVT_bs_pref">#REF!</definedName>
    <definedName name="CMVT_cash">#REF!</definedName>
    <definedName name="CMVT_conv_debt_pr">#REF!</definedName>
    <definedName name="CMVT_conv_pref_pr">#REF!</definedName>
    <definedName name="CMVT_curr">#REF!</definedName>
    <definedName name="CMVT_dil_shares">#REF!</definedName>
    <definedName name="CMVT_eps00">#REF!</definedName>
    <definedName name="CMVT_eps98">#REF!</definedName>
    <definedName name="CMVT_eps99">#REF!</definedName>
    <definedName name="CMVT_equity_mcap">#REF!</definedName>
    <definedName name="CMVT_fin_date">#REF!</definedName>
    <definedName name="CMVT_hist_d">#REF!</definedName>
    <definedName name="CMVT_hst_a">#REF!</definedName>
    <definedName name="CMVT_hst_cogs">#REF!</definedName>
    <definedName name="CMVT_hst_ebit">#REF!</definedName>
    <definedName name="CMVT_hst_ebt">#REF!</definedName>
    <definedName name="CMVT_hst_eps">#REF!</definedName>
    <definedName name="CMVT_hst_inc_b_m">#REF!</definedName>
    <definedName name="CMVT_hst_r_d">#REF!</definedName>
    <definedName name="CMVT_hst_rev">#REF!</definedName>
    <definedName name="CMVT_hst_sg_a">#REF!</definedName>
    <definedName name="CMVT_lev_mcap">#REF!</definedName>
    <definedName name="CMVT_LQ_ni">#REF!</definedName>
    <definedName name="CMVT_LQ_rev">#REF!</definedName>
    <definedName name="CMVT_lt_debt">#REF!</definedName>
    <definedName name="CMVT_ltm_a">#REF!</definedName>
    <definedName name="CMVT_ltm_cap_ex">#REF!</definedName>
    <definedName name="CMVT_ltm_cogs">#REF!</definedName>
    <definedName name="CMVT_ltm_csh_int">#REF!</definedName>
    <definedName name="CMVT_ltm_d">#REF!</definedName>
    <definedName name="CMVT_ltm_ebit">#REF!</definedName>
    <definedName name="CMVT_ltm_ebt">#REF!</definedName>
    <definedName name="CMVT_ltm_inc_b_m">#REF!</definedName>
    <definedName name="CMVT_ltm_int">#REF!</definedName>
    <definedName name="CMVT_ltm_min_int">#REF!</definedName>
    <definedName name="CMVT_ltm_pref_div">#REF!</definedName>
    <definedName name="CMVT_ltm_r_d">#REF!</definedName>
    <definedName name="CMVT_ltm_rev">#REF!</definedName>
    <definedName name="CMVT_ltm_sg_a">#REF!</definedName>
    <definedName name="CMVT_ltm_shares">#REF!</definedName>
    <definedName name="CMVT_ltm_tax">#REF!</definedName>
    <definedName name="CMVT_ltm_tax_rate">#REF!</definedName>
    <definedName name="CMVT_name">#REF!</definedName>
    <definedName name="CMVT_o_debt_1">#REF!</definedName>
    <definedName name="CMVT_o_debt_2">#REF!</definedName>
    <definedName name="CMVT_o_debt_3">#REF!</definedName>
    <definedName name="CMVT_option_n">#REF!</definedName>
    <definedName name="CMVT_option_pr">#REF!</definedName>
    <definedName name="CMVT_pq_ni">#REF!</definedName>
    <definedName name="CMVT_pq_rev">#REF!</definedName>
    <definedName name="CMVT_pr">#REF!</definedName>
    <definedName name="CMVT_shares">#REF!</definedName>
    <definedName name="CMVT_ticker">#REF!</definedName>
    <definedName name="CMVT_total_dt">#REF!</definedName>
    <definedName name="CMVT_YQ_ni">#REF!</definedName>
    <definedName name="CMVT_YQ_rev">#REF!</definedName>
    <definedName name="CNC_MI">#REF!</definedName>
    <definedName name="CNC_pct">#REF!</definedName>
    <definedName name="cnc_rail">#REF!</definedName>
    <definedName name="cni">#REF!</definedName>
    <definedName name="CO">"Avon Products, Inc."</definedName>
    <definedName name="Co_Name">"Henderson China Holdings Limited"</definedName>
    <definedName name="coalpx">#REF!</definedName>
    <definedName name="coc">#REF!</definedName>
    <definedName name="code">#REF!</definedName>
    <definedName name="codeDestination">#REF!</definedName>
    <definedName name="CODELK_Path">#REF!</definedName>
    <definedName name="COF_00D">#REF!</definedName>
    <definedName name="COF_00J">#REF!</definedName>
    <definedName name="COF_00M">#REF!</definedName>
    <definedName name="COF_00S">#REF!</definedName>
    <definedName name="COF_01D">#REF!</definedName>
    <definedName name="COF_01J">#REF!</definedName>
    <definedName name="COF_01M">#REF!</definedName>
    <definedName name="COF_01S">#REF!</definedName>
    <definedName name="COF_02D">#REF!</definedName>
    <definedName name="COF_02J">#REF!</definedName>
    <definedName name="COF_02M">#REF!</definedName>
    <definedName name="COF_02S">#REF!</definedName>
    <definedName name="COF_03D">#REF!</definedName>
    <definedName name="COF_03J">#REF!</definedName>
    <definedName name="COF_03M">#REF!</definedName>
    <definedName name="COF_03S">#REF!</definedName>
    <definedName name="COF_04D">#REF!</definedName>
    <definedName name="COF_04J">#REF!</definedName>
    <definedName name="COF_04M">#REF!</definedName>
    <definedName name="COF_04S">#REF!</definedName>
    <definedName name="COF_05D">#REF!</definedName>
    <definedName name="COF_05J">#REF!</definedName>
    <definedName name="COF_05M">#REF!</definedName>
    <definedName name="COF_05S">#REF!</definedName>
    <definedName name="COF_06D">#REF!</definedName>
    <definedName name="COF_06J">#REF!</definedName>
    <definedName name="COF_06M">#REF!</definedName>
    <definedName name="COF_06S">#REF!</definedName>
    <definedName name="COF_07D">#REF!</definedName>
    <definedName name="COF_07J">#REF!</definedName>
    <definedName name="COF_07M">#REF!</definedName>
    <definedName name="COF_07S">#REF!</definedName>
    <definedName name="COF_08D">#REF!</definedName>
    <definedName name="COF_08J">#REF!</definedName>
    <definedName name="COF_08M">#REF!</definedName>
    <definedName name="COF_08S">#REF!</definedName>
    <definedName name="COF_09D">#REF!</definedName>
    <definedName name="COF_09J">#REF!</definedName>
    <definedName name="COF_09M">#REF!</definedName>
    <definedName name="COF_09S">#REF!</definedName>
    <definedName name="COF_10D">#REF!</definedName>
    <definedName name="COF_10J">#REF!</definedName>
    <definedName name="COF_10M">#REF!</definedName>
    <definedName name="COF_10S">#REF!</definedName>
    <definedName name="COF_11D">#REF!</definedName>
    <definedName name="COF_11J">#REF!</definedName>
    <definedName name="COF_11M">#REF!</definedName>
    <definedName name="COF_11S">#REF!</definedName>
    <definedName name="COF_12D">#REF!</definedName>
    <definedName name="COF_12J">#REF!</definedName>
    <definedName name="COF_12M">#REF!</definedName>
    <definedName name="COF_12S">#REF!</definedName>
    <definedName name="COF_13D">#REF!</definedName>
    <definedName name="COF_13J">#REF!</definedName>
    <definedName name="COF_13M">#REF!</definedName>
    <definedName name="COF_13S">#REF!</definedName>
    <definedName name="COF_14D">#REF!</definedName>
    <definedName name="COF_14J">#REF!</definedName>
    <definedName name="COF_14M">#REF!</definedName>
    <definedName name="COF_14S">#REF!</definedName>
    <definedName name="COF_15D">#REF!</definedName>
    <definedName name="COF_15J">#REF!</definedName>
    <definedName name="COF_15M">#REF!</definedName>
    <definedName name="COF_15S">#REF!</definedName>
    <definedName name="COF_16D">#REF!</definedName>
    <definedName name="COF_16J">#REF!</definedName>
    <definedName name="COF_16M">#REF!</definedName>
    <definedName name="COF_16S">#REF!</definedName>
    <definedName name="COF_17D">#REF!</definedName>
    <definedName name="COF_17J">#REF!</definedName>
    <definedName name="COF_17M">#REF!</definedName>
    <definedName name="COF_17S">#REF!</definedName>
    <definedName name="COF_18D">#REF!</definedName>
    <definedName name="COF_18J">#REF!</definedName>
    <definedName name="COF_18M">#REF!</definedName>
    <definedName name="COF_18S">#REF!</definedName>
    <definedName name="COF_19D">#REF!</definedName>
    <definedName name="COF_19J">#REF!</definedName>
    <definedName name="COF_19M">#REF!</definedName>
    <definedName name="COF_19S">#REF!</definedName>
    <definedName name="COF_20D">#REF!</definedName>
    <definedName name="COF_20J">#REF!</definedName>
    <definedName name="COF_20M">#REF!</definedName>
    <definedName name="COF_20S">#REF!</definedName>
    <definedName name="COF_21D">#REF!</definedName>
    <definedName name="COF_21J">#REF!</definedName>
    <definedName name="COF_21M">#REF!</definedName>
    <definedName name="COF_21S">#REF!</definedName>
    <definedName name="COF_22D">#REF!</definedName>
    <definedName name="COF_22J">#REF!</definedName>
    <definedName name="COF_22M">#REF!</definedName>
    <definedName name="COF_22S">#REF!</definedName>
    <definedName name="COF_23D">#REF!</definedName>
    <definedName name="COF_23J">#REF!</definedName>
    <definedName name="COF_23M">#REF!</definedName>
    <definedName name="COF_23S">#REF!</definedName>
    <definedName name="COF_24D">#REF!</definedName>
    <definedName name="COF_24J">#REF!</definedName>
    <definedName name="COF_24M">#REF!</definedName>
    <definedName name="COF_24S">#REF!</definedName>
    <definedName name="COF_25D">#REF!</definedName>
    <definedName name="COF_25J">#REF!</definedName>
    <definedName name="COF_25M">#REF!</definedName>
    <definedName name="COF_25S">#REF!</definedName>
    <definedName name="COF_87D">#REF!</definedName>
    <definedName name="COF_87J">#REF!</definedName>
    <definedName name="COF_87M">#REF!</definedName>
    <definedName name="COF_87S">#REF!</definedName>
    <definedName name="COF_88D">#REF!</definedName>
    <definedName name="COF_88J">#REF!</definedName>
    <definedName name="COF_88M">#REF!</definedName>
    <definedName name="COF_88S">#REF!</definedName>
    <definedName name="COF_89D">#REF!</definedName>
    <definedName name="COF_89J">#REF!</definedName>
    <definedName name="COF_89M">#REF!</definedName>
    <definedName name="COF_89S">#REF!</definedName>
    <definedName name="COF_90D">#REF!</definedName>
    <definedName name="COF_90J">#REF!</definedName>
    <definedName name="COF_90M">#REF!</definedName>
    <definedName name="COF_90S">#REF!</definedName>
    <definedName name="COF_91D">#REF!</definedName>
    <definedName name="COF_91J">#REF!</definedName>
    <definedName name="COF_91M">#REF!</definedName>
    <definedName name="COF_91S">#REF!</definedName>
    <definedName name="COF_92D">#REF!</definedName>
    <definedName name="COF_92J">#REF!</definedName>
    <definedName name="COF_92M">#REF!</definedName>
    <definedName name="COF_92S">#REF!</definedName>
    <definedName name="COF_93D">#REF!</definedName>
    <definedName name="COF_93J">#REF!</definedName>
    <definedName name="COF_93M">#REF!</definedName>
    <definedName name="COF_93S">#REF!</definedName>
    <definedName name="COF_94D">#REF!</definedName>
    <definedName name="COF_94J">#REF!</definedName>
    <definedName name="COF_94M">#REF!</definedName>
    <definedName name="COF_94S">#REF!</definedName>
    <definedName name="COF_95D">#REF!</definedName>
    <definedName name="COF_95J">#REF!</definedName>
    <definedName name="COF_95M">#REF!</definedName>
    <definedName name="COF_95S">#REF!</definedName>
    <definedName name="COF_96D">#REF!</definedName>
    <definedName name="COF_96J">#REF!</definedName>
    <definedName name="COF_96M">#REF!</definedName>
    <definedName name="COF_96S">#REF!</definedName>
    <definedName name="COF_97D">#REF!</definedName>
    <definedName name="COF_97J">#REF!</definedName>
    <definedName name="COF_97M">#REF!</definedName>
    <definedName name="COF_97S">#REF!</definedName>
    <definedName name="COF_98D">#REF!</definedName>
    <definedName name="COF_98J">#REF!</definedName>
    <definedName name="COF_98M">#REF!</definedName>
    <definedName name="COF_98S">#REF!</definedName>
    <definedName name="COF_99D">#REF!</definedName>
    <definedName name="COF_99J">#REF!</definedName>
    <definedName name="COF_99M">#REF!</definedName>
    <definedName name="COF_99S">#REF!</definedName>
    <definedName name="COF_LT">#REF!</definedName>
    <definedName name="COF_OUT">#REF!</definedName>
    <definedName name="COF_Spot">#REF!</definedName>
    <definedName name="cogs">#REF!</definedName>
    <definedName name="cogs.00">#REF!</definedName>
    <definedName name="cogs.01">#REF!</definedName>
    <definedName name="cogs.02">#REF!</definedName>
    <definedName name="cogs.03">#REF!</definedName>
    <definedName name="cogs.04">#REF!</definedName>
    <definedName name="cogs_handsets">#REF!</definedName>
    <definedName name="cogs_internet">#REF!</definedName>
    <definedName name="cogs_mobile">#REF!</definedName>
    <definedName name="cogs_other">#REF!</definedName>
    <definedName name="coi">#REF!</definedName>
    <definedName name="column_id">#REF!</definedName>
    <definedName name="column_name">#REF!</definedName>
    <definedName name="column_start">#REF!</definedName>
    <definedName name="columnnumber">#REF!</definedName>
    <definedName name="Combined_gas">#REF!</definedName>
    <definedName name="comFaxRate">[27]单产品敏感性分析!$C$8</definedName>
    <definedName name="Commercial_Paper">#REF!</definedName>
    <definedName name="Common_Stock">#REF!</definedName>
    <definedName name="COMP">#REF!</definedName>
    <definedName name="COMP_BS">#REF!</definedName>
    <definedName name="COMP_CF">#REF!</definedName>
    <definedName name="Companies">#REF!</definedName>
    <definedName name="Company_name">#REF!</definedName>
    <definedName name="Company_reported_exceptionals">#REF!</definedName>
    <definedName name="Company1">#REF!</definedName>
    <definedName name="CompanyBeta">#REF!</definedName>
    <definedName name="CompanyCode">#REF!</definedName>
    <definedName name="CompanyCreditRiskSpread">#REF!</definedName>
    <definedName name="companyname">#REF!</definedName>
    <definedName name="computer">computer</definedName>
    <definedName name="coms_52_wk">#REF!</definedName>
    <definedName name="COMS_bk_cap">#REF!</definedName>
    <definedName name="COMS_bk_equity">#REF!</definedName>
    <definedName name="COMS_bs_conv_debt">#REF!</definedName>
    <definedName name="COMS_bs_min_int">#REF!</definedName>
    <definedName name="COMS_bs_pref">#REF!</definedName>
    <definedName name="COMS_cash">#REF!</definedName>
    <definedName name="COMS_code">#REF!</definedName>
    <definedName name="COMS_conv_debt_pr">#REF!</definedName>
    <definedName name="COMS_conv_pref_pr">#REF!</definedName>
    <definedName name="coms_curr">#REF!</definedName>
    <definedName name="COMS_dil_shares">#REF!</definedName>
    <definedName name="coms_eps00">#REF!</definedName>
    <definedName name="coms_eps98">#REF!</definedName>
    <definedName name="coms_eps99">#REF!</definedName>
    <definedName name="COMS_equity_mcap">#REF!</definedName>
    <definedName name="COMS_fin_date">#REF!</definedName>
    <definedName name="COMS_hst_inc_b_m">#REF!</definedName>
    <definedName name="COMS_hst_rev">#REF!</definedName>
    <definedName name="COMS_lev_mcap">#REF!</definedName>
    <definedName name="COMS_lt_debt">#REF!</definedName>
    <definedName name="COMS_ltm_a">#REF!</definedName>
    <definedName name="COMS_ltm_cap_ex">#REF!</definedName>
    <definedName name="COMS_ltm_cogs">#REF!</definedName>
    <definedName name="COMS_ltm_csh_int">#REF!</definedName>
    <definedName name="COMS_ltm_d">#REF!</definedName>
    <definedName name="COMS_ltm_ebit">#REF!</definedName>
    <definedName name="COMS_ltm_ebt">#REF!</definedName>
    <definedName name="COMS_ltm_inc_b_m">#REF!</definedName>
    <definedName name="COMS_ltm_int">#REF!</definedName>
    <definedName name="COMS_ltm_min_int">#REF!</definedName>
    <definedName name="COMS_ltm_pref_div">#REF!</definedName>
    <definedName name="COMS_ltm_r_d">#REF!</definedName>
    <definedName name="COMS_ltm_rev">#REF!</definedName>
    <definedName name="COMS_ltm_sg_a">#REF!</definedName>
    <definedName name="COMS_ltm_shares">#REF!</definedName>
    <definedName name="COMS_ltm_tax">#REF!</definedName>
    <definedName name="COMS_ltm_tax_rate">#REF!</definedName>
    <definedName name="COMS_name">#REF!</definedName>
    <definedName name="COMS_o_debt_1">#REF!</definedName>
    <definedName name="COMS_o_debt_2">#REF!</definedName>
    <definedName name="COMS_o_debt_3">#REF!</definedName>
    <definedName name="COMS_option_n">#REF!</definedName>
    <definedName name="COMS_option_pr">#REF!</definedName>
    <definedName name="coms_pr">#REF!</definedName>
    <definedName name="COMS_shares">#REF!</definedName>
    <definedName name="coms_ticker">#REF!</definedName>
    <definedName name="COMS_total_dt">#REF!</definedName>
    <definedName name="con">#REF!</definedName>
    <definedName name="Concap">#REF!</definedName>
    <definedName name="CONCENT">#REF!</definedName>
    <definedName name="concession_active">#REF!</definedName>
    <definedName name="concession_adj_equity_value">#REF!</definedName>
    <definedName name="concession_disc_rate_2">#REF!</definedName>
    <definedName name="concession_payable_driver">#REF!</definedName>
    <definedName name="concession_payment_stream_2">#REF!</definedName>
    <definedName name="ConPrice">#REF!</definedName>
    <definedName name="cons_line_growth">#REF!</definedName>
    <definedName name="cons_wcom">#REF!</definedName>
    <definedName name="consolidated_company_id">#REF!</definedName>
    <definedName name="ConsolidatedEPS">#REF!</definedName>
    <definedName name="Consolidation">[20]NERD!$G$21:$N$21</definedName>
    <definedName name="Const_Costs">#REF!</definedName>
    <definedName name="Construction">#REF!</definedName>
    <definedName name="consumer">#REF!</definedName>
    <definedName name="cont_life">#REF!</definedName>
    <definedName name="CONV_MGN_00D">#REF!</definedName>
    <definedName name="CONV_MGN_00J">#REF!</definedName>
    <definedName name="CONV_MGN_00M">#REF!</definedName>
    <definedName name="CONV_MGN_00S">#REF!</definedName>
    <definedName name="CONV_MGN_01D">#REF!</definedName>
    <definedName name="CONV_MGN_01J">#REF!</definedName>
    <definedName name="CONV_MGN_01M">#REF!</definedName>
    <definedName name="CONV_MGN_01S">#REF!</definedName>
    <definedName name="CONV_MGN_02D">#REF!</definedName>
    <definedName name="CONV_MGN_02J">#REF!</definedName>
    <definedName name="CONV_MGN_02M">#REF!</definedName>
    <definedName name="CONV_MGN_02S">#REF!</definedName>
    <definedName name="CONV_MGN_03D">#REF!</definedName>
    <definedName name="CONV_MGN_03J">#REF!</definedName>
    <definedName name="CONV_MGN_03M">#REF!</definedName>
    <definedName name="CONV_MGN_03S">#REF!</definedName>
    <definedName name="CONV_MGN_04D">#REF!</definedName>
    <definedName name="CONV_MGN_04J">#REF!</definedName>
    <definedName name="CONV_MGN_04M">#REF!</definedName>
    <definedName name="CONV_MGN_04S">#REF!</definedName>
    <definedName name="CONV_MGN_05D">#REF!</definedName>
    <definedName name="CONV_MGN_05J">#REF!</definedName>
    <definedName name="CONV_MGN_05M">#REF!</definedName>
    <definedName name="CONV_MGN_05S">#REF!</definedName>
    <definedName name="CONV_MGN_06D">#REF!</definedName>
    <definedName name="CONV_MGN_06J">#REF!</definedName>
    <definedName name="CONV_MGN_06M">#REF!</definedName>
    <definedName name="CONV_MGN_06S">#REF!</definedName>
    <definedName name="CONV_MGN_07D">#REF!</definedName>
    <definedName name="CONV_MGN_07J">#REF!</definedName>
    <definedName name="CONV_MGN_07M">#REF!</definedName>
    <definedName name="CONV_MGN_07S">#REF!</definedName>
    <definedName name="CONV_MGN_08D">#REF!</definedName>
    <definedName name="CONV_MGN_08J">#REF!</definedName>
    <definedName name="CONV_MGN_08M">#REF!</definedName>
    <definedName name="CONV_MGN_08S">#REF!</definedName>
    <definedName name="CONV_MGN_09D">#REF!</definedName>
    <definedName name="CONV_MGN_09J">#REF!</definedName>
    <definedName name="CONV_MGN_09M">#REF!</definedName>
    <definedName name="CONV_MGN_09S">#REF!</definedName>
    <definedName name="CONV_MGN_10D">#REF!</definedName>
    <definedName name="CONV_MGN_10J">#REF!</definedName>
    <definedName name="CONV_MGN_10M">#REF!</definedName>
    <definedName name="CONV_MGN_10S">#REF!</definedName>
    <definedName name="CONV_MGN_11D">#REF!</definedName>
    <definedName name="CONV_MGN_11J">#REF!</definedName>
    <definedName name="CONV_MGN_11M">#REF!</definedName>
    <definedName name="CONV_MGN_11S">#REF!</definedName>
    <definedName name="CONV_MGN_12D">#REF!</definedName>
    <definedName name="CONV_MGN_12J">#REF!</definedName>
    <definedName name="CONV_MGN_12M">#REF!</definedName>
    <definedName name="CONV_MGN_12S">#REF!</definedName>
    <definedName name="CONV_MGN_13D">#REF!</definedName>
    <definedName name="CONV_MGN_13J">#REF!</definedName>
    <definedName name="CONV_MGN_13M">#REF!</definedName>
    <definedName name="CONV_MGN_13S">#REF!</definedName>
    <definedName name="CONV_MGN_14D">#REF!</definedName>
    <definedName name="CONV_MGN_14J">#REF!</definedName>
    <definedName name="CONV_MGN_14M">#REF!</definedName>
    <definedName name="CONV_MGN_14S">#REF!</definedName>
    <definedName name="CONV_MGN_15D">#REF!</definedName>
    <definedName name="CONV_MGN_15J">#REF!</definedName>
    <definedName name="CONV_MGN_15M">#REF!</definedName>
    <definedName name="CONV_MGN_15S">#REF!</definedName>
    <definedName name="CONV_MGN_16D">#REF!</definedName>
    <definedName name="CONV_MGN_16J">#REF!</definedName>
    <definedName name="CONV_MGN_16M">#REF!</definedName>
    <definedName name="CONV_MGN_16S">#REF!</definedName>
    <definedName name="CONV_MGN_17D">#REF!</definedName>
    <definedName name="CONV_MGN_17J">#REF!</definedName>
    <definedName name="CONV_MGN_17M">#REF!</definedName>
    <definedName name="CONV_MGN_17S">#REF!</definedName>
    <definedName name="CONV_MGN_18D">#REF!</definedName>
    <definedName name="CONV_MGN_18J">#REF!</definedName>
    <definedName name="CONV_MGN_18M">#REF!</definedName>
    <definedName name="CONV_MGN_18S">#REF!</definedName>
    <definedName name="CONV_MGN_19D">#REF!</definedName>
    <definedName name="CONV_MGN_19J">#REF!</definedName>
    <definedName name="CONV_MGN_19M">#REF!</definedName>
    <definedName name="CONV_MGN_19S">#REF!</definedName>
    <definedName name="CONV_MGN_20D">#REF!</definedName>
    <definedName name="CONV_MGN_20J">#REF!</definedName>
    <definedName name="CONV_MGN_20M">#REF!</definedName>
    <definedName name="CONV_MGN_20S">#REF!</definedName>
    <definedName name="CONV_MGN_21D">#REF!</definedName>
    <definedName name="CONV_MGN_21J">#REF!</definedName>
    <definedName name="CONV_MGN_21M">#REF!</definedName>
    <definedName name="CONV_MGN_21S">#REF!</definedName>
    <definedName name="CONV_MGN_22D">#REF!</definedName>
    <definedName name="CONV_MGN_22J">#REF!</definedName>
    <definedName name="CONV_MGN_22M">#REF!</definedName>
    <definedName name="CONV_MGN_22S">#REF!</definedName>
    <definedName name="CONV_MGN_23D">#REF!</definedName>
    <definedName name="CONV_MGN_23J">#REF!</definedName>
    <definedName name="CONV_MGN_23M">#REF!</definedName>
    <definedName name="CONV_MGN_23S">#REF!</definedName>
    <definedName name="CONV_MGN_24D">#REF!</definedName>
    <definedName name="CONV_MGN_24J">#REF!</definedName>
    <definedName name="CONV_MGN_24M">#REF!</definedName>
    <definedName name="CONV_MGN_24S">#REF!</definedName>
    <definedName name="CONV_MGN_25D">#REF!</definedName>
    <definedName name="CONV_MGN_25J">#REF!</definedName>
    <definedName name="CONV_MGN_25M">#REF!</definedName>
    <definedName name="CONV_MGN_25S">#REF!</definedName>
    <definedName name="CONV_MGN_87D">#REF!</definedName>
    <definedName name="CONV_MGN_87J">#REF!</definedName>
    <definedName name="CONV_MGN_87M">#REF!</definedName>
    <definedName name="CONV_MGN_87S">#REF!</definedName>
    <definedName name="CONV_MGN_88D">#REF!</definedName>
    <definedName name="CONV_MGN_88J">#REF!</definedName>
    <definedName name="CONV_MGN_88M">#REF!</definedName>
    <definedName name="CONV_MGN_88S">#REF!</definedName>
    <definedName name="CONV_MGN_89D">#REF!</definedName>
    <definedName name="CONV_MGN_89J">#REF!</definedName>
    <definedName name="CONV_MGN_89M">#REF!</definedName>
    <definedName name="CONV_MGN_89S">#REF!</definedName>
    <definedName name="CONV_MGN_90D">#REF!</definedName>
    <definedName name="CONV_MGN_90J">#REF!</definedName>
    <definedName name="CONV_MGN_90M">#REF!</definedName>
    <definedName name="CONV_MGN_90S">#REF!</definedName>
    <definedName name="CONV_MGN_91D">#REF!</definedName>
    <definedName name="CONV_MGN_91J">#REF!</definedName>
    <definedName name="CONV_MGN_91M">#REF!</definedName>
    <definedName name="CONV_MGN_91S">#REF!</definedName>
    <definedName name="CONV_MGN_92D">#REF!</definedName>
    <definedName name="CONV_MGN_92J">#REF!</definedName>
    <definedName name="CONV_MGN_92M">#REF!</definedName>
    <definedName name="CONV_MGN_92S">#REF!</definedName>
    <definedName name="CONV_MGN_93D">#REF!</definedName>
    <definedName name="CONV_MGN_93J">#REF!</definedName>
    <definedName name="CONV_MGN_93M">#REF!</definedName>
    <definedName name="CONV_MGN_93S">#REF!</definedName>
    <definedName name="CONV_MGN_94D">#REF!</definedName>
    <definedName name="CONV_MGN_94J">#REF!</definedName>
    <definedName name="CONV_MGN_94M">#REF!</definedName>
    <definedName name="CONV_MGN_94S">#REF!</definedName>
    <definedName name="CONV_MGN_95D">#REF!</definedName>
    <definedName name="CONV_MGN_95J">#REF!</definedName>
    <definedName name="CONV_MGN_95M">#REF!</definedName>
    <definedName name="CONV_MGN_95S">#REF!</definedName>
    <definedName name="CONV_MGN_96D">#REF!</definedName>
    <definedName name="CONV_MGN_96J">#REF!</definedName>
    <definedName name="CONV_MGN_96M">#REF!</definedName>
    <definedName name="CONV_MGN_96S">#REF!</definedName>
    <definedName name="CONV_MGN_97D">#REF!</definedName>
    <definedName name="CONV_MGN_97J">#REF!</definedName>
    <definedName name="CONV_MGN_97M">#REF!</definedName>
    <definedName name="CONV_MGN_97S">#REF!</definedName>
    <definedName name="CONV_MGN_98D">#REF!</definedName>
    <definedName name="CONV_MGN_98J">#REF!</definedName>
    <definedName name="CONV_MGN_98M">#REF!</definedName>
    <definedName name="CONV_MGN_98S">#REF!</definedName>
    <definedName name="CONV_MGN_99D">#REF!</definedName>
    <definedName name="CONV_MGN_99J">#REF!</definedName>
    <definedName name="CONV_MGN_99M">#REF!</definedName>
    <definedName name="CONV_MGN_99S">#REF!</definedName>
    <definedName name="CONV_MGN_LT">#REF!</definedName>
    <definedName name="conversion_rate">#REF!</definedName>
    <definedName name="Convertibles_options">#REF!</definedName>
    <definedName name="cop">#REF!</definedName>
    <definedName name="COP_00D">#REF!</definedName>
    <definedName name="COP_00J">#REF!</definedName>
    <definedName name="COP_00M">#REF!</definedName>
    <definedName name="COP_00S">#REF!</definedName>
    <definedName name="COP_01D">#REF!</definedName>
    <definedName name="COP_01J">#REF!</definedName>
    <definedName name="COP_01M">#REF!</definedName>
    <definedName name="COP_01S">#REF!</definedName>
    <definedName name="COP_02D">#REF!</definedName>
    <definedName name="COP_02J">#REF!</definedName>
    <definedName name="COP_02M">#REF!</definedName>
    <definedName name="COP_02S">#REF!</definedName>
    <definedName name="COP_03D">#REF!</definedName>
    <definedName name="COP_03J">#REF!</definedName>
    <definedName name="COP_03M">#REF!</definedName>
    <definedName name="COP_03S">#REF!</definedName>
    <definedName name="COP_04D">#REF!</definedName>
    <definedName name="COP_04J">#REF!</definedName>
    <definedName name="COP_04M">#REF!</definedName>
    <definedName name="COP_04S">#REF!</definedName>
    <definedName name="COP_05D">#REF!</definedName>
    <definedName name="COP_05J">#REF!</definedName>
    <definedName name="COP_05M">#REF!</definedName>
    <definedName name="COP_05S">#REF!</definedName>
    <definedName name="COP_06D">#REF!</definedName>
    <definedName name="COP_06J">#REF!</definedName>
    <definedName name="COP_06M">#REF!</definedName>
    <definedName name="COP_06S">#REF!</definedName>
    <definedName name="COP_07D">#REF!</definedName>
    <definedName name="COP_07J">#REF!</definedName>
    <definedName name="COP_07M">#REF!</definedName>
    <definedName name="COP_07S">#REF!</definedName>
    <definedName name="COP_08D">#REF!</definedName>
    <definedName name="COP_08J">#REF!</definedName>
    <definedName name="COP_08M">#REF!</definedName>
    <definedName name="COP_08S">#REF!</definedName>
    <definedName name="COP_09D">#REF!</definedName>
    <definedName name="COP_09J">#REF!</definedName>
    <definedName name="COP_09M">#REF!</definedName>
    <definedName name="COP_09S">#REF!</definedName>
    <definedName name="COP_10D">#REF!</definedName>
    <definedName name="COP_10J">#REF!</definedName>
    <definedName name="COP_10M">#REF!</definedName>
    <definedName name="COP_10S">#REF!</definedName>
    <definedName name="COP_11D">#REF!</definedName>
    <definedName name="COP_11J">#REF!</definedName>
    <definedName name="COP_11M">#REF!</definedName>
    <definedName name="COP_11S">#REF!</definedName>
    <definedName name="COP_12D">#REF!</definedName>
    <definedName name="COP_12J">#REF!</definedName>
    <definedName name="COP_12M">#REF!</definedName>
    <definedName name="COP_12S">#REF!</definedName>
    <definedName name="COP_13D">#REF!</definedName>
    <definedName name="COP_13J">#REF!</definedName>
    <definedName name="COP_13M">#REF!</definedName>
    <definedName name="COP_13S">#REF!</definedName>
    <definedName name="COP_14D">#REF!</definedName>
    <definedName name="COP_14J">#REF!</definedName>
    <definedName name="COP_14M">#REF!</definedName>
    <definedName name="COP_14S">#REF!</definedName>
    <definedName name="COP_15D">#REF!</definedName>
    <definedName name="COP_15J">#REF!</definedName>
    <definedName name="COP_15M">#REF!</definedName>
    <definedName name="COP_15S">#REF!</definedName>
    <definedName name="COP_16D">#REF!</definedName>
    <definedName name="COP_16J">#REF!</definedName>
    <definedName name="COP_16M">#REF!</definedName>
    <definedName name="COP_16S">#REF!</definedName>
    <definedName name="COP_17D">#REF!</definedName>
    <definedName name="COP_17J">#REF!</definedName>
    <definedName name="COP_17M">#REF!</definedName>
    <definedName name="COP_17S">#REF!</definedName>
    <definedName name="COP_18D">#REF!</definedName>
    <definedName name="COP_18J">#REF!</definedName>
    <definedName name="COP_18M">#REF!</definedName>
    <definedName name="COP_18S">#REF!</definedName>
    <definedName name="COP_19D">#REF!</definedName>
    <definedName name="COP_19J">#REF!</definedName>
    <definedName name="COP_19M">#REF!</definedName>
    <definedName name="COP_19S">#REF!</definedName>
    <definedName name="COP_20D">#REF!</definedName>
    <definedName name="COP_20J">#REF!</definedName>
    <definedName name="COP_20M">#REF!</definedName>
    <definedName name="COP_20S">#REF!</definedName>
    <definedName name="COP_21D">#REF!</definedName>
    <definedName name="COP_21J">#REF!</definedName>
    <definedName name="COP_21M">#REF!</definedName>
    <definedName name="COP_21S">#REF!</definedName>
    <definedName name="COP_22D">#REF!</definedName>
    <definedName name="COP_22J">#REF!</definedName>
    <definedName name="COP_22M">#REF!</definedName>
    <definedName name="COP_22S">#REF!</definedName>
    <definedName name="COP_23D">#REF!</definedName>
    <definedName name="COP_23J">#REF!</definedName>
    <definedName name="COP_23M">#REF!</definedName>
    <definedName name="COP_23S">#REF!</definedName>
    <definedName name="COP_24D">#REF!</definedName>
    <definedName name="COP_24J">#REF!</definedName>
    <definedName name="COP_24M">#REF!</definedName>
    <definedName name="COP_24S">#REF!</definedName>
    <definedName name="COP_25D">#REF!</definedName>
    <definedName name="COP_25J">#REF!</definedName>
    <definedName name="COP_25M">#REF!</definedName>
    <definedName name="COP_25S">#REF!</definedName>
    <definedName name="COP_87D">#REF!</definedName>
    <definedName name="COP_87J">#REF!</definedName>
    <definedName name="COP_87M">#REF!</definedName>
    <definedName name="COP_87S">#REF!</definedName>
    <definedName name="COP_88D">#REF!</definedName>
    <definedName name="COP_88J">#REF!</definedName>
    <definedName name="COP_88M">#REF!</definedName>
    <definedName name="COP_88S">#REF!</definedName>
    <definedName name="COP_89D">#REF!</definedName>
    <definedName name="COP_89J">#REF!</definedName>
    <definedName name="COP_89M">#REF!</definedName>
    <definedName name="COP_89S">#REF!</definedName>
    <definedName name="COP_90D">#REF!</definedName>
    <definedName name="COP_90J">#REF!</definedName>
    <definedName name="COP_90M">#REF!</definedName>
    <definedName name="COP_90S">#REF!</definedName>
    <definedName name="COP_91D">#REF!</definedName>
    <definedName name="COP_91J">#REF!</definedName>
    <definedName name="COP_91M">#REF!</definedName>
    <definedName name="COP_91S">#REF!</definedName>
    <definedName name="COP_92D">#REF!</definedName>
    <definedName name="COP_92J">#REF!</definedName>
    <definedName name="COP_92M">#REF!</definedName>
    <definedName name="COP_92S">#REF!</definedName>
    <definedName name="COP_93D">#REF!</definedName>
    <definedName name="COP_93J">#REF!</definedName>
    <definedName name="COP_93M">#REF!</definedName>
    <definedName name="COP_93S">#REF!</definedName>
    <definedName name="COP_94D">#REF!</definedName>
    <definedName name="COP_94J">#REF!</definedName>
    <definedName name="COP_94M">#REF!</definedName>
    <definedName name="COP_94S">#REF!</definedName>
    <definedName name="COP_95D">#REF!</definedName>
    <definedName name="COP_95J">#REF!</definedName>
    <definedName name="COP_95M">#REF!</definedName>
    <definedName name="COP_95S">#REF!</definedName>
    <definedName name="COP_96D">#REF!</definedName>
    <definedName name="COP_96J">#REF!</definedName>
    <definedName name="COP_96M">#REF!</definedName>
    <definedName name="COP_96S">#REF!</definedName>
    <definedName name="COP_97D">#REF!</definedName>
    <definedName name="COP_97J">#REF!</definedName>
    <definedName name="COP_97M">#REF!</definedName>
    <definedName name="COP_97S">#REF!</definedName>
    <definedName name="COP_98D">#REF!</definedName>
    <definedName name="COP_98J">#REF!</definedName>
    <definedName name="COP_98M">#REF!</definedName>
    <definedName name="COP_98S">#REF!</definedName>
    <definedName name="COP_99D">#REF!</definedName>
    <definedName name="COP_99J">#REF!</definedName>
    <definedName name="COP_99M">#REF!</definedName>
    <definedName name="COP_99S">#REF!</definedName>
    <definedName name="COP_LT">#REF!</definedName>
    <definedName name="CopyArea">#REF!</definedName>
    <definedName name="CopyrightStamp">#REF!</definedName>
    <definedName name="Core_EBIT">#REF!</definedName>
    <definedName name="Core_EV">#REF!</definedName>
    <definedName name="Core_Intangible_Fixed_Assets">#REF!</definedName>
    <definedName name="Core_Net_Cash_Debt">#REF!</definedName>
    <definedName name="Core_Sales">#REF!</definedName>
    <definedName name="Core_Tangible_Fixed_Assets">#REF!</definedName>
    <definedName name="cos95a">#REF!</definedName>
    <definedName name="Cosm">#REF!</definedName>
    <definedName name="COSr_AssociatesMinorities">#REF!</definedName>
    <definedName name="Cost_in_excess_of_net_assets_of_acquired_business">#REF!</definedName>
    <definedName name="COST_INF_00D">#REF!</definedName>
    <definedName name="COST_INF_00J">#REF!</definedName>
    <definedName name="COST_INF_00M">#REF!</definedName>
    <definedName name="COST_INF_00S">#REF!</definedName>
    <definedName name="COST_INF_01D">#REF!</definedName>
    <definedName name="COST_INF_01J">#REF!</definedName>
    <definedName name="COST_INF_01M">#REF!</definedName>
    <definedName name="COST_INF_01S">#REF!</definedName>
    <definedName name="COST_INF_02D">#REF!</definedName>
    <definedName name="COST_INF_02J">#REF!</definedName>
    <definedName name="COST_INF_02M">#REF!</definedName>
    <definedName name="COST_INF_02S">#REF!</definedName>
    <definedName name="COST_INF_03D">#REF!</definedName>
    <definedName name="COST_INF_03J">#REF!</definedName>
    <definedName name="COST_INF_03M">#REF!</definedName>
    <definedName name="COST_INF_03S">#REF!</definedName>
    <definedName name="COST_INF_04D">#REF!</definedName>
    <definedName name="COST_INF_04J">#REF!</definedName>
    <definedName name="COST_INF_04M">#REF!</definedName>
    <definedName name="COST_INF_04S">#REF!</definedName>
    <definedName name="COST_INF_05D">#REF!</definedName>
    <definedName name="COST_INF_05J">#REF!</definedName>
    <definedName name="COST_INF_05M">#REF!</definedName>
    <definedName name="COST_INF_05S">#REF!</definedName>
    <definedName name="COST_INF_06D">#REF!</definedName>
    <definedName name="COST_INF_06J">#REF!</definedName>
    <definedName name="COST_INF_06M">#REF!</definedName>
    <definedName name="COST_INF_06S">#REF!</definedName>
    <definedName name="COST_INF_07D">#REF!</definedName>
    <definedName name="COST_INF_07J">#REF!</definedName>
    <definedName name="COST_INF_07M">#REF!</definedName>
    <definedName name="COST_INF_07S">#REF!</definedName>
    <definedName name="COST_INF_08D">#REF!</definedName>
    <definedName name="COST_INF_08J">#REF!</definedName>
    <definedName name="COST_INF_08M">#REF!</definedName>
    <definedName name="COST_INF_08S">#REF!</definedName>
    <definedName name="COST_INF_09D">#REF!</definedName>
    <definedName name="COST_INF_09J">#REF!</definedName>
    <definedName name="COST_INF_09M">#REF!</definedName>
    <definedName name="COST_INF_09S">#REF!</definedName>
    <definedName name="COST_INF_10D">#REF!</definedName>
    <definedName name="COST_INF_10J">#REF!</definedName>
    <definedName name="COST_INF_10M">#REF!</definedName>
    <definedName name="COST_INF_10S">#REF!</definedName>
    <definedName name="COST_INF_11D">#REF!</definedName>
    <definedName name="COST_INF_11J">#REF!</definedName>
    <definedName name="COST_INF_11M">#REF!</definedName>
    <definedName name="COST_INF_11S">#REF!</definedName>
    <definedName name="COST_INF_12D">#REF!</definedName>
    <definedName name="COST_INF_12J">#REF!</definedName>
    <definedName name="COST_INF_12M">#REF!</definedName>
    <definedName name="COST_INF_12S">#REF!</definedName>
    <definedName name="COST_INF_13D">#REF!</definedName>
    <definedName name="COST_INF_13J">#REF!</definedName>
    <definedName name="COST_INF_13M">#REF!</definedName>
    <definedName name="COST_INF_13S">#REF!</definedName>
    <definedName name="COST_INF_14D">#REF!</definedName>
    <definedName name="COST_INF_14J">#REF!</definedName>
    <definedName name="COST_INF_14M">#REF!</definedName>
    <definedName name="COST_INF_14S">#REF!</definedName>
    <definedName name="COST_INF_15D">#REF!</definedName>
    <definedName name="COST_INF_15J">#REF!</definedName>
    <definedName name="COST_INF_15M">#REF!</definedName>
    <definedName name="COST_INF_15S">#REF!</definedName>
    <definedName name="COST_INF_16D">#REF!</definedName>
    <definedName name="COST_INF_16J">#REF!</definedName>
    <definedName name="COST_INF_16M">#REF!</definedName>
    <definedName name="COST_INF_16S">#REF!</definedName>
    <definedName name="COST_INF_17D">#REF!</definedName>
    <definedName name="COST_INF_17J">#REF!</definedName>
    <definedName name="COST_INF_17M">#REF!</definedName>
    <definedName name="COST_INF_17S">#REF!</definedName>
    <definedName name="COST_INF_18D">#REF!</definedName>
    <definedName name="COST_INF_18J">#REF!</definedName>
    <definedName name="COST_INF_18M">#REF!</definedName>
    <definedName name="COST_INF_18S">#REF!</definedName>
    <definedName name="COST_INF_19D">#REF!</definedName>
    <definedName name="COST_INF_19J">#REF!</definedName>
    <definedName name="COST_INF_19M">#REF!</definedName>
    <definedName name="COST_INF_19S">#REF!</definedName>
    <definedName name="COST_INF_20D">#REF!</definedName>
    <definedName name="COST_INF_20J">#REF!</definedName>
    <definedName name="COST_INF_20M">#REF!</definedName>
    <definedName name="COST_INF_20S">#REF!</definedName>
    <definedName name="COST_INF_21D">#REF!</definedName>
    <definedName name="COST_INF_21J">#REF!</definedName>
    <definedName name="COST_INF_21M">#REF!</definedName>
    <definedName name="COST_INF_21S">#REF!</definedName>
    <definedName name="COST_INF_22D">#REF!</definedName>
    <definedName name="COST_INF_22J">#REF!</definedName>
    <definedName name="COST_INF_22M">#REF!</definedName>
    <definedName name="COST_INF_22S">#REF!</definedName>
    <definedName name="COST_INF_23D">#REF!</definedName>
    <definedName name="COST_INF_23J">#REF!</definedName>
    <definedName name="COST_INF_23M">#REF!</definedName>
    <definedName name="COST_INF_23S">#REF!</definedName>
    <definedName name="COST_INF_24D">#REF!</definedName>
    <definedName name="COST_INF_24J">#REF!</definedName>
    <definedName name="COST_INF_24M">#REF!</definedName>
    <definedName name="COST_INF_24S">#REF!</definedName>
    <definedName name="COST_INF_25D">#REF!</definedName>
    <definedName name="COST_INF_25J">#REF!</definedName>
    <definedName name="COST_INF_25M">#REF!</definedName>
    <definedName name="COST_INF_25S">#REF!</definedName>
    <definedName name="COST_INF_87D">#REF!</definedName>
    <definedName name="COST_INF_87J">#REF!</definedName>
    <definedName name="COST_INF_87M">#REF!</definedName>
    <definedName name="COST_INF_87S">#REF!</definedName>
    <definedName name="COST_INF_88D">#REF!</definedName>
    <definedName name="COST_INF_88J">#REF!</definedName>
    <definedName name="COST_INF_88M">#REF!</definedName>
    <definedName name="COST_INF_88S">#REF!</definedName>
    <definedName name="COST_INF_89D">#REF!</definedName>
    <definedName name="COST_INF_89J">#REF!</definedName>
    <definedName name="COST_INF_89M">#REF!</definedName>
    <definedName name="COST_INF_89S">#REF!</definedName>
    <definedName name="COST_INF_90D">#REF!</definedName>
    <definedName name="COST_INF_90J">#REF!</definedName>
    <definedName name="COST_INF_90M">#REF!</definedName>
    <definedName name="COST_INF_90S">#REF!</definedName>
    <definedName name="COST_INF_91D">#REF!</definedName>
    <definedName name="COST_INF_91J">#REF!</definedName>
    <definedName name="COST_INF_91M">#REF!</definedName>
    <definedName name="COST_INF_91S">#REF!</definedName>
    <definedName name="COST_INF_92D">#REF!</definedName>
    <definedName name="COST_INF_92J">#REF!</definedName>
    <definedName name="COST_INF_92M">#REF!</definedName>
    <definedName name="COST_INF_92S">#REF!</definedName>
    <definedName name="COST_INF_93D">#REF!</definedName>
    <definedName name="COST_INF_93J">#REF!</definedName>
    <definedName name="COST_INF_93M">#REF!</definedName>
    <definedName name="COST_INF_93S">#REF!</definedName>
    <definedName name="COST_INF_94D">#REF!</definedName>
    <definedName name="COST_INF_94J">#REF!</definedName>
    <definedName name="COST_INF_94M">#REF!</definedName>
    <definedName name="COST_INF_94S">#REF!</definedName>
    <definedName name="COST_INF_95D">#REF!</definedName>
    <definedName name="COST_INF_95J">#REF!</definedName>
    <definedName name="COST_INF_95M">#REF!</definedName>
    <definedName name="COST_INF_95S">#REF!</definedName>
    <definedName name="COST_INF_96D">#REF!</definedName>
    <definedName name="COST_INF_96J">#REF!</definedName>
    <definedName name="COST_INF_96M">#REF!</definedName>
    <definedName name="COST_INF_96S">#REF!</definedName>
    <definedName name="COST_INF_97D">#REF!</definedName>
    <definedName name="COST_INF_97J">#REF!</definedName>
    <definedName name="COST_INF_97M">#REF!</definedName>
    <definedName name="COST_INF_97S">#REF!</definedName>
    <definedName name="COST_INF_98D">#REF!</definedName>
    <definedName name="COST_INF_98J">#REF!</definedName>
    <definedName name="COST_INF_98M">#REF!</definedName>
    <definedName name="COST_INF_98S">#REF!</definedName>
    <definedName name="COST_INF_99D">#REF!</definedName>
    <definedName name="COST_INF_99J">#REF!</definedName>
    <definedName name="COST_INF_99M">#REF!</definedName>
    <definedName name="COST_INF_99S">#REF!</definedName>
    <definedName name="Cost_of_equity">#REF!</definedName>
    <definedName name="Cost_of_goods_sold">#REF!</definedName>
    <definedName name="Cost_of_services">'[4]P&amp;L'!$B$40:$AH$40</definedName>
    <definedName name="Cost_Sector">#REF!</definedName>
    <definedName name="Cost_Type">#REF!</definedName>
    <definedName name="COSTOFDEBT">#REF!</definedName>
    <definedName name="costs_total">#REF!</definedName>
    <definedName name="cot">#REF!</definedName>
    <definedName name="COUNT">#REF!</definedName>
    <definedName name="Country">#REF!</definedName>
    <definedName name="CountryCurrencyMapping">#REF!</definedName>
    <definedName name="CouponRate_bonds_0">#REF!</definedName>
    <definedName name="CouponRate_bonds_1">#REF!</definedName>
    <definedName name="CouponRate_bonds_2">#REF!</definedName>
    <definedName name="CouponRate_bonds_3">#REF!</definedName>
    <definedName name="CouponRate_bonds_4">#REF!</definedName>
    <definedName name="Cov_97_Rev">#REF!</definedName>
    <definedName name="Cov_98_PS">#REF!</definedName>
    <definedName name="Cov_98_Rev">#REF!</definedName>
    <definedName name="Cov_99_PS">#REF!</definedName>
    <definedName name="Cov_99_Rev">#REF!</definedName>
    <definedName name="Cov_EPS_00">#REF!</definedName>
    <definedName name="Cov_EPS_98">#REF!</definedName>
    <definedName name="Cov_EPS_99">#REF!</definedName>
    <definedName name="Cov_Mkt_Cap">#REF!</definedName>
    <definedName name="Cov_Off_High">#REF!</definedName>
    <definedName name="Cov_Perf_97">#REF!</definedName>
    <definedName name="Cov_Perf_98">#REF!</definedName>
    <definedName name="Cov_Perf_99">#REF!</definedName>
    <definedName name="cov_perf_99b">#REF!</definedName>
    <definedName name="Cov_Univ_Avg">#REF!</definedName>
    <definedName name="Cov_Univ_Total">#REF!</definedName>
    <definedName name="_xlnm.Criteria">#REF!</definedName>
    <definedName name="CROCIWACCcapmm">#REF!</definedName>
    <definedName name="CROCIWACCmarket">#REF!</definedName>
    <definedName name="crpx">#REF!</definedName>
    <definedName name="CRUSCAR1">#REF!</definedName>
    <definedName name="CRUSCAR2">#REF!</definedName>
    <definedName name="CRUSCAR3">#REF!</definedName>
    <definedName name="CRUSCAR4">#REF!</definedName>
    <definedName name="CRUSTRK1">#REF!</definedName>
    <definedName name="CRUSTRK2">#REF!</definedName>
    <definedName name="CRUSTRK3">#REF!</definedName>
    <definedName name="CRUSTRK4">#REF!</definedName>
    <definedName name="CS_10q_div">#REF!</definedName>
    <definedName name="CS_10q_shares">#REF!</definedName>
    <definedName name="cs_5_yr_est">#REF!</definedName>
    <definedName name="cs_52_wk">#REF!</definedName>
    <definedName name="CS_bk_cap">#REF!</definedName>
    <definedName name="CS_bk_equity">#REF!</definedName>
    <definedName name="CS_bs_conv_debt">#REF!</definedName>
    <definedName name="CS_bs_min_int">#REF!</definedName>
    <definedName name="CS_bs_pref">#REF!</definedName>
    <definedName name="CS_cash">#REF!</definedName>
    <definedName name="CS_Code">#REF!</definedName>
    <definedName name="CS_conv_debt_pr">#REF!</definedName>
    <definedName name="CS_conv_pref_pr">#REF!</definedName>
    <definedName name="CS_ltm_csh_int">#REF!</definedName>
    <definedName name="CS_ltm_d">#REF!</definedName>
    <definedName name="CS_ltm_ebit">#REF!</definedName>
    <definedName name="CS_ltm_ebt">#REF!</definedName>
    <definedName name="CS_ltm_inc_b_m">#REF!</definedName>
    <definedName name="CS_ltm_int">#REF!</definedName>
    <definedName name="CS_ltm_min_int">#REF!</definedName>
    <definedName name="CS_ltm_pref_div">#REF!</definedName>
    <definedName name="CS_ltm_r_d">#REF!</definedName>
    <definedName name="CS_ltm_rev">#REF!</definedName>
    <definedName name="CS_ltm_sg_a">#REF!</definedName>
    <definedName name="CS_ltm_shares">#REF!</definedName>
    <definedName name="CS_ltm_tax">#REF!</definedName>
    <definedName name="CS_ltm_tax_rate">#REF!</definedName>
    <definedName name="CS_name">#REF!</definedName>
    <definedName name="CS_o_debt_1">#REF!</definedName>
    <definedName name="CS_o_debt_2">#REF!</definedName>
    <definedName name="CS_o_debt_3">#REF!</definedName>
    <definedName name="CS_option_n">#REF!</definedName>
    <definedName name="CS_option_pr">#REF!</definedName>
    <definedName name="CS_PQ_ni">#REF!</definedName>
    <definedName name="CS_PQ_rev">#REF!</definedName>
    <definedName name="cs_pr">#REF!</definedName>
    <definedName name="CS_shares">#REF!</definedName>
    <definedName name="cs_ticker">#REF!</definedName>
    <definedName name="CS_total_dt">#REF!</definedName>
    <definedName name="CS_YQ_ni">#REF!</definedName>
    <definedName name="CS_YQ_rev">#REF!</definedName>
    <definedName name="csc_currency">#REF!</definedName>
    <definedName name="CSCO_10q_div">#REF!</definedName>
    <definedName name="CSCO_10q_shares">#REF!</definedName>
    <definedName name="csco_5_yr_est">#REF!</definedName>
    <definedName name="csco_52_wk">#REF!</definedName>
    <definedName name="CSCO_bk_cap">#REF!</definedName>
    <definedName name="CSCO_bk_equity">#REF!</definedName>
    <definedName name="CSCO_bs_conv_debt">#REF!</definedName>
    <definedName name="CSCO_bs_min_int">#REF!</definedName>
    <definedName name="CSCO_bs_pref">#REF!</definedName>
    <definedName name="CSCO_cash">#REF!</definedName>
    <definedName name="CSCO_code">#REF!</definedName>
    <definedName name="CSCO_cogs">#REF!</definedName>
    <definedName name="CSCO_conv_debt_pr">#REF!</definedName>
    <definedName name="CSCO_conv_pref_pr">#REF!</definedName>
    <definedName name="csco_curr">#REF!</definedName>
    <definedName name="CSCO_dil_shares">#REF!</definedName>
    <definedName name="csco_eps00">#REF!</definedName>
    <definedName name="csco_eps98">#REF!</definedName>
    <definedName name="csco_eps99">#REF!</definedName>
    <definedName name="CSCO_equity_mcap">#REF!</definedName>
    <definedName name="CSCO_fin_date">#REF!</definedName>
    <definedName name="CSCO_hist_cogs">#REF!</definedName>
    <definedName name="CSCO_hist_d">#REF!</definedName>
    <definedName name="CSCO_hst_a">#REF!</definedName>
    <definedName name="CSCO_hst_cogs">#REF!</definedName>
    <definedName name="CSCO_hst_ebit">#REF!</definedName>
    <definedName name="CSCO_hst_ebt">#REF!</definedName>
    <definedName name="CSCO_hst_eps">#REF!</definedName>
    <definedName name="CSCO_hst_inc_b_m">#REF!</definedName>
    <definedName name="CSCO_hst_r_d">#REF!</definedName>
    <definedName name="CSCO_hst_rev">#REF!</definedName>
    <definedName name="CSCO_hst_sg_a">#REF!</definedName>
    <definedName name="CSCO_lev_mcap">#REF!</definedName>
    <definedName name="CSCO_LQ_ni">#REF!</definedName>
    <definedName name="CSCO_LQ_rev">#REF!</definedName>
    <definedName name="CSCO_lt_debt">#REF!</definedName>
    <definedName name="CSCO_ltm_a">#REF!</definedName>
    <definedName name="CSCO_ltm_cap_ex">#REF!</definedName>
    <definedName name="CSCO_ltm_cogs">#REF!</definedName>
    <definedName name="CSCO_ltm_csh_int">#REF!</definedName>
    <definedName name="CSCO_ltm_d">#REF!</definedName>
    <definedName name="CSCO_ltm_ebit">#REF!</definedName>
    <definedName name="CSCO_ltm_ebt">#REF!</definedName>
    <definedName name="CSCO_ltm_inc_b_m">#REF!</definedName>
    <definedName name="CSCO_ltm_int">#REF!</definedName>
    <definedName name="CSCO_ltm_min_int">#REF!</definedName>
    <definedName name="CSCO_ltm_pref_div">#REF!</definedName>
    <definedName name="CSCO_ltm_r_d">#REF!</definedName>
    <definedName name="CSCO_ltm_rev">#REF!</definedName>
    <definedName name="CSCO_ltm_sg_a">#REF!</definedName>
    <definedName name="CSCO_ltm_shares">#REF!</definedName>
    <definedName name="CSCO_ltm_tax">#REF!</definedName>
    <definedName name="CSCO_ltm_tax_rate">#REF!</definedName>
    <definedName name="CSCO_name">#REF!</definedName>
    <definedName name="CSCO_o_debt_1">#REF!</definedName>
    <definedName name="CSCO_o_debt_2">#REF!</definedName>
    <definedName name="CSCO_o_debt_3">#REF!</definedName>
    <definedName name="CSCO_option_n">#REF!</definedName>
    <definedName name="CSCO_option_pr">#REF!</definedName>
    <definedName name="CSCO_PQ_ni">#REF!</definedName>
    <definedName name="CSCO_PQ_rev">#REF!</definedName>
    <definedName name="csco_pr">#REF!</definedName>
    <definedName name="CSCO_sg_a">#REF!</definedName>
    <definedName name="CSCO_shares">#REF!</definedName>
    <definedName name="csco_ticker">#REF!</definedName>
    <definedName name="CSCO_total_dt">#REF!</definedName>
    <definedName name="CSCO_YQ_ni">#REF!</definedName>
    <definedName name="CSCO_YQ_rev">#REF!</definedName>
    <definedName name="csi">#REF!</definedName>
    <definedName name="cta">#REF!</definedName>
    <definedName name="CTL_5YRGROWTH">#REF!</definedName>
    <definedName name="CTopics">#REF!</definedName>
    <definedName name="CU_00D">#REF!</definedName>
    <definedName name="CU_00J">#REF!</definedName>
    <definedName name="CU_00M">#REF!</definedName>
    <definedName name="CU_00S">#REF!</definedName>
    <definedName name="CU_01D">#REF!</definedName>
    <definedName name="CU_01J">#REF!</definedName>
    <definedName name="CU_01M">#REF!</definedName>
    <definedName name="CU_01S">#REF!</definedName>
    <definedName name="CU_02D">#REF!</definedName>
    <definedName name="CU_02J">#REF!</definedName>
    <definedName name="CU_02M">#REF!</definedName>
    <definedName name="CU_02S">#REF!</definedName>
    <definedName name="CU_03D">#REF!</definedName>
    <definedName name="CU_03J">#REF!</definedName>
    <definedName name="CU_03M">#REF!</definedName>
    <definedName name="CU_03S">#REF!</definedName>
    <definedName name="CU_04D">#REF!</definedName>
    <definedName name="CU_04J">#REF!</definedName>
    <definedName name="CU_04M">#REF!</definedName>
    <definedName name="CU_04S">#REF!</definedName>
    <definedName name="CU_05D">#REF!</definedName>
    <definedName name="CU_05J">#REF!</definedName>
    <definedName name="CU_05M">#REF!</definedName>
    <definedName name="CU_05S">#REF!</definedName>
    <definedName name="CU_06D">#REF!</definedName>
    <definedName name="CU_06J">#REF!</definedName>
    <definedName name="CU_06M">#REF!</definedName>
    <definedName name="CU_06S">#REF!</definedName>
    <definedName name="CU_07D">#REF!</definedName>
    <definedName name="CU_07J">#REF!</definedName>
    <definedName name="CU_07M">#REF!</definedName>
    <definedName name="CU_07S">#REF!</definedName>
    <definedName name="CU_08D">#REF!</definedName>
    <definedName name="CU_08J">#REF!</definedName>
    <definedName name="CU_08M">#REF!</definedName>
    <definedName name="CU_08S">#REF!</definedName>
    <definedName name="CU_09D">#REF!</definedName>
    <definedName name="CU_09J">#REF!</definedName>
    <definedName name="CU_09M">#REF!</definedName>
    <definedName name="CU_09S">#REF!</definedName>
    <definedName name="CU_10D">#REF!</definedName>
    <definedName name="CU_10J">#REF!</definedName>
    <definedName name="CU_10M">#REF!</definedName>
    <definedName name="CU_10S">#REF!</definedName>
    <definedName name="CU_11D">#REF!</definedName>
    <definedName name="CU_11J">#REF!</definedName>
    <definedName name="CU_11M">#REF!</definedName>
    <definedName name="CU_11S">#REF!</definedName>
    <definedName name="CU_12D">#REF!</definedName>
    <definedName name="CU_12J">#REF!</definedName>
    <definedName name="CU_12M">#REF!</definedName>
    <definedName name="CU_12S">#REF!</definedName>
    <definedName name="CU_13D">#REF!</definedName>
    <definedName name="CU_13J">#REF!</definedName>
    <definedName name="CU_13M">#REF!</definedName>
    <definedName name="CU_13S">#REF!</definedName>
    <definedName name="CU_14D">#REF!</definedName>
    <definedName name="CU_14J">#REF!</definedName>
    <definedName name="CU_14M">#REF!</definedName>
    <definedName name="CU_14S">#REF!</definedName>
    <definedName name="CU_15D">#REF!</definedName>
    <definedName name="CU_15J">#REF!</definedName>
    <definedName name="CU_15M">#REF!</definedName>
    <definedName name="CU_15S">#REF!</definedName>
    <definedName name="CU_16D">#REF!</definedName>
    <definedName name="CU_16J">#REF!</definedName>
    <definedName name="CU_16M">#REF!</definedName>
    <definedName name="CU_16S">#REF!</definedName>
    <definedName name="CU_17D">#REF!</definedName>
    <definedName name="CU_17J">#REF!</definedName>
    <definedName name="CU_17M">#REF!</definedName>
    <definedName name="CU_17S">#REF!</definedName>
    <definedName name="CU_18D">#REF!</definedName>
    <definedName name="CU_18J">#REF!</definedName>
    <definedName name="CU_18M">#REF!</definedName>
    <definedName name="CU_18S">#REF!</definedName>
    <definedName name="CU_19D">#REF!</definedName>
    <definedName name="CU_19J">#REF!</definedName>
    <definedName name="CU_19M">#REF!</definedName>
    <definedName name="CU_19S">#REF!</definedName>
    <definedName name="CU_20D">#REF!</definedName>
    <definedName name="CU_20J">#REF!</definedName>
    <definedName name="CU_20M">#REF!</definedName>
    <definedName name="CU_20S">#REF!</definedName>
    <definedName name="CU_21D">#REF!</definedName>
    <definedName name="CU_21J">#REF!</definedName>
    <definedName name="CU_21M">#REF!</definedName>
    <definedName name="CU_21S">#REF!</definedName>
    <definedName name="CU_22D">#REF!</definedName>
    <definedName name="CU_22J">#REF!</definedName>
    <definedName name="CU_22M">#REF!</definedName>
    <definedName name="CU_22S">#REF!</definedName>
    <definedName name="CU_23D">#REF!</definedName>
    <definedName name="CU_23J">#REF!</definedName>
    <definedName name="CU_23M">#REF!</definedName>
    <definedName name="CU_23S">#REF!</definedName>
    <definedName name="CU_24D">#REF!</definedName>
    <definedName name="CU_24J">#REF!</definedName>
    <definedName name="CU_24M">#REF!</definedName>
    <definedName name="CU_24S">#REF!</definedName>
    <definedName name="CU_25D">#REF!</definedName>
    <definedName name="CU_25J">#REF!</definedName>
    <definedName name="CU_25M">#REF!</definedName>
    <definedName name="CU_25S">#REF!</definedName>
    <definedName name="CU_87D">#REF!</definedName>
    <definedName name="CU_87J">#REF!</definedName>
    <definedName name="CU_87M">#REF!</definedName>
    <definedName name="CU_87S">#REF!</definedName>
    <definedName name="CU_88D">#REF!</definedName>
    <definedName name="CU_88J">#REF!</definedName>
    <definedName name="CU_88M">#REF!</definedName>
    <definedName name="CU_88S">#REF!</definedName>
    <definedName name="CU_89D">#REF!</definedName>
    <definedName name="CU_89J">#REF!</definedName>
    <definedName name="CU_89M">#REF!</definedName>
    <definedName name="CU_89S">#REF!</definedName>
    <definedName name="CU_90D">#REF!</definedName>
    <definedName name="CU_90J">#REF!</definedName>
    <definedName name="CU_90M">#REF!</definedName>
    <definedName name="CU_90S">#REF!</definedName>
    <definedName name="CU_91D">#REF!</definedName>
    <definedName name="CU_91J">#REF!</definedName>
    <definedName name="CU_91M">#REF!</definedName>
    <definedName name="CU_91S">#REF!</definedName>
    <definedName name="CU_92D">#REF!</definedName>
    <definedName name="CU_92J">#REF!</definedName>
    <definedName name="CU_92M">#REF!</definedName>
    <definedName name="CU_92S">#REF!</definedName>
    <definedName name="CU_93D">#REF!</definedName>
    <definedName name="CU_93J">#REF!</definedName>
    <definedName name="CU_93M">#REF!</definedName>
    <definedName name="CU_93S">#REF!</definedName>
    <definedName name="CU_94D">#REF!</definedName>
    <definedName name="CU_94J">#REF!</definedName>
    <definedName name="CU_94M">#REF!</definedName>
    <definedName name="CU_94S">#REF!</definedName>
    <definedName name="CU_95D">#REF!</definedName>
    <definedName name="CU_95J">#REF!</definedName>
    <definedName name="CU_95M">#REF!</definedName>
    <definedName name="CU_95S">#REF!</definedName>
    <definedName name="CU_96D">#REF!</definedName>
    <definedName name="CU_96J">#REF!</definedName>
    <definedName name="CU_96M">#REF!</definedName>
    <definedName name="CU_96S">#REF!</definedName>
    <definedName name="CU_97D">#REF!</definedName>
    <definedName name="CU_97J">#REF!</definedName>
    <definedName name="CU_97M">#REF!</definedName>
    <definedName name="CU_97S">#REF!</definedName>
    <definedName name="CU_98D">#REF!</definedName>
    <definedName name="CU_98J">#REF!</definedName>
    <definedName name="CU_98M">#REF!</definedName>
    <definedName name="CU_98S">#REF!</definedName>
    <definedName name="CU_99D">#REF!</definedName>
    <definedName name="CU_99J">#REF!</definedName>
    <definedName name="CU_99M">#REF!</definedName>
    <definedName name="CU_99S">#REF!</definedName>
    <definedName name="CU_LT">#REF!</definedName>
    <definedName name="CU_OUT">#REF!</definedName>
    <definedName name="CU_RC_00D">#REF!</definedName>
    <definedName name="CU_RC_00J">#REF!</definedName>
    <definedName name="CU_RC_00M">#REF!</definedName>
    <definedName name="CU_RC_00S">#REF!</definedName>
    <definedName name="CU_RC_01D">#REF!</definedName>
    <definedName name="CU_RC_01J">#REF!</definedName>
    <definedName name="CU_RC_01M">#REF!</definedName>
    <definedName name="CU_RC_01S">#REF!</definedName>
    <definedName name="CU_RC_02D">#REF!</definedName>
    <definedName name="CU_RC_02J">#REF!</definedName>
    <definedName name="CU_RC_02M">#REF!</definedName>
    <definedName name="CU_RC_02S">#REF!</definedName>
    <definedName name="CU_RC_03D">#REF!</definedName>
    <definedName name="CU_RC_03J">#REF!</definedName>
    <definedName name="CU_RC_03M">#REF!</definedName>
    <definedName name="CU_RC_03S">#REF!</definedName>
    <definedName name="CU_RC_04D">#REF!</definedName>
    <definedName name="CU_RC_04J">#REF!</definedName>
    <definedName name="CU_RC_04M">#REF!</definedName>
    <definedName name="CU_RC_04S">#REF!</definedName>
    <definedName name="CU_RC_05D">#REF!</definedName>
    <definedName name="CU_RC_05J">#REF!</definedName>
    <definedName name="CU_RC_05M">#REF!</definedName>
    <definedName name="CU_RC_05S">#REF!</definedName>
    <definedName name="CU_RC_06D">#REF!</definedName>
    <definedName name="CU_RC_06J">#REF!</definedName>
    <definedName name="CU_RC_06M">#REF!</definedName>
    <definedName name="CU_RC_06S">#REF!</definedName>
    <definedName name="CU_RC_07D">#REF!</definedName>
    <definedName name="CU_RC_07J">#REF!</definedName>
    <definedName name="CU_RC_07M">#REF!</definedName>
    <definedName name="CU_RC_07S">#REF!</definedName>
    <definedName name="CU_RC_08D">#REF!</definedName>
    <definedName name="CU_RC_08J">#REF!</definedName>
    <definedName name="CU_RC_08M">#REF!</definedName>
    <definedName name="CU_RC_08S">#REF!</definedName>
    <definedName name="CU_RC_09D">#REF!</definedName>
    <definedName name="CU_RC_09J">#REF!</definedName>
    <definedName name="CU_RC_09M">#REF!</definedName>
    <definedName name="CU_RC_09S">#REF!</definedName>
    <definedName name="CU_RC_10D">#REF!</definedName>
    <definedName name="CU_RC_10J">#REF!</definedName>
    <definedName name="CU_RC_10M">#REF!</definedName>
    <definedName name="CU_RC_10S">#REF!</definedName>
    <definedName name="CU_RC_11D">#REF!</definedName>
    <definedName name="CU_RC_11J">#REF!</definedName>
    <definedName name="CU_RC_11M">#REF!</definedName>
    <definedName name="CU_RC_11S">#REF!</definedName>
    <definedName name="CU_RC_12D">#REF!</definedName>
    <definedName name="CU_RC_12J">#REF!</definedName>
    <definedName name="CU_RC_12M">#REF!</definedName>
    <definedName name="CU_RC_12S">#REF!</definedName>
    <definedName name="CU_RC_13D">#REF!</definedName>
    <definedName name="CU_RC_13J">#REF!</definedName>
    <definedName name="CU_RC_13M">#REF!</definedName>
    <definedName name="CU_RC_13S">#REF!</definedName>
    <definedName name="CU_RC_14D">#REF!</definedName>
    <definedName name="CU_RC_14J">#REF!</definedName>
    <definedName name="CU_RC_14M">#REF!</definedName>
    <definedName name="CU_RC_14S">#REF!</definedName>
    <definedName name="CU_RC_15D">#REF!</definedName>
    <definedName name="CU_RC_15J">#REF!</definedName>
    <definedName name="CU_RC_15M">#REF!</definedName>
    <definedName name="CU_RC_15S">#REF!</definedName>
    <definedName name="CU_RC_16D">#REF!</definedName>
    <definedName name="CU_RC_16J">#REF!</definedName>
    <definedName name="CU_RC_16M">#REF!</definedName>
    <definedName name="CU_RC_16S">#REF!</definedName>
    <definedName name="CU_RC_17D">#REF!</definedName>
    <definedName name="CU_RC_17J">#REF!</definedName>
    <definedName name="CU_RC_17M">#REF!</definedName>
    <definedName name="CU_RC_17S">#REF!</definedName>
    <definedName name="CU_RC_18D">#REF!</definedName>
    <definedName name="CU_RC_18J">#REF!</definedName>
    <definedName name="CU_RC_18M">#REF!</definedName>
    <definedName name="CU_RC_18S">#REF!</definedName>
    <definedName name="CU_RC_19D">#REF!</definedName>
    <definedName name="CU_RC_19J">#REF!</definedName>
    <definedName name="CU_RC_19M">#REF!</definedName>
    <definedName name="CU_RC_19S">#REF!</definedName>
    <definedName name="CU_RC_20D">#REF!</definedName>
    <definedName name="CU_RC_20J">#REF!</definedName>
    <definedName name="CU_RC_20M">#REF!</definedName>
    <definedName name="CU_RC_20S">#REF!</definedName>
    <definedName name="CU_RC_21D">#REF!</definedName>
    <definedName name="CU_RC_21J">#REF!</definedName>
    <definedName name="CU_RC_21M">#REF!</definedName>
    <definedName name="CU_RC_21S">#REF!</definedName>
    <definedName name="CU_RC_22D">#REF!</definedName>
    <definedName name="CU_RC_22J">#REF!</definedName>
    <definedName name="CU_RC_22M">#REF!</definedName>
    <definedName name="CU_RC_22S">#REF!</definedName>
    <definedName name="CU_RC_23D">#REF!</definedName>
    <definedName name="CU_RC_23J">#REF!</definedName>
    <definedName name="CU_RC_23M">#REF!</definedName>
    <definedName name="CU_RC_23S">#REF!</definedName>
    <definedName name="CU_RC_24D">#REF!</definedName>
    <definedName name="CU_RC_24J">#REF!</definedName>
    <definedName name="CU_RC_24M">#REF!</definedName>
    <definedName name="CU_RC_24S">#REF!</definedName>
    <definedName name="CU_RC_25D">#REF!</definedName>
    <definedName name="CU_RC_25J">#REF!</definedName>
    <definedName name="CU_RC_25M">#REF!</definedName>
    <definedName name="CU_RC_25S">#REF!</definedName>
    <definedName name="CU_RC_87D">#REF!</definedName>
    <definedName name="CU_RC_87J">#REF!</definedName>
    <definedName name="CU_RC_87M">#REF!</definedName>
    <definedName name="CU_RC_87S">#REF!</definedName>
    <definedName name="CU_RC_88D">#REF!</definedName>
    <definedName name="CU_RC_88J">#REF!</definedName>
    <definedName name="CU_RC_88M">#REF!</definedName>
    <definedName name="CU_RC_88S">#REF!</definedName>
    <definedName name="CU_RC_89D">#REF!</definedName>
    <definedName name="CU_RC_89J">#REF!</definedName>
    <definedName name="CU_RC_89M">#REF!</definedName>
    <definedName name="CU_RC_89S">#REF!</definedName>
    <definedName name="CU_RC_90D">#REF!</definedName>
    <definedName name="CU_RC_90J">#REF!</definedName>
    <definedName name="CU_RC_90M">#REF!</definedName>
    <definedName name="CU_RC_90S">#REF!</definedName>
    <definedName name="CU_RC_91D">#REF!</definedName>
    <definedName name="CU_RC_91J">#REF!</definedName>
    <definedName name="CU_RC_91M">#REF!</definedName>
    <definedName name="CU_RC_91S">#REF!</definedName>
    <definedName name="CU_RC_92D">#REF!</definedName>
    <definedName name="CU_RC_92J">#REF!</definedName>
    <definedName name="CU_RC_92M">#REF!</definedName>
    <definedName name="CU_RC_92S">#REF!</definedName>
    <definedName name="CU_RC_93D">#REF!</definedName>
    <definedName name="CU_RC_93J">#REF!</definedName>
    <definedName name="CU_RC_93M">#REF!</definedName>
    <definedName name="CU_RC_93S">#REF!</definedName>
    <definedName name="CU_RC_94D">#REF!</definedName>
    <definedName name="CU_RC_94J">#REF!</definedName>
    <definedName name="CU_RC_94M">#REF!</definedName>
    <definedName name="CU_RC_94S">#REF!</definedName>
    <definedName name="CU_RC_95D">#REF!</definedName>
    <definedName name="CU_RC_95J">#REF!</definedName>
    <definedName name="CU_RC_95M">#REF!</definedName>
    <definedName name="CU_RC_95S">#REF!</definedName>
    <definedName name="CU_RC_96D">#REF!</definedName>
    <definedName name="CU_RC_96J">#REF!</definedName>
    <definedName name="CU_RC_96M">#REF!</definedName>
    <definedName name="CU_RC_96S">#REF!</definedName>
    <definedName name="CU_RC_97D">#REF!</definedName>
    <definedName name="CU_RC_97J">#REF!</definedName>
    <definedName name="CU_RC_97M">#REF!</definedName>
    <definedName name="CU_RC_97S">#REF!</definedName>
    <definedName name="CU_RC_98D">#REF!</definedName>
    <definedName name="CU_RC_98J">#REF!</definedName>
    <definedName name="CU_RC_98M">#REF!</definedName>
    <definedName name="CU_RC_98S">#REF!</definedName>
    <definedName name="CU_RC_99D">#REF!</definedName>
    <definedName name="CU_RC_99J">#REF!</definedName>
    <definedName name="CU_RC_99M">#REF!</definedName>
    <definedName name="CU_RC_99S">#REF!</definedName>
    <definedName name="CU_RC_LT">#REF!</definedName>
    <definedName name="CU_Spot">#REF!</definedName>
    <definedName name="CU_TC_00D">#REF!</definedName>
    <definedName name="CU_TC_00J">#REF!</definedName>
    <definedName name="CU_TC_00M">#REF!</definedName>
    <definedName name="CU_TC_00S">#REF!</definedName>
    <definedName name="CU_TC_01D">#REF!</definedName>
    <definedName name="CU_TC_01J">#REF!</definedName>
    <definedName name="CU_TC_01M">#REF!</definedName>
    <definedName name="CU_TC_01S">#REF!</definedName>
    <definedName name="CU_TC_02D">#REF!</definedName>
    <definedName name="CU_TC_02J">#REF!</definedName>
    <definedName name="CU_TC_02M">#REF!</definedName>
    <definedName name="CU_TC_02S">#REF!</definedName>
    <definedName name="CU_TC_03D">#REF!</definedName>
    <definedName name="CU_TC_03J">#REF!</definedName>
    <definedName name="CU_TC_03M">#REF!</definedName>
    <definedName name="CU_TC_03S">#REF!</definedName>
    <definedName name="CU_TC_04D">#REF!</definedName>
    <definedName name="CU_TC_04J">#REF!</definedName>
    <definedName name="CU_TC_04M">#REF!</definedName>
    <definedName name="CU_TC_04S">#REF!</definedName>
    <definedName name="CU_TC_05D">#REF!</definedName>
    <definedName name="CU_TC_05J">#REF!</definedName>
    <definedName name="CU_TC_05M">#REF!</definedName>
    <definedName name="CU_TC_05S">#REF!</definedName>
    <definedName name="CU_TC_06D">#REF!</definedName>
    <definedName name="CU_TC_06J">#REF!</definedName>
    <definedName name="CU_TC_06M">#REF!</definedName>
    <definedName name="CU_TC_06S">#REF!</definedName>
    <definedName name="CU_TC_07D">#REF!</definedName>
    <definedName name="CU_TC_07J">#REF!</definedName>
    <definedName name="CU_TC_07M">#REF!</definedName>
    <definedName name="CU_TC_07S">#REF!</definedName>
    <definedName name="CU_TC_08D">#REF!</definedName>
    <definedName name="CU_TC_08J">#REF!</definedName>
    <definedName name="CU_TC_08M">#REF!</definedName>
    <definedName name="CU_TC_08S">#REF!</definedName>
    <definedName name="CU_TC_09D">#REF!</definedName>
    <definedName name="CU_TC_09J">#REF!</definedName>
    <definedName name="CU_TC_09M">#REF!</definedName>
    <definedName name="CU_TC_09S">#REF!</definedName>
    <definedName name="CU_TC_10D">#REF!</definedName>
    <definedName name="CU_TC_10J">#REF!</definedName>
    <definedName name="CU_TC_10M">#REF!</definedName>
    <definedName name="CU_TC_10S">#REF!</definedName>
    <definedName name="CU_TC_11D">#REF!</definedName>
    <definedName name="CU_TC_11J">#REF!</definedName>
    <definedName name="CU_TC_11M">#REF!</definedName>
    <definedName name="CU_TC_11S">#REF!</definedName>
    <definedName name="CU_TC_12D">#REF!</definedName>
    <definedName name="CU_TC_12J">#REF!</definedName>
    <definedName name="CU_TC_12M">#REF!</definedName>
    <definedName name="CU_TC_12S">#REF!</definedName>
    <definedName name="CU_TC_13D">#REF!</definedName>
    <definedName name="CU_TC_13J">#REF!</definedName>
    <definedName name="CU_TC_13M">#REF!</definedName>
    <definedName name="CU_TC_13S">#REF!</definedName>
    <definedName name="CU_TC_14D">#REF!</definedName>
    <definedName name="CU_TC_14J">#REF!</definedName>
    <definedName name="CU_TC_14M">#REF!</definedName>
    <definedName name="CU_TC_14S">#REF!</definedName>
    <definedName name="CU_TC_15D">#REF!</definedName>
    <definedName name="CU_TC_15J">#REF!</definedName>
    <definedName name="CU_TC_15M">#REF!</definedName>
    <definedName name="CU_TC_15S">#REF!</definedName>
    <definedName name="CU_TC_16D">#REF!</definedName>
    <definedName name="CU_TC_16J">#REF!</definedName>
    <definedName name="CU_TC_16M">#REF!</definedName>
    <definedName name="CU_TC_16S">#REF!</definedName>
    <definedName name="CU_TC_17D">#REF!</definedName>
    <definedName name="CU_TC_17J">#REF!</definedName>
    <definedName name="CU_TC_17M">#REF!</definedName>
    <definedName name="CU_TC_17S">#REF!</definedName>
    <definedName name="CU_TC_18D">#REF!</definedName>
    <definedName name="CU_TC_18J">#REF!</definedName>
    <definedName name="CU_TC_18M">#REF!</definedName>
    <definedName name="CU_TC_18S">#REF!</definedName>
    <definedName name="CU_TC_19D">#REF!</definedName>
    <definedName name="CU_TC_19J">#REF!</definedName>
    <definedName name="CU_TC_19M">#REF!</definedName>
    <definedName name="CU_TC_19S">#REF!</definedName>
    <definedName name="CU_TC_20D">#REF!</definedName>
    <definedName name="CU_TC_20J">#REF!</definedName>
    <definedName name="CU_TC_20M">#REF!</definedName>
    <definedName name="CU_TC_20S">#REF!</definedName>
    <definedName name="CU_TC_21D">#REF!</definedName>
    <definedName name="CU_TC_21J">#REF!</definedName>
    <definedName name="CU_TC_21M">#REF!</definedName>
    <definedName name="CU_TC_21S">#REF!</definedName>
    <definedName name="CU_TC_22D">#REF!</definedName>
    <definedName name="CU_TC_22J">#REF!</definedName>
    <definedName name="CU_TC_22M">#REF!</definedName>
    <definedName name="CU_TC_22S">#REF!</definedName>
    <definedName name="CU_TC_23D">#REF!</definedName>
    <definedName name="CU_TC_23J">#REF!</definedName>
    <definedName name="CU_TC_23M">#REF!</definedName>
    <definedName name="CU_TC_23S">#REF!</definedName>
    <definedName name="CU_TC_24D">#REF!</definedName>
    <definedName name="CU_TC_24J">#REF!</definedName>
    <definedName name="CU_TC_24M">#REF!</definedName>
    <definedName name="CU_TC_24S">#REF!</definedName>
    <definedName name="CU_TC_25D">#REF!</definedName>
    <definedName name="CU_TC_25J">#REF!</definedName>
    <definedName name="CU_TC_25M">#REF!</definedName>
    <definedName name="CU_TC_25S">#REF!</definedName>
    <definedName name="CU_TC_87D">#REF!</definedName>
    <definedName name="CU_TC_87J">#REF!</definedName>
    <definedName name="CU_TC_87M">#REF!</definedName>
    <definedName name="CU_TC_87S">#REF!</definedName>
    <definedName name="CU_TC_88D">#REF!</definedName>
    <definedName name="CU_TC_88J">#REF!</definedName>
    <definedName name="CU_TC_88M">#REF!</definedName>
    <definedName name="CU_TC_88S">#REF!</definedName>
    <definedName name="CU_TC_89D">#REF!</definedName>
    <definedName name="CU_TC_89J">#REF!</definedName>
    <definedName name="CU_TC_89M">#REF!</definedName>
    <definedName name="CU_TC_89S">#REF!</definedName>
    <definedName name="CU_TC_90D">#REF!</definedName>
    <definedName name="CU_TC_90J">#REF!</definedName>
    <definedName name="CU_TC_90M">#REF!</definedName>
    <definedName name="CU_TC_90S">#REF!</definedName>
    <definedName name="CU_TC_91D">#REF!</definedName>
    <definedName name="CU_TC_91J">#REF!</definedName>
    <definedName name="CU_TC_91M">#REF!</definedName>
    <definedName name="CU_TC_91S">#REF!</definedName>
    <definedName name="CU_TC_92D">#REF!</definedName>
    <definedName name="CU_TC_92J">#REF!</definedName>
    <definedName name="CU_TC_92M">#REF!</definedName>
    <definedName name="CU_TC_92S">#REF!</definedName>
    <definedName name="CU_TC_93D">#REF!</definedName>
    <definedName name="CU_TC_93J">#REF!</definedName>
    <definedName name="CU_TC_93M">#REF!</definedName>
    <definedName name="CU_TC_93S">#REF!</definedName>
    <definedName name="CU_TC_94D">#REF!</definedName>
    <definedName name="CU_TC_94J">#REF!</definedName>
    <definedName name="CU_TC_94M">#REF!</definedName>
    <definedName name="CU_TC_94S">#REF!</definedName>
    <definedName name="CU_TC_95D">#REF!</definedName>
    <definedName name="CU_TC_95J">#REF!</definedName>
    <definedName name="CU_TC_95M">#REF!</definedName>
    <definedName name="CU_TC_95S">#REF!</definedName>
    <definedName name="CU_TC_96D">#REF!</definedName>
    <definedName name="CU_TC_96J">#REF!</definedName>
    <definedName name="CU_TC_96M">#REF!</definedName>
    <definedName name="CU_TC_96S">#REF!</definedName>
    <definedName name="CU_TC_97D">#REF!</definedName>
    <definedName name="CU_TC_97J">#REF!</definedName>
    <definedName name="CU_TC_97M">#REF!</definedName>
    <definedName name="CU_TC_97S">#REF!</definedName>
    <definedName name="CU_TC_98D">#REF!</definedName>
    <definedName name="CU_TC_98J">#REF!</definedName>
    <definedName name="CU_TC_98M">#REF!</definedName>
    <definedName name="CU_TC_98S">#REF!</definedName>
    <definedName name="CU_TC_99D">#REF!</definedName>
    <definedName name="CU_TC_99J">#REF!</definedName>
    <definedName name="CU_TC_99M">#REF!</definedName>
    <definedName name="CU_TC_99S">#REF!</definedName>
    <definedName name="CU_TC_BASIC_00D">#REF!</definedName>
    <definedName name="CU_TC_BASIC_00J">#REF!</definedName>
    <definedName name="CU_TC_BASIC_00M">#REF!</definedName>
    <definedName name="CU_TC_BASIC_00S">#REF!</definedName>
    <definedName name="CU_TC_BASIC_01D">#REF!</definedName>
    <definedName name="CU_TC_BASIC_01J">#REF!</definedName>
    <definedName name="CU_TC_BASIC_01M">#REF!</definedName>
    <definedName name="CU_TC_BASIC_01S">#REF!</definedName>
    <definedName name="CU_TC_BASIC_02D">#REF!</definedName>
    <definedName name="CU_TC_BASIC_02J">#REF!</definedName>
    <definedName name="CU_TC_BASIC_02M">#REF!</definedName>
    <definedName name="CU_TC_BASIC_02S">#REF!</definedName>
    <definedName name="CU_TC_BASIC_03D">#REF!</definedName>
    <definedName name="CU_TC_BASIC_03J">#REF!</definedName>
    <definedName name="CU_TC_BASIC_03M">#REF!</definedName>
    <definedName name="CU_TC_BASIC_03S">#REF!</definedName>
    <definedName name="CU_TC_BASIC_04D">#REF!</definedName>
    <definedName name="CU_TC_BASIC_04J">#REF!</definedName>
    <definedName name="CU_TC_BASIC_04M">#REF!</definedName>
    <definedName name="CU_TC_BASIC_04S">#REF!</definedName>
    <definedName name="CU_TC_BASIC_05D">#REF!</definedName>
    <definedName name="CU_TC_BASIC_05J">#REF!</definedName>
    <definedName name="CU_TC_BASIC_05M">#REF!</definedName>
    <definedName name="CU_TC_BASIC_05S">#REF!</definedName>
    <definedName name="CU_TC_BASIC_06D">#REF!</definedName>
    <definedName name="CU_TC_BASIC_06J">#REF!</definedName>
    <definedName name="CU_TC_BASIC_06M">#REF!</definedName>
    <definedName name="CU_TC_BASIC_06S">#REF!</definedName>
    <definedName name="CU_TC_BASIC_07D">#REF!</definedName>
    <definedName name="CU_TC_BASIC_07J">#REF!</definedName>
    <definedName name="CU_TC_BASIC_07M">#REF!</definedName>
    <definedName name="CU_TC_BASIC_07S">#REF!</definedName>
    <definedName name="CU_TC_BASIC_08D">#REF!</definedName>
    <definedName name="CU_TC_BASIC_08J">#REF!</definedName>
    <definedName name="CU_TC_BASIC_08M">#REF!</definedName>
    <definedName name="CU_TC_BASIC_08S">#REF!</definedName>
    <definedName name="CU_TC_BASIC_09D">#REF!</definedName>
    <definedName name="CU_TC_BASIC_09J">#REF!</definedName>
    <definedName name="CU_TC_BASIC_09M">#REF!</definedName>
    <definedName name="CU_TC_BASIC_09S">#REF!</definedName>
    <definedName name="CU_TC_BASIC_10D">#REF!</definedName>
    <definedName name="CU_TC_BASIC_10J">#REF!</definedName>
    <definedName name="CU_TC_BASIC_10M">#REF!</definedName>
    <definedName name="CU_TC_BASIC_10S">#REF!</definedName>
    <definedName name="CU_TC_BASIC_11D">#REF!</definedName>
    <definedName name="CU_TC_BASIC_11J">#REF!</definedName>
    <definedName name="CU_TC_BASIC_11M">#REF!</definedName>
    <definedName name="CU_TC_BASIC_11S">#REF!</definedName>
    <definedName name="CU_TC_BASIC_12D">#REF!</definedName>
    <definedName name="CU_TC_BASIC_12J">#REF!</definedName>
    <definedName name="CU_TC_BASIC_12M">#REF!</definedName>
    <definedName name="CU_TC_BASIC_12S">#REF!</definedName>
    <definedName name="CU_TC_BASIC_13D">#REF!</definedName>
    <definedName name="CU_TC_BASIC_13J">#REF!</definedName>
    <definedName name="CU_TC_BASIC_13M">#REF!</definedName>
    <definedName name="CU_TC_BASIC_13S">#REF!</definedName>
    <definedName name="CU_TC_BASIC_14D">#REF!</definedName>
    <definedName name="CU_TC_BASIC_14J">#REF!</definedName>
    <definedName name="CU_TC_BASIC_14M">#REF!</definedName>
    <definedName name="CU_TC_BASIC_14S">#REF!</definedName>
    <definedName name="CU_TC_BASIC_15D">#REF!</definedName>
    <definedName name="CU_TC_BASIC_15J">#REF!</definedName>
    <definedName name="CU_TC_BASIC_15M">#REF!</definedName>
    <definedName name="CU_TC_BASIC_15S">#REF!</definedName>
    <definedName name="CU_TC_BASIC_16D">#REF!</definedName>
    <definedName name="CU_TC_BASIC_16J">#REF!</definedName>
    <definedName name="CU_TC_BASIC_16M">#REF!</definedName>
    <definedName name="CU_TC_BASIC_16S">#REF!</definedName>
    <definedName name="CU_TC_BASIC_17D">#REF!</definedName>
    <definedName name="CU_TC_BASIC_17J">#REF!</definedName>
    <definedName name="CU_TC_BASIC_17M">#REF!</definedName>
    <definedName name="CU_TC_BASIC_17S">#REF!</definedName>
    <definedName name="CU_TC_BASIC_18D">#REF!</definedName>
    <definedName name="CU_TC_BASIC_18J">#REF!</definedName>
    <definedName name="CU_TC_BASIC_18M">#REF!</definedName>
    <definedName name="CU_TC_BASIC_18S">#REF!</definedName>
    <definedName name="CU_TC_BASIC_19D">#REF!</definedName>
    <definedName name="CU_TC_BASIC_19J">#REF!</definedName>
    <definedName name="CU_TC_BASIC_19M">#REF!</definedName>
    <definedName name="CU_TC_BASIC_19S">#REF!</definedName>
    <definedName name="CU_TC_BASIC_20D">#REF!</definedName>
    <definedName name="CU_TC_BASIC_20J">#REF!</definedName>
    <definedName name="CU_TC_BASIC_20M">#REF!</definedName>
    <definedName name="CU_TC_BASIC_20S">#REF!</definedName>
    <definedName name="CU_TC_BASIC_21D">#REF!</definedName>
    <definedName name="CU_TC_BASIC_21J">#REF!</definedName>
    <definedName name="CU_TC_BASIC_21M">#REF!</definedName>
    <definedName name="CU_TC_BASIC_21S">#REF!</definedName>
    <definedName name="CU_TC_BASIC_22D">#REF!</definedName>
    <definedName name="CU_TC_BASIC_22J">#REF!</definedName>
    <definedName name="CU_TC_BASIC_22M">#REF!</definedName>
    <definedName name="CU_TC_BASIC_22S">#REF!</definedName>
    <definedName name="CU_TC_BASIC_23D">#REF!</definedName>
    <definedName name="CU_TC_BASIC_23J">#REF!</definedName>
    <definedName name="CU_TC_BASIC_23M">#REF!</definedName>
    <definedName name="CU_TC_BASIC_23S">#REF!</definedName>
    <definedName name="CU_TC_BASIC_24D">#REF!</definedName>
    <definedName name="CU_TC_BASIC_24J">#REF!</definedName>
    <definedName name="CU_TC_BASIC_24M">#REF!</definedName>
    <definedName name="CU_TC_BASIC_24S">#REF!</definedName>
    <definedName name="CU_TC_BASIC_25D">#REF!</definedName>
    <definedName name="CU_TC_BASIC_25J">#REF!</definedName>
    <definedName name="CU_TC_BASIC_25M">#REF!</definedName>
    <definedName name="CU_TC_BASIC_25S">#REF!</definedName>
    <definedName name="CU_TC_BASIC_87D">#REF!</definedName>
    <definedName name="CU_TC_BASIC_87J">#REF!</definedName>
    <definedName name="CU_TC_BASIC_87M">#REF!</definedName>
    <definedName name="CU_TC_BASIC_87S">#REF!</definedName>
    <definedName name="CU_TC_BASIC_88D">#REF!</definedName>
    <definedName name="CU_TC_BASIC_88J">#REF!</definedName>
    <definedName name="CU_TC_BASIC_88M">#REF!</definedName>
    <definedName name="CU_TC_BASIC_88S">#REF!</definedName>
    <definedName name="CU_TC_BASIC_89D">#REF!</definedName>
    <definedName name="CU_TC_BASIC_89J">#REF!</definedName>
    <definedName name="CU_TC_BASIC_89M">#REF!</definedName>
    <definedName name="CU_TC_BASIC_89S">#REF!</definedName>
    <definedName name="CU_TC_BASIC_90D">#REF!</definedName>
    <definedName name="CU_TC_BASIC_90J">#REF!</definedName>
    <definedName name="CU_TC_BASIC_90M">#REF!</definedName>
    <definedName name="CU_TC_BASIC_90S">#REF!</definedName>
    <definedName name="CU_TC_BASIC_91D">#REF!</definedName>
    <definedName name="CU_TC_BASIC_91J">#REF!</definedName>
    <definedName name="CU_TC_BASIC_91M">#REF!</definedName>
    <definedName name="CU_TC_BASIC_91S">#REF!</definedName>
    <definedName name="CU_TC_BASIC_92D">#REF!</definedName>
    <definedName name="CU_TC_BASIC_92J">#REF!</definedName>
    <definedName name="CU_TC_BASIC_92M">#REF!</definedName>
    <definedName name="CU_TC_BASIC_92S">#REF!</definedName>
    <definedName name="CU_TC_BASIC_93D">#REF!</definedName>
    <definedName name="CU_TC_BASIC_93J">#REF!</definedName>
    <definedName name="CU_TC_BASIC_93M">#REF!</definedName>
    <definedName name="CU_TC_BASIC_93S">#REF!</definedName>
    <definedName name="CU_TC_BASIC_94D">#REF!</definedName>
    <definedName name="CU_TC_BASIC_94J">#REF!</definedName>
    <definedName name="CU_TC_BASIC_94M">#REF!</definedName>
    <definedName name="CU_TC_BASIC_94S">#REF!</definedName>
    <definedName name="CU_TC_BASIC_95D">#REF!</definedName>
    <definedName name="CU_TC_BASIC_95J">#REF!</definedName>
    <definedName name="CU_TC_BASIC_95M">#REF!</definedName>
    <definedName name="CU_TC_BASIC_95S">#REF!</definedName>
    <definedName name="CU_TC_BASIC_96D">#REF!</definedName>
    <definedName name="CU_TC_BASIC_96J">#REF!</definedName>
    <definedName name="CU_TC_BASIC_96M">#REF!</definedName>
    <definedName name="CU_TC_BASIC_96S">#REF!</definedName>
    <definedName name="CU_TC_BASIC_97D">#REF!</definedName>
    <definedName name="CU_TC_BASIC_97J">#REF!</definedName>
    <definedName name="CU_TC_BASIC_97M">#REF!</definedName>
    <definedName name="CU_TC_BASIC_97S">#REF!</definedName>
    <definedName name="CU_TC_BASIC_98D">#REF!</definedName>
    <definedName name="CU_TC_BASIC_98J">#REF!</definedName>
    <definedName name="CU_TC_BASIC_98M">#REF!</definedName>
    <definedName name="CU_TC_BASIC_98S">#REF!</definedName>
    <definedName name="CU_TC_BASIC_99D">#REF!</definedName>
    <definedName name="CU_TC_BASIC_99J">#REF!</definedName>
    <definedName name="CU_TC_BASIC_99M">#REF!</definedName>
    <definedName name="CU_TC_BASIC_99S">#REF!</definedName>
    <definedName name="CU_TC_BASIC_LT">#REF!</definedName>
    <definedName name="CU_TC_LT">#REF!</definedName>
    <definedName name="CU_TC_PR1_00D">#REF!</definedName>
    <definedName name="CU_TC_PR1_00J">#REF!</definedName>
    <definedName name="CU_TC_PR1_00M">#REF!</definedName>
    <definedName name="CU_TC_PR1_00S">#REF!</definedName>
    <definedName name="CU_TC_PR1_01D">#REF!</definedName>
    <definedName name="CU_TC_PR1_01J">#REF!</definedName>
    <definedName name="CU_TC_PR1_01M">#REF!</definedName>
    <definedName name="CU_TC_PR1_01S">#REF!</definedName>
    <definedName name="CU_TC_PR1_02D">#REF!</definedName>
    <definedName name="CU_TC_PR1_02J">#REF!</definedName>
    <definedName name="CU_TC_PR1_02M">#REF!</definedName>
    <definedName name="CU_TC_PR1_02S">#REF!</definedName>
    <definedName name="CU_TC_PR1_03D">#REF!</definedName>
    <definedName name="CU_TC_PR1_03J">#REF!</definedName>
    <definedName name="CU_TC_PR1_03M">#REF!</definedName>
    <definedName name="CU_TC_PR1_03S">#REF!</definedName>
    <definedName name="CU_TC_PR1_04D">#REF!</definedName>
    <definedName name="CU_TC_PR1_04J">#REF!</definedName>
    <definedName name="CU_TC_PR1_04M">#REF!</definedName>
    <definedName name="CU_TC_PR1_04S">#REF!</definedName>
    <definedName name="CU_TC_PR1_05D">#REF!</definedName>
    <definedName name="CU_TC_PR1_05J">#REF!</definedName>
    <definedName name="CU_TC_PR1_05M">#REF!</definedName>
    <definedName name="CU_TC_PR1_05S">#REF!</definedName>
    <definedName name="CU_TC_PR1_06D">#REF!</definedName>
    <definedName name="CU_TC_PR1_06J">#REF!</definedName>
    <definedName name="CU_TC_PR1_06M">#REF!</definedName>
    <definedName name="CU_TC_PR1_06S">#REF!</definedName>
    <definedName name="CU_TC_PR1_07D">#REF!</definedName>
    <definedName name="CU_TC_PR1_07J">#REF!</definedName>
    <definedName name="CU_TC_PR1_07M">#REF!</definedName>
    <definedName name="CU_TC_PR1_07S">#REF!</definedName>
    <definedName name="CU_TC_PR1_08D">#REF!</definedName>
    <definedName name="CU_TC_PR1_08J">#REF!</definedName>
    <definedName name="CU_TC_PR1_08M">#REF!</definedName>
    <definedName name="CU_TC_PR1_08S">#REF!</definedName>
    <definedName name="CU_TC_PR1_09D">#REF!</definedName>
    <definedName name="CU_TC_PR1_09J">#REF!</definedName>
    <definedName name="CU_TC_PR1_09M">#REF!</definedName>
    <definedName name="CU_TC_PR1_09S">#REF!</definedName>
    <definedName name="CU_TC_PR1_10D">#REF!</definedName>
    <definedName name="CU_TC_PR1_10J">#REF!</definedName>
    <definedName name="CU_TC_PR1_10M">#REF!</definedName>
    <definedName name="CU_TC_PR1_10S">#REF!</definedName>
    <definedName name="CU_TC_PR1_11D">#REF!</definedName>
    <definedName name="CU_TC_PR1_11J">#REF!</definedName>
    <definedName name="CU_TC_PR1_11M">#REF!</definedName>
    <definedName name="CU_TC_PR1_11S">#REF!</definedName>
    <definedName name="CU_TC_PR1_12D">#REF!</definedName>
    <definedName name="CU_TC_PR1_12J">#REF!</definedName>
    <definedName name="CU_TC_PR1_12M">#REF!</definedName>
    <definedName name="CU_TC_PR1_12S">#REF!</definedName>
    <definedName name="CU_TC_PR1_13D">#REF!</definedName>
    <definedName name="CU_TC_PR1_13J">#REF!</definedName>
    <definedName name="CU_TC_PR1_13M">#REF!</definedName>
    <definedName name="CU_TC_PR1_13S">#REF!</definedName>
    <definedName name="CU_TC_PR1_14D">#REF!</definedName>
    <definedName name="CU_TC_PR1_14J">#REF!</definedName>
    <definedName name="CU_TC_PR1_14M">#REF!</definedName>
    <definedName name="CU_TC_PR1_14S">#REF!</definedName>
    <definedName name="CU_TC_PR1_15D">#REF!</definedName>
    <definedName name="CU_TC_PR1_15J">#REF!</definedName>
    <definedName name="CU_TC_PR1_15M">#REF!</definedName>
    <definedName name="CU_TC_PR1_15S">#REF!</definedName>
    <definedName name="CU_TC_PR1_16D">#REF!</definedName>
    <definedName name="CU_TC_PR1_16J">#REF!</definedName>
    <definedName name="CU_TC_PR1_16M">#REF!</definedName>
    <definedName name="CU_TC_PR1_16S">#REF!</definedName>
    <definedName name="CU_TC_PR1_17D">#REF!</definedName>
    <definedName name="CU_TC_PR1_17J">#REF!</definedName>
    <definedName name="CU_TC_PR1_17M">#REF!</definedName>
    <definedName name="CU_TC_PR1_17S">#REF!</definedName>
    <definedName name="CU_TC_PR1_18D">#REF!</definedName>
    <definedName name="CU_TC_PR1_18J">#REF!</definedName>
    <definedName name="CU_TC_PR1_18M">#REF!</definedName>
    <definedName name="CU_TC_PR1_18S">#REF!</definedName>
    <definedName name="CU_TC_PR1_19D">#REF!</definedName>
    <definedName name="CU_TC_PR1_19J">#REF!</definedName>
    <definedName name="CU_TC_PR1_19M">#REF!</definedName>
    <definedName name="CU_TC_PR1_19S">#REF!</definedName>
    <definedName name="CU_TC_PR1_20D">#REF!</definedName>
    <definedName name="CU_TC_PR1_20J">#REF!</definedName>
    <definedName name="CU_TC_PR1_20M">#REF!</definedName>
    <definedName name="CU_TC_PR1_20S">#REF!</definedName>
    <definedName name="CU_TC_PR1_21D">#REF!</definedName>
    <definedName name="CU_TC_PR1_21J">#REF!</definedName>
    <definedName name="CU_TC_PR1_21M">#REF!</definedName>
    <definedName name="CU_TC_PR1_21S">#REF!</definedName>
    <definedName name="CU_TC_PR1_22D">#REF!</definedName>
    <definedName name="CU_TC_PR1_22J">#REF!</definedName>
    <definedName name="CU_TC_PR1_22M">#REF!</definedName>
    <definedName name="CU_TC_PR1_22S">#REF!</definedName>
    <definedName name="CU_TC_PR1_23D">#REF!</definedName>
    <definedName name="CU_TC_PR1_23J">#REF!</definedName>
    <definedName name="CU_TC_PR1_23M">#REF!</definedName>
    <definedName name="CU_TC_PR1_23S">#REF!</definedName>
    <definedName name="CU_TC_PR1_24D">#REF!</definedName>
    <definedName name="CU_TC_PR1_24J">#REF!</definedName>
    <definedName name="CU_TC_PR1_24M">#REF!</definedName>
    <definedName name="CU_TC_PR1_24S">#REF!</definedName>
    <definedName name="CU_TC_PR1_25D">#REF!</definedName>
    <definedName name="CU_TC_PR1_25J">#REF!</definedName>
    <definedName name="CU_TC_PR1_25M">#REF!</definedName>
    <definedName name="CU_TC_PR1_25S">#REF!</definedName>
    <definedName name="CU_TC_PR1_87D">#REF!</definedName>
    <definedName name="CU_TC_PR1_87J">#REF!</definedName>
    <definedName name="CU_TC_PR1_87M">#REF!</definedName>
    <definedName name="CU_TC_PR1_87S">#REF!</definedName>
    <definedName name="CU_TC_PR1_88D">#REF!</definedName>
    <definedName name="CU_TC_PR1_88J">#REF!</definedName>
    <definedName name="CU_TC_PR1_88M">#REF!</definedName>
    <definedName name="CU_TC_PR1_88S">#REF!</definedName>
    <definedName name="CU_TC_PR1_89D">#REF!</definedName>
    <definedName name="CU_TC_PR1_89J">#REF!</definedName>
    <definedName name="CU_TC_PR1_89M">#REF!</definedName>
    <definedName name="CU_TC_PR1_89S">#REF!</definedName>
    <definedName name="CU_TC_PR1_90D">#REF!</definedName>
    <definedName name="CU_TC_PR1_90J">#REF!</definedName>
    <definedName name="CU_TC_PR1_90M">#REF!</definedName>
    <definedName name="CU_TC_PR1_90S">#REF!</definedName>
    <definedName name="CU_TC_PR1_91D">#REF!</definedName>
    <definedName name="CU_TC_PR1_91J">#REF!</definedName>
    <definedName name="CU_TC_PR1_91M">#REF!</definedName>
    <definedName name="CU_TC_PR1_91S">#REF!</definedName>
    <definedName name="CU_TC_PR1_92D">#REF!</definedName>
    <definedName name="CU_TC_PR1_92J">#REF!</definedName>
    <definedName name="CU_TC_PR1_92M">#REF!</definedName>
    <definedName name="CU_TC_PR1_92S">#REF!</definedName>
    <definedName name="CU_TC_PR1_93D">#REF!</definedName>
    <definedName name="CU_TC_PR1_93J">#REF!</definedName>
    <definedName name="CU_TC_PR1_93M">#REF!</definedName>
    <definedName name="CU_TC_PR1_93S">#REF!</definedName>
    <definedName name="CU_TC_PR1_94D">#REF!</definedName>
    <definedName name="CU_TC_PR1_94J">#REF!</definedName>
    <definedName name="CU_TC_PR1_94M">#REF!</definedName>
    <definedName name="CU_TC_PR1_94S">#REF!</definedName>
    <definedName name="CU_TC_PR1_95D">#REF!</definedName>
    <definedName name="CU_TC_PR1_95J">#REF!</definedName>
    <definedName name="CU_TC_PR1_95M">#REF!</definedName>
    <definedName name="CU_TC_PR1_95S">#REF!</definedName>
    <definedName name="CU_TC_PR1_96D">#REF!</definedName>
    <definedName name="CU_TC_PR1_96J">#REF!</definedName>
    <definedName name="CU_TC_PR1_96M">#REF!</definedName>
    <definedName name="CU_TC_PR1_96S">#REF!</definedName>
    <definedName name="CU_TC_PR1_97D">#REF!</definedName>
    <definedName name="CU_TC_PR1_97J">#REF!</definedName>
    <definedName name="CU_TC_PR1_97M">#REF!</definedName>
    <definedName name="CU_TC_PR1_97S">#REF!</definedName>
    <definedName name="CU_TC_PR1_98D">#REF!</definedName>
    <definedName name="CU_TC_PR1_98J">#REF!</definedName>
    <definedName name="CU_TC_PR1_98M">#REF!</definedName>
    <definedName name="CU_TC_PR1_98S">#REF!</definedName>
    <definedName name="CU_TC_PR1_99D">#REF!</definedName>
    <definedName name="CU_TC_PR1_99J">#REF!</definedName>
    <definedName name="CU_TC_PR1_99M">#REF!</definedName>
    <definedName name="CU_TC_PR1_99S">#REF!</definedName>
    <definedName name="CU_TC_PR1_TC">#REF!</definedName>
    <definedName name="CU_TC_PR2_00D">#REF!</definedName>
    <definedName name="CU_TC_PR2_00J">#REF!</definedName>
    <definedName name="CU_TC_PR2_00M">#REF!</definedName>
    <definedName name="CU_TC_PR2_00S">#REF!</definedName>
    <definedName name="CU_TC_PR2_01D">#REF!</definedName>
    <definedName name="CU_TC_PR2_01J">#REF!</definedName>
    <definedName name="CU_TC_PR2_01M">#REF!</definedName>
    <definedName name="CU_TC_PR2_01S">#REF!</definedName>
    <definedName name="CU_TC_PR2_02D">#REF!</definedName>
    <definedName name="CU_TC_PR2_02J">#REF!</definedName>
    <definedName name="CU_TC_PR2_02M">#REF!</definedName>
    <definedName name="CU_TC_PR2_02S">#REF!</definedName>
    <definedName name="CU_TC_PR2_03D">#REF!</definedName>
    <definedName name="CU_TC_PR2_03J">#REF!</definedName>
    <definedName name="CU_TC_PR2_03M">#REF!</definedName>
    <definedName name="CU_TC_PR2_03S">#REF!</definedName>
    <definedName name="CU_TC_PR2_04D">#REF!</definedName>
    <definedName name="CU_TC_PR2_04J">#REF!</definedName>
    <definedName name="CU_TC_PR2_04M">#REF!</definedName>
    <definedName name="CU_TC_PR2_04S">#REF!</definedName>
    <definedName name="CU_TC_PR2_05D">#REF!</definedName>
    <definedName name="CU_TC_PR2_05J">#REF!</definedName>
    <definedName name="CU_TC_PR2_05M">#REF!</definedName>
    <definedName name="CU_TC_PR2_05S">#REF!</definedName>
    <definedName name="CU_TC_PR2_06D">#REF!</definedName>
    <definedName name="CU_TC_PR2_06J">#REF!</definedName>
    <definedName name="CU_TC_PR2_06M">#REF!</definedName>
    <definedName name="CU_TC_PR2_06S">#REF!</definedName>
    <definedName name="CU_TC_PR2_07D">#REF!</definedName>
    <definedName name="CU_TC_PR2_07J">#REF!</definedName>
    <definedName name="CU_TC_PR2_07M">#REF!</definedName>
    <definedName name="CU_TC_PR2_07S">#REF!</definedName>
    <definedName name="CU_TC_PR2_08D">#REF!</definedName>
    <definedName name="CU_TC_PR2_08J">#REF!</definedName>
    <definedName name="CU_TC_PR2_08M">#REF!</definedName>
    <definedName name="CU_TC_PR2_08S">#REF!</definedName>
    <definedName name="CU_TC_PR2_09D">#REF!</definedName>
    <definedName name="CU_TC_PR2_09J">#REF!</definedName>
    <definedName name="CU_TC_PR2_09M">#REF!</definedName>
    <definedName name="CU_TC_PR2_09S">#REF!</definedName>
    <definedName name="CU_TC_PR2_10D">#REF!</definedName>
    <definedName name="CU_TC_PR2_10J">#REF!</definedName>
    <definedName name="CU_TC_PR2_10M">#REF!</definedName>
    <definedName name="CU_TC_PR2_10S">#REF!</definedName>
    <definedName name="CU_TC_PR2_11D">#REF!</definedName>
    <definedName name="CU_TC_PR2_11J">#REF!</definedName>
    <definedName name="CU_TC_PR2_11M">#REF!</definedName>
    <definedName name="CU_TC_PR2_11S">#REF!</definedName>
    <definedName name="CU_TC_PR2_12D">#REF!</definedName>
    <definedName name="CU_TC_PR2_12J">#REF!</definedName>
    <definedName name="CU_TC_PR2_12M">#REF!</definedName>
    <definedName name="CU_TC_PR2_12S">#REF!</definedName>
    <definedName name="CU_TC_PR2_13D">#REF!</definedName>
    <definedName name="CU_TC_PR2_13J">#REF!</definedName>
    <definedName name="CU_TC_PR2_13M">#REF!</definedName>
    <definedName name="CU_TC_PR2_13S">#REF!</definedName>
    <definedName name="CU_TC_PR2_14D">#REF!</definedName>
    <definedName name="CU_TC_PR2_14J">#REF!</definedName>
    <definedName name="CU_TC_PR2_14M">#REF!</definedName>
    <definedName name="CU_TC_PR2_14S">#REF!</definedName>
    <definedName name="CU_TC_PR2_15D">#REF!</definedName>
    <definedName name="CU_TC_PR2_15J">#REF!</definedName>
    <definedName name="CU_TC_PR2_15M">#REF!</definedName>
    <definedName name="CU_TC_PR2_15S">#REF!</definedName>
    <definedName name="CU_TC_PR2_16D">#REF!</definedName>
    <definedName name="CU_TC_PR2_16J">#REF!</definedName>
    <definedName name="CU_TC_PR2_16M">#REF!</definedName>
    <definedName name="CU_TC_PR2_16S">#REF!</definedName>
    <definedName name="CU_TC_PR2_17D">#REF!</definedName>
    <definedName name="CU_TC_PR2_17J">#REF!</definedName>
    <definedName name="CU_TC_PR2_17M">#REF!</definedName>
    <definedName name="CU_TC_PR2_17S">#REF!</definedName>
    <definedName name="CU_TC_PR2_18D">#REF!</definedName>
    <definedName name="CU_TC_PR2_18J">#REF!</definedName>
    <definedName name="CU_TC_PR2_18M">#REF!</definedName>
    <definedName name="CU_TC_PR2_18S">#REF!</definedName>
    <definedName name="CU_TC_PR2_19D">#REF!</definedName>
    <definedName name="CU_TC_PR2_19J">#REF!</definedName>
    <definedName name="CU_TC_PR2_19M">#REF!</definedName>
    <definedName name="CU_TC_PR2_19S">#REF!</definedName>
    <definedName name="CU_TC_PR2_20D">#REF!</definedName>
    <definedName name="CU_TC_PR2_20J">#REF!</definedName>
    <definedName name="CU_TC_PR2_20M">#REF!</definedName>
    <definedName name="CU_TC_PR2_20S">#REF!</definedName>
    <definedName name="CU_TC_PR2_21D">#REF!</definedName>
    <definedName name="CU_TC_PR2_21J">#REF!</definedName>
    <definedName name="CU_TC_PR2_21M">#REF!</definedName>
    <definedName name="CU_TC_PR2_21S">#REF!</definedName>
    <definedName name="CU_TC_PR2_22D">#REF!</definedName>
    <definedName name="CU_TC_PR2_22J">#REF!</definedName>
    <definedName name="CU_TC_PR2_22M">#REF!</definedName>
    <definedName name="CU_TC_PR2_22S">#REF!</definedName>
    <definedName name="CU_TC_PR2_23D">#REF!</definedName>
    <definedName name="CU_TC_PR2_23J">#REF!</definedName>
    <definedName name="CU_TC_PR2_23M">#REF!</definedName>
    <definedName name="CU_TC_PR2_23S">#REF!</definedName>
    <definedName name="CU_TC_PR2_24D">#REF!</definedName>
    <definedName name="CU_TC_PR2_24J">#REF!</definedName>
    <definedName name="CU_TC_PR2_24M">#REF!</definedName>
    <definedName name="CU_TC_PR2_24S">#REF!</definedName>
    <definedName name="CU_TC_PR2_25D">#REF!</definedName>
    <definedName name="CU_TC_PR2_25J">#REF!</definedName>
    <definedName name="CU_TC_PR2_25M">#REF!</definedName>
    <definedName name="CU_TC_PR2_25S">#REF!</definedName>
    <definedName name="CU_TC_PR2_87D">#REF!</definedName>
    <definedName name="CU_TC_PR2_87J">#REF!</definedName>
    <definedName name="CU_TC_PR2_87M">#REF!</definedName>
    <definedName name="CU_TC_PR2_87S">#REF!</definedName>
    <definedName name="CU_TC_PR2_88D">#REF!</definedName>
    <definedName name="CU_TC_PR2_88J">#REF!</definedName>
    <definedName name="CU_TC_PR2_88M">#REF!</definedName>
    <definedName name="CU_TC_PR2_88S">#REF!</definedName>
    <definedName name="CU_TC_PR2_89D">#REF!</definedName>
    <definedName name="CU_TC_PR2_89J">#REF!</definedName>
    <definedName name="CU_TC_PR2_89M">#REF!</definedName>
    <definedName name="CU_TC_PR2_89S">#REF!</definedName>
    <definedName name="CU_TC_PR2_90D">#REF!</definedName>
    <definedName name="CU_TC_PR2_90J">#REF!</definedName>
    <definedName name="CU_TC_PR2_90M">#REF!</definedName>
    <definedName name="CU_TC_PR2_90S">#REF!</definedName>
    <definedName name="CU_TC_PR2_91D">#REF!</definedName>
    <definedName name="CU_TC_PR2_91J">#REF!</definedName>
    <definedName name="CU_TC_PR2_91M">#REF!</definedName>
    <definedName name="CU_TC_PR2_91S">#REF!</definedName>
    <definedName name="CU_TC_PR2_92D">#REF!</definedName>
    <definedName name="CU_TC_PR2_92J">#REF!</definedName>
    <definedName name="CU_TC_PR2_92M">#REF!</definedName>
    <definedName name="CU_TC_PR2_92S">#REF!</definedName>
    <definedName name="CU_TC_PR2_93D">#REF!</definedName>
    <definedName name="CU_TC_PR2_93J">#REF!</definedName>
    <definedName name="CU_TC_PR2_93M">#REF!</definedName>
    <definedName name="CU_TC_PR2_93S">#REF!</definedName>
    <definedName name="CU_TC_PR2_94D">#REF!</definedName>
    <definedName name="CU_TC_PR2_94J">#REF!</definedName>
    <definedName name="CU_TC_PR2_94M">#REF!</definedName>
    <definedName name="CU_TC_PR2_94S">#REF!</definedName>
    <definedName name="CU_TC_PR2_95D">#REF!</definedName>
    <definedName name="CU_TC_PR2_95J">#REF!</definedName>
    <definedName name="CU_TC_PR2_95M">#REF!</definedName>
    <definedName name="CU_TC_PR2_95S">#REF!</definedName>
    <definedName name="CU_TC_PR2_96D">#REF!</definedName>
    <definedName name="CU_TC_PR2_96J">#REF!</definedName>
    <definedName name="CU_TC_PR2_96M">#REF!</definedName>
    <definedName name="CU_TC_PR2_96S">#REF!</definedName>
    <definedName name="CU_TC_PR2_97D">#REF!</definedName>
    <definedName name="CU_TC_PR2_97J">#REF!</definedName>
    <definedName name="CU_TC_PR2_97M">#REF!</definedName>
    <definedName name="CU_TC_PR2_97S">#REF!</definedName>
    <definedName name="CU_TC_PR2_98D">#REF!</definedName>
    <definedName name="CU_TC_PR2_98J">#REF!</definedName>
    <definedName name="CU_TC_PR2_98M">#REF!</definedName>
    <definedName name="CU_TC_PR2_98S">#REF!</definedName>
    <definedName name="CU_TC_PR2_99D">#REF!</definedName>
    <definedName name="CU_TC_PR2_99J">#REF!</definedName>
    <definedName name="CU_TC_PR2_99M">#REF!</definedName>
    <definedName name="CU_TC_PR2_99S">#REF!</definedName>
    <definedName name="CU_TC_PR2_LT">#REF!</definedName>
    <definedName name="CU_TC_PR3_00D">#REF!</definedName>
    <definedName name="CU_TC_PR3_00J">#REF!</definedName>
    <definedName name="CU_TC_PR3_00M">#REF!</definedName>
    <definedName name="CU_TC_PR3_00S">#REF!</definedName>
    <definedName name="CU_TC_PR3_01D">#REF!</definedName>
    <definedName name="CU_TC_PR3_01J">#REF!</definedName>
    <definedName name="CU_TC_PR3_01M">#REF!</definedName>
    <definedName name="CU_TC_PR3_01S">#REF!</definedName>
    <definedName name="CU_TC_PR3_02D">#REF!</definedName>
    <definedName name="CU_TC_PR3_02J">#REF!</definedName>
    <definedName name="CU_TC_PR3_02M">#REF!</definedName>
    <definedName name="CU_TC_PR3_02S">#REF!</definedName>
    <definedName name="CU_TC_PR3_03D">#REF!</definedName>
    <definedName name="CU_TC_PR3_03J">#REF!</definedName>
    <definedName name="CU_TC_PR3_03M">#REF!</definedName>
    <definedName name="CU_TC_PR3_03S">#REF!</definedName>
    <definedName name="CU_TC_PR3_04D">#REF!</definedName>
    <definedName name="CU_TC_PR3_04J">#REF!</definedName>
    <definedName name="CU_TC_PR3_04M">#REF!</definedName>
    <definedName name="CU_TC_PR3_04S">#REF!</definedName>
    <definedName name="CU_TC_PR3_05D">#REF!</definedName>
    <definedName name="CU_TC_PR3_05J">#REF!</definedName>
    <definedName name="CU_TC_PR3_05M">#REF!</definedName>
    <definedName name="CU_TC_PR3_05S">#REF!</definedName>
    <definedName name="CU_TC_PR3_06D">#REF!</definedName>
    <definedName name="CU_TC_PR3_06J">#REF!</definedName>
    <definedName name="CU_TC_PR3_06M">#REF!</definedName>
    <definedName name="CU_TC_PR3_06S">#REF!</definedName>
    <definedName name="CU_TC_PR3_07D">#REF!</definedName>
    <definedName name="CU_TC_PR3_07J">#REF!</definedName>
    <definedName name="CU_TC_PR3_07M">#REF!</definedName>
    <definedName name="CU_TC_PR3_07S">#REF!</definedName>
    <definedName name="CU_TC_PR3_08D">#REF!</definedName>
    <definedName name="CU_TC_PR3_08J">#REF!</definedName>
    <definedName name="CU_TC_PR3_08M">#REF!</definedName>
    <definedName name="CU_TC_PR3_08S">#REF!</definedName>
    <definedName name="CU_TC_PR3_09D">#REF!</definedName>
    <definedName name="CU_TC_PR3_09J">#REF!</definedName>
    <definedName name="CU_TC_PR3_09M">#REF!</definedName>
    <definedName name="CU_TC_PR3_09S">#REF!</definedName>
    <definedName name="CU_TC_PR3_10D">#REF!</definedName>
    <definedName name="CU_TC_PR3_10J">#REF!</definedName>
    <definedName name="CU_TC_PR3_10M">#REF!</definedName>
    <definedName name="CU_TC_PR3_10S">#REF!</definedName>
    <definedName name="CU_TC_PR3_11D">#REF!</definedName>
    <definedName name="CU_TC_PR3_11J">#REF!</definedName>
    <definedName name="CU_TC_PR3_11M">#REF!</definedName>
    <definedName name="CU_TC_PR3_11S">#REF!</definedName>
    <definedName name="CU_TC_PR3_12D">#REF!</definedName>
    <definedName name="CU_TC_PR3_12J">#REF!</definedName>
    <definedName name="CU_TC_PR3_12M">#REF!</definedName>
    <definedName name="CU_TC_PR3_12S">#REF!</definedName>
    <definedName name="CU_TC_PR3_13D">#REF!</definedName>
    <definedName name="CU_TC_PR3_13J">#REF!</definedName>
    <definedName name="CU_TC_PR3_13M">#REF!</definedName>
    <definedName name="CU_TC_PR3_13S">#REF!</definedName>
    <definedName name="CU_TC_PR3_14D">#REF!</definedName>
    <definedName name="CU_TC_PR3_14J">#REF!</definedName>
    <definedName name="CU_TC_PR3_14M">#REF!</definedName>
    <definedName name="CU_TC_PR3_14S">#REF!</definedName>
    <definedName name="CU_TC_PR3_15D">#REF!</definedName>
    <definedName name="CU_TC_PR3_15J">#REF!</definedName>
    <definedName name="CU_TC_PR3_15M">#REF!</definedName>
    <definedName name="CU_TC_PR3_15S">#REF!</definedName>
    <definedName name="CU_TC_PR3_16D">#REF!</definedName>
    <definedName name="CU_TC_PR3_16J">#REF!</definedName>
    <definedName name="CU_TC_PR3_16M">#REF!</definedName>
    <definedName name="CU_TC_PR3_16S">#REF!</definedName>
    <definedName name="CU_TC_PR3_17D">#REF!</definedName>
    <definedName name="CU_TC_PR3_17J">#REF!</definedName>
    <definedName name="CU_TC_PR3_17M">#REF!</definedName>
    <definedName name="CU_TC_PR3_17S">#REF!</definedName>
    <definedName name="CU_TC_PR3_18D">#REF!</definedName>
    <definedName name="CU_TC_PR3_18J">#REF!</definedName>
    <definedName name="CU_TC_PR3_18M">#REF!</definedName>
    <definedName name="CU_TC_PR3_18S">#REF!</definedName>
    <definedName name="CU_TC_PR3_19D">#REF!</definedName>
    <definedName name="CU_TC_PR3_19J">#REF!</definedName>
    <definedName name="CU_TC_PR3_19M">#REF!</definedName>
    <definedName name="CU_TC_PR3_19S">#REF!</definedName>
    <definedName name="CU_TC_PR3_20D">#REF!</definedName>
    <definedName name="CU_TC_PR3_20J">#REF!</definedName>
    <definedName name="CU_TC_PR3_20M">#REF!</definedName>
    <definedName name="CU_TC_PR3_20S">#REF!</definedName>
    <definedName name="CU_TC_PR3_21D">#REF!</definedName>
    <definedName name="CU_TC_PR3_21J">#REF!</definedName>
    <definedName name="CU_TC_PR3_21M">#REF!</definedName>
    <definedName name="CU_TC_PR3_21S">#REF!</definedName>
    <definedName name="CU_TC_PR3_22D">#REF!</definedName>
    <definedName name="CU_TC_PR3_22J">#REF!</definedName>
    <definedName name="CU_TC_PR3_22M">#REF!</definedName>
    <definedName name="CU_TC_PR3_22S">#REF!</definedName>
    <definedName name="CU_TC_PR3_23D">#REF!</definedName>
    <definedName name="CU_TC_PR3_23J">#REF!</definedName>
    <definedName name="CU_TC_PR3_23M">#REF!</definedName>
    <definedName name="CU_TC_PR3_23S">#REF!</definedName>
    <definedName name="CU_TC_PR3_24D">#REF!</definedName>
    <definedName name="CU_TC_PR3_24J">#REF!</definedName>
    <definedName name="CU_TC_PR3_24M">#REF!</definedName>
    <definedName name="CU_TC_PR3_24S">#REF!</definedName>
    <definedName name="CU_TC_PR3_25D">#REF!</definedName>
    <definedName name="CU_TC_PR3_25J">#REF!</definedName>
    <definedName name="CU_TC_PR3_25M">#REF!</definedName>
    <definedName name="CU_TC_PR3_25S">#REF!</definedName>
    <definedName name="CU_TC_PR3_87D">#REF!</definedName>
    <definedName name="CU_TC_PR3_87J">#REF!</definedName>
    <definedName name="CU_TC_PR3_87M">#REF!</definedName>
    <definedName name="CU_TC_PR3_87S">#REF!</definedName>
    <definedName name="CU_TC_PR3_88D">#REF!</definedName>
    <definedName name="CU_TC_PR3_88J">#REF!</definedName>
    <definedName name="CU_TC_PR3_88M">#REF!</definedName>
    <definedName name="CU_TC_PR3_88S">#REF!</definedName>
    <definedName name="CU_TC_PR3_89D">#REF!</definedName>
    <definedName name="CU_TC_PR3_89J">#REF!</definedName>
    <definedName name="CU_TC_PR3_89M">#REF!</definedName>
    <definedName name="CU_TC_PR3_89S">#REF!</definedName>
    <definedName name="CU_TC_PR3_90D">#REF!</definedName>
    <definedName name="CU_TC_PR3_90J">#REF!</definedName>
    <definedName name="CU_TC_PR3_90M">#REF!</definedName>
    <definedName name="CU_TC_PR3_90S">#REF!</definedName>
    <definedName name="CU_TC_PR3_91D">#REF!</definedName>
    <definedName name="CU_TC_PR3_91J">#REF!</definedName>
    <definedName name="CU_TC_PR3_91M">#REF!</definedName>
    <definedName name="CU_TC_PR3_91S">#REF!</definedName>
    <definedName name="CU_TC_PR3_92D">#REF!</definedName>
    <definedName name="CU_TC_PR3_92J">#REF!</definedName>
    <definedName name="CU_TC_PR3_92M">#REF!</definedName>
    <definedName name="CU_TC_PR3_92S">#REF!</definedName>
    <definedName name="CU_TC_PR3_93D">#REF!</definedName>
    <definedName name="CU_TC_PR3_93J">#REF!</definedName>
    <definedName name="CU_TC_PR3_93M">#REF!</definedName>
    <definedName name="CU_TC_PR3_93S">#REF!</definedName>
    <definedName name="CU_TC_PR3_94D">#REF!</definedName>
    <definedName name="CU_TC_PR3_94J">#REF!</definedName>
    <definedName name="CU_TC_PR3_94M">#REF!</definedName>
    <definedName name="CU_TC_PR3_94S">#REF!</definedName>
    <definedName name="CU_TC_PR3_95D">#REF!</definedName>
    <definedName name="CU_TC_PR3_95J">#REF!</definedName>
    <definedName name="CU_TC_PR3_95M">#REF!</definedName>
    <definedName name="CU_TC_PR3_95S">#REF!</definedName>
    <definedName name="CU_TC_PR3_96D">#REF!</definedName>
    <definedName name="CU_TC_PR3_96J">#REF!</definedName>
    <definedName name="CU_TC_PR3_96M">#REF!</definedName>
    <definedName name="CU_TC_PR3_96S">#REF!</definedName>
    <definedName name="CU_TC_PR3_97D">#REF!</definedName>
    <definedName name="CU_TC_PR3_97J">#REF!</definedName>
    <definedName name="CU_TC_PR3_97M">#REF!</definedName>
    <definedName name="CU_TC_PR3_97S">#REF!</definedName>
    <definedName name="CU_TC_PR3_98D">#REF!</definedName>
    <definedName name="CU_TC_PR3_98J">#REF!</definedName>
    <definedName name="CU_TC_PR3_98M">#REF!</definedName>
    <definedName name="CU_TC_PR3_98S">#REF!</definedName>
    <definedName name="CU_TC_PR3_99D">#REF!</definedName>
    <definedName name="CU_TC_PR3_99J">#REF!</definedName>
    <definedName name="CU_TC_PR3_99M">#REF!</definedName>
    <definedName name="CU_TC_PR3_99S">#REF!</definedName>
    <definedName name="CU_TC_PR3_LT">#REF!</definedName>
    <definedName name="CU_TC_PR4_00D">#REF!</definedName>
    <definedName name="CU_TC_PR4_00J">#REF!</definedName>
    <definedName name="CU_TC_PR4_00M">#REF!</definedName>
    <definedName name="CU_TC_PR4_00S">#REF!</definedName>
    <definedName name="CU_TC_PR4_01D">#REF!</definedName>
    <definedName name="CU_TC_PR4_01J">#REF!</definedName>
    <definedName name="CU_TC_PR4_01M">#REF!</definedName>
    <definedName name="CU_TC_PR4_01S">#REF!</definedName>
    <definedName name="CU_TC_PR4_02D">#REF!</definedName>
    <definedName name="CU_TC_PR4_02J">#REF!</definedName>
    <definedName name="CU_TC_PR4_02M">#REF!</definedName>
    <definedName name="CU_TC_PR4_02S">#REF!</definedName>
    <definedName name="CU_TC_PR4_03D">#REF!</definedName>
    <definedName name="CU_TC_PR4_03J">#REF!</definedName>
    <definedName name="CU_TC_PR4_03M">#REF!</definedName>
    <definedName name="CU_TC_PR4_03S">#REF!</definedName>
    <definedName name="CU_TC_PR4_04D">#REF!</definedName>
    <definedName name="CU_TC_PR4_04J">#REF!</definedName>
    <definedName name="CU_TC_PR4_04M">#REF!</definedName>
    <definedName name="CU_TC_PR4_04S">#REF!</definedName>
    <definedName name="CU_TC_PR4_05D">#REF!</definedName>
    <definedName name="CU_TC_PR4_05J">#REF!</definedName>
    <definedName name="CU_TC_PR4_05M">#REF!</definedName>
    <definedName name="CU_TC_PR4_05S">#REF!</definedName>
    <definedName name="CU_TC_PR4_06D">#REF!</definedName>
    <definedName name="CU_TC_PR4_06J">#REF!</definedName>
    <definedName name="CU_TC_PR4_06M">#REF!</definedName>
    <definedName name="CU_TC_PR4_06S">#REF!</definedName>
    <definedName name="CU_TC_PR4_07D">#REF!</definedName>
    <definedName name="CU_TC_PR4_07J">#REF!</definedName>
    <definedName name="CU_TC_PR4_07M">#REF!</definedName>
    <definedName name="CU_TC_PR4_07S">#REF!</definedName>
    <definedName name="CU_TC_PR4_08D">#REF!</definedName>
    <definedName name="CU_TC_PR4_08J">#REF!</definedName>
    <definedName name="CU_TC_PR4_08M">#REF!</definedName>
    <definedName name="CU_TC_PR4_08S">#REF!</definedName>
    <definedName name="CU_TC_PR4_09D">#REF!</definedName>
    <definedName name="CU_TC_PR4_09J">#REF!</definedName>
    <definedName name="CU_TC_PR4_09M">#REF!</definedName>
    <definedName name="CU_TC_PR4_09S">#REF!</definedName>
    <definedName name="CU_TC_PR4_10D">#REF!</definedName>
    <definedName name="CU_TC_PR4_11J">#REF!</definedName>
    <definedName name="CU_TC_PR4_11M">#REF!</definedName>
    <definedName name="CU_TC_PR4_11S">#REF!</definedName>
    <definedName name="CU_TC_PR4_12D">#REF!</definedName>
    <definedName name="CU_TC_PR4_12J">#REF!</definedName>
    <definedName name="CU_TC_PR4_12M">#REF!</definedName>
    <definedName name="CU_TC_PR4_12S">#REF!</definedName>
    <definedName name="CU_TC_PR4_13D">#REF!</definedName>
    <definedName name="CU_TC_PR4_13J">#REF!</definedName>
    <definedName name="CU_TC_PR4_13M">#REF!</definedName>
    <definedName name="CU_TC_PR4_13S">#REF!</definedName>
    <definedName name="CU_TC_PR4_14D">#REF!</definedName>
    <definedName name="CU_TC_PR4_14J">#REF!</definedName>
    <definedName name="CU_TC_PR4_14M">#REF!</definedName>
    <definedName name="CU_TC_PR4_14S">#REF!</definedName>
    <definedName name="CU_TC_PR4_15D">#REF!</definedName>
    <definedName name="CU_TC_PR4_15J">#REF!</definedName>
    <definedName name="CU_TC_PR4_15M">#REF!</definedName>
    <definedName name="CU_TC_PR4_15S">#REF!</definedName>
    <definedName name="CU_TC_PR4_16D">#REF!</definedName>
    <definedName name="CU_TC_PR4_16J">#REF!</definedName>
    <definedName name="CU_TC_PR4_16M">#REF!</definedName>
    <definedName name="CU_TC_PR4_16S">#REF!</definedName>
    <definedName name="CU_TC_PR4_17D">#REF!</definedName>
    <definedName name="CU_TC_PR4_17J">#REF!</definedName>
    <definedName name="CU_TC_PR4_17M">#REF!</definedName>
    <definedName name="CU_TC_PR4_17S">#REF!</definedName>
    <definedName name="CU_TC_PR4_18D">#REF!</definedName>
    <definedName name="CU_TC_PR4_18J">#REF!</definedName>
    <definedName name="CU_TC_PR4_18M">#REF!</definedName>
    <definedName name="CU_TC_PR4_18S">#REF!</definedName>
    <definedName name="CU_TC_PR4_19D">#REF!</definedName>
    <definedName name="CU_TC_PR4_19J">#REF!</definedName>
    <definedName name="CU_TC_PR4_19M">#REF!</definedName>
    <definedName name="CU_TC_PR4_19S">#REF!</definedName>
    <definedName name="CU_TC_PR4_20D">#REF!</definedName>
    <definedName name="CU_TC_PR4_20J">#REF!</definedName>
    <definedName name="CU_TC_PR4_20M">#REF!</definedName>
    <definedName name="CU_TC_PR4_20S">#REF!</definedName>
    <definedName name="CU_TC_PR4_21D">#REF!</definedName>
    <definedName name="CU_TC_PR4_21J">#REF!</definedName>
    <definedName name="CU_TC_PR4_21M">#REF!</definedName>
    <definedName name="CU_TC_PR4_21S">#REF!</definedName>
    <definedName name="CU_TC_PR4_22D">#REF!</definedName>
    <definedName name="CU_TC_PR4_22J">#REF!</definedName>
    <definedName name="CU_TC_PR4_22M">#REF!</definedName>
    <definedName name="CU_TC_PR4_22S">#REF!</definedName>
    <definedName name="CU_TC_PR4_23D">#REF!</definedName>
    <definedName name="CU_TC_PR4_23J">#REF!</definedName>
    <definedName name="CU_TC_PR4_23M">#REF!</definedName>
    <definedName name="CU_TC_PR4_23S">#REF!</definedName>
    <definedName name="CU_TC_PR4_24D">#REF!</definedName>
    <definedName name="CU_TC_PR4_24J">#REF!</definedName>
    <definedName name="CU_TC_PR4_24M">#REF!</definedName>
    <definedName name="CU_TC_PR4_24S">#REF!</definedName>
    <definedName name="CU_TC_PR4_25D">#REF!</definedName>
    <definedName name="CU_TC_PR4_25J">#REF!</definedName>
    <definedName name="CU_TC_PR4_25M">#REF!</definedName>
    <definedName name="CU_TC_PR4_25S">#REF!</definedName>
    <definedName name="CU_TC_PR4_87D">#REF!</definedName>
    <definedName name="CU_TC_PR4_87J">#REF!</definedName>
    <definedName name="CU_TC_PR4_87M">#REF!</definedName>
    <definedName name="CU_TC_PR4_87S">#REF!</definedName>
    <definedName name="CU_TC_PR4_88D">#REF!</definedName>
    <definedName name="CU_TC_PR4_88J">#REF!</definedName>
    <definedName name="CU_TC_PR4_88M">#REF!</definedName>
    <definedName name="CU_TC_PR4_88S">#REF!</definedName>
    <definedName name="CU_TC_PR4_89D">#REF!</definedName>
    <definedName name="CU_TC_PR4_89J">#REF!</definedName>
    <definedName name="CU_TC_PR4_89M">#REF!</definedName>
    <definedName name="CU_TC_PR4_89S">#REF!</definedName>
    <definedName name="CU_TC_PR4_90D">#REF!</definedName>
    <definedName name="CU_TC_PR4_90J">#REF!</definedName>
    <definedName name="CU_TC_PR4_90M">#REF!</definedName>
    <definedName name="CU_TC_PR4_90S">#REF!</definedName>
    <definedName name="CU_TC_PR4_91D">#REF!</definedName>
    <definedName name="CU_TC_PR4_91J">#REF!</definedName>
    <definedName name="CU_TC_PR4_91M">#REF!</definedName>
    <definedName name="CU_TC_PR4_91S">#REF!</definedName>
    <definedName name="CU_TC_PR4_92D">#REF!</definedName>
    <definedName name="CU_TC_PR4_92J">#REF!</definedName>
    <definedName name="CU_TC_PR4_92M">#REF!</definedName>
    <definedName name="CU_TC_PR4_92S">#REF!</definedName>
    <definedName name="CU_TC_PR4_93D">#REF!</definedName>
    <definedName name="CU_TC_PR4_93J">#REF!</definedName>
    <definedName name="CU_TC_PR4_93M">#REF!</definedName>
    <definedName name="CU_TC_PR4_93S">#REF!</definedName>
    <definedName name="CU_TC_PR4_94D">#REF!</definedName>
    <definedName name="CU_TC_PR4_94J">#REF!</definedName>
    <definedName name="CU_TC_PR4_94M">#REF!</definedName>
    <definedName name="CU_TC_PR4_94S">#REF!</definedName>
    <definedName name="CU_TC_PR4_95D">#REF!</definedName>
    <definedName name="CU_TC_PR4_95J">#REF!</definedName>
    <definedName name="CU_TC_PR4_95M">#REF!</definedName>
    <definedName name="CU_TC_PR4_95S">#REF!</definedName>
    <definedName name="CU_TC_PR4_96D">#REF!</definedName>
    <definedName name="CU_TC_PR4_96J">#REF!</definedName>
    <definedName name="CU_TC_PR4_96M">#REF!</definedName>
    <definedName name="CU_TC_PR4_96S">#REF!</definedName>
    <definedName name="CU_TC_PR4_97D">#REF!</definedName>
    <definedName name="CU_TC_PR4_97J">#REF!</definedName>
    <definedName name="CU_TC_PR4_97M">#REF!</definedName>
    <definedName name="CU_TC_PR4_97S">#REF!</definedName>
    <definedName name="CU_TC_PR4_98D">#REF!</definedName>
    <definedName name="CU_TC_PR4_98J">#REF!</definedName>
    <definedName name="CU_TC_PR4_98M">#REF!</definedName>
    <definedName name="CU_TC_PR4_98S">#REF!</definedName>
    <definedName name="CU_TC_PR4_99D">#REF!</definedName>
    <definedName name="CU_TC_PR4_99J">#REF!</definedName>
    <definedName name="CU_TC_PR4_99M">#REF!</definedName>
    <definedName name="CU_TC_PR4_99S">#REF!</definedName>
    <definedName name="CU_TC_PR4_LT">#REF!</definedName>
    <definedName name="CU_TC_PR5_00D">#REF!</definedName>
    <definedName name="CU_TC_PR5_00J">#REF!</definedName>
    <definedName name="CU_TC_PR5_00M">#REF!</definedName>
    <definedName name="CU_TC_PR5_00S">#REF!</definedName>
    <definedName name="CU_TC_PR5_01D">#REF!</definedName>
    <definedName name="CU_TC_PR5_01J">#REF!</definedName>
    <definedName name="CU_TC_PR5_01M">#REF!</definedName>
    <definedName name="CU_TC_PR5_01S">#REF!</definedName>
    <definedName name="CU_TC_PR5_02D">#REF!</definedName>
    <definedName name="CU_TC_PR5_02J">#REF!</definedName>
    <definedName name="CU_TC_PR5_02M">#REF!</definedName>
    <definedName name="CU_TC_PR5_02S">#REF!</definedName>
    <definedName name="CU_TC_PR5_03D">#REF!</definedName>
    <definedName name="CU_TC_PR5_03J">#REF!</definedName>
    <definedName name="CU_TC_PR5_03M">#REF!</definedName>
    <definedName name="CU_TC_PR5_03S">#REF!</definedName>
    <definedName name="CU_TC_PR5_04D">#REF!</definedName>
    <definedName name="CU_TC_PR5_04J">#REF!</definedName>
    <definedName name="CU_TC_PR5_04M">#REF!</definedName>
    <definedName name="CU_TC_PR5_04S">#REF!</definedName>
    <definedName name="CU_TC_PR5_05D">#REF!</definedName>
    <definedName name="CU_TC_PR5_05J">#REF!</definedName>
    <definedName name="CU_TC_PR5_05M">#REF!</definedName>
    <definedName name="CU_TC_PR5_05S">#REF!</definedName>
    <definedName name="CU_TC_PR5_06D">#REF!</definedName>
    <definedName name="CU_TC_PR5_06J">#REF!</definedName>
    <definedName name="CU_TC_PR5_06M">#REF!</definedName>
    <definedName name="CU_TC_PR5_06S">#REF!</definedName>
    <definedName name="CU_TC_PR5_07D">#REF!</definedName>
    <definedName name="CU_TC_PR5_07J">#REF!</definedName>
    <definedName name="CU_TC_PR5_07M">#REF!</definedName>
    <definedName name="CU_TC_PR5_07S">#REF!</definedName>
    <definedName name="CU_TC_PR5_08D">#REF!</definedName>
    <definedName name="CU_TC_PR5_08J">#REF!</definedName>
    <definedName name="CU_TC_PR5_08M">#REF!</definedName>
    <definedName name="CU_TC_PR5_08S">#REF!</definedName>
    <definedName name="CU_TC_PR5_09D">#REF!</definedName>
    <definedName name="CU_TC_PR5_09J">#REF!</definedName>
    <definedName name="CU_TC_PR5_09M">#REF!</definedName>
    <definedName name="CU_TC_PR5_09S">#REF!</definedName>
    <definedName name="CU_TC_PR5_10D">#REF!</definedName>
    <definedName name="CU_TC_PR5_10J">#REF!</definedName>
    <definedName name="CU_TC_PR5_10M">#REF!</definedName>
    <definedName name="CU_TC_PR5_10S">#REF!</definedName>
    <definedName name="CU_TC_PR5_11D">#REF!</definedName>
    <definedName name="CU_TC_PR5_11J">#REF!</definedName>
    <definedName name="CU_TC_PR5_11M">#REF!</definedName>
    <definedName name="CU_TC_PR5_11S">#REF!</definedName>
    <definedName name="CU_TC_PR5_12D">#REF!</definedName>
    <definedName name="CU_TC_PR5_12J">#REF!</definedName>
    <definedName name="CU_TC_PR5_12M">#REF!</definedName>
    <definedName name="CU_TC_PR5_12S">#REF!</definedName>
    <definedName name="CU_TC_PR5_13D">#REF!</definedName>
    <definedName name="CU_TC_PR5_13J">#REF!</definedName>
    <definedName name="CU_TC_PR5_13M">#REF!</definedName>
    <definedName name="CU_TC_PR5_13S">#REF!</definedName>
    <definedName name="CU_TC_PR5_14D">#REF!</definedName>
    <definedName name="CU_TC_PR5_14J">#REF!</definedName>
    <definedName name="CU_TC_PR5_14M">#REF!</definedName>
    <definedName name="CU_TC_PR5_14S">#REF!</definedName>
    <definedName name="CU_TC_PR5_15D">#REF!</definedName>
    <definedName name="CU_TC_PR5_15J">#REF!</definedName>
    <definedName name="CU_TC_PR5_15M">#REF!</definedName>
    <definedName name="CU_TC_PR5_15S">#REF!</definedName>
    <definedName name="CU_TC_PR5_16D">#REF!</definedName>
    <definedName name="CU_TC_PR5_16J">#REF!</definedName>
    <definedName name="CU_TC_PR5_16M">#REF!</definedName>
    <definedName name="CU_TC_PR5_16S">#REF!</definedName>
    <definedName name="CU_TC_PR5_17D">#REF!</definedName>
    <definedName name="CU_TC_PR5_17J">#REF!</definedName>
    <definedName name="CU_TC_PR5_17M">#REF!</definedName>
    <definedName name="CU_TC_PR5_17S">#REF!</definedName>
    <definedName name="CU_TC_PR5_18D">#REF!</definedName>
    <definedName name="CU_TC_PR5_18J">#REF!</definedName>
    <definedName name="CU_TC_PR5_18M">#REF!</definedName>
    <definedName name="CU_TC_PR5_18S">#REF!</definedName>
    <definedName name="CU_TC_PR5_19D">#REF!</definedName>
    <definedName name="CU_TC_PR5_19J">#REF!</definedName>
    <definedName name="CU_TC_PR5_19M">#REF!</definedName>
    <definedName name="CU_TC_PR5_19S">#REF!</definedName>
    <definedName name="CU_TC_PR5_20D">#REF!</definedName>
    <definedName name="CU_TC_PR5_20J">#REF!</definedName>
    <definedName name="CU_TC_PR5_20M">#REF!</definedName>
    <definedName name="CU_TC_PR5_20S">#REF!</definedName>
    <definedName name="CU_TC_PR5_21D">#REF!</definedName>
    <definedName name="CU_TC_PR5_21J">#REF!</definedName>
    <definedName name="CU_TC_PR5_21M">#REF!</definedName>
    <definedName name="CU_TC_PR5_21S">#REF!</definedName>
    <definedName name="CU_TC_PR5_22D">#REF!</definedName>
    <definedName name="CU_TC_PR5_22J">#REF!</definedName>
    <definedName name="CU_TC_PR5_22M">#REF!</definedName>
    <definedName name="CU_TC_PR5_22S">#REF!</definedName>
    <definedName name="CU_TC_PR5_23D">#REF!</definedName>
    <definedName name="CU_TC_PR5_23J">#REF!</definedName>
    <definedName name="CU_TC_PR5_23M">#REF!</definedName>
    <definedName name="CU_TC_PR5_23S">#REF!</definedName>
    <definedName name="CU_TC_PR5_24D">#REF!</definedName>
    <definedName name="CU_TC_PR5_24J">#REF!</definedName>
    <definedName name="CU_TC_PR5_24M">#REF!</definedName>
    <definedName name="CU_TC_PR5_24S">#REF!</definedName>
    <definedName name="CU_TC_PR5_25D">#REF!</definedName>
    <definedName name="CU_TC_PR5_25J">#REF!</definedName>
    <definedName name="CU_TC_PR5_25M">#REF!</definedName>
    <definedName name="CU_TC_PR5_25S">#REF!</definedName>
    <definedName name="CU_TC_PR5_87D">#REF!</definedName>
    <definedName name="CU_TC_PR5_87J">#REF!</definedName>
    <definedName name="CU_TC_PR5_87M">#REF!</definedName>
    <definedName name="CU_TC_PR5_87S">#REF!</definedName>
    <definedName name="CU_TC_PR5_88D">#REF!</definedName>
    <definedName name="CU_TC_PR5_88J">#REF!</definedName>
    <definedName name="CU_TC_PR5_88M">#REF!</definedName>
    <definedName name="CU_TC_PR5_88S">#REF!</definedName>
    <definedName name="CU_TC_PR5_89D">#REF!</definedName>
    <definedName name="CU_TC_PR5_89J">#REF!</definedName>
    <definedName name="CU_TC_PR5_89M">#REF!</definedName>
    <definedName name="CU_TC_PR5_89S">#REF!</definedName>
    <definedName name="CU_TC_PR5_90D">#REF!</definedName>
    <definedName name="CU_TC_PR5_90J">#REF!</definedName>
    <definedName name="CU_TC_PR5_90M">#REF!</definedName>
    <definedName name="CU_TC_PR5_90S">#REF!</definedName>
    <definedName name="CU_TC_PR5_91D">#REF!</definedName>
    <definedName name="CU_TC_PR5_91J">#REF!</definedName>
    <definedName name="CU_TC_PR5_91M">#REF!</definedName>
    <definedName name="CU_TC_PR5_91S">#REF!</definedName>
    <definedName name="CU_TC_PR5_92D">#REF!</definedName>
    <definedName name="CU_TC_PR5_92J">#REF!</definedName>
    <definedName name="CU_TC_PR5_92M">#REF!</definedName>
    <definedName name="CU_TC_PR5_92S">#REF!</definedName>
    <definedName name="CU_TC_PR5_93D">#REF!</definedName>
    <definedName name="CU_TC_PR5_93J">#REF!</definedName>
    <definedName name="CU_TC_PR5_93M">#REF!</definedName>
    <definedName name="CU_TC_PR5_93S">#REF!</definedName>
    <definedName name="CU_TC_PR5_94D">#REF!</definedName>
    <definedName name="CU_TC_PR5_94J">#REF!</definedName>
    <definedName name="CU_TC_PR5_94M">#REF!</definedName>
    <definedName name="CU_TC_PR5_94S">#REF!</definedName>
    <definedName name="CU_TC_PR5_95D">#REF!</definedName>
    <definedName name="CU_TC_PR5_95J">#REF!</definedName>
    <definedName name="CU_TC_PR5_95M">#REF!</definedName>
    <definedName name="CU_TC_PR5_95S">#REF!</definedName>
    <definedName name="CU_TC_PR5_96D">#REF!</definedName>
    <definedName name="CU_TC_PR5_96J">#REF!</definedName>
    <definedName name="CU_TC_PR5_96M">#REF!</definedName>
    <definedName name="CU_TC_PR5_96S">#REF!</definedName>
    <definedName name="CU_TC_PR5_97D">#REF!</definedName>
    <definedName name="CU_TC_PR5_97J">#REF!</definedName>
    <definedName name="CU_TC_PR5_97M">#REF!</definedName>
    <definedName name="CU_TC_PR5_97S">#REF!</definedName>
    <definedName name="CU_TC_PR5_98D">#REF!</definedName>
    <definedName name="CU_TC_PR5_98J">#REF!</definedName>
    <definedName name="CU_TC_PR5_98M">#REF!</definedName>
    <definedName name="CU_TC_PR5_98S">#REF!</definedName>
    <definedName name="CU_TC_PR5_99D">#REF!</definedName>
    <definedName name="CU_TC_PR5_99J">#REF!</definedName>
    <definedName name="CU_TC_PR5_99M">#REF!</definedName>
    <definedName name="CU_TC_PR5_99S">#REF!</definedName>
    <definedName name="CU_TC_PR5_LT">#REF!</definedName>
    <definedName name="CumGood">#REF!</definedName>
    <definedName name="Cumul_Dep">#REF!</definedName>
    <definedName name="cumulative_capex_sub">#REF!</definedName>
    <definedName name="Cumulative_translation_adjustment">#REF!</definedName>
    <definedName name="CUR3MTH">6</definedName>
    <definedName name="CURCYTD">9</definedName>
    <definedName name="curliab95a">#REF!</definedName>
    <definedName name="CURMTH">1</definedName>
    <definedName name="CURMYTD">12</definedName>
    <definedName name="currency">#REF!</definedName>
    <definedName name="Current_cost_adjusted_net_income">#REF!</definedName>
    <definedName name="current_earnings_footnote">#REF!</definedName>
    <definedName name="Current_liabilities">#REF!</definedName>
    <definedName name="current_payables">#REF!</definedName>
    <definedName name="Current_portion">#REF!</definedName>
    <definedName name="Current_portion_of_long_term_trade">#REF!</definedName>
    <definedName name="CurrentQuartile">#REF!</definedName>
    <definedName name="CurrentXrateVintage">#REF!</definedName>
    <definedName name="CurrentYear">YEAR(NOW())</definedName>
    <definedName name="CURWEEK">1</definedName>
    <definedName name="cust_dep_curr_driver">#REF!</definedName>
    <definedName name="cust_deposit_driver">#REF!</definedName>
    <definedName name="Customer_advances">#REF!</definedName>
    <definedName name="Customer_deposits_growth_fore">#REF!</definedName>
    <definedName name="CvgRef">#REF!</definedName>
    <definedName name="cwo">#REF!</definedName>
    <definedName name="cwt">#REF!</definedName>
    <definedName name="CYTDVOL">11</definedName>
    <definedName name="D_bdg">[28]Assumptions!$E$45</definedName>
    <definedName name="D_elec">[28]Assumptions!$E$47</definedName>
    <definedName name="D_machine">[28]Assumptions!$E$46</definedName>
    <definedName name="D_other">[28]Assumptions!$E$49</definedName>
    <definedName name="D_trans">[28]Assumptions!$E$48</definedName>
    <definedName name="da.01">#REF!</definedName>
    <definedName name="da.02">#REF!</definedName>
    <definedName name="da.03">#REF!</definedName>
    <definedName name="da.04">#REF!</definedName>
    <definedName name="daf">#REF!</definedName>
    <definedName name="dai">#REF!</definedName>
    <definedName name="DamonjodiCapacity">#REF!</definedName>
    <definedName name="Danjiang">#REF!</definedName>
    <definedName name="Danone">#REF!</definedName>
    <definedName name="das">#REF!</definedName>
    <definedName name="data">[29]Investment!$B$6</definedName>
    <definedName name="data_type_id">#REF!</definedName>
    <definedName name="Data1.1">#REF!</definedName>
    <definedName name="Data1.2">#REF!</definedName>
    <definedName name="Data2.1">#REF!</definedName>
    <definedName name="Data2.2">#REF!</definedName>
    <definedName name="Data3.1">#REF!</definedName>
    <definedName name="Data3.2">#REF!</definedName>
    <definedName name="Data4.1">#REF!</definedName>
    <definedName name="Data4.2">#REF!</definedName>
    <definedName name="Data5.1">#REF!</definedName>
    <definedName name="Data5.2">#REF!</definedName>
    <definedName name="_xlnm.Database">#REF!</definedName>
    <definedName name="DatabaseOutput">#REF!</definedName>
    <definedName name="DataFundAction">[30]Data!#REF!</definedName>
    <definedName name="DataPreRec">[30]Data!#REF!</definedName>
    <definedName name="dataseries4">OFFSET([31]c1!$G$12,0,0,COUNTA([31]c1!$G$12:$G$31),1)</definedName>
    <definedName name="Date">[32]Prices!$C$5</definedName>
    <definedName name="Date_Annee_Prec">#REF!</definedName>
    <definedName name="date_of_last_eps_update">#REF!</definedName>
    <definedName name="date_ref">#REF!</definedName>
    <definedName name="Date_Semaine">#REF!</definedName>
    <definedName name="DATES">#REF!</definedName>
    <definedName name="Dates2">#REF!</definedName>
    <definedName name="DB">"WIREHKPROD"</definedName>
    <definedName name="dbteq98">'[14]Consolidated Financials'!$H$337</definedName>
    <definedName name="dbteq99">'[33]Consolidated Financials'!$O$250</definedName>
    <definedName name="dcf">"311A3B95-A1F3-11D5-89A6-009027910F4C"</definedName>
    <definedName name="DCF_analysis">#REF!</definedName>
    <definedName name="dcf_debt">#REF!</definedName>
    <definedName name="dcf_ebit">#REF!</definedName>
    <definedName name="DCF_EY1">#REF!</definedName>
    <definedName name="DCF_EY10">#REF!</definedName>
    <definedName name="DCF_EY14">#REF!</definedName>
    <definedName name="DCF_EY15">#REF!</definedName>
    <definedName name="DCF_EY2">#REF!</definedName>
    <definedName name="DCF_EY24">#REF!</definedName>
    <definedName name="DCF_EY25">#REF!</definedName>
    <definedName name="DCF_EY3">#REF!</definedName>
    <definedName name="DCF_EY4">#REF!</definedName>
    <definedName name="DCF_EY5">#REF!</definedName>
    <definedName name="DCF_EY6">#REF!</definedName>
    <definedName name="DCF_EY7">#REF!</definedName>
    <definedName name="DCF_EY8">#REF!</definedName>
    <definedName name="DCF_EY9">#REF!</definedName>
    <definedName name="DCF_free_cashflow">#REF!</definedName>
    <definedName name="dcf_lookup">#REF!</definedName>
    <definedName name="DCF_netdebt">#REF!</definedName>
    <definedName name="dcf_nosh">#REF!</definedName>
    <definedName name="DCF_NWC">#REF!</definedName>
    <definedName name="DCF_P">#REF!</definedName>
    <definedName name="DCF_Perpetuity">#REF!</definedName>
    <definedName name="DCF_print">#REF!</definedName>
    <definedName name="DCF_TYPE">#REF!</definedName>
    <definedName name="DCF1A">#REF!</definedName>
    <definedName name="DCF1B">#REF!</definedName>
    <definedName name="DCF2A">#REF!</definedName>
    <definedName name="DCF2B">#REF!</definedName>
    <definedName name="DCF3A">#REF!</definedName>
    <definedName name="DCF3B">#REF!</definedName>
    <definedName name="DCF4A">#REF!</definedName>
    <definedName name="DCF4B">#REF!</definedName>
    <definedName name="DCF5B">#REF!</definedName>
    <definedName name="DCF6A">#REF!</definedName>
    <definedName name="DCF6B">#REF!</definedName>
    <definedName name="DCF7A">#REF!</definedName>
    <definedName name="DCF7B">#REF!</definedName>
    <definedName name="DCF8A">#REF!</definedName>
    <definedName name="DCF8B">#REF!</definedName>
    <definedName name="DCF9A">#REF!</definedName>
    <definedName name="DCF9B">#REF!</definedName>
    <definedName name="DCFN" hidden="1">[2]A!#REF!</definedName>
    <definedName name="DCFNEW">'[34]PZN DCF'!$A$1:$L$48</definedName>
    <definedName name="dcfoth93">#REF!</definedName>
    <definedName name="dcfoth94">#REF!</definedName>
    <definedName name="dcfoth95">#REF!</definedName>
    <definedName name="dcfoth96">#REF!</definedName>
    <definedName name="dcfoth97">#REF!</definedName>
    <definedName name="dcfoth98">#REF!</definedName>
    <definedName name="DCFTOOLSNAME1">#REF!</definedName>
    <definedName name="dd" localSheetId="2" hidden="1">{"cap_structure",#N/A,FALSE,"Graph-Mkt Cap";"price",#N/A,FALSE,"Graph-Price";"ebit",#N/A,FALSE,"Graph-EBITDA";"ebitda",#N/A,FALSE,"Graph-EBITDA"}</definedName>
    <definedName name="dd" localSheetId="1" hidden="1">{"cap_structure",#N/A,FALSE,"Graph-Mkt Cap";"price",#N/A,FALSE,"Graph-Price";"ebit",#N/A,FALSE,"Graph-EBITDA";"ebitda",#N/A,FALSE,"Graph-EBITDA"}</definedName>
    <definedName name="dd" hidden="1">{"cap_structure",#N/A,FALSE,"Graph-Mkt Cap";"price",#N/A,FALSE,"Graph-Price";"ebit",#N/A,FALSE,"Graph-EBITDA";"ebitda",#N/A,FALSE,"Graph-EBITDA"}</definedName>
    <definedName name="DDA">#REF!</definedName>
    <definedName name="dddfs">#REF!</definedName>
    <definedName name="de">[35]Sheet1!$B$6:$M$6</definedName>
    <definedName name="deal1">#REF!</definedName>
    <definedName name="deal2">#REF!</definedName>
    <definedName name="Debt_at_market_value">#REF!</definedName>
    <definedName name="DEBT_CAP">#REF!</definedName>
    <definedName name="DEBT_EBITDA">#REF!</definedName>
    <definedName name="Debt_growth">#REF!</definedName>
    <definedName name="Debt_Market_Cap_Ratio">#REF!</definedName>
    <definedName name="debt_pct">#REF!</definedName>
    <definedName name="debt_repayment">#REF!</definedName>
    <definedName name="debt_schedule">#REF!</definedName>
    <definedName name="Debt2000">#REF!</definedName>
    <definedName name="Debt96">#REF!</definedName>
    <definedName name="Debt97">#REF!</definedName>
    <definedName name="Debt98">#REF!</definedName>
    <definedName name="Debt99">#REF!</definedName>
    <definedName name="DebtFinancing">[17]筹资!$E$22</definedName>
    <definedName name="Debtors">#REF!</definedName>
    <definedName name="DEBTS">#REF!</definedName>
    <definedName name="DecCred">#REF!</definedName>
    <definedName name="decrease">#REF!</definedName>
    <definedName name="deferred_exp_driver">#REF!</definedName>
    <definedName name="Deferred_income_taxes">#REF!</definedName>
    <definedName name="Deferred_tax_asset_growth_fore">#REF!</definedName>
    <definedName name="Deferred_tax_liability_growth_fore">#REF!</definedName>
    <definedName name="Degassing_Cost">#REF!</definedName>
    <definedName name="Delfzijl">#REF!</definedName>
    <definedName name="DEM_00D">#REF!</definedName>
    <definedName name="DEM_00J">#REF!</definedName>
    <definedName name="DEM_00M">#REF!</definedName>
    <definedName name="DEM_00S">#REF!</definedName>
    <definedName name="DEM_01D">#REF!</definedName>
    <definedName name="DEM_01J">#REF!</definedName>
    <definedName name="DEM_01M">#REF!</definedName>
    <definedName name="DEM_01S">#REF!</definedName>
    <definedName name="DEM_02D">#REF!</definedName>
    <definedName name="DEM_02J">#REF!</definedName>
    <definedName name="DEM_02M">#REF!</definedName>
    <definedName name="DEM_02S">#REF!</definedName>
    <definedName name="DEM_03D">#REF!</definedName>
    <definedName name="DEM_03J">#REF!</definedName>
    <definedName name="DEM_03M">#REF!</definedName>
    <definedName name="DEM_03S">#REF!</definedName>
    <definedName name="DEM_04D">#REF!</definedName>
    <definedName name="DEM_04J">#REF!</definedName>
    <definedName name="DEM_04M">#REF!</definedName>
    <definedName name="DEM_04S">#REF!</definedName>
    <definedName name="DEM_05D">#REF!</definedName>
    <definedName name="DEM_05J">#REF!</definedName>
    <definedName name="DEM_05M">#REF!</definedName>
    <definedName name="DEM_05S">#REF!</definedName>
    <definedName name="DEM_06D">#REF!</definedName>
    <definedName name="DEM_06J">#REF!</definedName>
    <definedName name="DEM_06M">#REF!</definedName>
    <definedName name="DEM_06S">#REF!</definedName>
    <definedName name="DEM_07D">#REF!</definedName>
    <definedName name="DEM_07J">#REF!</definedName>
    <definedName name="DEM_07M">#REF!</definedName>
    <definedName name="DEM_07S">#REF!</definedName>
    <definedName name="DEM_08D">#REF!</definedName>
    <definedName name="DEM_08J">#REF!</definedName>
    <definedName name="DEM_08M">#REF!</definedName>
    <definedName name="DEM_08S">#REF!</definedName>
    <definedName name="DEM_09D">#REF!</definedName>
    <definedName name="DEM_09J">#REF!</definedName>
    <definedName name="DEM_09M">#REF!</definedName>
    <definedName name="DEM_09S">#REF!</definedName>
    <definedName name="DEM_10D">#REF!</definedName>
    <definedName name="DEM_10J">#REF!</definedName>
    <definedName name="DEM_10M">#REF!</definedName>
    <definedName name="DEM_10S">#REF!</definedName>
    <definedName name="DEM_11D">#REF!</definedName>
    <definedName name="DEM_11J">#REF!</definedName>
    <definedName name="DEM_11M">#REF!</definedName>
    <definedName name="DEM_11S">#REF!</definedName>
    <definedName name="DEM_12D">#REF!</definedName>
    <definedName name="DEM_12J">#REF!</definedName>
    <definedName name="DEM_12M">#REF!</definedName>
    <definedName name="DEM_12S">#REF!</definedName>
    <definedName name="DEM_13D">#REF!</definedName>
    <definedName name="DEM_13J">#REF!</definedName>
    <definedName name="DEM_13M">#REF!</definedName>
    <definedName name="DEM_13S">#REF!</definedName>
    <definedName name="DEM_14D">#REF!</definedName>
    <definedName name="DEM_14J">#REF!</definedName>
    <definedName name="DEM_14M">#REF!</definedName>
    <definedName name="DEM_14S">#REF!</definedName>
    <definedName name="DEM_15D">#REF!</definedName>
    <definedName name="DEM_15J">#REF!</definedName>
    <definedName name="DEM_15M">#REF!</definedName>
    <definedName name="DEM_15S">#REF!</definedName>
    <definedName name="DEM_16D">#REF!</definedName>
    <definedName name="DEM_16J">#REF!</definedName>
    <definedName name="DEM_16M">#REF!</definedName>
    <definedName name="DEM_16S">#REF!</definedName>
    <definedName name="DEM_17D">#REF!</definedName>
    <definedName name="DEM_17J">#REF!</definedName>
    <definedName name="DEM_17M">#REF!</definedName>
    <definedName name="DEM_17S">#REF!</definedName>
    <definedName name="DEM_18D">#REF!</definedName>
    <definedName name="DEM_18J">#REF!</definedName>
    <definedName name="DEM_18M">#REF!</definedName>
    <definedName name="DEM_18S">#REF!</definedName>
    <definedName name="DEM_19D">#REF!</definedName>
    <definedName name="DEM_19J">#REF!</definedName>
    <definedName name="DEM_19M">#REF!</definedName>
    <definedName name="DEM_19S">#REF!</definedName>
    <definedName name="DEM_20D">#REF!</definedName>
    <definedName name="DEM_20J">#REF!</definedName>
    <definedName name="DEM_20M">#REF!</definedName>
    <definedName name="DEM_20S">#REF!</definedName>
    <definedName name="DEM_21D">#REF!</definedName>
    <definedName name="DEM_21J">#REF!</definedName>
    <definedName name="DEM_21M">#REF!</definedName>
    <definedName name="DEM_21S">#REF!</definedName>
    <definedName name="DEM_22D">#REF!</definedName>
    <definedName name="DEM_22J">#REF!</definedName>
    <definedName name="DEM_22M">#REF!</definedName>
    <definedName name="DEM_22S">#REF!</definedName>
    <definedName name="DEM_23D">#REF!</definedName>
    <definedName name="DEM_23J">#REF!</definedName>
    <definedName name="DEM_23M">#REF!</definedName>
    <definedName name="DEM_23S">#REF!</definedName>
    <definedName name="DEM_24D">#REF!</definedName>
    <definedName name="DEM_24J">#REF!</definedName>
    <definedName name="DEM_24M">#REF!</definedName>
    <definedName name="DEM_24S">#REF!</definedName>
    <definedName name="DEM_25D">#REF!</definedName>
    <definedName name="DEM_25J">#REF!</definedName>
    <definedName name="DEM_25M">#REF!</definedName>
    <definedName name="DEM_25S">#REF!</definedName>
    <definedName name="DEM_87D">#REF!</definedName>
    <definedName name="DEM_87J">#REF!</definedName>
    <definedName name="DEM_87M">#REF!</definedName>
    <definedName name="DEM_87S">#REF!</definedName>
    <definedName name="DEM_88D">#REF!</definedName>
    <definedName name="DEM_88J">#REF!</definedName>
    <definedName name="DEM_88M">#REF!</definedName>
    <definedName name="DEM_88S">#REF!</definedName>
    <definedName name="DEM_89D">#REF!</definedName>
    <definedName name="DEM_89J">#REF!</definedName>
    <definedName name="DEM_89M">#REF!</definedName>
    <definedName name="DEM_89S">#REF!</definedName>
    <definedName name="DEM_90D">#REF!</definedName>
    <definedName name="DEM_90J">#REF!</definedName>
    <definedName name="DEM_90M">#REF!</definedName>
    <definedName name="DEM_90S">#REF!</definedName>
    <definedName name="DEM_91D">#REF!</definedName>
    <definedName name="DEM_91J">#REF!</definedName>
    <definedName name="DEM_91M">#REF!</definedName>
    <definedName name="DEM_91S">#REF!</definedName>
    <definedName name="DEM_92D">#REF!</definedName>
    <definedName name="DEM_92J">#REF!</definedName>
    <definedName name="DEM_92M">#REF!</definedName>
    <definedName name="DEM_92S">#REF!</definedName>
    <definedName name="DEM_93D">#REF!</definedName>
    <definedName name="DEM_93J">#REF!</definedName>
    <definedName name="DEM_93M">#REF!</definedName>
    <definedName name="DEM_93S">#REF!</definedName>
    <definedName name="DEM_94D">#REF!</definedName>
    <definedName name="DEM_94J">#REF!</definedName>
    <definedName name="DEM_94M">#REF!</definedName>
    <definedName name="DEM_94S">#REF!</definedName>
    <definedName name="DEM_95D">#REF!</definedName>
    <definedName name="DEM_95J">#REF!</definedName>
    <definedName name="DEM_95M">#REF!</definedName>
    <definedName name="DEM_95S">#REF!</definedName>
    <definedName name="DEM_96D">#REF!</definedName>
    <definedName name="DEM_96J">#REF!</definedName>
    <definedName name="DEM_96M">#REF!</definedName>
    <definedName name="DEM_96S">#REF!</definedName>
    <definedName name="DEM_97D">#REF!</definedName>
    <definedName name="DEM_97J">#REF!</definedName>
    <definedName name="DEM_97M">#REF!</definedName>
    <definedName name="DEM_97S">#REF!</definedName>
    <definedName name="DEM_98D">#REF!</definedName>
    <definedName name="DEM_98J">#REF!</definedName>
    <definedName name="DEM_98M">#REF!</definedName>
    <definedName name="DEM_98S">#REF!</definedName>
    <definedName name="DEM_99D">#REF!</definedName>
    <definedName name="DEM_99J">#REF!</definedName>
    <definedName name="DEM_99M">#REF!</definedName>
    <definedName name="DEM_99S">#REF!</definedName>
    <definedName name="DEM_LT">#REF!</definedName>
    <definedName name="Dep_and_Amort">#REF!</definedName>
    <definedName name="Dep_margin_fore">#REF!</definedName>
    <definedName name="DepositRate">[17]筹资!$B$6</definedName>
    <definedName name="Depr">#REF!</definedName>
    <definedName name="depreciation.2000">#REF!</definedName>
    <definedName name="depreciation.99">#REF!</definedName>
    <definedName name="Depreciation_and_amortization">'[4]P&amp;L'!$B$53:$AH$53</definedName>
    <definedName name="Depreciation_fore">#REF!</definedName>
    <definedName name="Depreciation_Goodwill">#REF!</definedName>
    <definedName name="Depreciation_of_roads">#REF!</definedName>
    <definedName name="Depreciations">#REF!</definedName>
    <definedName name="deriv_spon_type_id">#REF!</definedName>
    <definedName name="deriv_type_id">#REF!</definedName>
    <definedName name="DES">#REF!</definedName>
    <definedName name="Deschambault">#REF!</definedName>
    <definedName name="description">#REF!</definedName>
    <definedName name="desk">desk</definedName>
    <definedName name="desktop">#REF!</definedName>
    <definedName name="detailsTableHeader_bonds">#REF!</definedName>
    <definedName name="df_analysis">#REF!</definedName>
    <definedName name="dfd">#REF!</definedName>
    <definedName name="dfdtax93">#REF!</definedName>
    <definedName name="dfdtax94">#REF!</definedName>
    <definedName name="dfdtax95">#REF!</definedName>
    <definedName name="dfdtax96">#REF!</definedName>
    <definedName name="dfdtax97">#REF!</definedName>
    <definedName name="dfdtax98">#REF!</definedName>
    <definedName name="dfsdf" hidden="1">#REF!</definedName>
    <definedName name="dgfsgfsg">#REF!</definedName>
    <definedName name="DIA">#REF!</definedName>
    <definedName name="dial_around_services">#REF!</definedName>
    <definedName name="did">#REF!</definedName>
    <definedName name="DIGI_bk_cap">#REF!</definedName>
    <definedName name="DIGI_bk_equity">#REF!</definedName>
    <definedName name="DIGI_bs_conv_debt">#REF!</definedName>
    <definedName name="DIGI_bs_min_int">#REF!</definedName>
    <definedName name="DIGI_bs_pref">#REF!</definedName>
    <definedName name="DIGI_cash">#REF!</definedName>
    <definedName name="DIGI_conv_debt_pr">#REF!</definedName>
    <definedName name="DIGI_conv_pref_pr">#REF!</definedName>
    <definedName name="DIGI_fin_date">#REF!</definedName>
    <definedName name="DIGI_hist_d">#REF!</definedName>
    <definedName name="DIGI_hst_a">#REF!</definedName>
    <definedName name="DIGI_hst_cogs">#REF!</definedName>
    <definedName name="DIGI_hst_ebit">#REF!</definedName>
    <definedName name="DIGI_hst_ebt">#REF!</definedName>
    <definedName name="DIGI_hst_eps">#REF!</definedName>
    <definedName name="DIGI_hst_inc_b_m">#REF!</definedName>
    <definedName name="DIGI_hst_r_d">#REF!</definedName>
    <definedName name="DIGI_hst_rev">#REF!</definedName>
    <definedName name="DIGI_hst_sg_a">#REF!</definedName>
    <definedName name="DIGI_LQ_ni">#REF!</definedName>
    <definedName name="DIGI_LQ_rev">#REF!</definedName>
    <definedName name="DIGI_lt_debt">#REF!</definedName>
    <definedName name="DIGI_ltm_a">#REF!</definedName>
    <definedName name="DIGI_ltm_cap_ex">#REF!</definedName>
    <definedName name="DIGI_ltm_cogs">#REF!</definedName>
    <definedName name="DIGI_ltm_csh_int">#REF!</definedName>
    <definedName name="DIGI_ltm_d">#REF!</definedName>
    <definedName name="DIGI_ltm_ebit">#REF!</definedName>
    <definedName name="DIGI_ltm_ebt">#REF!</definedName>
    <definedName name="DIGI_ltm_inc_b_m">#REF!</definedName>
    <definedName name="DIGI_ltm_int">#REF!</definedName>
    <definedName name="DIGI_ltm_min_int">#REF!</definedName>
    <definedName name="DIGI_ltm_pref_div">#REF!</definedName>
    <definedName name="DIGI_ltm_r_d">#REF!</definedName>
    <definedName name="DIGI_ltm_rev">#REF!</definedName>
    <definedName name="DIGI_ltm_sg_a">#REF!</definedName>
    <definedName name="DIGI_ltm_shares">#REF!</definedName>
    <definedName name="DIGI_ltm_tax">#REF!</definedName>
    <definedName name="DIGI_ltm_tax_rate">#REF!</definedName>
    <definedName name="DIGI_name">#REF!</definedName>
    <definedName name="DIGI_o_debt_1">#REF!</definedName>
    <definedName name="DIGI_o_debt_2">#REF!</definedName>
    <definedName name="DIGI_o_debt_3">#REF!</definedName>
    <definedName name="DIGI_option_n">#REF!</definedName>
    <definedName name="DIGI_option_pr">#REF!</definedName>
    <definedName name="DIGI_PQ_ni">#REF!</definedName>
    <definedName name="DIGI_PQ_rev">#REF!</definedName>
    <definedName name="DIGI_shares">#REF!</definedName>
    <definedName name="DIGI_YQ_ni">#REF!</definedName>
    <definedName name="DIGI_YQ_rev">#REF!</definedName>
    <definedName name="DII_00D">#REF!</definedName>
    <definedName name="DII_00J">#REF!</definedName>
    <definedName name="DII_00M">#REF!</definedName>
    <definedName name="DII_00S">#REF!</definedName>
    <definedName name="DII_01D">#REF!</definedName>
    <definedName name="DII_01J">#REF!</definedName>
    <definedName name="DII_01M">#REF!</definedName>
    <definedName name="DII_01S">#REF!</definedName>
    <definedName name="DII_02D">#REF!</definedName>
    <definedName name="DII_02J">#REF!</definedName>
    <definedName name="DII_02M">#REF!</definedName>
    <definedName name="DII_02S">#REF!</definedName>
    <definedName name="DII_03D">#REF!</definedName>
    <definedName name="DII_03J">#REF!</definedName>
    <definedName name="DII_03M">#REF!</definedName>
    <definedName name="DII_03S">#REF!</definedName>
    <definedName name="DII_04D">#REF!</definedName>
    <definedName name="DII_04J">#REF!</definedName>
    <definedName name="DII_04M">#REF!</definedName>
    <definedName name="DII_04S">#REF!</definedName>
    <definedName name="DII_05D">#REF!</definedName>
    <definedName name="DII_05J">#REF!</definedName>
    <definedName name="DII_05M">#REF!</definedName>
    <definedName name="DII_05S">#REF!</definedName>
    <definedName name="DII_06D">#REF!</definedName>
    <definedName name="DII_06J">#REF!</definedName>
    <definedName name="DII_06M">#REF!</definedName>
    <definedName name="DII_06S">#REF!</definedName>
    <definedName name="DII_07D">#REF!</definedName>
    <definedName name="DII_07J">#REF!</definedName>
    <definedName name="DII_07M">#REF!</definedName>
    <definedName name="DII_07S">#REF!</definedName>
    <definedName name="DII_08D">#REF!</definedName>
    <definedName name="DII_08J">#REF!</definedName>
    <definedName name="DII_08M">#REF!</definedName>
    <definedName name="DII_08S">#REF!</definedName>
    <definedName name="DII_09D">#REF!</definedName>
    <definedName name="DII_09J">#REF!</definedName>
    <definedName name="DII_09M">#REF!</definedName>
    <definedName name="DII_09S">#REF!</definedName>
    <definedName name="DII_10D">#REF!</definedName>
    <definedName name="DII_10J">#REF!</definedName>
    <definedName name="DII_10M">#REF!</definedName>
    <definedName name="DII_10S">#REF!</definedName>
    <definedName name="DII_11D">#REF!</definedName>
    <definedName name="DII_11J">#REF!</definedName>
    <definedName name="DII_11M">#REF!</definedName>
    <definedName name="DII_11S">#REF!</definedName>
    <definedName name="DII_12D">#REF!</definedName>
    <definedName name="DII_12J">#REF!</definedName>
    <definedName name="DII_12M">#REF!</definedName>
    <definedName name="DII_12S">#REF!</definedName>
    <definedName name="DII_13D">#REF!</definedName>
    <definedName name="DII_13J">#REF!</definedName>
    <definedName name="DII_13M">#REF!</definedName>
    <definedName name="DII_13S">#REF!</definedName>
    <definedName name="DII_14D">#REF!</definedName>
    <definedName name="DII_14J">#REF!</definedName>
    <definedName name="DII_14M">#REF!</definedName>
    <definedName name="DII_14S">#REF!</definedName>
    <definedName name="DII_15D">#REF!</definedName>
    <definedName name="DII_15J">#REF!</definedName>
    <definedName name="DII_15M">#REF!</definedName>
    <definedName name="DII_15S">#REF!</definedName>
    <definedName name="DII_16D">#REF!</definedName>
    <definedName name="DII_16J">#REF!</definedName>
    <definedName name="DII_16M">#REF!</definedName>
    <definedName name="DII_16S">#REF!</definedName>
    <definedName name="DII_17D">#REF!</definedName>
    <definedName name="DII_17J">#REF!</definedName>
    <definedName name="DII_17M">#REF!</definedName>
    <definedName name="DII_17S">#REF!</definedName>
    <definedName name="DII_18D">#REF!</definedName>
    <definedName name="DII_18J">#REF!</definedName>
    <definedName name="DII_18M">#REF!</definedName>
    <definedName name="DII_18S">#REF!</definedName>
    <definedName name="DII_19D">#REF!</definedName>
    <definedName name="DII_19J">#REF!</definedName>
    <definedName name="DII_19M">#REF!</definedName>
    <definedName name="DII_19S">#REF!</definedName>
    <definedName name="DII_20D">#REF!</definedName>
    <definedName name="DII_20J">#REF!</definedName>
    <definedName name="DII_20M">#REF!</definedName>
    <definedName name="DII_20S">#REF!</definedName>
    <definedName name="DII_21D">#REF!</definedName>
    <definedName name="DII_21J">#REF!</definedName>
    <definedName name="DII_21M">#REF!</definedName>
    <definedName name="DII_21S">#REF!</definedName>
    <definedName name="DII_22D">#REF!</definedName>
    <definedName name="DII_22J">#REF!</definedName>
    <definedName name="DII_22M">#REF!</definedName>
    <definedName name="DII_22S">#REF!</definedName>
    <definedName name="DII_23D">#REF!</definedName>
    <definedName name="DII_23J">#REF!</definedName>
    <definedName name="DII_23M">#REF!</definedName>
    <definedName name="DII_23S">#REF!</definedName>
    <definedName name="DII_24D">#REF!</definedName>
    <definedName name="DII_24J">#REF!</definedName>
    <definedName name="DII_24M">#REF!</definedName>
    <definedName name="DII_24S">#REF!</definedName>
    <definedName name="DII_25D">#REF!</definedName>
    <definedName name="DII_25J">#REF!</definedName>
    <definedName name="DII_25M">#REF!</definedName>
    <definedName name="DII_25S">#REF!</definedName>
    <definedName name="DII_87D">#REF!</definedName>
    <definedName name="DII_87J">#REF!</definedName>
    <definedName name="DII_87M">#REF!</definedName>
    <definedName name="DII_87S">#REF!</definedName>
    <definedName name="DII_88D">#REF!</definedName>
    <definedName name="DII_88J">#REF!</definedName>
    <definedName name="DII_88M">#REF!</definedName>
    <definedName name="DII_88S">#REF!</definedName>
    <definedName name="DII_89D">#REF!</definedName>
    <definedName name="DII_89J">#REF!</definedName>
    <definedName name="DII_89M">#REF!</definedName>
    <definedName name="DII_89S">#REF!</definedName>
    <definedName name="DII_90D">#REF!</definedName>
    <definedName name="DII_90J">#REF!</definedName>
    <definedName name="DII_90M">#REF!</definedName>
    <definedName name="DII_90S">#REF!</definedName>
    <definedName name="DII_91D">#REF!</definedName>
    <definedName name="DII_91J">#REF!</definedName>
    <definedName name="DII_91M">#REF!</definedName>
    <definedName name="DII_91S">#REF!</definedName>
    <definedName name="DII_92D">#REF!</definedName>
    <definedName name="DII_92J">#REF!</definedName>
    <definedName name="DII_92M">#REF!</definedName>
    <definedName name="DII_92S">#REF!</definedName>
    <definedName name="DII_93D">#REF!</definedName>
    <definedName name="DII_93J">#REF!</definedName>
    <definedName name="DII_93M">#REF!</definedName>
    <definedName name="DII_93S">#REF!</definedName>
    <definedName name="DII_94D">#REF!</definedName>
    <definedName name="DII_94J">#REF!</definedName>
    <definedName name="DII_94M">#REF!</definedName>
    <definedName name="DII_94S">#REF!</definedName>
    <definedName name="DII_95D">#REF!</definedName>
    <definedName name="DII_95J">#REF!</definedName>
    <definedName name="DII_95M">#REF!</definedName>
    <definedName name="DII_95S">#REF!</definedName>
    <definedName name="DII_96D">#REF!</definedName>
    <definedName name="DII_96J">#REF!</definedName>
    <definedName name="DII_96M">#REF!</definedName>
    <definedName name="DII_96S">#REF!</definedName>
    <definedName name="DII_97D">#REF!</definedName>
    <definedName name="DII_97J">#REF!</definedName>
    <definedName name="DII_97M">#REF!</definedName>
    <definedName name="DII_97S">#REF!</definedName>
    <definedName name="DII_98D">#REF!</definedName>
    <definedName name="DII_98J">#REF!</definedName>
    <definedName name="DII_98M">#REF!</definedName>
    <definedName name="DII_98S">#REF!</definedName>
    <definedName name="DII_99D">#REF!</definedName>
    <definedName name="DII_99J">#REF!</definedName>
    <definedName name="DII_99M">#REF!</definedName>
    <definedName name="DII_99S">#REF!</definedName>
    <definedName name="dii_lt">#REF!</definedName>
    <definedName name="DII_OUT">#REF!</definedName>
    <definedName name="DilShare">#REF!</definedName>
    <definedName name="DilShareG">#REF!</definedName>
    <definedName name="DilShareS">#REF!</definedName>
    <definedName name="diluted_no_shares">#REF!</definedName>
    <definedName name="Dilution">#REF!</definedName>
    <definedName name="Dingzhou_MI">#REF!</definedName>
    <definedName name="dir">#REF!</definedName>
    <definedName name="DisclosuresText">#REF!</definedName>
    <definedName name="Discount">#REF!</definedName>
    <definedName name="Discount_factor">#REF!</definedName>
    <definedName name="discount_rate">#REF!</definedName>
    <definedName name="Discount_year">#REF!</definedName>
    <definedName name="Discount1">#REF!</definedName>
    <definedName name="Discounted_FCFs">#REF!</definedName>
    <definedName name="discountrate">#REF!</definedName>
    <definedName name="DiscoverySize">#REF!</definedName>
    <definedName name="disposal.2000">#REF!</definedName>
    <definedName name="disposal.2001">#REF!</definedName>
    <definedName name="disposal.96">#REF!</definedName>
    <definedName name="disposal.97">#REF!</definedName>
    <definedName name="disposal.98">#REF!</definedName>
    <definedName name="disposal.99">#REF!</definedName>
    <definedName name="Distomon">#REF!</definedName>
    <definedName name="DistomonCapacity">#REF!</definedName>
    <definedName name="div">#REF!</definedName>
    <definedName name="div.2000">#REF!</definedName>
    <definedName name="div.2001">#REF!</definedName>
    <definedName name="div.99">#REF!</definedName>
    <definedName name="div_paid">#REF!</definedName>
    <definedName name="DIV_PD">#REF!</definedName>
    <definedName name="div95a">#REF!</definedName>
    <definedName name="Divestments">#REF!</definedName>
    <definedName name="DIVFULL">#REF!</definedName>
    <definedName name="DivG">#REF!</definedName>
    <definedName name="Dividend_declared">#REF!</definedName>
    <definedName name="Dividend_paid">#REF!</definedName>
    <definedName name="Dividends">#REF!</definedName>
    <definedName name="Dividends_paid_to_minorities">#REF!</definedName>
    <definedName name="DivisPaid">#REF!</definedName>
    <definedName name="DIVP86">#REF!</definedName>
    <definedName name="DIVP87">#REF!</definedName>
    <definedName name="DIVP88">#REF!</definedName>
    <definedName name="DIVP89">#REF!</definedName>
    <definedName name="DIVP90">#REF!</definedName>
    <definedName name="DIVP91">#REF!</definedName>
    <definedName name="DIVP92">#REF!</definedName>
    <definedName name="DIVP93">#REF!</definedName>
    <definedName name="DIVP94">#REF!</definedName>
    <definedName name="DIVP95">#REF!</definedName>
    <definedName name="DIVP96">#REF!</definedName>
    <definedName name="DIVP97">#REF!</definedName>
    <definedName name="DIVP98">#REF!</definedName>
    <definedName name="DIVP99">#REF!</definedName>
    <definedName name="DIVQA">#REF!</definedName>
    <definedName name="DIVQB">#REF!</definedName>
    <definedName name="DivS">#REF!</definedName>
    <definedName name="DIVS01">#REF!</definedName>
    <definedName name="DIVS86">#REF!</definedName>
    <definedName name="DIVS87">#REF!</definedName>
    <definedName name="DIVS88">#REF!</definedName>
    <definedName name="DIVS89">#REF!</definedName>
    <definedName name="DIVS90">#REF!</definedName>
    <definedName name="DIVS91">#REF!</definedName>
    <definedName name="DIVS92">#REF!</definedName>
    <definedName name="DIVS93">#REF!</definedName>
    <definedName name="DIVS94">#REF!</definedName>
    <definedName name="DIVS95">#REF!</definedName>
    <definedName name="DIVS96">#REF!</definedName>
    <definedName name="DIVS97">#REF!</definedName>
    <definedName name="DIVS98">#REF!</definedName>
    <definedName name="DIVS99">#REF!</definedName>
    <definedName name="DLD">#REF!</definedName>
    <definedName name="dmeuro">#REF!</definedName>
    <definedName name="DnA_fore">#REF!</definedName>
    <definedName name="DnA_growth_fore">#REF!</definedName>
    <definedName name="DNB">"TickerRange"</definedName>
    <definedName name="Dobson">#REF!</definedName>
    <definedName name="DOGUB">#REF!</definedName>
    <definedName name="DollarEuro">#REF!</definedName>
    <definedName name="dollb">#REF!</definedName>
    <definedName name="Domestic_price">#REF!</definedName>
    <definedName name="DOMLD">#REF!</definedName>
    <definedName name="Downstream_deprecation">#REF!</definedName>
    <definedName name="Downstream_depreciation">#REF!</definedName>
    <definedName name="Downstream_inflation_uplift">#REF!</definedName>
    <definedName name="Downstream_maintenance_capex">#REF!</definedName>
    <definedName name="DownTrend">#REF!</definedName>
    <definedName name="DPS">#REF!</definedName>
    <definedName name="DPS_Curr_Yr">#REF!</definedName>
    <definedName name="DPS_Lst_Yr">#REF!</definedName>
    <definedName name="dps_mkt">#REF!</definedName>
    <definedName name="DPS_Next_Yr">#REF!</definedName>
    <definedName name="dps_over">#REF!</definedName>
    <definedName name="dps_sum_qtr">#REF!</definedName>
    <definedName name="dps_year_actual">#REF!</definedName>
    <definedName name="dpy">#REF!</definedName>
    <definedName name="drachma">#REF!</definedName>
    <definedName name="drivers1">#REF!</definedName>
    <definedName name="drivers2">#REF!</definedName>
    <definedName name="drivers3">#REF!</definedName>
    <definedName name="Dross_Treat_Cost">#REF!</definedName>
    <definedName name="DS_Area">#REF!</definedName>
    <definedName name="DS_Titles">#REF!</definedName>
    <definedName name="dsa" localSheetId="2" hidden="1">{#N/A,#N/A,FALSE,"Chart 2 by Prop Type"}</definedName>
    <definedName name="dsa" localSheetId="1" hidden="1">{#N/A,#N/A,FALSE,"Chart 2 by Prop Type"}</definedName>
    <definedName name="dsa" hidden="1">{#N/A,#N/A,FALSE,"Chart 2 by Prop Type"}</definedName>
    <definedName name="dsd">#REF!</definedName>
    <definedName name="DSDDE_Path">#REF!</definedName>
    <definedName name="DSIndex_Area">#REF!</definedName>
    <definedName name="DSIndex_Titles">#REF!</definedName>
    <definedName name="DSS" localSheetId="2" hidden="1">{"print STAY opening assumptions",#N/A,FALSE,"STAY Openings";"print STAY openings",#N/A,FALSE,"STAY Openings"}</definedName>
    <definedName name="DSS" localSheetId="1" hidden="1">{"print STAY opening assumptions",#N/A,FALSE,"STAY Openings";"print STAY openings",#N/A,FALSE,"STAY Openings"}</definedName>
    <definedName name="DSS" hidden="1">{"print STAY opening assumptions",#N/A,FALSE,"STAY Openings";"print STAY openings",#N/A,FALSE,"STAY Openings"}</definedName>
    <definedName name="dtd">#REF!</definedName>
    <definedName name="Dubal">#REF!</definedName>
    <definedName name="Dunkirk">#REF!</definedName>
    <definedName name="durifx00">#REF!</definedName>
    <definedName name="durifx01">#REF!</definedName>
    <definedName name="durifx98">#REF!</definedName>
    <definedName name="durifx99">#REF!</definedName>
    <definedName name="durigas00">#REF!</definedName>
    <definedName name="durigas01">#REF!</definedName>
    <definedName name="durigas98">#REF!</definedName>
    <definedName name="durigas99">#REF!</definedName>
    <definedName name="duriopinc00">#REF!</definedName>
    <definedName name="duriopinc01">#REF!</definedName>
    <definedName name="duriopinc98">#REF!</definedName>
    <definedName name="duriopinc99">#REF!</definedName>
    <definedName name="DutyFree">#REF!</definedName>
    <definedName name="DV_weight">#REF!</definedName>
    <definedName name="dwayne">#REF!</definedName>
    <definedName name="E_ALL_000157.SZ">#REF!</definedName>
    <definedName name="E_ALL_001300.KS">#REF!</definedName>
    <definedName name="E_ALL_002008.SZ">#REF!</definedName>
    <definedName name="E_ALL_002050.SZ">#REF!</definedName>
    <definedName name="E_ALL_002179.SZ">#REF!</definedName>
    <definedName name="E_ALL_002202.SZ">#REF!</definedName>
    <definedName name="E_ALL_002202.SZ_SU">#REF!</definedName>
    <definedName name="E_ALL_002518.SZ">#REF!</definedName>
    <definedName name="E_ALL_002527.SZ">#REF!</definedName>
    <definedName name="E_ALL_002747.SZ">#REF!</definedName>
    <definedName name="E_ALL_006400.KS">#REF!</definedName>
    <definedName name="E_ALL_009830.KS">#REF!</definedName>
    <definedName name="E_ALL_010950.KS">#REF!</definedName>
    <definedName name="E_ALL_011170.KS">#REF!</definedName>
    <definedName name="E_ALL_0347.HK">#REF!</definedName>
    <definedName name="E_ALL_0358.HK">#REF!</definedName>
    <definedName name="E_ALL_051910.KS">#REF!</definedName>
    <definedName name="E_ALL_0586.HK">#REF!</definedName>
    <definedName name="E_ALL_0658.HK">#REF!</definedName>
    <definedName name="E_ALL_0669.HK">#REF!</definedName>
    <definedName name="E_ALL_0750.HK">#REF!</definedName>
    <definedName name="E_ALL_078930.KS">#REF!</definedName>
    <definedName name="E_ALL_0956.HK">#REF!</definedName>
    <definedName name="E_ALL_096770.KS">#REF!</definedName>
    <definedName name="E_ALL_1157.HK">#REF!</definedName>
    <definedName name="E_ALL_1193.HK">#REF!</definedName>
    <definedName name="E_ALL_1208.HK">#REF!</definedName>
    <definedName name="E_ALL_1619.HK">#REF!</definedName>
    <definedName name="E_ALL_2208.HK">#REF!</definedName>
    <definedName name="E_ALL_2600.HK">#REF!</definedName>
    <definedName name="E_ALL_300012.SZ">#REF!</definedName>
    <definedName name="E_ALL_300024.SZ">#REF!</definedName>
    <definedName name="E_ALL_300124.SZ">#REF!</definedName>
    <definedName name="E_ALL_300450.SZ">#REF!</definedName>
    <definedName name="E_ALL_300747.SZ">#REF!</definedName>
    <definedName name="E_ALL_300750.SZ">#REF!</definedName>
    <definedName name="E_ALL_3800.HK">#REF!</definedName>
    <definedName name="E_ALL_3993.HK">#REF!</definedName>
    <definedName name="E_ALL_600019.SS">#REF!</definedName>
    <definedName name="E_ALL_600761.SS">#REF!</definedName>
    <definedName name="E_ALL_600885.SS">#REF!</definedName>
    <definedName name="E_ALL_601012.SS">#REF!</definedName>
    <definedName name="E_ALL_603659.SS">#REF!</definedName>
    <definedName name="E_ALL_688686.SS">#REF!</definedName>
    <definedName name="E_ALL_AALI.JK">#REF!</definedName>
    <definedName name="E_ALL_CSIQ">#REF!</definedName>
    <definedName name="E_ALL_FRLD.SI">#REF!</definedName>
    <definedName name="E_ALL_HOLI">#REF!</definedName>
    <definedName name="E_ALL_JASO">#REF!</definedName>
    <definedName name="E_ALL_JKS">#REF!</definedName>
    <definedName name="E_ALL_KEYWORDS_TYPE_ScalarContributed_EQTY_200006225">#REF!,#REF!</definedName>
    <definedName name="E_ALL_KEYWORDS_TYPE_ScalarContributed_EQTY_200006858">#REF!,#REF!</definedName>
    <definedName name="E_ALL_KEYWORDS_TYPE_ScalarContributed_EQTY_200006887">#REF!,#REF!</definedName>
    <definedName name="E_ALL_KEYWORDS_TYPE_ScalarContributed_EQTY_200008521">#REF!,#REF!</definedName>
    <definedName name="E_ALL_KEYWORDS_TYPE_ScalarContributed_EQTY_200009581">#REF!,#REF!</definedName>
    <definedName name="E_ALL_KEYWORDS_TYPE_ScalarContributed_EQTY_200009654">#REF!,#REF!</definedName>
    <definedName name="E_ALL_KEYWORDS_TYPE_ScalarContributed_EQTY_200009655">#REF!,#REF!</definedName>
    <definedName name="E_ALL_KEYWORDS_TYPE_ScalarContributed_EQTY_200009737">#REF!,#REF!</definedName>
    <definedName name="E_ALL_KEYWORDS_TYPE_ScalarContributed_EQTY_200009867">#REF!,#REF!</definedName>
    <definedName name="E_ALL_KEYWORDS_TYPE_ScalarContributed_EQTY_200009998">#REF!,#REF!</definedName>
    <definedName name="E_ALL_KEYWORDS_TYPE_ScalarContributed_EQTY_200010001">#REF!,#REF!</definedName>
    <definedName name="E_ALL_KEYWORDS_TYPE_ScalarContributed_EQTY_200011150">#REF!,#REF!</definedName>
    <definedName name="E_ALL_KEYWORDS_TYPE_ScalarContributed_EQTY_200011151">#REF!,#REF!</definedName>
    <definedName name="E_ALL_KEYWORDS_TYPE_ScalarContributed_EQTY_200011619">#REF!,#REF!</definedName>
    <definedName name="E_ALL_KEYWORDS_TYPE_ScalarContributed_EQTY_200012041">#REF!,#REF!</definedName>
    <definedName name="E_ALL_KEYWORDS_TYPE_ScalarContributed_EQTY_200012053">#REF!,#REF!</definedName>
    <definedName name="E_ALL_KEYWORDS_TYPE_ScalarContributed_EQTY_200012667">#REF!,#REF!</definedName>
    <definedName name="E_ALL_KEYWORDS_TYPE_ScalarContributed_EQTY_200012890">#REF!,#REF!</definedName>
    <definedName name="E_ALL_KEYWORDS_TYPE_ScalarContributed_EQTY_200013639">#REF!,#REF!</definedName>
    <definedName name="E_ALL_KEYWORDS_TYPE_ScalarContributed_EQTY_200015601">#REF!,#REF!</definedName>
    <definedName name="E_ALL_KEYWORDS_TYPE_ScalarContributed_EQTY_200015873">#REF!,#REF!</definedName>
    <definedName name="E_ALL_KEYWORDS_TYPE_ScalarContributed_EQTY_200016577">#REF!,#REF!</definedName>
    <definedName name="E_ALL_KEYWORDS_TYPE_ScalarContributed_EQTY_200016618">#REF!,#REF!</definedName>
    <definedName name="E_ALL_KEYWORDS_TYPE_ScalarContributed_EQTY_200016905">#REF!,#REF!</definedName>
    <definedName name="E_ALL_KEYWORDS_TYPE_ScalarContributed_EQTY_200018294">#REF!,#REF!</definedName>
    <definedName name="E_ALL_KEYWORDS_TYPE_ScalarContributed_ISSR_208001579">#REF!,#REF!</definedName>
    <definedName name="E_ALL_KEYWORDS_TYPE_ScalarContributed_ISSR_208002524">#REF!,#REF!</definedName>
    <definedName name="E_ALL_KEYWORDS_TYPE_ScalarContributed_ISSR_208007494">#REF!,#REF!</definedName>
    <definedName name="E_ALL_KEYWORDS_TYPE_ScalarContributed_ISSR_208008538">#REF!,#REF!</definedName>
    <definedName name="E_ALL_KEYWORDS_TYPE_ScalarContributed_ISSR_208008539">#REF!,#REF!</definedName>
    <definedName name="E_ALL_KEYWORDS_TYPE_ScalarReference_ISSR_208010545">#REF!</definedName>
    <definedName name="E_ALL_KEYWORDS_TYPE_Vector_EQTY_200005264">#REF!,#REF!,#REF!,#REF!,#REF!</definedName>
    <definedName name="E_ALL_KEYWORDS_TYPE_Vector_EQTY_200005566">#REF!,#REF!,#REF!,#REF!,#REF!</definedName>
    <definedName name="E_ALL_KEYWORDS_TYPE_Vector_EQTY_200006225">#REF!,#REF!,#REF!,#REF!,#REF!</definedName>
    <definedName name="E_ALL_KEYWORDS_TYPE_Vector_EQTY_200006858">#REF!,#REF!,#REF!,#REF!,#REF!</definedName>
    <definedName name="E_ALL_KEYWORDS_TYPE_Vector_EQTY_200006887">#REF!,#REF!,#REF!,#REF!,#REF!</definedName>
    <definedName name="E_ALL_KEYWORDS_TYPE_Vector_EQTY_200007026">#REF!,#REF!,#REF!,#REF!,#REF!</definedName>
    <definedName name="E_ALL_KEYWORDS_TYPE_Vector_EQTY_200007202">#REF!,#REF!,#REF!,#REF!,#REF!</definedName>
    <definedName name="E_ALL_KEYWORDS_TYPE_Vector_EQTY_200008494">#REF!,#REF!,#REF!,#REF!,#REF!</definedName>
    <definedName name="E_ALL_KEYWORDS_TYPE_Vector_EQTY_200008521">#REF!,#REF!,#REF!,#REF!,#REF!</definedName>
    <definedName name="E_ALL_KEYWORDS_TYPE_Vector_EQTY_200009581">#REF!,#REF!,#REF!,#REF!,#REF!</definedName>
    <definedName name="E_ALL_KEYWORDS_TYPE_Vector_EQTY_200009654">#REF!,#REF!,#REF!,#REF!,#REF!</definedName>
    <definedName name="E_ALL_KEYWORDS_TYPE_Vector_EQTY_200009655">#REF!,#REF!,#REF!,#REF!,#REF!</definedName>
    <definedName name="E_ALL_KEYWORDS_TYPE_Vector_EQTY_200009737">#REF!,#REF!,#REF!,#REF!,#REF!</definedName>
    <definedName name="E_ALL_KEYWORDS_TYPE_Vector_EQTY_200009867">#REF!,#REF!,#REF!,#REF!,#REF!</definedName>
    <definedName name="E_ALL_KEYWORDS_TYPE_Vector_EQTY_200011150">#REF!,#REF!,#REF!,#REF!,#REF!,#REF!</definedName>
    <definedName name="E_ALL_KEYWORDS_TYPE_Vector_EQTY_200011151">#REF!,#REF!,#REF!,#REF!,#REF!,#REF!</definedName>
    <definedName name="E_ALL_KEYWORDS_TYPE_Vector_EQTY_200012554">#REF!,#REF!,#REF!,#REF!,#REF!</definedName>
    <definedName name="E_ALL_KEYWORDS_TYPE_Vector_EQTY_200012667">#REF!,#REF!,#REF!,#REF!,#REF!,#REF!</definedName>
    <definedName name="E_ALL_KEYWORDS_TYPE_Vector_EQTY_200015216">#REF!,#REF!,#REF!,#REF!,#REF!,#REF!</definedName>
    <definedName name="E_ALL_KEYWORDS_TYPE_Vector_EQTY_200015601">#REF!,#REF!,#REF!,#REF!,#REF!</definedName>
    <definedName name="E_ALL_KEYWORDS_TYPE_Vector_EQTY_200015873">#REF!,#REF!,#REF!,#REF!,#REF!</definedName>
    <definedName name="E_ALL_KEYWORDS_TYPE_Vector_EQTY_200016577">#REF!,#REF!,#REF!,#REF!,#REF!</definedName>
    <definedName name="E_ALL_KEYWORDS_TYPE_Vector_EQTY_200016618">#REF!,#REF!,#REF!,#REF!,#REF!</definedName>
    <definedName name="E_ALL_KEYWORDS_TYPE_Vector_EQTY_200016786">#REF!,#REF!,#REF!,#REF!,#REF!</definedName>
    <definedName name="E_ALL_KEYWORDS_TYPE_Vector_EQTY_200018291">#REF!,#REF!,#REF!,#REF!,#REF!,#REF!</definedName>
    <definedName name="E_ALL_KEYWORDS_TYPE_Vector_ISSR_208001579">#REF!,#REF!,#REF!,#REF!,#REF!,#REF!,#REF!,#REF!,#REF!,#REF!,#REF!,#REF!,#REF!,#REF!</definedName>
    <definedName name="E_ALL_SECTION_KEYWORDS_EQTY_200013639_1314">#REF!</definedName>
    <definedName name="E_ALL_SECTION_KEYWORDS_EQTY_200013639_131E">#REF!</definedName>
    <definedName name="E_ALL_SECTION_KEYWORDS_EQTY_200013639_131O">#REF!</definedName>
    <definedName name="E_ALL_SECTION_KEYWORDS_EQTY_200013639_13A">#REF!</definedName>
    <definedName name="E_ALL_SECTION_KEYWORDS_EQTY_200013639_13K">#REF!</definedName>
    <definedName name="E_ALL_SECTION_KEYWORDS_EQTY_200013639_13U">#REF!</definedName>
    <definedName name="E_ALL_SECTION_KEYWORDS_EQTY_200013639_13V">#REF!</definedName>
    <definedName name="E_ALL_SECTION_KEYWORDS_EQTY_200013639_Reference_Data">#REF!</definedName>
    <definedName name="E_ALL_SECTION_KEYWORDS_EQTY_200018294_13A">#REF!</definedName>
    <definedName name="E_ALL_SECTION_KEYWORDS_ISSR_208001154_13V">#REF!,#REF!</definedName>
    <definedName name="E_ALL_SECTION_KEYWORDS_ISSR_208001156_13A">#REF!,#REF!</definedName>
    <definedName name="E_ALL_SECTION_KEYWORDS_ISSR_208001156_13V">#REF!,#REF!</definedName>
    <definedName name="E_ALL_SECTION_KEYWORDS_ISSR_208001501_136E">#REF!,#REF!</definedName>
    <definedName name="E_ALL_SECTION_KEYWORDS_ISSR_208001501_13A">#REF!,#REF!</definedName>
    <definedName name="E_ALL_SECTION_KEYWORDS_ISSR_208001501_13V">#REF!,#REF!</definedName>
    <definedName name="E_ALL_SECTION_KEYWORDS_ISSR_208001579_136E">#REF!,#REF!</definedName>
    <definedName name="E_ALL_SECTION_KEYWORDS_ISSR_208001579_13A">#REF!,#REF!</definedName>
    <definedName name="E_ALL_SECTION_KEYWORDS_ISSR_208001579_13V">#REF!,#REF!</definedName>
    <definedName name="E_ALL_SECTION_KEYWORDS_ISSR_208002524_13V">#REF!,#REF!</definedName>
    <definedName name="E_ALL_SECTION_KEYWORDS_ISSR_208007494_136E">#REF!,#REF!</definedName>
    <definedName name="E_ALL_SECTION_KEYWORDS_ISSR_208007494_13A">#REF!,#REF!</definedName>
    <definedName name="E_ALL_SECTION_KEYWORDS_ISSR_208007494_13V">#REF!,#REF!</definedName>
    <definedName name="E_ALL_SECTION_KEYWORDS_ISSR_208010545_13168">#REF!</definedName>
    <definedName name="E_ALL_SECTION_KEYWORDS_ISSR_208010545_1316S">#REF!</definedName>
    <definedName name="E_ALL_SECTION_KEYWORDS_ISSR_208010545_1316T">#REF!</definedName>
    <definedName name="E_ALL_SECTION_KEYWORDS_ISSR_208010545_1316U">#REF!</definedName>
    <definedName name="E_ALL_SECTION_KEYWORDS_ISSR_208010545_1319">#REF!</definedName>
    <definedName name="E_ALL_SECTION_KEYWORDS_ISSR_208010545_131E">#REF!</definedName>
    <definedName name="E_ALL_SECTION_KEYWORDS_ISSR_208010545_131J">#REF!</definedName>
    <definedName name="E_ALL_SECTION_KEYWORDS_ISSR_208010545_131O">#REF!</definedName>
    <definedName name="E_ALL_SECTION_KEYWORDS_ISSR_208010545_13U">#REF!</definedName>
    <definedName name="E_ALL_SECTION_KEYWORDS_ISSR_208010545_13V">#REF!</definedName>
    <definedName name="E_ALL_SECTION_KEYWORDS_ISSR_208010545_Reference_Data">#REF!</definedName>
    <definedName name="E_ALL_SECTION_KEYWORDS_ISSR_208014816_13168">#REF!</definedName>
    <definedName name="E_ALL_SECTION_KEYWORDS_ISSR_208014816_1319">#REF!</definedName>
    <definedName name="E_ALL_SECTION_KEYWORDS_ISSR_208016097_13V">#REF!,#REF!</definedName>
    <definedName name="E_ALL_SECTION_KEYWORDS_ISSR_208016100_13168">#REF!</definedName>
    <definedName name="E_ALL_SECTION_KEYWORDS_ISSR_208016100_136E">#REF!,#REF!</definedName>
    <definedName name="E_ALL_SECTIONS_EQTY_200006225">#REF!,#REF!,#REF!,#REF!,#REF!,#REF!,#REF!,#REF!</definedName>
    <definedName name="E_ALL_SECTIONS_EQTY_200006858">#REF!,#REF!,#REF!,#REF!,#REF!,#REF!,#REF!,#REF!</definedName>
    <definedName name="E_ALL_SECTIONS_EQTY_200006887">#REF!,#REF!,#REF!,#REF!,#REF!,#REF!,#REF!,#REF!</definedName>
    <definedName name="E_ALL_SECTIONS_EQTY_200007202">#REF!,#REF!,#REF!,#REF!,#REF!,#REF!,#REF!,#REF!</definedName>
    <definedName name="E_ALL_SECTIONS_EQTY_200008521">#REF!,#REF!,#REF!,#REF!,#REF!,#REF!,#REF!,#REF!</definedName>
    <definedName name="E_ALL_SECTIONS_EQTY_200009581">#REF!,#REF!,#REF!,#REF!,#REF!,#REF!,#REF!,#REF!</definedName>
    <definedName name="E_ALL_SECTIONS_EQTY_200009654">#REF!,#REF!,#REF!,#REF!,#REF!,#REF!,#REF!,#REF!</definedName>
    <definedName name="E_ALL_SECTIONS_EQTY_200009655">#REF!,#REF!,#REF!,#REF!,#REF!,#REF!,#REF!,#REF!</definedName>
    <definedName name="E_ALL_SECTIONS_EQTY_200009867">#REF!,#REF!,#REF!,#REF!,#REF!,#REF!,#REF!,#REF!</definedName>
    <definedName name="E_ALL_SECTIONS_EQTY_200009998">#REF!,#REF!,#REF!,#REF!,#REF!,#REF!,#REF!,#REF!,#REF!</definedName>
    <definedName name="E_ALL_SECTIONS_EQTY_200010001">#REF!,#REF!,#REF!,#REF!,#REF!,#REF!,#REF!,#REF!,#REF!</definedName>
    <definedName name="E_ALL_SECTIONS_EQTY_200011150">#REF!,#REF!,#REF!,#REF!,#REF!,#REF!,#REF!,#REF!,#REF!</definedName>
    <definedName name="E_ALL_SECTIONS_EQTY_200011151">#REF!,#REF!,#REF!,#REF!,#REF!,#REF!,#REF!,#REF!,#REF!</definedName>
    <definedName name="E_ALL_SECTIONS_EQTY_200012667">#REF!,#REF!,#REF!,#REF!,#REF!,#REF!,#REF!,#REF!,#REF!</definedName>
    <definedName name="E_ALL_SECTIONS_EQTY_200012890">#REF!,#REF!,#REF!,#REF!,#REF!,#REF!,#REF!,#REF!,#REF!</definedName>
    <definedName name="E_ALL_SECTIONS_EQTY_200015873">#REF!,#REF!,#REF!,#REF!,#REF!,#REF!,#REF!,#REF!</definedName>
    <definedName name="E_ALL_SECTIONS_EQTY_200016577">#REF!,#REF!,#REF!,#REF!,#REF!,#REF!,#REF!,#REF!</definedName>
    <definedName name="E_ALL_SECTIONS_EQTY_200016618">#REF!,#REF!,#REF!,#REF!,#REF!,#REF!,#REF!,#REF!</definedName>
    <definedName name="E_ALL_SECTIONS_ISSR_208008538">#REF!,#REF!,#REF!,#REF!,#REF!,#REF!,#REF!,#REF!,#REF!,#REF!</definedName>
    <definedName name="E_ALL_SECTIONS_ISSR_208008539">#REF!,#REF!,#REF!,#REF!,#REF!,#REF!,#REF!,#REF!,#REF!,#REF!</definedName>
    <definedName name="E_ALL_SECTIONS_ISSR_208009120">#REF!,#REF!,#REF!,#REF!,#REF!,#REF!,#REF!,#REF!,#REF!,#REF!</definedName>
    <definedName name="E_ALL_SECTIONS_ISSR_208009639">#REF!,#REF!,#REF!,#REF!,#REF!,#REF!,#REF!,#REF!,#REF!</definedName>
    <definedName name="E_ALL_SECTIONS_ISSR_208009891">#REF!,#REF!,#REF!,#REF!,#REF!,#REF!,#REF!,#REF!,#REF!</definedName>
    <definedName name="E_ALL_SECTIONS_ISSR_208012783">#REF!,#REF!,#REF!,#REF!,#REF!,#REF!,#REF!,#REF!,#REF!</definedName>
    <definedName name="E_ALL_YGE">#REF!</definedName>
    <definedName name="E_CURRENCY_EQTY_200001447_PRI">#REF!</definedName>
    <definedName name="E_CURRENCY_EQTY_200001447_PUB">#REF!</definedName>
    <definedName name="E_CURRENCY_EQTY_200001447_REP">#REF!</definedName>
    <definedName name="E_CURRENCY_EQTY_200002809_PRI">#REF!</definedName>
    <definedName name="E_CURRENCY_EQTY_200002809_PUB">#REF!</definedName>
    <definedName name="E_CURRENCY_EQTY_200002809_REP">#REF!</definedName>
    <definedName name="E_CURRENCY_EQTY_200003565_PRI">#REF!</definedName>
    <definedName name="E_CURRENCY_EQTY_200003565_PUB">#REF!</definedName>
    <definedName name="E_CURRENCY_EQTY_200003565_REP">#REF!</definedName>
    <definedName name="E_CURRENCY_EQTY_200006225_PRI">#REF!</definedName>
    <definedName name="E_CURRENCY_EQTY_200006225_PUB">#REF!</definedName>
    <definedName name="E_CURRENCY_EQTY_200006225_REP">#REF!</definedName>
    <definedName name="E_CURRENCY_EQTY_200006858_PRI">#REF!</definedName>
    <definedName name="E_CURRENCY_EQTY_200006858_PUB">#REF!</definedName>
    <definedName name="E_CURRENCY_EQTY_200006858_REP">#REF!</definedName>
    <definedName name="E_CURRENCY_EQTY_200006887_PRI">#REF!</definedName>
    <definedName name="E_CURRENCY_EQTY_200006887_PUB">#REF!</definedName>
    <definedName name="E_CURRENCY_EQTY_200006887_REP">#REF!</definedName>
    <definedName name="E_CURRENCY_EQTY_200007202_PRI">#REF!</definedName>
    <definedName name="E_CURRENCY_EQTY_200007202_PUB">#REF!</definedName>
    <definedName name="E_CURRENCY_EQTY_200007202_REP">#REF!</definedName>
    <definedName name="E_CURRENCY_EQTY_200008521_PRI">#REF!</definedName>
    <definedName name="E_CURRENCY_EQTY_200008521_PUB">#REF!</definedName>
    <definedName name="E_CURRENCY_EQTY_200008521_REP">#REF!</definedName>
    <definedName name="E_CURRENCY_EQTY_200009581_PRI">#REF!</definedName>
    <definedName name="E_CURRENCY_EQTY_200009581_PUB">#REF!</definedName>
    <definedName name="E_CURRENCY_EQTY_200009581_REP">#REF!</definedName>
    <definedName name="E_CURRENCY_EQTY_200009654_PRI">#REF!</definedName>
    <definedName name="E_CURRENCY_EQTY_200009654_PUB">#REF!</definedName>
    <definedName name="E_CURRENCY_EQTY_200009654_REP">#REF!</definedName>
    <definedName name="E_CURRENCY_EQTY_200009655_PRI">#REF!</definedName>
    <definedName name="E_CURRENCY_EQTY_200009655_PUB">#REF!</definedName>
    <definedName name="E_CURRENCY_EQTY_200009655_REP">#REF!</definedName>
    <definedName name="E_CURRENCY_EQTY_200009867_PRI">#REF!</definedName>
    <definedName name="E_CURRENCY_EQTY_200009867_PUB">#REF!</definedName>
    <definedName name="E_CURRENCY_EQTY_200009867_REP">#REF!</definedName>
    <definedName name="E_CURRENCY_EQTY_200009998_PRI">#REF!</definedName>
    <definedName name="E_CURRENCY_EQTY_200009998_PUB">#REF!</definedName>
    <definedName name="E_CURRENCY_EQTY_200009998_REP">#REF!</definedName>
    <definedName name="E_CURRENCY_EQTY_200010001_PRI">#REF!</definedName>
    <definedName name="E_CURRENCY_EQTY_200010001_PUB">#REF!</definedName>
    <definedName name="E_CURRENCY_EQTY_200010001_REP">#REF!</definedName>
    <definedName name="E_CURRENCY_EQTY_200011619_PRI">#REF!</definedName>
    <definedName name="E_CURRENCY_EQTY_200011619_PUB">#REF!</definedName>
    <definedName name="E_CURRENCY_EQTY_200011619_REP">#REF!</definedName>
    <definedName name="E_CURRENCY_EQTY_200012041_PRI">#REF!</definedName>
    <definedName name="E_CURRENCY_EQTY_200012041_PUB">#REF!</definedName>
    <definedName name="E_CURRENCY_EQTY_200012041_REP">#REF!</definedName>
    <definedName name="E_CURRENCY_EQTY_200012053_PRI">#REF!</definedName>
    <definedName name="E_CURRENCY_EQTY_200012053_PUB">#REF!</definedName>
    <definedName name="E_CURRENCY_EQTY_200012053_REP">#REF!</definedName>
    <definedName name="E_CURRENCY_EQTY_200012667_PRI">#REF!</definedName>
    <definedName name="E_CURRENCY_EQTY_200012667_PUB">#REF!</definedName>
    <definedName name="E_CURRENCY_EQTY_200012667_REP">#REF!</definedName>
    <definedName name="E_CURRENCY_EQTY_200012890_PRI">#REF!</definedName>
    <definedName name="E_CURRENCY_EQTY_200012890_PUB">#REF!</definedName>
    <definedName name="E_CURRENCY_EQTY_200012890_REP">#REF!</definedName>
    <definedName name="E_CURRENCY_EQTY_200013639_PRI">#REF!</definedName>
    <definedName name="E_CURRENCY_EQTY_200013639_PUB">#REF!</definedName>
    <definedName name="E_CURRENCY_EQTY_200013639_REP">#REF!</definedName>
    <definedName name="E_CURRENCY_EQTY_200015601_PRI">#REF!</definedName>
    <definedName name="E_CURRENCY_EQTY_200015601_PUB">#REF!</definedName>
    <definedName name="E_CURRENCY_EQTY_200015601_REP">#REF!</definedName>
    <definedName name="E_CURRENCY_EQTY_200016577_PRI">#REF!</definedName>
    <definedName name="E_CURRENCY_EQTY_200016577_PUB">#REF!</definedName>
    <definedName name="E_CURRENCY_EQTY_200016577_REP">#REF!</definedName>
    <definedName name="E_CURRENCY_EQTY_200016618_PRI">#REF!</definedName>
    <definedName name="E_CURRENCY_EQTY_200016618_PUB">#REF!</definedName>
    <definedName name="E_CURRENCY_EQTY_200016618_REP">#REF!</definedName>
    <definedName name="E_CURRENCY_EQTY_200017304_PRI">#REF!</definedName>
    <definedName name="E_CURRENCY_EQTY_200017304_PUB">#REF!</definedName>
    <definedName name="E_CURRENCY_EQTY_200017304_REP">#REF!</definedName>
    <definedName name="E_CURRENCY_ISSR_208002283_REP">#REF!</definedName>
    <definedName name="E_CURRENCY_ISSR_208002314_REP">#REF!</definedName>
    <definedName name="E_CURRENCY_ISSR_208002770_REP">#REF!</definedName>
    <definedName name="E_CURRENCY_ISSR_208003285_REP">#REF!</definedName>
    <definedName name="E_CURRENCY_ISSR_208007438_REP">#REF!</definedName>
    <definedName name="E_CURRENCY_ISSR_208007439_REP">#REF!</definedName>
    <definedName name="E_CURRENCY_ISSR_208007614_REP">#REF!</definedName>
    <definedName name="E_CURRENCY_ISSR_208007718_REP">#REF!</definedName>
    <definedName name="E_CURRENCY_ISSR_208007721_REP">#REF!</definedName>
    <definedName name="E_CURRENCY_ISSR_208008849_REP">#REF!</definedName>
    <definedName name="E_CURRENCY_ISSR_208009114_REP">#REF!</definedName>
    <definedName name="E_CURRENCY_ISSR_208009120_REP">#REF!</definedName>
    <definedName name="E_CURRENCY_ISSR_208009639_REP">#REF!</definedName>
    <definedName name="E_CURRENCY_ISSR_208009891_REP">#REF!</definedName>
    <definedName name="E_CURRENCY_ISSR_208010545_REP">#REF!</definedName>
    <definedName name="E_CURRENCY_ISSR_208012475_REP">#REF!</definedName>
    <definedName name="E_CURRENCY_ISSR_208013601_REP">#REF!</definedName>
    <definedName name="E_CURRENCY_ISSR_208013633_REP">#REF!</definedName>
    <definedName name="E_CURRENCY_ISSR_208014784_REP">#REF!</definedName>
    <definedName name="E_KEYWORD_EQTY_200013639_AEJ_CONVICTION">#REF!</definedName>
    <definedName name="E_KEYWORD_EQTY_200013639_AEJ_LIST">#REF!</definedName>
    <definedName name="E_KEYWORD_EQTY_200013639_BETA_ANALYST">#REF!</definedName>
    <definedName name="E_KEYWORD_EQTY_200013639_BVPS">#REF!</definedName>
    <definedName name="E_KEYWORD_EQTY_200013639_BVPS_PUB">#REF!</definedName>
    <definedName name="E_KEYWORD_EQTY_200013639_CATALYST1_DATE">#REF!</definedName>
    <definedName name="E_KEYWORD_EQTY_200013639_CATALYST1_EVENT">#REF!</definedName>
    <definedName name="E_KEYWORD_EQTY_200013639_CATALYST2_DATE">#REF!</definedName>
    <definedName name="E_KEYWORD_EQTY_200013639_CATALYST2_EVENT">#REF!</definedName>
    <definedName name="E_KEYWORD_EQTY_200013639_CATALYST3_DATE">#REF!</definedName>
    <definedName name="E_KEYWORD_EQTY_200013639_CATALYST3_EVENT">#REF!</definedName>
    <definedName name="E_KEYWORD_EQTY_200013639_CATALYST4_DATE">#REF!</definedName>
    <definedName name="E_KEYWORD_EQTY_200013639_CATALYST4_EVENT">#REF!</definedName>
    <definedName name="E_KEYWORD_EQTY_200013639_CATALYST5_DATE">#REF!</definedName>
    <definedName name="E_KEYWORD_EQTY_200013639_CATALYST5_EVENT">#REF!</definedName>
    <definedName name="E_KEYWORD_EQTY_200013639_CF_NI_PRE_PREF">#REF!</definedName>
    <definedName name="E_KEYWORD_EQTY_200013639_COMMON_DIV_PAID">#REF!</definedName>
    <definedName name="E_KEYWORD_EQTY_200013639_CURRENCY_ISO">#REF!</definedName>
    <definedName name="E_KEYWORD_EQTY_200013639_DILUTE_SHARES">#REF!</definedName>
    <definedName name="E_KEYWORD_EQTY_200013639_DPS">#REF!</definedName>
    <definedName name="E_KEYWORD_EQTY_200013639_DPS_PUB">#REF!</definedName>
    <definedName name="E_KEYWORD_EQTY_200013639_EBIT_PUB">#REF!</definedName>
    <definedName name="E_KEYWORD_EQTY_200013639_EBITDA_PUB">#REF!</definedName>
    <definedName name="E_KEYWORD_EQTY_200013639_EPS">#REF!</definedName>
    <definedName name="E_KEYWORD_EQTY_200013639_EPS_CONS_PUB">#REF!</definedName>
    <definedName name="E_KEYWORD_EQTY_200013639_EPS_FUL_DIL">#REF!</definedName>
    <definedName name="E_KEYWORD_EQTY_200013639_EPS_POST_BASIC">#REF!</definedName>
    <definedName name="E_KEYWORD_EQTY_200013639_EPS_PUB">#REF!</definedName>
    <definedName name="E_KEYWORD_EQTY_200013639_EQ_PUB">#REF!</definedName>
    <definedName name="E_KEYWORD_EQTY_200013639_EV_ADJ_PUB">#REF!</definedName>
    <definedName name="E_KEYWORD_EQTY_200013639_FOREIGN_HOLDNG">#REF!</definedName>
    <definedName name="E_KEYWORD_EQTY_200013639_FREE_FLOAT">#REF!</definedName>
    <definedName name="E_KEYWORD_EQTY_200013639_FULLY_DIL_EPS">#REF!</definedName>
    <definedName name="E_KEYWORD_EQTY_200013639_INC_MINORITY">#REF!</definedName>
    <definedName name="E_KEYWORD_EQTY_200013639_Interim_Type">#REF!</definedName>
    <definedName name="E_KEYWORD_EQTY_200013639_LEGAL_RATING">#REF!</definedName>
    <definedName name="E_KEYWORD_EQTY_200013639_MARGIN_TAX_RATE">#REF!</definedName>
    <definedName name="E_KEYWORD_EQTY_200013639_MKT_EQ_RISK_PREM">#REF!</definedName>
    <definedName name="E_KEYWORD_EQTY_200013639_NET_DEBT_PUB">#REF!</definedName>
    <definedName name="E_KEYWORD_EQTY_200013639_NET_EARNING">#REF!</definedName>
    <definedName name="E_KEYWORD_EQTY_200013639_NET_INC">#REF!</definedName>
    <definedName name="E_KEYWORD_EQTY_200013639_NI_CONS">#REF!</definedName>
    <definedName name="E_KEYWORD_EQTY_200013639_NI_PRE_PREF">#REF!</definedName>
    <definedName name="E_KEYWORD_EQTY_200013639_NI_PUB">#REF!</definedName>
    <definedName name="E_KEYWORD_EQTY_200013639_NON_OP_ADD">#REF!</definedName>
    <definedName name="E_KEYWORD_EQTY_200013639_NUM_SH">#REF!</definedName>
    <definedName name="E_KEYWORD_EQTY_200013639_PREF_DIV">#REF!</definedName>
    <definedName name="E_KEYWORD_EQTY_200013639_PRI_TARG_METH">#REF!</definedName>
    <definedName name="E_KEYWORD_EQTY_200013639_PRI_TARG_MULT">#REF!</definedName>
    <definedName name="E_KEYWORD_EQTY_200013639_PRICE_CURRENCY_ISO">#REF!</definedName>
    <definedName name="E_KEYWORD_EQTY_200013639_PROV_INC_TAX">#REF!</definedName>
    <definedName name="E_KEYWORD_EQTY_200013639_PTP_PUB">#REF!</definedName>
    <definedName name="E_KEYWORD_EQTY_200013639_PUB_CURRENCY_ISO">#REF!</definedName>
    <definedName name="E_KEYWORD_EQTY_200013639_REVS_PUB">#REF!</definedName>
    <definedName name="E_KEYWORD_EQTY_200013639_RISK_FR_RATE">#REF!</definedName>
    <definedName name="E_KEYWORD_EQTY_200013639_Security_Name">#REF!</definedName>
    <definedName name="E_KEYWORD_EQTY_200013639_SH">#REF!</definedName>
    <definedName name="E_KEYWORD_EQTY_200013639_TARGET_PRICE">#REF!</definedName>
    <definedName name="E_KEYWORD_EQTY_200013639_TAX_EXC">#REF!</definedName>
    <definedName name="E_KEYWORD_EQTY_200013639_Ticker">#REF!</definedName>
    <definedName name="E_KEYWORD_EQTY_200013639_TP_PERIOD">#REF!</definedName>
    <definedName name="E_KEYWORD_ISSR_208010545_ACC_AMORT">#REF!</definedName>
    <definedName name="E_KEYWORD_ISSR_208010545_ACC_DDA">#REF!</definedName>
    <definedName name="E_KEYWORD_ISSR_208010545_ACC_END_DATE">#REF!</definedName>
    <definedName name="E_KEYWORD_ISSR_208010545_ACC_PAY_GQ">#REF!</definedName>
    <definedName name="E_KEYWORD_ISSR_208010545_ACQ">#REF!</definedName>
    <definedName name="E_KEYWORD_ISSR_208010545_ADJ_UNF_PENS_GOOD">#REF!</definedName>
    <definedName name="E_KEYWORD_ISSR_208010545_ASSOC_JV_ADDBK">#REF!</definedName>
    <definedName name="E_KEYWORD_ISSR_208010545_ASSOCIATE">#REF!</definedName>
    <definedName name="E_KEYWORD_ISSR_208010545_ASSOCIATE_OP">#REF!</definedName>
    <definedName name="E_KEYWORD_ISSR_208010545_BAL_MINO_INT">#REF!</definedName>
    <definedName name="E_KEYWORD_ISSR_208010545_CAP_LEASES">#REF!</definedName>
    <definedName name="E_KEYWORD_ISSR_208010545_CAPEX">#REF!</definedName>
    <definedName name="E_KEYWORD_ISSR_208010545_CAPEX_EXPANSION">#REF!</definedName>
    <definedName name="E_KEYWORD_ISSR_208010545_CAPEX_MAINTENANCE">#REF!</definedName>
    <definedName name="E_KEYWORD_ISSR_208010545_CASH_EQ">#REF!</definedName>
    <definedName name="E_KEYWORD_ISSR_208010545_CASH_INT_EXP">#REF!</definedName>
    <definedName name="E_KEYWORD_ISSR_208010545_CASH_TAX_EXP">#REF!</definedName>
    <definedName name="E_KEYWORD_ISSR_208010545_CF_FIN">#REF!</definedName>
    <definedName name="E_KEYWORD_ISSR_208010545_CF_INC_MINORITY">#REF!</definedName>
    <definedName name="E_KEYWORD_ISSR_208010545_CF_INV">#REF!</definedName>
    <definedName name="E_KEYWORD_ISSR_208010545_CF_OPS">#REF!</definedName>
    <definedName name="E_KEYWORD_ISSR_208010545_CHG_LT_DEBT">#REF!</definedName>
    <definedName name="E_KEYWORD_ISSR_208010545_CO_BOR_MARGIN">#REF!</definedName>
    <definedName name="E_KEYWORD_ISSR_208010545_CONTRIB_MARGIN_RATIO">#REF!</definedName>
    <definedName name="E_KEYWORD_ISSR_208010545_COST_GD_SD">#REF!</definedName>
    <definedName name="E_KEYWORD_ISSR_208010545_CUR_ASS">#REF!</definedName>
    <definedName name="E_KEYWORD_ISSR_208010545_CURRENCY_ISO">#REF!</definedName>
    <definedName name="E_KEYWORD_ISSR_208010545_DEBTORS">#REF!</definedName>
    <definedName name="E_KEYWORD_ISSR_208010545_DEF_INC_TAX">#REF!</definedName>
    <definedName name="E_KEYWORD_ISSR_208010545_DEPR_AMORT">#REF!</definedName>
    <definedName name="E_KEYWORD_ISSR_208010545_DEPREC">#REF!</definedName>
    <definedName name="E_KEYWORD_ISSR_208010545_DIV_PAID">#REF!</definedName>
    <definedName name="E_KEYWORD_ISSR_208010545_DIVDS_ASSOC_JV">#REF!</definedName>
    <definedName name="E_KEYWORD_ISSR_208010545_DIVDS_PD_MINORITIES">#REF!</definedName>
    <definedName name="E_KEYWORD_ISSR_208010545_DIVEST">#REF!</definedName>
    <definedName name="E_KEYWORD_ISSR_208010545_EBIT">#REF!</definedName>
    <definedName name="E_KEYWORD_ISSR_208010545_EBITDA_CALC">#REF!</definedName>
    <definedName name="E_KEYWORD_ISSR_208010545_EMPLOYEES">#REF!</definedName>
    <definedName name="E_KEYWORD_ISSR_208010545_EQ">#REF!</definedName>
    <definedName name="E_KEYWORD_ISSR_208010545_EXP_COAL_MET">#REF!</definedName>
    <definedName name="E_KEYWORD_ISSR_208010545_EXP_COAL_THERMAL">#REF!</definedName>
    <definedName name="E_KEYWORD_ISSR_208010545_EXP_NAT_GAS">#REF!</definedName>
    <definedName name="E_KEYWORD_ISSR_208010545_EXP_OIL_DERIV_NGLS_PLASTICS">#REF!</definedName>
    <definedName name="E_KEYWORD_ISSR_208010545_EXP_OIL_PETRO_FUEL">#REF!</definedName>
    <definedName name="E_KEYWORD_ISSR_208010545_EXP_OTH_COMMODITY">#REF!</definedName>
    <definedName name="E_KEYWORD_ISSR_208010545_EXP_OTH_COST">#REF!</definedName>
    <definedName name="E_KEYWORD_ISSR_208010545_EXP_WATER">#REF!</definedName>
    <definedName name="E_KEYWORD_ISSR_208010545_FIX_ASS_INV">#REF!</definedName>
    <definedName name="E_KEYWORD_ISSR_208010545_GCI_INFL">#REF!</definedName>
    <definedName name="E_KEYWORD_ISSR_208010545_GOODWILL_AMORT">#REF!</definedName>
    <definedName name="E_KEYWORD_ISSR_208010545_GR_FIX_ASS">#REF!</definedName>
    <definedName name="E_KEYWORD_ISSR_208010545_GR_INTANG">#REF!</definedName>
    <definedName name="E_KEYWORD_ISSR_208010545_INT_EXP_IND">#REF!</definedName>
    <definedName name="E_KEYWORD_ISSR_208010545_INT_INC_IND">#REF!</definedName>
    <definedName name="E_KEYWORD_ISSR_208010545_INV_SECUR">#REF!</definedName>
    <definedName name="E_KEYWORD_ISSR_208010545_Issuer_Name">#REF!</definedName>
    <definedName name="E_KEYWORD_ISSR_208010545_LEASE_DEEM_DEPR">#REF!</definedName>
    <definedName name="E_KEYWORD_ISSR_208010545_LEASE_DEEM_INT">#REF!</definedName>
    <definedName name="E_KEYWORD_ISSR_208010545_LEASE_PAY">#REF!</definedName>
    <definedName name="E_KEYWORD_ISSR_208010545_LT_DEBT">#REF!</definedName>
    <definedName name="E_KEYWORD_ISSR_208010545_MINORITIES">#REF!</definedName>
    <definedName name="E_KEYWORD_ISSR_208010545_MV_ASSOCIATES">#REF!</definedName>
    <definedName name="E_KEYWORD_ISSR_208010545_NET_DEBT">#REF!</definedName>
    <definedName name="E_KEYWORD_ISSR_208010545_NET_DEBT_ADJ">#REF!</definedName>
    <definedName name="E_KEYWORD_ISSR_208010545_NET_FIX_ASS">#REF!</definedName>
    <definedName name="E_KEYWORD_ISSR_208010545_NET_INT_CH">#REF!</definedName>
    <definedName name="E_KEYWORD_ISSR_208010545_NET_INT_EXP">#REF!</definedName>
    <definedName name="E_KEYWORD_ISSR_208010545_NET_INTANG">#REF!</definedName>
    <definedName name="E_KEYWORD_ISSR_208010545_NONPPE_CAPEX">#REF!</definedName>
    <definedName name="E_KEYWORD_ISSR_208010545_OP_COST">#REF!</definedName>
    <definedName name="E_KEYWORD_ISSR_208010545_ORD_SH_FUND">#REF!</definedName>
    <definedName name="E_KEYWORD_ISSR_208010545_OTH_COST_INC">#REF!</definedName>
    <definedName name="E_KEYWORD_ISSR_208010545_OTH_CUR_ASS">#REF!</definedName>
    <definedName name="E_KEYWORD_ISSR_208010545_OTH_CUR_LIABS">#REF!</definedName>
    <definedName name="E_KEYWORD_ISSR_208010545_OTH_DACF_ADJ">#REF!</definedName>
    <definedName name="E_KEYWORD_ISSR_208010545_OTH_FIN_CF">#REF!</definedName>
    <definedName name="E_KEYWORD_ISSR_208010545_OTH_GCI_ADJ">#REF!</definedName>
    <definedName name="E_KEYWORD_ISSR_208010545_OTH_INV_CF">#REF!</definedName>
    <definedName name="E_KEYWORD_ISSR_208010545_OTH_LT_ASS">#REF!</definedName>
    <definedName name="E_KEYWORD_ISSR_208010545_OTH_LT_CRED_GQ">#REF!</definedName>
    <definedName name="E_KEYWORD_ISSR_208010545_OTH_NONCASH_ADJ">#REF!</definedName>
    <definedName name="E_KEYWORD_ISSR_208010545_OTH_OP_CF">#REF!</definedName>
    <definedName name="E_KEYWORD_ISSR_208010545_OTH_OP_INC_EXP">#REF!</definedName>
    <definedName name="E_KEYWORD_ISSR_208010545_PERIOD_MILESTONE">#REF!</definedName>
    <definedName name="E_KEYWORD_ISSR_208010545_PERSONNEL">#REF!</definedName>
    <definedName name="E_KEYWORD_ISSR_208010545_PL_SALE_ASSETS">#REF!</definedName>
    <definedName name="E_KEYWORD_ISSR_208010545_PREF_SH">#REF!</definedName>
    <definedName name="E_KEYWORD_ISSR_208010545_PROFIT_ON_DISP">#REF!</definedName>
    <definedName name="E_KEYWORD_ISSR_208010545_PT_PROF">#REF!</definedName>
    <definedName name="E_KEYWORD_ISSR_208010545_RD_EXP">#REF!</definedName>
    <definedName name="E_KEYWORD_ISSR_208010545_SALES">#REF!</definedName>
    <definedName name="E_KEYWORD_ISSR_208010545_SALES_BRAZIL">#REF!</definedName>
    <definedName name="E_KEYWORD_ISSR_208010545_SALES_CEE">#REF!</definedName>
    <definedName name="E_KEYWORD_ISSR_208010545_SALES_CHINA">#REF!</definedName>
    <definedName name="E_KEYWORD_ISSR_208010545_SALES_COFFEE">#REF!</definedName>
    <definedName name="E_KEYWORD_ISSR_208010545_SALES_CONS">#REF!</definedName>
    <definedName name="E_KEYWORD_ISSR_208010545_SALES_CORN">#REF!</definedName>
    <definedName name="E_KEYWORD_ISSR_208010545_SALES_COTTON">#REF!</definedName>
    <definedName name="E_KEYWORD_ISSR_208010545_SALES_EU_EX_UK">#REF!</definedName>
    <definedName name="E_KEYWORD_ISSR_208010545_SALES_FINAN">#REF!</definedName>
    <definedName name="E_KEYWORD_ISSR_208010545_SALES_FX_BRL">#REF!</definedName>
    <definedName name="E_KEYWORD_ISSR_208010545_SALES_FX_CNY">#REF!</definedName>
    <definedName name="E_KEYWORD_ISSR_208010545_SALES_FX_EUR">#REF!</definedName>
    <definedName name="E_KEYWORD_ISSR_208010545_SALES_FX_GPB">#REF!</definedName>
    <definedName name="E_KEYWORD_ISSR_208010545_SALES_FX_INR">#REF!</definedName>
    <definedName name="E_KEYWORD_ISSR_208010545_SALES_FX_KRW">#REF!</definedName>
    <definedName name="E_KEYWORD_ISSR_208010545_SALES_FX_OTH">#REF!</definedName>
    <definedName name="E_KEYWORD_ISSR_208010545_SALES_FX_RUB">#REF!</definedName>
    <definedName name="E_KEYWORD_ISSR_208010545_SALES_FX_TWD">#REF!</definedName>
    <definedName name="E_KEYWORD_ISSR_208010545_SALES_FX_USD">#REF!</definedName>
    <definedName name="E_KEYWORD_ISSR_208010545_SALES_FX_YEN">#REF!</definedName>
    <definedName name="E_KEYWORD_ISSR_208010545_SALES_GOV">#REF!</definedName>
    <definedName name="E_KEYWORD_ISSR_208010545_SALES_IND">#REF!</definedName>
    <definedName name="E_KEYWORD_ISSR_208010545_SALES_INDIA">#REF!</definedName>
    <definedName name="E_KEYWORD_ISSR_208010545_SALES_JAPAN">#REF!</definedName>
    <definedName name="E_KEYWORD_ISSR_208010545_SALES_ME">#REF!</definedName>
    <definedName name="E_KEYWORD_ISSR_208010545_SALES_NAT_GAS">#REF!</definedName>
    <definedName name="E_KEYWORD_ISSR_208010545_SALES_NITROGEN">#REF!</definedName>
    <definedName name="E_KEYWORD_ISSR_208010545_SALES_OIL_DERIV_NGLS_PLASTICS">#REF!</definedName>
    <definedName name="E_KEYWORD_ISSR_208010545_SALES_OIL_PETRO_FUEL">#REF!</definedName>
    <definedName name="E_KEYWORD_ISSR_208010545_SALES_OTH_AEJ">#REF!</definedName>
    <definedName name="E_KEYWORD_ISSR_208010545_SALES_OTH_AM">#REF!</definedName>
    <definedName name="E_KEYWORD_ISSR_208010545_SALES_OTH_COMMODITY">#REF!</definedName>
    <definedName name="E_KEYWORD_ISSR_208010545_SALES_OTH_EMEA">#REF!</definedName>
    <definedName name="E_KEYWORD_ISSR_208010545_SALES_OTH_SALES_SOURCES">#REF!</definedName>
    <definedName name="E_KEYWORD_ISSR_208010545_SALES_OTHER">#REF!</definedName>
    <definedName name="E_KEYWORD_ISSR_208010545_SALES_PHOSPHATE">#REF!</definedName>
    <definedName name="E_KEYWORD_ISSR_208010545_SALES_POTASH">#REF!</definedName>
    <definedName name="E_KEYWORD_ISSR_208010545_SALES_RUBBER">#REF!</definedName>
    <definedName name="E_KEYWORD_ISSR_208010545_SALES_RUSSIA">#REF!</definedName>
    <definedName name="E_KEYWORD_ISSR_208010545_SALES_SK">#REF!</definedName>
    <definedName name="E_KEYWORD_ISSR_208010545_SALES_SOYBEAN">#REF!</definedName>
    <definedName name="E_KEYWORD_ISSR_208010545_SALES_SUGAR">#REF!</definedName>
    <definedName name="E_KEYWORD_ISSR_208010545_SALES_TAIWAN">#REF!</definedName>
    <definedName name="E_KEYWORD_ISSR_208010545_SALES_TOT_AFRICA">#REF!</definedName>
    <definedName name="E_KEYWORD_ISSR_208010545_SALES_TOT_AM">#REF!</definedName>
    <definedName name="E_KEYWORD_ISSR_208010545_SALES_TOT_ASIA">#REF!</definedName>
    <definedName name="E_KEYWORD_ISSR_208010545_SALES_TOT_EMEA">#REF!</definedName>
    <definedName name="E_KEYWORD_ISSR_208010545_SALES_UK">#REF!</definedName>
    <definedName name="E_KEYWORD_ISSR_208010545_SALES_US">#REF!</definedName>
    <definedName name="E_KEYWORD_ISSR_208010545_SALES_WHEAT">#REF!</definedName>
    <definedName name="E_KEYWORD_ISSR_208010545_SEL_GL_AD">#REF!</definedName>
    <definedName name="E_KEYWORD_ISSR_208010545_SH_REPUR">#REF!</definedName>
    <definedName name="E_KEYWORD_ISSR_208010545_SHORT_T_DEBT">#REF!</definedName>
    <definedName name="E_KEYWORD_ISSR_208010545_SHORT_TERM_LIABS">#REF!</definedName>
    <definedName name="E_KEYWORD_ISSR_208010545_STOCKS">#REF!</definedName>
    <definedName name="E_KEYWORD_ISSR_208010545_TOT_ASSET">#REF!</definedName>
    <definedName name="E_KEYWORD_ISSR_208010545_TOT_CF">#REF!</definedName>
    <definedName name="E_KEYWORD_ISSR_208010545_TOT_LIAB">#REF!</definedName>
    <definedName name="E_KEYWORD_ISSR_208010545_TOT_LIAB_EQ">#REF!</definedName>
    <definedName name="E_KEYWORD_ISSR_208010545_TOT_LT_LIAB">#REF!</definedName>
    <definedName name="E_KEYWORD_ISSR_208010545_TOT_OPS_EXP">#REF!</definedName>
    <definedName name="E_KEYWORD_ISSR_208010545_TOT_OPS_EXP_DDA">#REF!</definedName>
    <definedName name="E_KEYWORD_ISSR_208010545_UNF_PENS">#REF!</definedName>
    <definedName name="E_KEYWORD_ISSR_208010545_UNF_PENS_LIAB_OTH">#REF!</definedName>
    <definedName name="E_KEYWORD_ISSR_208010545_UNF_PENS_OFF">#REF!</definedName>
    <definedName name="E_KEYWORD_ISSR_208010545_WORK_CAP">#REF!</definedName>
    <definedName name="E_LIVEDATA_EQTY_200013639">#REF!</definedName>
    <definedName name="E_LIVEDATA_ISSR_208010545">#REF!</definedName>
    <definedName name="E_SECTION_EQTY_200013639_1314">#REF!</definedName>
    <definedName name="E_SECTION_EQTY_200013639_131E">#REF!</definedName>
    <definedName name="E_SECTION_EQTY_200013639_131O">#REF!</definedName>
    <definedName name="E_SECTION_EQTY_200013639_13A">#REF!</definedName>
    <definedName name="E_SECTION_EQTY_200013639_13K">#REF!</definedName>
    <definedName name="E_SECTION_EQTY_200013639_13U">#REF!</definedName>
    <definedName name="E_SECTION_EQTY_200013639_13V">#REF!</definedName>
    <definedName name="E_SECTION_EQTY_200013639_Reference_Data">#REF!</definedName>
    <definedName name="E_SECTION_ISSR_208010545_1314">#REF!</definedName>
    <definedName name="E_SECTION_ISSR_208010545_13168">#REF!</definedName>
    <definedName name="E_SECTION_ISSR_208010545_1316S">#REF!</definedName>
    <definedName name="E_SECTION_ISSR_208010545_1316T">#REF!</definedName>
    <definedName name="E_SECTION_ISSR_208010545_1316U">#REF!</definedName>
    <definedName name="E_SECTION_ISSR_208010545_1319">#REF!</definedName>
    <definedName name="E_SECTION_ISSR_208010545_131E">#REF!</definedName>
    <definedName name="E_SECTION_ISSR_208010545_131J">#REF!</definedName>
    <definedName name="E_SECTION_ISSR_208010545_131O">#REF!</definedName>
    <definedName name="E_SECTION_ISSR_208010545_13U">#REF!</definedName>
    <definedName name="E_SECTION_ISSR_208010545_13V">#REF!</definedName>
    <definedName name="E_SECTION_ISSR_208010545_Reference_Data">#REF!</definedName>
    <definedName name="eaa">#REF!</definedName>
    <definedName name="eap">#REF!</definedName>
    <definedName name="earning1">#REF!</definedName>
    <definedName name="earning2">#REF!</definedName>
    <definedName name="eat">#REF!</definedName>
    <definedName name="EB">#REF!</definedName>
    <definedName name="EB_BS_AccountPayable">#REF!</definedName>
    <definedName name="EB_BS_AccountReceivable">#REF!</definedName>
    <definedName name="EB_BS_BondPayable">#REF!</definedName>
    <definedName name="EB_BS_Cash">#REF!</definedName>
    <definedName name="EB_BS_ConstructionInProcess">#REF!</definedName>
    <definedName name="EB_BS_CurrentAssets">#REF!</definedName>
    <definedName name="EB_BS_CurrentLiabilities">#REF!</definedName>
    <definedName name="EB_BS_Date">#REF!</definedName>
    <definedName name="EB_BS_Depreciation">#REF!</definedName>
    <definedName name="EB_BS_END">#REF!</definedName>
    <definedName name="EB_BS_Equity">#REF!</definedName>
    <definedName name="EB_BS_ExcessCash">#REF!</definedName>
    <definedName name="EB_BS_FixedAssets">#REF!</definedName>
    <definedName name="EB_BS_FixedAssetsNetValue">#REF!</definedName>
    <definedName name="EB_BS_FixedAssetsOriginalValue">#REF!</definedName>
    <definedName name="EB_BS_ImpairmentOfFixedAsstes">#REF!</definedName>
    <definedName name="EB_BS_Inventories">#REF!</definedName>
    <definedName name="EB_BS_LongTermDebts">#REF!</definedName>
    <definedName name="EB_BS_LongTermLiabilities">#REF!</definedName>
    <definedName name="EB_BS_Margin">#REF!</definedName>
    <definedName name="EB_BS_MinorityInterests">#REF!</definedName>
    <definedName name="EB_BS_NetFixedAssets">#REF!</definedName>
    <definedName name="EB_BS_NotesPayable">#REF!</definedName>
    <definedName name="EB_BS_NotesReceivable">#REF!</definedName>
    <definedName name="EB_BS_OperatingCash">#REF!</definedName>
    <definedName name="EB_BS_OtherAssets">#REF!</definedName>
    <definedName name="EB_BS_OtherCurrentAsstes">#REF!</definedName>
    <definedName name="EB_BS_OtherCurrentDebts">#REF!</definedName>
    <definedName name="EB_BS_OtherFixedAsstes">#REF!</definedName>
    <definedName name="EB_BS_OtherLiabilities">#REF!</definedName>
    <definedName name="EB_BS_OtherLongTermDebts">#REF!</definedName>
    <definedName name="EB_BS_RetainedEarning">#REF!</definedName>
    <definedName name="EB_BS_ShareCapital">#REF!</definedName>
    <definedName name="EB_BS_ShortTermDebts">#REF!</definedName>
    <definedName name="EB_BS_ShortTermInvestment">#REF!</definedName>
    <definedName name="EB_BS_START">#REF!</definedName>
    <definedName name="EB_BS_THISYEAR">#REF!</definedName>
    <definedName name="EB_BS_THISYEAR_A1">#REF!</definedName>
    <definedName name="EB_BS_THISYEAR_A2">#REF!</definedName>
    <definedName name="EB_BS_THISYEAR_A3">#REF!</definedName>
    <definedName name="EB_BS_THISYEAR_F1">#REF!</definedName>
    <definedName name="EB_BS_THISYEAR_F2">#REF!</definedName>
    <definedName name="EB_BS_THISYEAR_F3">#REF!</definedName>
    <definedName name="EB_BS_THISYEAR_F4">#REF!</definedName>
    <definedName name="EB_BS_TotalAssets">#REF!</definedName>
    <definedName name="EB_BS_TotalLiabilities">#REF!</definedName>
    <definedName name="EB_BS_TotalLiabilitiesAndEquity">#REF!</definedName>
    <definedName name="EB_BSR_AccountPayableOnRevenue">#REF!</definedName>
    <definedName name="EB_BSR_AccountReceivableOnRevenue">#REF!</definedName>
    <definedName name="EB_BSR_Depreciation">#REF!</definedName>
    <definedName name="EB_BSR_DepreciationRate">#REF!</definedName>
    <definedName name="EB_BSR_FixedAssetsOriginalValueOnRevenue">#REF!</definedName>
    <definedName name="EB_BSR_InventoryOnRevenue">#REF!</definedName>
    <definedName name="EB_BSR_NetFixedAssetsOnRevenue">#REF!</definedName>
    <definedName name="EB_BSR_NotesReceivableOnRevenue">#REF!</definedName>
    <definedName name="EB_BSR_OperatingCashOnRevenue">#REF!</definedName>
    <definedName name="EB_BSR_OtherAssetsOnRevenue">#REF!</definedName>
    <definedName name="EB_BSR_OtherCurrentAssetsOnRevenue">#REF!</definedName>
    <definedName name="EB_BSR_OtherCurrentLiabilitiesOnRevenue">#REF!</definedName>
    <definedName name="EB_BSR_OtherLiabilitiesOnRevenue">#REF!</definedName>
    <definedName name="EB_BSR_ShortTermDebtsOnRevenue">#REF!</definedName>
    <definedName name="EB_CF_CAPEX">#REF!</definedName>
    <definedName name="EB_CF_CFF">#REF!</definedName>
    <definedName name="EB_CF_CFI">#REF!</definedName>
    <definedName name="EB_CF_CFO">#REF!</definedName>
    <definedName name="EB_CF_Date">#REF!</definedName>
    <definedName name="EB_CF_Depreciation">#REF!</definedName>
    <definedName name="EB_CF_Divident">#REF!</definedName>
    <definedName name="EB_CF_EBIT">#REF!</definedName>
    <definedName name="EB_CF_FinancialExpensesAfterTax">#REF!</definedName>
    <definedName name="EB_CF_IncreasingInEquity">#REF!</definedName>
    <definedName name="EB_CF_IncreasingInExcessSecurities">#REF!</definedName>
    <definedName name="EB_CF_IncreasingInOtherAssetsMinusOtherLiabilities">#REF!</definedName>
    <definedName name="EB_CF_IncreasingInWorkingCapital">#REF!</definedName>
    <definedName name="EB_CF_LoanAndBondPayable">#REF!</definedName>
    <definedName name="EB_CF_MinorityIncome">#REF!</definedName>
    <definedName name="EB_CF_MinorityInterests">#REF!</definedName>
    <definedName name="EB_CF_NonOperatingCashFlow">#REF!</definedName>
    <definedName name="EB_CF_NOPLAT">#REF!</definedName>
    <definedName name="EB_CF_OPFCF">#REF!</definedName>
    <definedName name="EB_CF_TaxOnEBIT">#REF!</definedName>
    <definedName name="EB_CF_THISYEAR">#REF!</definedName>
    <definedName name="EB_CF_THISYEAR_A1">#REF!</definedName>
    <definedName name="EB_CF_THISYEAR_A2">#REF!</definedName>
    <definedName name="EB_CF_THISYEAR_F1">#REF!</definedName>
    <definedName name="EB_CF_THISYEAR_F2">#REF!</definedName>
    <definedName name="EB_CF_THISYEAR_F3">#REF!</definedName>
    <definedName name="EB_CF_THISYEAR_F4">#REF!</definedName>
    <definedName name="EB_Cover_Author">#REF!</definedName>
    <definedName name="EB_Cover_Date">#REF!</definedName>
    <definedName name="EB_Cover_Phone">#REF!</definedName>
    <definedName name="EB_Cover_Title">#REF!</definedName>
    <definedName name="EB_CurrentPrice">#REF!</definedName>
    <definedName name="EB_CurrentReportID">#REF!</definedName>
    <definedName name="EB_CurrentReportYear">#REF!</definedName>
    <definedName name="EB_CurrentYear">#REF!</definedName>
    <definedName name="EB_EP_EVA">#REF!</definedName>
    <definedName name="EB_EquityPricePerShare">#REF!</definedName>
    <definedName name="EB_ExplicitForecastValue">#REF!</definedName>
    <definedName name="EB_FCF_EVA">#REF!</definedName>
    <definedName name="EB_FR_AccountPayableTurnOver">#REF!</definedName>
    <definedName name="EB_FR_AccountReceivableTurnOver">#REF!</definedName>
    <definedName name="EB_FR_ActiveMoneyTurnOver">#REF!</definedName>
    <definedName name="EB_FR_ActualTaxRate">#REF!</definedName>
    <definedName name="EB_FR_AdnimistrativeExpensesOnRevenue">#REF!</definedName>
    <definedName name="EB_FR_CAPEXOnDepreciation">#REF!</definedName>
    <definedName name="EB_FR_CAPEXOnFixedAssets">#REF!</definedName>
    <definedName name="EB_FR_CostOfEquity">#REF!</definedName>
    <definedName name="EB_FR_CostOnRevenue">#REF!</definedName>
    <definedName name="EB_FR_CurrentAssetsTurnOver">#REF!</definedName>
    <definedName name="EB_FR_CurrentRatio">#REF!</definedName>
    <definedName name="EB_FR_DebtOnAssets">#REF!</definedName>
    <definedName name="EB_FR_DebtOnEquity">#REF!</definedName>
    <definedName name="EB_FR_EBITDAGrowth">#REF!</definedName>
    <definedName name="EB_FR_EBITDAOnRevenue">#REF!</definedName>
    <definedName name="EB_FR_EBITGrowth">#REF!</definedName>
    <definedName name="EB_FR_EBITOnRevenue">#REF!</definedName>
    <definedName name="EB_FR_ExtraordinaryItemsOnIncome">#REF!</definedName>
    <definedName name="EB_FR_FixedAssetsTurnOver">#REF!</definedName>
    <definedName name="EB_FR_GrossRatio">#REF!</definedName>
    <definedName name="EB_FR_ICGrowth">#REF!</definedName>
    <definedName name="EB_FR_ICTurnOverTimes">#REF!</definedName>
    <definedName name="EB_FR_ImpliedGrowthRate">#REF!</definedName>
    <definedName name="EB_FR_InventoryTurnOver">#REF!</definedName>
    <definedName name="EB_FR_InvestmentIncomeOnIncome">#REF!</definedName>
    <definedName name="EB_FR_NetDebtOnEquity">#REF!</definedName>
    <definedName name="EB_FR_NetIncomeGrowth">#REF!</definedName>
    <definedName name="EB_FR_NetIncomeOnRevenue">#REF!</definedName>
    <definedName name="EB_FR_NetLiabilities">#REF!</definedName>
    <definedName name="EB_FR_NOPLATGrowth">#REF!</definedName>
    <definedName name="EB_FR_NOPLATOnRevenue">#REF!</definedName>
    <definedName name="EB_FR_OperatingExpensesOnRevenue">#REF!</definedName>
    <definedName name="EB_FR_OperatingIncomeGrowth">#REF!</definedName>
    <definedName name="EB_FR_OperatingTaxOnRevenue">#REF!</definedName>
    <definedName name="EB_FR_OtherAssetsNetValueTurnOver">#REF!</definedName>
    <definedName name="EB_FR_OtherAssetsTurnOver">#REF!</definedName>
    <definedName name="EB_FR_PayOutRatio">#REF!</definedName>
    <definedName name="EB_FR_QuickRatio">#REF!</definedName>
    <definedName name="EB_FR_RetainedRatio">#REF!</definedName>
    <definedName name="EB_FR_RevenueGrowth">#REF!</definedName>
    <definedName name="EB_FR_ROA">#REF!</definedName>
    <definedName name="EB_FR_ROE">#REF!</definedName>
    <definedName name="EB_FR_ROEMinusCostOfEquity">#REF!</definedName>
    <definedName name="EB_FR_ROEOnCostOfEquity">#REF!</definedName>
    <definedName name="EB_FR_ROIC">#REF!</definedName>
    <definedName name="EB_FR_ROICBeforTax">#REF!</definedName>
    <definedName name="EB_FR_THISYEAR">#REF!</definedName>
    <definedName name="EB_FR_THISYEAR_A1">#REF!</definedName>
    <definedName name="EB_FR_THISYEAR_A2">#REF!</definedName>
    <definedName name="EB_FR_THISYEAR_A3">#REF!</definedName>
    <definedName name="EB_FR_THISYEAR_F1">#REF!</definedName>
    <definedName name="EB_FR_THISYEAR_F2">#REF!</definedName>
    <definedName name="EB_FR_THISYEAR_F3">#REF!</definedName>
    <definedName name="EB_FR_THISYEAR_F4">#REF!</definedName>
    <definedName name="EB_FR_TotalAssetsTurnOver">#REF!</definedName>
    <definedName name="EB_FR_TotalAssetsTurnOverTimes">#REF!</definedName>
    <definedName name="EB_GrowthRate">#REF!</definedName>
    <definedName name="EB_IS_AdministrativeExpenses">#REF!</definedName>
    <definedName name="EB_IS_CostOfSales">#REF!</definedName>
    <definedName name="EB_IS_Date">#REF!</definedName>
    <definedName name="EB_IS_Discount">#REF!</definedName>
    <definedName name="EB_IS_Dividend">#REF!</definedName>
    <definedName name="EB_IS_END">#REF!</definedName>
    <definedName name="EB_IS_ExtraordinaryItems">#REF!</definedName>
    <definedName name="EB_IS_FinancialExpenses">#REF!</definedName>
    <definedName name="EB_IS_GrossProfit">#REF!</definedName>
    <definedName name="EB_IS_Income">#REF!</definedName>
    <definedName name="EB_IS_InvestmentIncome">#REF!</definedName>
    <definedName name="EB_IS_MinorityIncome">#REF!</definedName>
    <definedName name="EB_IS_NetIncome">#REF!</definedName>
    <definedName name="EB_IS_NetRevenue">#REF!</definedName>
    <definedName name="EB_IS_OperatingExpenses">#REF!</definedName>
    <definedName name="EB_IS_OperatingIncome">#REF!</definedName>
    <definedName name="EB_IS_OperatingTax">#REF!</definedName>
    <definedName name="EB_IS_OtherIncome">#REF!</definedName>
    <definedName name="EB_IS_ReductionOfInventory">#REF!</definedName>
    <definedName name="EB_IS_Revenue">#REF!</definedName>
    <definedName name="EB_IS_START">#REF!</definedName>
    <definedName name="EB_IS_Tax">#REF!</definedName>
    <definedName name="EB_IS_THISYEAR">#REF!</definedName>
    <definedName name="EB_IS_THISYEAR_A1">#REF!</definedName>
    <definedName name="EB_IS_THISYEAR_A2">#REF!</definedName>
    <definedName name="EB_IS_THISYEAR_A3">#REF!</definedName>
    <definedName name="EB_IS_THISYEAR_F1">#REF!</definedName>
    <definedName name="EB_IS_THISYEAR_F2">#REF!</definedName>
    <definedName name="EB_IS_THISYEAR_F3">#REF!</definedName>
    <definedName name="EB_IS_THISYEAR_F4">#REF!</definedName>
    <definedName name="EB_ISR_AdministrativeExpensesOnRevenue">#REF!</definedName>
    <definedName name="EB_ISR_ExcessCashAndSecuritiesInterestRate">#REF!</definedName>
    <definedName name="EB_ISR_ExtraordinaryItems">#REF!</definedName>
    <definedName name="EB_ISR_GrossMargin">#REF!</definedName>
    <definedName name="EB_ISR_IncomeTaxRate">#REF!</definedName>
    <definedName name="EB_ISR_InvestmentIncome">#REF!</definedName>
    <definedName name="EB_ISR_LongTermInterestRate">#REF!</definedName>
    <definedName name="EB_ISR_MinorityInterest">#REF!</definedName>
    <definedName name="EB_ISR_OperatingExpensesOnRevenue">#REF!</definedName>
    <definedName name="EB_ISR_OperatingTaxOnRevenue">#REF!</definedName>
    <definedName name="EB_ISR_OtherIncome">#REF!</definedName>
    <definedName name="EB_ISR_PayoutRatio">#REF!</definedName>
    <definedName name="EB_ISR_ReductionOfInventory">#REF!</definedName>
    <definedName name="EB_ISR_RevenueGrowth">#REF!</definedName>
    <definedName name="EB_ISR_ShortTermInterestRate">#REF!</definedName>
    <definedName name="EB_OutstandingShare">#REF!</definedName>
    <definedName name="EB_PriceDate">#REF!</definedName>
    <definedName name="EB_ReportID">#REF!</definedName>
    <definedName name="EB_StockCode">#REF!</definedName>
    <definedName name="EB_StockName">#REF!</definedName>
    <definedName name="EB_TerminalValuation">#REF!</definedName>
    <definedName name="EB_UNIT">#REF!</definedName>
    <definedName name="EB_Version">#REF!</definedName>
    <definedName name="EB_VR_AdministrativeExpenses">#REF!</definedName>
    <definedName name="EB_VR_Beta">#REF!</definedName>
    <definedName name="EB_VR_BondPayable">#REF!</definedName>
    <definedName name="EB_VR_BVPS">#REF!</definedName>
    <definedName name="EB_VR_CAGR">#REF!</definedName>
    <definedName name="EB_VR_CapitalExpenses">#REF!</definedName>
    <definedName name="EB_VR_CoreEV">#REF!</definedName>
    <definedName name="EB_VR_CostOfEquity">#REF!</definedName>
    <definedName name="EB_VR_CostOfSalesAndOperatingTax">#REF!</definedName>
    <definedName name="EB_VR_Depreciation">#REF!</definedName>
    <definedName name="EB_VR_DividentYield">#REF!</definedName>
    <definedName name="EB_VR_DPS">#REF!</definedName>
    <definedName name="EB_VR_EBIT">#REF!</definedName>
    <definedName name="EB_VR_EBITDA">#REF!</definedName>
    <definedName name="EB_VR_EconomicProfit">#REF!</definedName>
    <definedName name="EB_VR_EPS">#REF!</definedName>
    <definedName name="EB_VR_Equity">#REF!</definedName>
    <definedName name="EB_VR_EquityValue">#REF!</definedName>
    <definedName name="EB_VR_EV">#REF!</definedName>
    <definedName name="EB_VR_EVOnEBIT">#REF!</definedName>
    <definedName name="EB_VR_EVOnEBITDA">#REF!</definedName>
    <definedName name="EB_VR_EVOnIC">#REF!</definedName>
    <definedName name="EB_VR_EVOnNOPLAT">#REF!</definedName>
    <definedName name="EB_VR_EVOnSales">#REF!</definedName>
    <definedName name="EB_VR_ExcessCash">#REF!</definedName>
    <definedName name="EB_VR_ExtraordinaryItems">#REF!</definedName>
    <definedName name="EB_VR_FCFPS">#REF!</definedName>
    <definedName name="EB_VR_FinancialExpensesAfterTax">#REF!</definedName>
    <definedName name="EB_VR_FixedAssetsNetValue">#REF!</definedName>
    <definedName name="EB_VR_FreeLoan">#REF!</definedName>
    <definedName name="EB_VR_ImpliedGrowthRate">#REF!</definedName>
    <definedName name="EB_VR_IncreasingInIC">#REF!</definedName>
    <definedName name="EB_VR_InvestCapital">#REF!</definedName>
    <definedName name="EB_VR_InvestmentIncome">#REF!</definedName>
    <definedName name="EB_VR_LongTermAndShortTermLiabilities">#REF!</definedName>
    <definedName name="EB_VR_MinorityIncome">#REF!</definedName>
    <definedName name="EB_VR_MinorityInterests">#REF!</definedName>
    <definedName name="EB_VR_NetProfit">#REF!</definedName>
    <definedName name="EB_VR_NetProfitAdjusted">#REF!</definedName>
    <definedName name="EB_VR_NetRevenue">#REF!</definedName>
    <definedName name="EB_VR_NonOperatingInvestCapital">#REF!</definedName>
    <definedName name="EB_VR_NOPLAT">#REF!</definedName>
    <definedName name="EB_VR_NotFreeLiabilities">#REF!</definedName>
    <definedName name="EB_VR_OperatingActiveMoney">#REF!</definedName>
    <definedName name="EB_VR_OperatingCurrentAsstes">#REF!</definedName>
    <definedName name="EB_VR_OperatingExpenses">#REF!</definedName>
    <definedName name="EB_VR_OtherAsstesMinusOtherLiabilities">#REF!</definedName>
    <definedName name="EB_VR_OtherIncome">#REF!</definedName>
    <definedName name="EB_VR_OutstandingShare">#REF!</definedName>
    <definedName name="EB_VR_PB">#REF!</definedName>
    <definedName name="EB_VR_PE">#REF!</definedName>
    <definedName name="EB_VR_PEG">#REF!</definedName>
    <definedName name="EB_VR_PFCF">#REF!</definedName>
    <definedName name="EB_VR_PS">#REF!</definedName>
    <definedName name="EB_VR_ReductionOfInventory">#REF!</definedName>
    <definedName name="EB_VR_REP">#REF!</definedName>
    <definedName name="EB_VR_ReturnOfMarket">#REF!</definedName>
    <definedName name="EB_VR_RiskFree">#REF!</definedName>
    <definedName name="EB_VR_RiskPremium">#REF!</definedName>
    <definedName name="EB_VR_ROIC">#REF!</definedName>
    <definedName name="EB_VR_ROICMinusWACC">#REF!</definedName>
    <definedName name="EB_VR_ROICOnWACC">#REF!</definedName>
    <definedName name="EB_VR_ShortTermInvestment">#REF!</definedName>
    <definedName name="EB_VR_SPS">#REF!</definedName>
    <definedName name="EB_VR_TaxOnEBIT">#REF!</definedName>
    <definedName name="EB_VR_THISYEAR">#REF!</definedName>
    <definedName name="EB_VR_THISYEAR_A1">#REF!</definedName>
    <definedName name="EB_VR_THISYEAR_A2">#REF!</definedName>
    <definedName name="EB_VR_THISYEAR_A3">#REF!</definedName>
    <definedName name="EB_VR_THISYEAR_F1">#REF!</definedName>
    <definedName name="EB_VR_THISYEAR_F2">#REF!</definedName>
    <definedName name="EB_VR_THISYEAR_F3">#REF!</definedName>
    <definedName name="EB_VR_THISYEAR_F4">#REF!</definedName>
    <definedName name="EB_VR_WACC">#REF!</definedName>
    <definedName name="EB_WACC_DDE">#REF!</definedName>
    <definedName name="EB_WACC_EDE">#REF!</definedName>
    <definedName name="EBDIT">#REF!</definedName>
    <definedName name="ebdit95a">#REF!</definedName>
    <definedName name="ebdit95e">#REF!</definedName>
    <definedName name="ebdit96">#REF!</definedName>
    <definedName name="EBEx">#REF!</definedName>
    <definedName name="EBExG">#REF!</definedName>
    <definedName name="EBExS">#REF!</definedName>
    <definedName name="EBIDA_Analyst_calculation">#REF!</definedName>
    <definedName name="EBIT">'[4]P&amp;L'!$B$55:$AH$55</definedName>
    <definedName name="EBIT_analyst">#REF!</definedName>
    <definedName name="EBIT_fore">#REF!</definedName>
    <definedName name="EBIT_margin">#REF!</definedName>
    <definedName name="EBIT_margin_fore">#REF!</definedName>
    <definedName name="ebit_pretelstra">#REF!</definedName>
    <definedName name="EBIT2000">#REF!</definedName>
    <definedName name="ebit91">#REF!</definedName>
    <definedName name="ebit92">#REF!</definedName>
    <definedName name="ebit93">#REF!</definedName>
    <definedName name="ebit94">#REF!</definedName>
    <definedName name="ebit95">#REF!</definedName>
    <definedName name="ebit96">#REF!</definedName>
    <definedName name="ebit97">#REF!</definedName>
    <definedName name="ebit98">#REF!</definedName>
    <definedName name="EBIT99">#REF!</definedName>
    <definedName name="EBITA">#REF!</definedName>
    <definedName name="EBITA_fore">#REF!</definedName>
    <definedName name="EBITAG">#REF!</definedName>
    <definedName name="EBITAS">#REF!</definedName>
    <definedName name="EBITDA">'[4]P&amp;L'!$B$52:$AH$52</definedName>
    <definedName name="ebitda.00">#REF!</definedName>
    <definedName name="ebitda.01">#REF!</definedName>
    <definedName name="ebitda.02">#REF!</definedName>
    <definedName name="ebitda.03">#REF!</definedName>
    <definedName name="ebitda.04">#REF!</definedName>
    <definedName name="ebitda.99">#REF!</definedName>
    <definedName name="EBITDA_adjust_05_14">#REF!</definedName>
    <definedName name="EBITDA_analyst">#REF!</definedName>
    <definedName name="EBITDA_DCF">#REF!</definedName>
    <definedName name="EBITDA_exit_multiple">#REF!</definedName>
    <definedName name="EBITDA_fore">#REF!</definedName>
    <definedName name="EBITDA_growth_avg">#REF!</definedName>
    <definedName name="EBITDA_INT">#REF!</definedName>
    <definedName name="EBITDA_MAR">#REF!</definedName>
    <definedName name="EBITDA_margin">#REF!</definedName>
    <definedName name="EBITDA_margin_adjust_2005">#REF!</definedName>
    <definedName name="EBITDA_margin_fore">#REF!</definedName>
    <definedName name="EBITDA_per_share">'[36]P&amp;L'!$B$37:$Z$37</definedName>
    <definedName name="ebitda_pretelstra">#REF!</definedName>
    <definedName name="EBITDA_Share">#REF!</definedName>
    <definedName name="EBITDA01">#REF!</definedName>
    <definedName name="EBITDA2000">#REF!</definedName>
    <definedName name="EBITDA96">#REF!</definedName>
    <definedName name="EBITDA97">#REF!</definedName>
    <definedName name="EBITDA98">#REF!</definedName>
    <definedName name="EBITDA99">#REF!</definedName>
    <definedName name="EBITDAMargin">#REF!</definedName>
    <definedName name="EBITEurope">#REF!</definedName>
    <definedName name="EBITGwth">#REF!</definedName>
    <definedName name="EBITSENS">#REF!</definedName>
    <definedName name="EBITUS">#REF!</definedName>
    <definedName name="EBITYen">#REF!</definedName>
    <definedName name="EBT">'[4]P&amp;L'!$B$60:$AH$60</definedName>
    <definedName name="EC">#REF!</definedName>
    <definedName name="ECILF_10q_div">#REF!</definedName>
    <definedName name="ECILF_10q_shares">#REF!</definedName>
    <definedName name="ecilf_5_yr_est">#REF!</definedName>
    <definedName name="ecilf_52_wk">#REF!</definedName>
    <definedName name="ECILF_bk_cap">#REF!</definedName>
    <definedName name="ECILF_bk_equity">#REF!</definedName>
    <definedName name="ECILF_bs_conv_debt">#REF!</definedName>
    <definedName name="ECILF_bs_min_int">#REF!</definedName>
    <definedName name="ECILF_bs_pref">#REF!</definedName>
    <definedName name="ECILF_cash">#REF!</definedName>
    <definedName name="ECILF_code">#REF!</definedName>
    <definedName name="ECILF_conv_debt_pr">#REF!</definedName>
    <definedName name="ECILF_conv_pref_pr">#REF!</definedName>
    <definedName name="ecilf_curr">#REF!</definedName>
    <definedName name="ECILF_dil_shares">#REF!</definedName>
    <definedName name="ecilf_eps00">#REF!</definedName>
    <definedName name="ecilf_eps98">#REF!</definedName>
    <definedName name="ecilf_eps99">#REF!</definedName>
    <definedName name="ECILF_equity_mcap">#REF!</definedName>
    <definedName name="ECILF_fin_date">#REF!</definedName>
    <definedName name="ECILF_hist_d">#REF!</definedName>
    <definedName name="ECILF_hst_a">#REF!</definedName>
    <definedName name="ECILF_hst_cogs">#REF!</definedName>
    <definedName name="ECILF_hst_ebit">#REF!</definedName>
    <definedName name="ECILF_hst_ebt">#REF!</definedName>
    <definedName name="ECILF_hst_eps">#REF!</definedName>
    <definedName name="ECILF_hst_inc_b_m">#REF!</definedName>
    <definedName name="ECILF_hst_r_d">#REF!</definedName>
    <definedName name="ECILF_hst_rev">#REF!</definedName>
    <definedName name="ECILF_hst_sg_a">#REF!</definedName>
    <definedName name="ECILF_lev_mcap">#REF!</definedName>
    <definedName name="ECILF_lt_debt">#REF!</definedName>
    <definedName name="ECILF_ltm_a">#REF!</definedName>
    <definedName name="ECILF_ltm_cap_ex">#REF!</definedName>
    <definedName name="ECILF_ltm_cogs">#REF!</definedName>
    <definedName name="ECILF_ltm_csh_int">#REF!</definedName>
    <definedName name="ECILF_ltm_d">#REF!</definedName>
    <definedName name="ECILF_ltm_ebit">#REF!</definedName>
    <definedName name="ECILF_ltm_ebt">#REF!</definedName>
    <definedName name="ECILF_ltm_eps">#REF!</definedName>
    <definedName name="ECILF_ltm_inc_b_m">#REF!</definedName>
    <definedName name="ECILF_ltm_int">#REF!</definedName>
    <definedName name="ECILF_ltm_min_int">#REF!</definedName>
    <definedName name="ECILF_ltm_pref_div">#REF!</definedName>
    <definedName name="ECILF_ltm_r_d">#REF!</definedName>
    <definedName name="ECILF_ltm_rev">#REF!</definedName>
    <definedName name="ECILF_ltm_sg_a">#REF!</definedName>
    <definedName name="ECILF_ltm_tax">#REF!</definedName>
    <definedName name="ECILF_ltm_tax_rate">#REF!</definedName>
    <definedName name="ECILF_name">#REF!</definedName>
    <definedName name="ECILF_o_debt_1">#REF!</definedName>
    <definedName name="ECILF_o_debt_2">#REF!</definedName>
    <definedName name="ECILF_o_debt_3">#REF!</definedName>
    <definedName name="ECILF_option_n">#REF!</definedName>
    <definedName name="ECILF_option_pr">#REF!</definedName>
    <definedName name="ecilf_pr">#REF!</definedName>
    <definedName name="ECILF_shares">#REF!</definedName>
    <definedName name="ecilf_ticker">#REF!</definedName>
    <definedName name="ECILF_total_dt">#REF!</definedName>
    <definedName name="ecom_costs">#REF!</definedName>
    <definedName name="ecom_gm">#REF!</definedName>
    <definedName name="ecom_gp">#REF!</definedName>
    <definedName name="ecom_revs">#REF!</definedName>
    <definedName name="EconomicNPV10">#REF!</definedName>
    <definedName name="EconomicNPV12">#REF!</definedName>
    <definedName name="ED_Q">#REF!</definedName>
    <definedName name="EEALCONS">#N/A</definedName>
    <definedName name="EEALPROD">#N/A</definedName>
    <definedName name="EG_Dates">#REF!</definedName>
    <definedName name="EG_DPS">#REF!</definedName>
    <definedName name="EG_EPS">#REF!</definedName>
    <definedName name="EG_Net_Profit">#REF!</definedName>
    <definedName name="EG_PAGE">#REF!</definedName>
    <definedName name="Eganapr">#REF!</definedName>
    <definedName name="elec_cost">#REF!</definedName>
    <definedName name="EndYear">[37]首页!$C$9</definedName>
    <definedName name="Engine.CumEnergy">#REF!</definedName>
    <definedName name="Engine.Newbuildbyenergy">#REF!</definedName>
    <definedName name="Engineering_depreciation">#REF!</definedName>
    <definedName name="Engineering_inflation_uplift">#REF!</definedName>
    <definedName name="Engineering_maintenance_capex">#REF!</definedName>
    <definedName name="enp">#REF!</definedName>
    <definedName name="ent">#REF!</definedName>
    <definedName name="enterprise">#REF!</definedName>
    <definedName name="Enterprise_value">#REF!</definedName>
    <definedName name="EP">#REF!</definedName>
    <definedName name="epa">#REF!</definedName>
    <definedName name="epc">#REF!</definedName>
    <definedName name="EPI">#REF!</definedName>
    <definedName name="EPS">'[36]P&amp;L'!$B$35:$Z$35</definedName>
    <definedName name="EPS_core">#REF!</definedName>
    <definedName name="EPS_Curr_Qtr">#REF!</definedName>
    <definedName name="EPS_Curr_Yr">#REF!</definedName>
    <definedName name="EPS_ex_exceptionals_pretelstra">#REF!</definedName>
    <definedName name="EPS_FD">#REF!</definedName>
    <definedName name="eps_fiscal_yr_change_comment">#REF!</definedName>
    <definedName name="EPS_FullyDiluted">#REF!</definedName>
    <definedName name="EPS_growth_avg">#REF!</definedName>
    <definedName name="EPS_Growth_Rate">#REF!</definedName>
    <definedName name="EPS_Lst_Yr">#REF!</definedName>
    <definedName name="EPS_Next_Yr">#REF!</definedName>
    <definedName name="eps_print_area">#REF!</definedName>
    <definedName name="EPS_Qtr_Date">#REF!</definedName>
    <definedName name="EPS_Reported">#REF!</definedName>
    <definedName name="EPS_WtdAvg">#REF!</definedName>
    <definedName name="EPS00">#REF!</definedName>
    <definedName name="eps95a">#REF!</definedName>
    <definedName name="EPSExAM">#REF!</definedName>
    <definedName name="EPSExAMFD">#REF!</definedName>
    <definedName name="EPSExAMFDG">#REF!</definedName>
    <definedName name="EPSExAMFDS">#REF!</definedName>
    <definedName name="EPSExAMG">#REF!</definedName>
    <definedName name="EPSExAMS">#REF!</definedName>
    <definedName name="EPSFullyDiluted">#REF!</definedName>
    <definedName name="EPShare">#REF!</definedName>
    <definedName name="EPShareG">#REF!</definedName>
    <definedName name="EPShareS">#REF!</definedName>
    <definedName name="EPSQ195">#REF!</definedName>
    <definedName name="EPSQ196">#REF!</definedName>
    <definedName name="EPSQ197">#REF!</definedName>
    <definedName name="EPSQ295">#REF!</definedName>
    <definedName name="EPSQ296">#REF!</definedName>
    <definedName name="EPSQ297">#REF!</definedName>
    <definedName name="EPSQ395">#REF!</definedName>
    <definedName name="EPSQ396">#REF!</definedName>
    <definedName name="EPSQ397">#REF!</definedName>
    <definedName name="EPSQ495">#REF!</definedName>
    <definedName name="EPSQ496">#REF!</definedName>
    <definedName name="EPSQ497">#REF!</definedName>
    <definedName name="EPSReported">#REF!</definedName>
    <definedName name="EPSTable">#REF!</definedName>
    <definedName name="EPSWtdAvg">#REF!</definedName>
    <definedName name="epw">#REF!</definedName>
    <definedName name="epx">#REF!</definedName>
    <definedName name="EQUITY">#REF!</definedName>
    <definedName name="Equity_increase">#REF!</definedName>
    <definedName name="equity_per_share">#REF!</definedName>
    <definedName name="equity_per_share_usd">#REF!</definedName>
    <definedName name="Equity_raised_net">#REF!</definedName>
    <definedName name="Equity_Ticker">#REF!</definedName>
    <definedName name="Equity_value">#REF!</definedName>
    <definedName name="equity_value_pershare">#REF!</definedName>
    <definedName name="EquityAdjustments">0</definedName>
    <definedName name="EquityEmployeeStockOwnershipPlan">0</definedName>
    <definedName name="EquityPaidInCapital">0</definedName>
    <definedName name="EquityTreasuryStock">0</definedName>
    <definedName name="eric_52_wk">#REF!</definedName>
    <definedName name="ERIC_bk_cap">#REF!</definedName>
    <definedName name="ERIC_bk_equity">#REF!</definedName>
    <definedName name="ERIC_bs_conv_debt">#REF!</definedName>
    <definedName name="ERIC_bs_min_int">#REF!</definedName>
    <definedName name="ERIC_bs_pref">#REF!</definedName>
    <definedName name="ERIC_cash">#REF!</definedName>
    <definedName name="ERIC_code">#REF!</definedName>
    <definedName name="ERIC_conv_debt_pr">#REF!</definedName>
    <definedName name="ERIC_conv_pref_pr">#REF!</definedName>
    <definedName name="eric_curr">#REF!</definedName>
    <definedName name="ERIC_dil_shares">#REF!</definedName>
    <definedName name="eric_eps00">#REF!</definedName>
    <definedName name="eric_eps98">#REF!</definedName>
    <definedName name="eric_eps99">#REF!</definedName>
    <definedName name="ERIC_equity_mcap">#REF!</definedName>
    <definedName name="ERIC_fin_date">#REF!</definedName>
    <definedName name="ERIC_hist_d">#REF!</definedName>
    <definedName name="ERIC_hst_a">#REF!</definedName>
    <definedName name="ERIC_hst_cogs">#REF!</definedName>
    <definedName name="ERIC_hst_ebit">#REF!</definedName>
    <definedName name="ERIC_hst_ebt">#REF!</definedName>
    <definedName name="ERIC_hst_eps">#REF!</definedName>
    <definedName name="ERIC_hst_inc_b_m">#REF!</definedName>
    <definedName name="ERIC_hst_r_d">#REF!</definedName>
    <definedName name="ERIC_hst_rev">#REF!</definedName>
    <definedName name="ERIC_hst_sg_a">#REF!</definedName>
    <definedName name="ERIC_lev_mcap">#REF!</definedName>
    <definedName name="ERIC_LQ_ni">#REF!</definedName>
    <definedName name="ERIC_LQ_rev">#REF!</definedName>
    <definedName name="ERIC_lt_debt">#REF!</definedName>
    <definedName name="ERIC_ltm_a">#REF!</definedName>
    <definedName name="ERIC_ltm_cap_ex">#REF!</definedName>
    <definedName name="ERIC_ltm_cogs">#REF!</definedName>
    <definedName name="ERIC_ltm_csh_int">#REF!</definedName>
    <definedName name="ERIC_ltm_d">#REF!</definedName>
    <definedName name="ERIC_ltm_ebit">#REF!</definedName>
    <definedName name="ERIC_ltm_ebt">#REF!</definedName>
    <definedName name="ERIC_ltm_inc_b_m">#REF!</definedName>
    <definedName name="ERIC_ltm_int">#REF!</definedName>
    <definedName name="ERIC_ltm_min_int">#REF!</definedName>
    <definedName name="ERIC_ltm_pref_div">#REF!</definedName>
    <definedName name="ERIC_ltm_r_d">#REF!</definedName>
    <definedName name="ERIC_ltm_rev">#REF!</definedName>
    <definedName name="ERIC_ltm_sg_a">#REF!</definedName>
    <definedName name="ERIC_ltm_shares">#REF!</definedName>
    <definedName name="ERIC_ltm_tax">#REF!</definedName>
    <definedName name="ERIC_ltm_tax_rate">#REF!</definedName>
    <definedName name="ERIC_name">#REF!</definedName>
    <definedName name="ERIC_o_debt_1">#REF!</definedName>
    <definedName name="ERIC_o_debt_2">#REF!</definedName>
    <definedName name="ERIC_o_debt_3">#REF!</definedName>
    <definedName name="ERIC_option_n">#REF!</definedName>
    <definedName name="ERIC_option_pr">#REF!</definedName>
    <definedName name="ERIC_PQ_ni">#REF!</definedName>
    <definedName name="ERIC_PQ_rev">#REF!</definedName>
    <definedName name="eric_pr">#REF!</definedName>
    <definedName name="ERIC_shares">#REF!</definedName>
    <definedName name="eric_ticker">#REF!</definedName>
    <definedName name="ERIC_total_dt">#REF!</definedName>
    <definedName name="ERIC_YQ_ni">#REF!</definedName>
    <definedName name="ERIC_YQ_rev">#REF!</definedName>
    <definedName name="erosion1">#REF!</definedName>
    <definedName name="erosion2">#REF!</definedName>
    <definedName name="erosion3">#REF!</definedName>
    <definedName name="ERP">#REF!</definedName>
    <definedName name="ErrValue">"-"</definedName>
    <definedName name="ESO_MARGINAL_TAX_RATE">#REF!</definedName>
    <definedName name="ESO_TAX_RATE">#REF!</definedName>
    <definedName name="ESO_TAX_RATE_old">#REF!</definedName>
    <definedName name="Essbase">#REF!</definedName>
    <definedName name="Essen">#REF!</definedName>
    <definedName name="EstiDate">[37]首页!$C$7</definedName>
    <definedName name="Estimated_replacement_cost_NBV">#REF!</definedName>
    <definedName name="EstRef">#REF!</definedName>
    <definedName name="etc">#REF!</definedName>
    <definedName name="ETEK_10q_div">#REF!</definedName>
    <definedName name="ETEK_10q_shares">#REF!</definedName>
    <definedName name="ETEK_5_yr_est">#REF!</definedName>
    <definedName name="ETEK_52_wk">#REF!</definedName>
    <definedName name="ETEK_bk_cap">#REF!</definedName>
    <definedName name="ETEK_bk_equity">#REF!</definedName>
    <definedName name="ETEK_bs_conv_debt">#REF!</definedName>
    <definedName name="ETEK_bs_min_int">#REF!</definedName>
    <definedName name="ETEK_bs_pref">#REF!</definedName>
    <definedName name="ETEK_cash">#REF!</definedName>
    <definedName name="ETEK_conv_debt_pr">#REF!</definedName>
    <definedName name="ETEK_conv_pref_pr">#REF!</definedName>
    <definedName name="ETEK_curr">#REF!</definedName>
    <definedName name="ETEK_dil_shares">#REF!</definedName>
    <definedName name="etek_eps00">#REF!</definedName>
    <definedName name="etek_eps98">#REF!</definedName>
    <definedName name="etek_eps99">#REF!</definedName>
    <definedName name="ETEK_equity_mcap">#REF!</definedName>
    <definedName name="ETEK_fin_date">#REF!</definedName>
    <definedName name="ETEK_lev_mcap">#REF!</definedName>
    <definedName name="ETEK_lt_debt">#REF!</definedName>
    <definedName name="ETEK_ltm_a">#REF!</definedName>
    <definedName name="ETEK_ltm_cap_ex">#REF!</definedName>
    <definedName name="ETEK_ltm_cogs">#REF!</definedName>
    <definedName name="ETEK_ltm_csh_int">#REF!</definedName>
    <definedName name="ETEK_ltm_d">#REF!</definedName>
    <definedName name="ETEK_ltm_ebit">#REF!</definedName>
    <definedName name="ETEK_ltm_ebt">#REF!</definedName>
    <definedName name="ETEK_ltm_eps">#REF!</definedName>
    <definedName name="ETEK_ltm_inc_b_m">#REF!</definedName>
    <definedName name="ETEK_ltm_int">#REF!</definedName>
    <definedName name="ETEK_ltm_min_int">#REF!</definedName>
    <definedName name="ETEK_ltm_pref_div">#REF!</definedName>
    <definedName name="ETEK_ltm_r_d">#REF!</definedName>
    <definedName name="ETEK_ltm_rev">#REF!</definedName>
    <definedName name="ETEK_ltm_sg_a">#REF!</definedName>
    <definedName name="ETEK_ltm_tax">#REF!</definedName>
    <definedName name="ETEK_ltm_tax_rate">#REF!</definedName>
    <definedName name="ETEK_name">#REF!</definedName>
    <definedName name="ETEK_o_debt_1">#REF!</definedName>
    <definedName name="ETEK_o_debt_2">#REF!</definedName>
    <definedName name="ETEK_o_debt_3">#REF!</definedName>
    <definedName name="ETEK_option_n">#REF!</definedName>
    <definedName name="ETEK_option_pr">#REF!</definedName>
    <definedName name="ETEK_pr">#REF!</definedName>
    <definedName name="ETEK_shares">#REF!</definedName>
    <definedName name="ETEK_ticker">#REF!</definedName>
    <definedName name="ETEK_total_dt">#REF!</definedName>
    <definedName name="ethg" localSheetId="2" hidden="1">{"'RCIM'!$E$128"}</definedName>
    <definedName name="ethg" localSheetId="1" hidden="1">{"'RCIM'!$E$128"}</definedName>
    <definedName name="ethg" hidden="1">{"'RCIM'!$E$128"}</definedName>
    <definedName name="EUR_00S">#REF!</definedName>
    <definedName name="EUR_01D">#REF!</definedName>
    <definedName name="EUR_01J">#REF!</definedName>
    <definedName name="EUR_01M">#REF!</definedName>
    <definedName name="EUR_01S">#REF!</definedName>
    <definedName name="EUR_02D">#REF!</definedName>
    <definedName name="EUR_02J">#REF!</definedName>
    <definedName name="EUR_02M">#REF!</definedName>
    <definedName name="EUR_02S">#REF!</definedName>
    <definedName name="EUR_03D">#REF!</definedName>
    <definedName name="EUR_03J">#REF!</definedName>
    <definedName name="EUR_03M">#REF!</definedName>
    <definedName name="EUR_03S">#REF!</definedName>
    <definedName name="EUR_04D">#REF!</definedName>
    <definedName name="EUR_04J">#REF!</definedName>
    <definedName name="EUR_04M">#REF!</definedName>
    <definedName name="EUR_04S">#REF!</definedName>
    <definedName name="EUR_05D">#REF!</definedName>
    <definedName name="EUR_05J">#REF!</definedName>
    <definedName name="EUR_05M">#REF!</definedName>
    <definedName name="EUR_05S">#REF!</definedName>
    <definedName name="EUR_06D">#REF!</definedName>
    <definedName name="EUR_06J">#REF!</definedName>
    <definedName name="EUR_06M">#REF!</definedName>
    <definedName name="EUR_06S">#REF!</definedName>
    <definedName name="EUR_07D">#REF!</definedName>
    <definedName name="EUR_07J">#REF!</definedName>
    <definedName name="EUR_07M">#REF!</definedName>
    <definedName name="EUR_07S">#REF!</definedName>
    <definedName name="EUR_08D">#REF!</definedName>
    <definedName name="EUR_08J">#REF!</definedName>
    <definedName name="EUR_08M">#REF!</definedName>
    <definedName name="EUR_08S">#REF!</definedName>
    <definedName name="EUR_09D">#REF!</definedName>
    <definedName name="EUR_09J">#REF!</definedName>
    <definedName name="EUR_09M">#REF!</definedName>
    <definedName name="EUR_09S">#REF!</definedName>
    <definedName name="EUR_10D">#REF!</definedName>
    <definedName name="EUR_10J">#REF!</definedName>
    <definedName name="EUR_10M">#REF!</definedName>
    <definedName name="EUR_10S">#REF!</definedName>
    <definedName name="EUR_11D">#REF!</definedName>
    <definedName name="EUR_11J">#REF!</definedName>
    <definedName name="EUR_11M">#REF!</definedName>
    <definedName name="EUR_11S">#REF!</definedName>
    <definedName name="EUR_12D">#REF!</definedName>
    <definedName name="EUR_12J">#REF!</definedName>
    <definedName name="EUR_12M">#REF!</definedName>
    <definedName name="EUR_12S">#REF!</definedName>
    <definedName name="EUR_13D">#REF!</definedName>
    <definedName name="EUR_13J">#REF!</definedName>
    <definedName name="EUR_13M">#REF!</definedName>
    <definedName name="EUR_13S">#REF!</definedName>
    <definedName name="EUR_14D">#REF!</definedName>
    <definedName name="EUR_14J">#REF!</definedName>
    <definedName name="EUR_14M">#REF!</definedName>
    <definedName name="EUR_14S">#REF!</definedName>
    <definedName name="EUR_15D">#REF!</definedName>
    <definedName name="EUR_15J">#REF!</definedName>
    <definedName name="EUR_15M">#REF!</definedName>
    <definedName name="EUR_15S">#REF!</definedName>
    <definedName name="EUR_16D">#REF!</definedName>
    <definedName name="EUR_16J">#REF!</definedName>
    <definedName name="EUR_16M">#REF!</definedName>
    <definedName name="EUR_16S">#REF!</definedName>
    <definedName name="EUR_17D">#REF!</definedName>
    <definedName name="EUR_17J">#REF!</definedName>
    <definedName name="EUR_17M">#REF!</definedName>
    <definedName name="EUR_17S">#REF!</definedName>
    <definedName name="EUR_18D">#REF!</definedName>
    <definedName name="EUR_18J">#REF!</definedName>
    <definedName name="EUR_18M">#REF!</definedName>
    <definedName name="EUR_18S">#REF!</definedName>
    <definedName name="EUR_19D">#REF!</definedName>
    <definedName name="EUR_19J">#REF!</definedName>
    <definedName name="EUR_19M">#REF!</definedName>
    <definedName name="EUR_19S">#REF!</definedName>
    <definedName name="EUR_20D">#REF!</definedName>
    <definedName name="EUR_20J">#REF!</definedName>
    <definedName name="EUR_20M">#REF!</definedName>
    <definedName name="EUR_20S">#REF!</definedName>
    <definedName name="EUR_21D">#REF!</definedName>
    <definedName name="EUR_21J">#REF!</definedName>
    <definedName name="EUR_21M">#REF!</definedName>
    <definedName name="EUR_21S">#REF!</definedName>
    <definedName name="EUR_22D">#REF!</definedName>
    <definedName name="EUR_22J">#REF!</definedName>
    <definedName name="EUR_22M">#REF!</definedName>
    <definedName name="EUR_22S">#REF!</definedName>
    <definedName name="EUR_23D">#REF!</definedName>
    <definedName name="EUR_23J">#REF!</definedName>
    <definedName name="EUR_23M">#REF!</definedName>
    <definedName name="EUR_23S">#REF!</definedName>
    <definedName name="EUR_24D">#REF!</definedName>
    <definedName name="EUR_24J">#REF!</definedName>
    <definedName name="EUR_24M">#REF!</definedName>
    <definedName name="EUR_24S">#REF!</definedName>
    <definedName name="EUR_25D">#REF!</definedName>
    <definedName name="EUR_25J">#REF!</definedName>
    <definedName name="EUR_25M">#REF!</definedName>
    <definedName name="EUR_25S">#REF!</definedName>
    <definedName name="EUR_87D">#REF!</definedName>
    <definedName name="EUR_87J">#REF!</definedName>
    <definedName name="EUR_87M">#REF!</definedName>
    <definedName name="EUR_87S">#REF!</definedName>
    <definedName name="EUR_88D">#REF!</definedName>
    <definedName name="EUR_88J">#REF!</definedName>
    <definedName name="EUR_88M">#REF!</definedName>
    <definedName name="EUR_88S">#REF!</definedName>
    <definedName name="EUR_89D">#REF!</definedName>
    <definedName name="EUR_89J">#REF!</definedName>
    <definedName name="EUR_89M">#REF!</definedName>
    <definedName name="EUR_89S">#REF!</definedName>
    <definedName name="EUR_90D">#REF!</definedName>
    <definedName name="EUR_90J">#REF!</definedName>
    <definedName name="EUR_90M">#REF!</definedName>
    <definedName name="EUR_90S">#REF!</definedName>
    <definedName name="EUR_91D">#REF!</definedName>
    <definedName name="EUR_91J">#REF!</definedName>
    <definedName name="EUR_91M">#REF!</definedName>
    <definedName name="EUR_91S">#REF!</definedName>
    <definedName name="EUR_92D">#REF!</definedName>
    <definedName name="EUR_92J">#REF!</definedName>
    <definedName name="EUR_92M">#REF!</definedName>
    <definedName name="EUR_92S">#REF!</definedName>
    <definedName name="EUR_93D">#REF!</definedName>
    <definedName name="EUR_93J">#REF!</definedName>
    <definedName name="EUR_93M">#REF!</definedName>
    <definedName name="EUR_93S">#REF!</definedName>
    <definedName name="EUR_94D">#REF!</definedName>
    <definedName name="EUR_94J">#REF!</definedName>
    <definedName name="EUR_94M">#REF!</definedName>
    <definedName name="EUR_94S">#REF!</definedName>
    <definedName name="EUR_95D">#REF!</definedName>
    <definedName name="EUR_95J">#REF!</definedName>
    <definedName name="EUR_95M">#REF!</definedName>
    <definedName name="EUR_95S">#REF!</definedName>
    <definedName name="EUR_96D">#REF!</definedName>
    <definedName name="EUR_96J">#REF!</definedName>
    <definedName name="EUR_96M">#REF!</definedName>
    <definedName name="EUR_96S">#REF!</definedName>
    <definedName name="EUR_97D">#REF!</definedName>
    <definedName name="EUR_97J">#REF!</definedName>
    <definedName name="EUR_97M">#REF!</definedName>
    <definedName name="EUR_97S">#REF!</definedName>
    <definedName name="EUR_98D">#REF!</definedName>
    <definedName name="EUR_98J">#REF!</definedName>
    <definedName name="EUR_98M">#REF!</definedName>
    <definedName name="EUR_98S">#REF!</definedName>
    <definedName name="EUR_99D">#REF!</definedName>
    <definedName name="EUR_99J">#REF!</definedName>
    <definedName name="EUR_99M">#REF!</definedName>
    <definedName name="EUR_99S">#REF!</definedName>
    <definedName name="euro">#REF!</definedName>
    <definedName name="EURO_AdjustedEV">#REF!</definedName>
    <definedName name="EURO_AssociatesMinorities">#REF!</definedName>
    <definedName name="EURO_UnleveredFCF">#REF!</definedName>
    <definedName name="euro1">#REF!</definedName>
    <definedName name="EuroLira">#REF!</definedName>
    <definedName name="Europe">#REF!</definedName>
    <definedName name="Europe_excl._Sweden">#REF!</definedName>
    <definedName name="Europe_excl._Sweden_w">#REF!</definedName>
    <definedName name="EuropeDutyFree">#REF!</definedName>
    <definedName name="EuropeE">#REF!</definedName>
    <definedName name="EuropeEG">#REF!</definedName>
    <definedName name="EuropeES">#REF!</definedName>
    <definedName name="EuropeG">#REF!</definedName>
    <definedName name="EuropeS">#REF!</definedName>
    <definedName name="EuroPeseta">#REF!</definedName>
    <definedName name="EV">#REF!</definedName>
    <definedName name="ev.Calculation" hidden="1">-4135</definedName>
    <definedName name="ev.Initialized" hidden="1">FALSE</definedName>
    <definedName name="EV_Consol">#REF!</definedName>
    <definedName name="EV_Consol_Ind">#REF!</definedName>
    <definedName name="EV_EBIT_NAME">#REF!</definedName>
    <definedName name="EV_EBITDA">#REF!</definedName>
    <definedName name="EV_EBITDA_2001">#REF!</definedName>
    <definedName name="EV_EBITDA_VALUE">#REF!</definedName>
    <definedName name="EV_FCF">#REF!</definedName>
    <definedName name="EV_FCF_Foreign">#REF!</definedName>
    <definedName name="EV_weight">#REF!</definedName>
    <definedName name="EVA">#REF!</definedName>
    <definedName name="EVA_TOTCAP">#REF!</definedName>
    <definedName name="EVEBITDA_gwth_3y">#REF!</definedName>
    <definedName name="event">#REF!</definedName>
    <definedName name="Evol_B">#REF!</definedName>
    <definedName name="Evol_B_Laubie">#REF!</definedName>
    <definedName name="Evol_R">#REF!</definedName>
    <definedName name="Evol_R_Laubie">#REF!</definedName>
    <definedName name="EwartonCapacity">#REF!</definedName>
    <definedName name="ex_capex">#REF!</definedName>
    <definedName name="EX_EBITDA_INT">#REF!</definedName>
    <definedName name="ex_tax">#REF!</definedName>
    <definedName name="Excel_Version">#REF!</definedName>
    <definedName name="EXCEP_ITEMS">#REF!</definedName>
    <definedName name="Except">#REF!</definedName>
    <definedName name="except.2000">#REF!</definedName>
    <definedName name="except.99">#REF!</definedName>
    <definedName name="EXCEPT_PROFIT">#REF!</definedName>
    <definedName name="Exceptional_Cost">#REF!</definedName>
    <definedName name="Exceptional_Extraordinary">#REF!</definedName>
    <definedName name="Exceptional_Profit">#REF!</definedName>
    <definedName name="Excess_cash">#REF!</definedName>
    <definedName name="Exch">" Sheet2!$F$2"</definedName>
    <definedName name="EXCH_01">#REF!</definedName>
    <definedName name="EXCH_02">#REF!</definedName>
    <definedName name="Exchange">#REF!</definedName>
    <definedName name="exchange_code">#REF!</definedName>
    <definedName name="Exchange_gains_losses">#REF!</definedName>
    <definedName name="ExchangeRate">#REF!</definedName>
    <definedName name="EXERCISE_WEIGHTING">#REF!</definedName>
    <definedName name="ExG">#REF!</definedName>
    <definedName name="Expl_forecast_1st_yr">#REF!</definedName>
    <definedName name="Expl_forecast_2nd_yr">#REF!</definedName>
    <definedName name="Expl_forecast_3rd_yr">#REF!</definedName>
    <definedName name="Expl_forecast_4th_yr">#REF!</definedName>
    <definedName name="Expl_forecast_5th_yr">#REF!</definedName>
    <definedName name="Expl_forecast_6th_yr">#REF!</definedName>
    <definedName name="Expl_forecast_7th_yr">#REF!</definedName>
    <definedName name="Expl_forecast_8th_yr">#REF!</definedName>
    <definedName name="Expl_forecast_9th_yr">#REF!</definedName>
    <definedName name="expl93">#REF!</definedName>
    <definedName name="expl94">#REF!</definedName>
    <definedName name="Exploration_expense">#REF!</definedName>
    <definedName name="Exploration_production">#REF!</definedName>
    <definedName name="exrate">#REF!</definedName>
    <definedName name="ExS">#REF!</definedName>
    <definedName name="ext">#REF!</definedName>
    <definedName name="ExtFiles">#REF!</definedName>
    <definedName name="EXTR_10q_div">#REF!</definedName>
    <definedName name="EXTR_10q_shares">#REF!</definedName>
    <definedName name="EXTR_5_yr_est">#REF!</definedName>
    <definedName name="EXTR_52_wk">#REF!</definedName>
    <definedName name="EXTR_bk_cap">#REF!</definedName>
    <definedName name="EXTR_bk_equity">#REF!</definedName>
    <definedName name="EXTR_bs_conv_debt">#REF!</definedName>
    <definedName name="EXTR_bs_min_int">#REF!</definedName>
    <definedName name="EXTR_bs_pref">#REF!</definedName>
    <definedName name="EXTR_cash">#REF!</definedName>
    <definedName name="EXTR_conv_debt_pr">#REF!</definedName>
    <definedName name="EXTR_conv_pref_pr">#REF!</definedName>
    <definedName name="EXTR_curr">#REF!</definedName>
    <definedName name="EXTR_dil_shares">#REF!</definedName>
    <definedName name="EXTR_eps00">#REF!</definedName>
    <definedName name="EXTR_eps98">#REF!</definedName>
    <definedName name="EXTR_eps99">#REF!</definedName>
    <definedName name="EXTR_equity_mcap">#REF!</definedName>
    <definedName name="EXTR_fin_date">#REF!</definedName>
    <definedName name="EXTR_hist_d">#REF!</definedName>
    <definedName name="EXTR_hst_a">#REF!</definedName>
    <definedName name="EXTR_hst_cogs">#REF!</definedName>
    <definedName name="EXTR_hst_ebit">#REF!</definedName>
    <definedName name="EXTR_hst_ebt">#REF!</definedName>
    <definedName name="EXTR_hst_eps">#REF!</definedName>
    <definedName name="EXTR_hst_inc_b_m">#REF!</definedName>
    <definedName name="EXTR_hst_r_d">#REF!</definedName>
    <definedName name="EXTR_hst_rev">#REF!</definedName>
    <definedName name="EXTR_hst_sg_a">#REF!</definedName>
    <definedName name="EXTR_lev_mcap">#REF!</definedName>
    <definedName name="EXTR_LQ_ni">#REF!</definedName>
    <definedName name="EXTR_LQ_rev">#REF!</definedName>
    <definedName name="EXTR_lt_debt">#REF!</definedName>
    <definedName name="EXTR_ltm_a">#REF!</definedName>
    <definedName name="EXTR_ltm_cap_ex">#REF!</definedName>
    <definedName name="EXTR_ltm_cogs">#REF!</definedName>
    <definedName name="EXTR_ltm_csh_int">#REF!</definedName>
    <definedName name="EXTR_ltm_d">#REF!</definedName>
    <definedName name="EXTR_ltm_ebit">#REF!</definedName>
    <definedName name="EXTR_ltm_ebt">#REF!</definedName>
    <definedName name="EXTR_ltm_inc_b_m">#REF!</definedName>
    <definedName name="EXTR_ltm_int">#REF!</definedName>
    <definedName name="EXTR_ltm_min_int">#REF!</definedName>
    <definedName name="EXTR_ltm_pref_div">#REF!</definedName>
    <definedName name="EXTR_ltm_r_d">#REF!</definedName>
    <definedName name="EXTR_ltm_rev">#REF!</definedName>
    <definedName name="EXTR_ltm_sg_a">#REF!</definedName>
    <definedName name="EXTR_ltm_shares">#REF!</definedName>
    <definedName name="EXTR_ltm_tax">#REF!</definedName>
    <definedName name="EXTR_ltm_tax_rate">#REF!</definedName>
    <definedName name="EXTR_name">#REF!</definedName>
    <definedName name="EXTR_o_debt_1">#REF!</definedName>
    <definedName name="EXTR_o_debt_2">#REF!</definedName>
    <definedName name="EXTR_o_debt_3">#REF!</definedName>
    <definedName name="EXTR_option_n">#REF!</definedName>
    <definedName name="EXTR_option_pr">#REF!</definedName>
    <definedName name="EXTR_pq_ni">#REF!</definedName>
    <definedName name="EXTR_pq_rev">#REF!</definedName>
    <definedName name="EXTR_pr">#REF!</definedName>
    <definedName name="EXTR_shares">#REF!</definedName>
    <definedName name="EXTR_ticker">#REF!</definedName>
    <definedName name="EXTR_total_dt">#REF!</definedName>
    <definedName name="EXTR_YQ_ni">#REF!</definedName>
    <definedName name="EXTR_YQ_rev">#REF!</definedName>
    <definedName name="EXTRA_ITEMS">#REF!</definedName>
    <definedName name="Extraordinaries2">#REF!</definedName>
    <definedName name="eygraph">#REF!</definedName>
    <definedName name="F.1991.09">#REF!</definedName>
    <definedName name="F.1992.09">#REF!</definedName>
    <definedName name="F.1993.09">#REF!</definedName>
    <definedName name="F.1994.09">#REF!</definedName>
    <definedName name="F.1995.09">#REF!</definedName>
    <definedName name="F.1996.09">#REF!</definedName>
    <definedName name="F.1997.09">#REF!</definedName>
    <definedName name="F.1998.09">#REF!</definedName>
    <definedName name="F.1999.09">#REF!</definedName>
    <definedName name="F.2000">#REF!</definedName>
    <definedName name="F.2000.03">#REF!</definedName>
    <definedName name="F.2000.09">#REF!</definedName>
    <definedName name="F.2001">#REF!</definedName>
    <definedName name="F.2001.03">#REF!</definedName>
    <definedName name="F.2001.09">#REF!</definedName>
    <definedName name="F.2002">#REF!</definedName>
    <definedName name="F.2002.03">#REF!</definedName>
    <definedName name="F.2002.09">#REF!</definedName>
    <definedName name="F.2003">#REF!</definedName>
    <definedName name="F.2004">#REF!</definedName>
    <definedName name="FA">#REF!</definedName>
    <definedName name="FA_ASSOC">#REF!</definedName>
    <definedName name="FA_INV">#REF!</definedName>
    <definedName name="Factor">#REF!</definedName>
    <definedName name="Fade">#REF!</definedName>
    <definedName name="fair_value">[38]DCF!$L$39</definedName>
    <definedName name="FairMarket_Cap">#REF!</definedName>
    <definedName name="FairPrice">#REF!</definedName>
    <definedName name="FairValuePS">#REF!</definedName>
    <definedName name="FAM">'[39]CVC NY GAAP Fin. Statements'!$DA$517</definedName>
    <definedName name="FAMERangeGCI_ISD88">#REF!</definedName>
    <definedName name="FAMERangeKRI_BALAL99">#REF!</definedName>
    <definedName name="FAMERangeKRI_BALAM99">#REF!</definedName>
    <definedName name="FAMERangeraw_dataB36">#REF!</definedName>
    <definedName name="FAMERangeraw_dataB37">#REF!</definedName>
    <definedName name="FAMERangeraw_dataB38">#REF!</definedName>
    <definedName name="FAMERangeraw_dataB39">#REF!</definedName>
    <definedName name="FAMERangeraw_dataB40">#REF!</definedName>
    <definedName name="FAMERangeraw_dataB45">#REF!</definedName>
    <definedName name="FAMERangeraw_dataB51">#REF!</definedName>
    <definedName name="FAMERangeraw_dataB52">#REF!</definedName>
    <definedName name="FAMERangeraw_dataB54">#REF!</definedName>
    <definedName name="FAMERangeraw_dataB55">#REF!</definedName>
    <definedName name="FAMERangeraw_dataB57">#REF!</definedName>
    <definedName name="FAMERangeraw_dataB58">#REF!</definedName>
    <definedName name="FAMERangeraw_dataB59">#REF!</definedName>
    <definedName name="FAMERangeraw_dataB60">#REF!</definedName>
    <definedName name="FAMERangeraw_dataB62">#REF!</definedName>
    <definedName name="FAMERangeraw_dataB63">#REF!</definedName>
    <definedName name="FAMERangeraw_dataB64">#REF!</definedName>
    <definedName name="FAMERangeraw_dataB65">#REF!</definedName>
    <definedName name="FAMERangeraw_dataB68">#REF!</definedName>
    <definedName name="FAMERangeraw_dataC34">#REF!</definedName>
    <definedName name="FAMERangeraw_dataC44">#REF!</definedName>
    <definedName name="FAMERangeraw_dataC45">#REF!</definedName>
    <definedName name="FAMERangeraw_dataC51">#REF!</definedName>
    <definedName name="FAMERangeraw_dataC52">#REF!</definedName>
    <definedName name="FAMERangeraw_dataC54">#REF!</definedName>
    <definedName name="FAMERangeraw_dataC55">#REF!</definedName>
    <definedName name="FAMERangeraw_dataC57">#REF!</definedName>
    <definedName name="FAMERangeraw_dataC58">#REF!</definedName>
    <definedName name="FAMERangeraw_dataC59">#REF!</definedName>
    <definedName name="FAMERangeraw_dataC60">#REF!</definedName>
    <definedName name="FAMERangeraw_dataC62">#REF!</definedName>
    <definedName name="FAMERangeraw_dataC63">#REF!</definedName>
    <definedName name="FAMERangeraw_dataC71">#REF!</definedName>
    <definedName name="FAMERangeraw_dataD34">#REF!</definedName>
    <definedName name="FAMERangeraw_dataD44">#REF!</definedName>
    <definedName name="FAMERangeraw_dataD45">#REF!</definedName>
    <definedName name="FAMERangeraw_dataD62">#REF!</definedName>
    <definedName name="FAMERangeraw_dataD71">#REF!</definedName>
    <definedName name="FAMERangeraw_dataE44">#REF!</definedName>
    <definedName name="FAMERangeraw_dataE45">#REF!</definedName>
    <definedName name="FAMERangeraw_dataE63">#REF!</definedName>
    <definedName name="FAMERangeraw_dataE64">#REF!</definedName>
    <definedName name="FAMERangeraw_dataE65">#REF!</definedName>
    <definedName name="FAMERangeraw_dataE71">#REF!</definedName>
    <definedName name="FAMERangeraw_dataG40">#REF!</definedName>
    <definedName name="FAMERangeraw_dataG41">#REF!</definedName>
    <definedName name="FAMERangeraw_dataH40">#REF!</definedName>
    <definedName name="FAMERangeraw_dataH41">#REF!</definedName>
    <definedName name="FAMERangeraw_dataI40">#REF!</definedName>
    <definedName name="fareast">#REF!</definedName>
    <definedName name="Faster_Faller">#REF!</definedName>
    <definedName name="Faster_Riser">#REF!</definedName>
    <definedName name="FCE">#REF!</definedName>
    <definedName name="FCF">#REF!</definedName>
    <definedName name="fcf.00">#REF!</definedName>
    <definedName name="fcf.96">#REF!</definedName>
    <definedName name="fcf.97">#REF!</definedName>
    <definedName name="fcf.98">#REF!</definedName>
    <definedName name="fcf.99">#REF!</definedName>
    <definedName name="FCF_margin">#REF!</definedName>
    <definedName name="FCF_performance">#REF!</definedName>
    <definedName name="FCF_ranks">#REF!</definedName>
    <definedName name="FCF_tickers">#REF!</definedName>
    <definedName name="FCF_yields">#REF!</definedName>
    <definedName name="fcfps.2000">#REF!</definedName>
    <definedName name="fcfps.2001">#REF!</definedName>
    <definedName name="fcfps.96">#REF!</definedName>
    <definedName name="fcfps.97">#REF!</definedName>
    <definedName name="fcfps.98">#REF!</definedName>
    <definedName name="fcfps.99">#REF!</definedName>
    <definedName name="FD_EPS">#REF!</definedName>
    <definedName name="FDP_105_1_aDrv" hidden="1">#REF!</definedName>
    <definedName name="FDP_152_1_aUrv" hidden="1">#REF!</definedName>
    <definedName name="FDP_153_1_aUrv" hidden="1">#REF!</definedName>
    <definedName name="FDP_154_1_aUrv" hidden="1">#REF!</definedName>
    <definedName name="FDP_41_1_aDrv" hidden="1">#REF!</definedName>
    <definedName name="FDP_51_1_aDrv" hidden="1">#REF!</definedName>
    <definedName name="fdsfds">#REF!</definedName>
    <definedName name="FDSHARES">#REF!</definedName>
    <definedName name="fdso">#REF!</definedName>
    <definedName name="FE_OUT">#REF!</definedName>
    <definedName name="FeChr_01D">#REF!</definedName>
    <definedName name="FeChr_01J">#REF!</definedName>
    <definedName name="FeChr_01M">#REF!</definedName>
    <definedName name="FeChr_01S">#REF!</definedName>
    <definedName name="FeChr_02D">#REF!</definedName>
    <definedName name="FeChr_02J">#REF!</definedName>
    <definedName name="FeChr_02M">#REF!</definedName>
    <definedName name="FeChr_02S">#REF!</definedName>
    <definedName name="FeChr_03D">#REF!</definedName>
    <definedName name="FeChr_03J">#REF!</definedName>
    <definedName name="FeChr_03M">#REF!</definedName>
    <definedName name="FeChr_03S">#REF!</definedName>
    <definedName name="FeChr_04D">#REF!</definedName>
    <definedName name="FeChr_04J">#REF!</definedName>
    <definedName name="FeChr_04M">#REF!</definedName>
    <definedName name="FeChr_04S">#REF!</definedName>
    <definedName name="FeChr_05D">#REF!</definedName>
    <definedName name="FeChr_05J">#REF!</definedName>
    <definedName name="FeChr_05M">#REF!</definedName>
    <definedName name="FeChr_05S">#REF!</definedName>
    <definedName name="FeChr_06D">#REF!</definedName>
    <definedName name="FeChr_06J">#REF!</definedName>
    <definedName name="FeChr_06M">#REF!</definedName>
    <definedName name="FeChr_06S">#REF!</definedName>
    <definedName name="FeChr_07D">#REF!</definedName>
    <definedName name="FeChr_07J">#REF!</definedName>
    <definedName name="FeChr_07M">#REF!</definedName>
    <definedName name="FeChr_07S">#REF!</definedName>
    <definedName name="FeChr_08D">#REF!</definedName>
    <definedName name="FeChr_08J">#REF!</definedName>
    <definedName name="FeChr_08M">#REF!</definedName>
    <definedName name="FeChr_08S">#REF!</definedName>
    <definedName name="FeChr_09D">#REF!</definedName>
    <definedName name="FeChr_09J">#REF!</definedName>
    <definedName name="FeChr_09M">#REF!</definedName>
    <definedName name="FeChr_09S">#REF!</definedName>
    <definedName name="FeChr_10D">#REF!</definedName>
    <definedName name="FeChr_10J">#REF!</definedName>
    <definedName name="FeChr_10M">#REF!</definedName>
    <definedName name="FeChr_10S">#REF!</definedName>
    <definedName name="FeChr_11D">#REF!</definedName>
    <definedName name="FeChr_11J">#REF!</definedName>
    <definedName name="FeChr_11M">#REF!</definedName>
    <definedName name="FeChr_11S">#REF!</definedName>
    <definedName name="FeChr_12D">#REF!</definedName>
    <definedName name="FeChr_12J">#REF!</definedName>
    <definedName name="FeChr_12M">#REF!</definedName>
    <definedName name="FeChr_12S">#REF!</definedName>
    <definedName name="FeChr_13D">#REF!</definedName>
    <definedName name="FeChr_13J">#REF!</definedName>
    <definedName name="FeChr_13M">#REF!</definedName>
    <definedName name="FeChr_13S">#REF!</definedName>
    <definedName name="FeChr_14D">#REF!</definedName>
    <definedName name="FeChr_14J">#REF!</definedName>
    <definedName name="FeChr_14M">#REF!</definedName>
    <definedName name="FeChr_14S">#REF!</definedName>
    <definedName name="FeChr_15D">#REF!</definedName>
    <definedName name="FeChr_15J">#REF!</definedName>
    <definedName name="FeChr_15M">#REF!</definedName>
    <definedName name="FeChr_15S">#REF!</definedName>
    <definedName name="FeChr_16D">#REF!</definedName>
    <definedName name="FeChr_16J">#REF!</definedName>
    <definedName name="FeChr_16M">#REF!</definedName>
    <definedName name="FeChr_16S">#REF!</definedName>
    <definedName name="FeChr_17D">#REF!</definedName>
    <definedName name="FeChr_17J">#REF!</definedName>
    <definedName name="FeChr_17M">#REF!</definedName>
    <definedName name="FeChr_17S">#REF!</definedName>
    <definedName name="FeChr_18D">#REF!</definedName>
    <definedName name="FeChr_18J">#REF!</definedName>
    <definedName name="FeChr_18M">#REF!</definedName>
    <definedName name="FeChr_18S">#REF!</definedName>
    <definedName name="FeChr_19D">#REF!</definedName>
    <definedName name="FeChr_19J">#REF!</definedName>
    <definedName name="FeChr_19M">#REF!</definedName>
    <definedName name="FeChr_19S">#REF!</definedName>
    <definedName name="FeChr_20D">#REF!</definedName>
    <definedName name="FeChr_20J">#REF!</definedName>
    <definedName name="FeChr_20M">#REF!</definedName>
    <definedName name="FeChr_20S">#REF!</definedName>
    <definedName name="FeChr_21D">#REF!</definedName>
    <definedName name="FeChr_21J">#REF!</definedName>
    <definedName name="FeChr_21M">#REF!</definedName>
    <definedName name="FeChr_21S">#REF!</definedName>
    <definedName name="FeChr_22D">#REF!</definedName>
    <definedName name="FeChr_22J">#REF!</definedName>
    <definedName name="FeChr_22M">#REF!</definedName>
    <definedName name="FeChr_22S">#REF!</definedName>
    <definedName name="FeChr_23D">#REF!</definedName>
    <definedName name="FeChr_23J">#REF!</definedName>
    <definedName name="FeChr_23M">#REF!</definedName>
    <definedName name="FeChr_23S">#REF!</definedName>
    <definedName name="FeChr_24D">#REF!</definedName>
    <definedName name="FeChr_24J">#REF!</definedName>
    <definedName name="FeChr_24M">#REF!</definedName>
    <definedName name="FeChr_24S">#REF!</definedName>
    <definedName name="FeChr_25D">#REF!</definedName>
    <definedName name="FeChr_25J">#REF!</definedName>
    <definedName name="FeChr_25M">#REF!</definedName>
    <definedName name="FeChr_25S">#REF!</definedName>
    <definedName name="FeChr_87D">#REF!</definedName>
    <definedName name="FeChr_87J">#REF!</definedName>
    <definedName name="FeChr_87M">#REF!</definedName>
    <definedName name="FeChr_87S">#REF!</definedName>
    <definedName name="FeChr_88D">#REF!</definedName>
    <definedName name="FeChr_88J">#REF!</definedName>
    <definedName name="FeChr_88M">#REF!</definedName>
    <definedName name="FeChr_88S">#REF!</definedName>
    <definedName name="FeChr_89D">#REF!</definedName>
    <definedName name="FeChr_89J">#REF!</definedName>
    <definedName name="FeChr_89M">#REF!</definedName>
    <definedName name="FeChr_89S">#REF!</definedName>
    <definedName name="FeChr_90D">#REF!</definedName>
    <definedName name="FeChr_90J">#REF!</definedName>
    <definedName name="FeChr_90M">#REF!</definedName>
    <definedName name="FeChr_90S">#REF!</definedName>
    <definedName name="FeChr_91D">#REF!</definedName>
    <definedName name="FeChr_91J">#REF!</definedName>
    <definedName name="FeChr_91M">#REF!</definedName>
    <definedName name="FeChr_91S">#REF!</definedName>
    <definedName name="FeChr_92D">#REF!</definedName>
    <definedName name="FeChr_92J">#REF!</definedName>
    <definedName name="FeChr_92M">#REF!</definedName>
    <definedName name="FeChr_92S">#REF!</definedName>
    <definedName name="FeChr_93D">#REF!</definedName>
    <definedName name="FeChr_93J">#REF!</definedName>
    <definedName name="FeChr_93M">#REF!</definedName>
    <definedName name="FeChr_93S">#REF!</definedName>
    <definedName name="FeChr_94D">#REF!</definedName>
    <definedName name="FeChr_94J">#REF!</definedName>
    <definedName name="FeChr_94M">#REF!</definedName>
    <definedName name="FeChr_94S">#REF!</definedName>
    <definedName name="FeChr_95D">#REF!</definedName>
    <definedName name="FeChr_95J">#REF!</definedName>
    <definedName name="FeChr_95M">#REF!</definedName>
    <definedName name="FeChr_95S">#REF!</definedName>
    <definedName name="FeChr_96D">#REF!</definedName>
    <definedName name="FeChr_96J">#REF!</definedName>
    <definedName name="FeChr_96M">#REF!</definedName>
    <definedName name="FeChr_96S">#REF!</definedName>
    <definedName name="FeChr_97D">#REF!</definedName>
    <definedName name="FeChr_97J">#REF!</definedName>
    <definedName name="FeChr_97M">#REF!</definedName>
    <definedName name="FeChr_97S">#REF!</definedName>
    <definedName name="FeChr_98D">#REF!</definedName>
    <definedName name="FeChr_98J">#REF!</definedName>
    <definedName name="FeChr_98M">#REF!</definedName>
    <definedName name="FeChr_98S">#REF!</definedName>
    <definedName name="FeChr_99D">#REF!</definedName>
    <definedName name="FeChr_99J">#REF!</definedName>
    <definedName name="FeChr_99M">#REF!</definedName>
    <definedName name="FeChr_99S">#REF!</definedName>
    <definedName name="FECHR_LT">#REF!</definedName>
    <definedName name="FEF_00D">#REF!</definedName>
    <definedName name="FEF_00J">#REF!</definedName>
    <definedName name="FEF_00M">#REF!</definedName>
    <definedName name="FEF_00S">#REF!</definedName>
    <definedName name="FEF_01D">#REF!</definedName>
    <definedName name="FEF_01J">#REF!</definedName>
    <definedName name="FEF_01M">#REF!</definedName>
    <definedName name="FEF_01S">#REF!</definedName>
    <definedName name="FEF_02D">#REF!</definedName>
    <definedName name="FEF_02J">#REF!</definedName>
    <definedName name="FEF_02M">#REF!</definedName>
    <definedName name="FEF_02S">#REF!</definedName>
    <definedName name="FEF_03D">#REF!</definedName>
    <definedName name="FEF_03J">#REF!</definedName>
    <definedName name="FEF_03M">#REF!</definedName>
    <definedName name="FEF_03S">#REF!</definedName>
    <definedName name="FEF_04D">#REF!</definedName>
    <definedName name="FEF_04J">#REF!</definedName>
    <definedName name="FEF_04M">#REF!</definedName>
    <definedName name="FEF_04S">#REF!</definedName>
    <definedName name="FEF_05D">#REF!</definedName>
    <definedName name="FEF_05J">#REF!</definedName>
    <definedName name="FEF_05M">#REF!</definedName>
    <definedName name="FEF_05S">#REF!</definedName>
    <definedName name="FEF_06D">#REF!</definedName>
    <definedName name="FEF_06J">#REF!</definedName>
    <definedName name="FEF_06M">#REF!</definedName>
    <definedName name="FEF_06S">#REF!</definedName>
    <definedName name="FEF_07D">#REF!</definedName>
    <definedName name="FEF_07J">#REF!</definedName>
    <definedName name="FEF_07M">#REF!</definedName>
    <definedName name="FEF_07S">#REF!</definedName>
    <definedName name="FEF_08D">#REF!</definedName>
    <definedName name="FEF_08J">#REF!</definedName>
    <definedName name="FEF_08M">#REF!</definedName>
    <definedName name="FEF_08S">#REF!</definedName>
    <definedName name="FEF_09D">#REF!</definedName>
    <definedName name="FEF_09J">#REF!</definedName>
    <definedName name="FEF_09M">#REF!</definedName>
    <definedName name="FEF_09S">#REF!</definedName>
    <definedName name="FEF_10D">#REF!</definedName>
    <definedName name="FEF_10J">#REF!</definedName>
    <definedName name="FEF_10M">#REF!</definedName>
    <definedName name="FEF_10S">#REF!</definedName>
    <definedName name="FEF_11D">#REF!</definedName>
    <definedName name="FEF_11J">#REF!</definedName>
    <definedName name="FEF_11M">#REF!</definedName>
    <definedName name="FEF_11S">#REF!</definedName>
    <definedName name="FEF_12D">#REF!</definedName>
    <definedName name="FEF_12J">#REF!</definedName>
    <definedName name="FEF_12M">#REF!</definedName>
    <definedName name="FEF_12S">#REF!</definedName>
    <definedName name="FEF_13D">#REF!</definedName>
    <definedName name="FEF_13J">#REF!</definedName>
    <definedName name="FEF_13M">#REF!</definedName>
    <definedName name="FEF_13S">#REF!</definedName>
    <definedName name="FEF_14D">#REF!</definedName>
    <definedName name="FEF_14J">#REF!</definedName>
    <definedName name="FEF_14M">#REF!</definedName>
    <definedName name="FEF_14S">#REF!</definedName>
    <definedName name="FEF_15D">#REF!</definedName>
    <definedName name="FEF_15J">#REF!</definedName>
    <definedName name="FEF_15M">#REF!</definedName>
    <definedName name="FEF_15S">#REF!</definedName>
    <definedName name="FEF_16D">#REF!</definedName>
    <definedName name="FEF_16J">#REF!</definedName>
    <definedName name="FEF_16M">#REF!</definedName>
    <definedName name="FEF_16S">#REF!</definedName>
    <definedName name="FEF_17D">#REF!</definedName>
    <definedName name="FEF_17J">#REF!</definedName>
    <definedName name="FEF_17M">#REF!</definedName>
    <definedName name="FEF_17S">#REF!</definedName>
    <definedName name="FEF_18D">#REF!</definedName>
    <definedName name="FEF_18J">#REF!</definedName>
    <definedName name="FEF_18M">#REF!</definedName>
    <definedName name="FEF_18S">#REF!</definedName>
    <definedName name="FEF_19D">#REF!</definedName>
    <definedName name="FEF_19J">#REF!</definedName>
    <definedName name="FEF_19M">#REF!</definedName>
    <definedName name="FEF_19S">#REF!</definedName>
    <definedName name="FEF_20D">#REF!</definedName>
    <definedName name="FEF_20J">#REF!</definedName>
    <definedName name="FEF_20M">#REF!</definedName>
    <definedName name="FEF_20S">#REF!</definedName>
    <definedName name="FEF_21D">#REF!</definedName>
    <definedName name="FEF_21J">#REF!</definedName>
    <definedName name="FEF_21M">#REF!</definedName>
    <definedName name="FEF_21S">#REF!</definedName>
    <definedName name="FEF_22D">#REF!</definedName>
    <definedName name="FEF_22J">#REF!</definedName>
    <definedName name="FEF_22M">#REF!</definedName>
    <definedName name="FEF_22S">#REF!</definedName>
    <definedName name="FEF_23D">#REF!</definedName>
    <definedName name="FEF_23J">#REF!</definedName>
    <definedName name="FEF_23M">#REF!</definedName>
    <definedName name="FEF_23S">#REF!</definedName>
    <definedName name="FEF_24D">#REF!</definedName>
    <definedName name="FEF_24J">#REF!</definedName>
    <definedName name="FEF_24M">#REF!</definedName>
    <definedName name="FEF_24S">#REF!</definedName>
    <definedName name="FEF_25D">#REF!</definedName>
    <definedName name="FEF_25J">#REF!</definedName>
    <definedName name="FEF_25M">#REF!</definedName>
    <definedName name="FEF_25S">#REF!</definedName>
    <definedName name="FEF_87D">#REF!</definedName>
    <definedName name="FEF_87J">#REF!</definedName>
    <definedName name="FEF_87M">#REF!</definedName>
    <definedName name="FEF_87S">#REF!</definedName>
    <definedName name="FEF_88D">#REF!</definedName>
    <definedName name="FEF_88J">#REF!</definedName>
    <definedName name="FEF_88M">#REF!</definedName>
    <definedName name="FEF_88S">#REF!</definedName>
    <definedName name="FEF_89D">#REF!</definedName>
    <definedName name="FEF_89J">#REF!</definedName>
    <definedName name="FEF_89M">#REF!</definedName>
    <definedName name="FEF_89S">#REF!</definedName>
    <definedName name="FEF_90D">#REF!</definedName>
    <definedName name="FEF_90J">#REF!</definedName>
    <definedName name="FEF_90M">#REF!</definedName>
    <definedName name="FEF_90S">#REF!</definedName>
    <definedName name="FEF_91D">#REF!</definedName>
    <definedName name="FEF_91J">#REF!</definedName>
    <definedName name="FEF_91M">#REF!</definedName>
    <definedName name="FEF_91S">#REF!</definedName>
    <definedName name="FEF_92D">#REF!</definedName>
    <definedName name="FEF_92J">#REF!</definedName>
    <definedName name="FEF_92M">#REF!</definedName>
    <definedName name="FEF_92S">#REF!</definedName>
    <definedName name="FEF_93D">#REF!</definedName>
    <definedName name="FEF_93J">#REF!</definedName>
    <definedName name="FEF_93M">#REF!</definedName>
    <definedName name="FEF_93S">#REF!</definedName>
    <definedName name="FEF_94D">#REF!</definedName>
    <definedName name="FEF_94J">#REF!</definedName>
    <definedName name="FEF_94M">#REF!</definedName>
    <definedName name="FEF_94S">#REF!</definedName>
    <definedName name="FEF_95D">#REF!</definedName>
    <definedName name="FEF_95J">#REF!</definedName>
    <definedName name="FEF_95M">#REF!</definedName>
    <definedName name="FEF_95S">#REF!</definedName>
    <definedName name="FEF_96D">#REF!</definedName>
    <definedName name="FEF_96J">#REF!</definedName>
    <definedName name="FEF_96M">#REF!</definedName>
    <definedName name="FEF_96S">#REF!</definedName>
    <definedName name="FEF_97D">#REF!</definedName>
    <definedName name="FEF_97J">#REF!</definedName>
    <definedName name="FEF_97M">#REF!</definedName>
    <definedName name="FEF_97S">#REF!</definedName>
    <definedName name="FEF_98D">#REF!</definedName>
    <definedName name="FEF_98J">#REF!</definedName>
    <definedName name="FEF_98M">#REF!</definedName>
    <definedName name="FEF_98S">#REF!</definedName>
    <definedName name="FEF_99D">#REF!</definedName>
    <definedName name="FEF_99J">#REF!</definedName>
    <definedName name="FEF_99M">#REF!</definedName>
    <definedName name="FEF_99S">#REF!</definedName>
    <definedName name="FEF_LT">#REF!</definedName>
    <definedName name="FEF_OUT">#REF!</definedName>
    <definedName name="FEF_Spot">#REF!</definedName>
    <definedName name="FEFC_00D">#REF!</definedName>
    <definedName name="FEFC_00J">#REF!</definedName>
    <definedName name="FEFC_00M">#REF!</definedName>
    <definedName name="FEFC_00S">#REF!</definedName>
    <definedName name="FEFC_01D">#REF!</definedName>
    <definedName name="FEFC_01J">#REF!</definedName>
    <definedName name="FEFC_01M">#REF!</definedName>
    <definedName name="FEFC_01S">#REF!</definedName>
    <definedName name="FEFC_02D">#REF!</definedName>
    <definedName name="FEFC_02J">#REF!</definedName>
    <definedName name="FEFC_02M">#REF!</definedName>
    <definedName name="FEFC_02S">#REF!</definedName>
    <definedName name="FEFC_03D">#REF!</definedName>
    <definedName name="FEFC_03J">#REF!</definedName>
    <definedName name="FEFC_03M">#REF!</definedName>
    <definedName name="FEFC_03S">#REF!</definedName>
    <definedName name="FEFC_04D">#REF!</definedName>
    <definedName name="FEFC_04J">#REF!</definedName>
    <definedName name="FEFC_04M">#REF!</definedName>
    <definedName name="FEFC_04S">#REF!</definedName>
    <definedName name="FEFC_05D">#REF!</definedName>
    <definedName name="FEFC_05J">#REF!</definedName>
    <definedName name="FEFC_05M">#REF!</definedName>
    <definedName name="FEFC_05S">#REF!</definedName>
    <definedName name="FEFC_06D">#REF!</definedName>
    <definedName name="FEFC_06J">#REF!</definedName>
    <definedName name="FEFC_06M">#REF!</definedName>
    <definedName name="FEFC_06S">#REF!</definedName>
    <definedName name="FEFC_07D">#REF!</definedName>
    <definedName name="FEFC_07J">#REF!</definedName>
    <definedName name="FEFC_07M">#REF!</definedName>
    <definedName name="FEFC_07S">#REF!</definedName>
    <definedName name="FEFC_08D">#REF!</definedName>
    <definedName name="FEFC_08J">#REF!</definedName>
    <definedName name="FEFC_08M">#REF!</definedName>
    <definedName name="FEFC_08S">#REF!</definedName>
    <definedName name="FEFC_09D">#REF!</definedName>
    <definedName name="FEFC_09J">#REF!</definedName>
    <definedName name="FEFC_09M">#REF!</definedName>
    <definedName name="FEFC_09S">#REF!</definedName>
    <definedName name="FEFC_10D">#REF!</definedName>
    <definedName name="FEFC_10J">#REF!</definedName>
    <definedName name="FEFC_10M">#REF!</definedName>
    <definedName name="FEFC_10S">#REF!</definedName>
    <definedName name="FEFC_11D">#REF!</definedName>
    <definedName name="FEFC_11J">#REF!</definedName>
    <definedName name="FEFC_11M">#REF!</definedName>
    <definedName name="FEFC_11S">#REF!</definedName>
    <definedName name="FEFC_12D">#REF!</definedName>
    <definedName name="FEFC_12J">#REF!</definedName>
    <definedName name="FEFC_12M">#REF!</definedName>
    <definedName name="FEFC_12S">#REF!</definedName>
    <definedName name="FEFC_13D">#REF!</definedName>
    <definedName name="FEFC_13J">#REF!</definedName>
    <definedName name="FEFC_13M">#REF!</definedName>
    <definedName name="FEFC_13S">#REF!</definedName>
    <definedName name="FEFC_14D">#REF!</definedName>
    <definedName name="FEFC_14J">#REF!</definedName>
    <definedName name="FEFC_14M">#REF!</definedName>
    <definedName name="FEFC_14S">#REF!</definedName>
    <definedName name="FEFC_15D">#REF!</definedName>
    <definedName name="FEFC_15J">#REF!</definedName>
    <definedName name="FEFC_15M">#REF!</definedName>
    <definedName name="FEFC_15S">#REF!</definedName>
    <definedName name="FEFC_16D">#REF!</definedName>
    <definedName name="FEFC_16J">#REF!</definedName>
    <definedName name="FEFC_16M">#REF!</definedName>
    <definedName name="FEFC_16S">#REF!</definedName>
    <definedName name="FEFC_17D">#REF!</definedName>
    <definedName name="FEFC_17J">#REF!</definedName>
    <definedName name="FEFC_17M">#REF!</definedName>
    <definedName name="FEFC_17S">#REF!</definedName>
    <definedName name="FEFC_18D">#REF!</definedName>
    <definedName name="FEFC_18J">#REF!</definedName>
    <definedName name="FEFC_18M">#REF!</definedName>
    <definedName name="FEFC_18S">#REF!</definedName>
    <definedName name="FEFC_19D">#REF!</definedName>
    <definedName name="FEFC_19J">#REF!</definedName>
    <definedName name="FEFC_19M">#REF!</definedName>
    <definedName name="FEFC_19S">#REF!</definedName>
    <definedName name="FEFC_20D">#REF!</definedName>
    <definedName name="FEFC_20J">#REF!</definedName>
    <definedName name="FEFC_20M">#REF!</definedName>
    <definedName name="FEFC_20S">#REF!</definedName>
    <definedName name="FEFC_21D">#REF!</definedName>
    <definedName name="FEFC_21J">#REF!</definedName>
    <definedName name="FEFC_21M">#REF!</definedName>
    <definedName name="FEFC_21S">#REF!</definedName>
    <definedName name="FEFC_22D">#REF!</definedName>
    <definedName name="FEFC_22J">#REF!</definedName>
    <definedName name="FEFC_22M">#REF!</definedName>
    <definedName name="FEFC_22S">#REF!</definedName>
    <definedName name="FEFC_23D">#REF!</definedName>
    <definedName name="FEFC_23J">#REF!</definedName>
    <definedName name="FEFC_23M">#REF!</definedName>
    <definedName name="FEFC_23S">#REF!</definedName>
    <definedName name="FEFC_24D">#REF!</definedName>
    <definedName name="FEFC_24J">#REF!</definedName>
    <definedName name="FEFC_24M">#REF!</definedName>
    <definedName name="FEFC_24S">#REF!</definedName>
    <definedName name="FEFC_25D">#REF!</definedName>
    <definedName name="FEFC_25J">#REF!</definedName>
    <definedName name="FEFC_25M">#REF!</definedName>
    <definedName name="FEFC_25S">#REF!</definedName>
    <definedName name="FEFC_87D">#REF!</definedName>
    <definedName name="FEFC_87J">#REF!</definedName>
    <definedName name="FEFC_87M">#REF!</definedName>
    <definedName name="FEFC_87S">#REF!</definedName>
    <definedName name="FEFC_88D">#REF!</definedName>
    <definedName name="FEFC_88J">#REF!</definedName>
    <definedName name="FEFC_88M">#REF!</definedName>
    <definedName name="FEFC_88S">#REF!</definedName>
    <definedName name="FEFC_89D">#REF!</definedName>
    <definedName name="FEFC_89J">#REF!</definedName>
    <definedName name="FEFC_89M">#REF!</definedName>
    <definedName name="FEFC_89S">#REF!</definedName>
    <definedName name="FEFC_90D">#REF!</definedName>
    <definedName name="FEFC_90J">#REF!</definedName>
    <definedName name="FEFC_90M">#REF!</definedName>
    <definedName name="FEFC_90S">#REF!</definedName>
    <definedName name="FEFC_91D">#REF!</definedName>
    <definedName name="FEFC_91J">#REF!</definedName>
    <definedName name="FEFC_91M">#REF!</definedName>
    <definedName name="FEFC_91S">#REF!</definedName>
    <definedName name="FEFC_92D">#REF!</definedName>
    <definedName name="FEFC_92J">#REF!</definedName>
    <definedName name="FEFC_92M">#REF!</definedName>
    <definedName name="FEFC_92S">#REF!</definedName>
    <definedName name="FEFC_93D">#REF!</definedName>
    <definedName name="FEFC_93J">#REF!</definedName>
    <definedName name="FEFC_93M">#REF!</definedName>
    <definedName name="FEFC_93S">#REF!</definedName>
    <definedName name="FEFC_94D">#REF!</definedName>
    <definedName name="FEFC_94J">#REF!</definedName>
    <definedName name="FEFC_94M">#REF!</definedName>
    <definedName name="FEFC_94S">#REF!</definedName>
    <definedName name="FEFC_95D">#REF!</definedName>
    <definedName name="FEFC_95J">#REF!</definedName>
    <definedName name="FEFC_95M">#REF!</definedName>
    <definedName name="FEFC_95S">#REF!</definedName>
    <definedName name="FEFC_96D">#REF!</definedName>
    <definedName name="FEFC_96J">#REF!</definedName>
    <definedName name="FEFC_96M">#REF!</definedName>
    <definedName name="FEFC_96S">#REF!</definedName>
    <definedName name="FEFC_97D">#REF!</definedName>
    <definedName name="FEFC_97J">#REF!</definedName>
    <definedName name="FEFC_97M">#REF!</definedName>
    <definedName name="FEFC_97S">#REF!</definedName>
    <definedName name="FEFC_98D">#REF!</definedName>
    <definedName name="FEFC_98J">#REF!</definedName>
    <definedName name="FEFC_98M">#REF!</definedName>
    <definedName name="FEFC_98S">#REF!</definedName>
    <definedName name="FEFC_99D">#REF!</definedName>
    <definedName name="FEFC_99J">#REF!</definedName>
    <definedName name="FEFC_99M">#REF!</definedName>
    <definedName name="FEFC_99S">#REF!</definedName>
    <definedName name="FEFC_LT">#REF!</definedName>
    <definedName name="FEFE_00D">#REF!</definedName>
    <definedName name="FEFE_00J">#REF!</definedName>
    <definedName name="FEFE_00M">#REF!</definedName>
    <definedName name="FEFE_00S">#REF!</definedName>
    <definedName name="FEFE_01D">#REF!</definedName>
    <definedName name="FEFE_01J">#REF!</definedName>
    <definedName name="FEFE_01M">#REF!</definedName>
    <definedName name="FEFE_01S">#REF!</definedName>
    <definedName name="FEFE_02D">#REF!</definedName>
    <definedName name="FEFE_02J">#REF!</definedName>
    <definedName name="FEFE_02M">#REF!</definedName>
    <definedName name="FEFE_02S">#REF!</definedName>
    <definedName name="FEFE_03D">#REF!</definedName>
    <definedName name="FEFE_03J">#REF!</definedName>
    <definedName name="FEFE_03M">#REF!</definedName>
    <definedName name="FEFE_03S">#REF!</definedName>
    <definedName name="FEFE_04D">#REF!</definedName>
    <definedName name="FEFE_04J">#REF!</definedName>
    <definedName name="FEFE_04M">#REF!</definedName>
    <definedName name="FEFE_04S">#REF!</definedName>
    <definedName name="FEFE_05D">#REF!</definedName>
    <definedName name="FEFE_05J">#REF!</definedName>
    <definedName name="FEFE_05M">#REF!</definedName>
    <definedName name="FEFE_05S">#REF!</definedName>
    <definedName name="FEFE_06D">#REF!</definedName>
    <definedName name="FEFE_06J">#REF!</definedName>
    <definedName name="FEFE_06M">#REF!</definedName>
    <definedName name="FEFE_06S">#REF!</definedName>
    <definedName name="FEFE_07D">#REF!</definedName>
    <definedName name="FEFE_07J">#REF!</definedName>
    <definedName name="FEFE_07M">#REF!</definedName>
    <definedName name="FEFE_07S">#REF!</definedName>
    <definedName name="FEFE_08D">#REF!</definedName>
    <definedName name="FEFE_08J">#REF!</definedName>
    <definedName name="FEFE_08M">#REF!</definedName>
    <definedName name="FEFE_08S">#REF!</definedName>
    <definedName name="FEFE_09D">#REF!</definedName>
    <definedName name="FEFE_09J">#REF!</definedName>
    <definedName name="FEFE_09M">#REF!</definedName>
    <definedName name="FEFE_09S">#REF!</definedName>
    <definedName name="FEFE_10D">#REF!</definedName>
    <definedName name="FEFE_10J">#REF!</definedName>
    <definedName name="FEFE_10M">#REF!</definedName>
    <definedName name="FEFE_10S">#REF!</definedName>
    <definedName name="FEFE_11D">#REF!</definedName>
    <definedName name="FEFE_11J">#REF!</definedName>
    <definedName name="FEFE_11M">#REF!</definedName>
    <definedName name="FEFE_11S">#REF!</definedName>
    <definedName name="FEFE_12D">#REF!</definedName>
    <definedName name="FEFE_12J">#REF!</definedName>
    <definedName name="FEFE_12M">#REF!</definedName>
    <definedName name="FEFE_12S">#REF!</definedName>
    <definedName name="FEFE_13D">#REF!</definedName>
    <definedName name="FEFE_13J">#REF!</definedName>
    <definedName name="FEFE_13M">#REF!</definedName>
    <definedName name="FEFE_13S">#REF!</definedName>
    <definedName name="FEFE_14D">#REF!</definedName>
    <definedName name="FEFE_14J">#REF!</definedName>
    <definedName name="FEFE_14M">#REF!</definedName>
    <definedName name="FEFE_14S">#REF!</definedName>
    <definedName name="FEFE_15D">#REF!</definedName>
    <definedName name="FEFE_15J">#REF!</definedName>
    <definedName name="FEFE_15M">#REF!</definedName>
    <definedName name="FEFE_15S">#REF!</definedName>
    <definedName name="FEFE_16D">#REF!</definedName>
    <definedName name="FEFE_16J">#REF!</definedName>
    <definedName name="FEFE_16M">#REF!</definedName>
    <definedName name="FEFE_16S">#REF!</definedName>
    <definedName name="FEFE_17D">#REF!</definedName>
    <definedName name="FEFE_17J">#REF!</definedName>
    <definedName name="FEFE_17M">#REF!</definedName>
    <definedName name="FEFE_17S">#REF!</definedName>
    <definedName name="FEFE_18D">#REF!</definedName>
    <definedName name="FEFE_18J">#REF!</definedName>
    <definedName name="FEFE_18M">#REF!</definedName>
    <definedName name="FEFE_18S">#REF!</definedName>
    <definedName name="FEFE_19D">#REF!</definedName>
    <definedName name="FEFE_19J">#REF!</definedName>
    <definedName name="FEFE_19M">#REF!</definedName>
    <definedName name="FEFE_19S">#REF!</definedName>
    <definedName name="FEFE_20D">#REF!</definedName>
    <definedName name="FEFE_20J">#REF!</definedName>
    <definedName name="FEFE_20M">#REF!</definedName>
    <definedName name="FEFE_20S">#REF!</definedName>
    <definedName name="FEFE_21D">#REF!</definedName>
    <definedName name="FEFE_21J">#REF!</definedName>
    <definedName name="FEFE_21M">#REF!</definedName>
    <definedName name="FEFE_21S">#REF!</definedName>
    <definedName name="FEFE_22D">#REF!</definedName>
    <definedName name="FEFE_22J">#REF!</definedName>
    <definedName name="FEFE_22M">#REF!</definedName>
    <definedName name="FEFE_22S">#REF!</definedName>
    <definedName name="FEFE_23D">#REF!</definedName>
    <definedName name="FEFE_23J">#REF!</definedName>
    <definedName name="FEFE_23M">#REF!</definedName>
    <definedName name="FEFE_23S">#REF!</definedName>
    <definedName name="FEFE_24D">#REF!</definedName>
    <definedName name="FEFE_24J">#REF!</definedName>
    <definedName name="FEFE_24M">#REF!</definedName>
    <definedName name="FEFE_24S">#REF!</definedName>
    <definedName name="FEFE_25D">#REF!</definedName>
    <definedName name="FEFE_25J">#REF!</definedName>
    <definedName name="FEFE_25M">#REF!</definedName>
    <definedName name="FEFE_25S">#REF!</definedName>
    <definedName name="FEFE_87D">#REF!</definedName>
    <definedName name="FEFE_87J">#REF!</definedName>
    <definedName name="FEFE_87M">#REF!</definedName>
    <definedName name="FEFE_87S">#REF!</definedName>
    <definedName name="FEFE_88D">#REF!</definedName>
    <definedName name="FEFE_88J">#REF!</definedName>
    <definedName name="FEFE_88M">#REF!</definedName>
    <definedName name="FEFE_88S">#REF!</definedName>
    <definedName name="FEFE_89D">#REF!</definedName>
    <definedName name="FEFE_89J">#REF!</definedName>
    <definedName name="FEFE_89M">#REF!</definedName>
    <definedName name="FEFE_89S">#REF!</definedName>
    <definedName name="FEFE_90D">#REF!</definedName>
    <definedName name="FEFE_90J">#REF!</definedName>
    <definedName name="FEFE_90M">#REF!</definedName>
    <definedName name="FEFE_90S">#REF!</definedName>
    <definedName name="FEFE_91D">#REF!</definedName>
    <definedName name="FEFE_91J">#REF!</definedName>
    <definedName name="FEFE_91M">#REF!</definedName>
    <definedName name="FEFE_91S">#REF!</definedName>
    <definedName name="FEFE_92D">#REF!</definedName>
    <definedName name="FEFE_92J">#REF!</definedName>
    <definedName name="FEFE_92M">#REF!</definedName>
    <definedName name="FEFE_92S">#REF!</definedName>
    <definedName name="FEFE_93D">#REF!</definedName>
    <definedName name="FEFE_93J">#REF!</definedName>
    <definedName name="FEFE_93M">#REF!</definedName>
    <definedName name="FEFE_93S">#REF!</definedName>
    <definedName name="FEFE_94D">#REF!</definedName>
    <definedName name="FEFE_94J">#REF!</definedName>
    <definedName name="FEFE_94M">#REF!</definedName>
    <definedName name="FEFE_94S">#REF!</definedName>
    <definedName name="FEFE_95D">#REF!</definedName>
    <definedName name="FEFE_95J">#REF!</definedName>
    <definedName name="FEFE_95M">#REF!</definedName>
    <definedName name="FEFE_95S">#REF!</definedName>
    <definedName name="FEFE_96D">#REF!</definedName>
    <definedName name="FEFE_96J">#REF!</definedName>
    <definedName name="FEFE_96M">#REF!</definedName>
    <definedName name="FEFE_96S">#REF!</definedName>
    <definedName name="FEFE_97D">#REF!</definedName>
    <definedName name="FEFE_97J">#REF!</definedName>
    <definedName name="FEFE_97M">#REF!</definedName>
    <definedName name="FEFE_97S">#REF!</definedName>
    <definedName name="FEFE_98D">#REF!</definedName>
    <definedName name="FEFE_98J">#REF!</definedName>
    <definedName name="FEFE_98M">#REF!</definedName>
    <definedName name="FEFE_98S">#REF!</definedName>
    <definedName name="FEFE_99D">#REF!</definedName>
    <definedName name="FEFE_99J">#REF!</definedName>
    <definedName name="FEFE_99M">#REF!</definedName>
    <definedName name="FEFE_99S">#REF!</definedName>
    <definedName name="FEFE_LT">#REF!</definedName>
    <definedName name="FEFEC_00D">#REF!</definedName>
    <definedName name="FEFEC_00J">#REF!</definedName>
    <definedName name="FEFEC_00M">#REF!</definedName>
    <definedName name="FEFEC_00S">#REF!</definedName>
    <definedName name="FEFEC_01D">#REF!</definedName>
    <definedName name="FEFEC_01J">#REF!</definedName>
    <definedName name="FEFEC_01M">#REF!</definedName>
    <definedName name="FEFEC_01S">#REF!</definedName>
    <definedName name="FEFEC_02D">#REF!</definedName>
    <definedName name="FEFEC_02J">#REF!</definedName>
    <definedName name="FEFEC_02M">#REF!</definedName>
    <definedName name="FEFEC_02S">#REF!</definedName>
    <definedName name="FEFEC_03D">#REF!</definedName>
    <definedName name="FEFEC_03J">#REF!</definedName>
    <definedName name="FEFEC_03M">#REF!</definedName>
    <definedName name="FEFEC_03S">#REF!</definedName>
    <definedName name="FEFEC_04D">#REF!</definedName>
    <definedName name="FEFEC_04J">#REF!</definedName>
    <definedName name="FEFEC_04M">#REF!</definedName>
    <definedName name="FEFEC_04S">#REF!</definedName>
    <definedName name="FEFEC_05D">#REF!</definedName>
    <definedName name="FEFEC_05J">#REF!</definedName>
    <definedName name="FEFEC_05M">#REF!</definedName>
    <definedName name="FEFEC_05S">#REF!</definedName>
    <definedName name="FEFEC_06D">#REF!</definedName>
    <definedName name="FEFEC_06J">#REF!</definedName>
    <definedName name="FEFEC_06M">#REF!</definedName>
    <definedName name="FEFEC_06S">#REF!</definedName>
    <definedName name="FEFEC_07D">#REF!</definedName>
    <definedName name="FEFEC_07J">#REF!</definedName>
    <definedName name="FEFEC_07M">#REF!</definedName>
    <definedName name="FEFEC_07S">#REF!</definedName>
    <definedName name="FEFEC_08D">#REF!</definedName>
    <definedName name="FEFEC_08J">#REF!</definedName>
    <definedName name="FEFEC_08M">#REF!</definedName>
    <definedName name="FEFEC_08S">#REF!</definedName>
    <definedName name="FEFEC_09D">#REF!</definedName>
    <definedName name="FEFEC_09J">#REF!</definedName>
    <definedName name="FEFEC_09M">#REF!</definedName>
    <definedName name="FEFEC_09S">#REF!</definedName>
    <definedName name="FEFEC_10D">#REF!</definedName>
    <definedName name="FEFEC_10J">#REF!</definedName>
    <definedName name="FEFEC_10M">#REF!</definedName>
    <definedName name="FEFEC_10S">#REF!</definedName>
    <definedName name="FEFEC_11D">#REF!</definedName>
    <definedName name="FEFEC_11J">#REF!</definedName>
    <definedName name="FEFEC_11M">#REF!</definedName>
    <definedName name="FEFEC_11S">#REF!</definedName>
    <definedName name="FEFEC_12D">#REF!</definedName>
    <definedName name="FEFEC_12J">#REF!</definedName>
    <definedName name="FEFEC_12M">#REF!</definedName>
    <definedName name="FEFEC_12S">#REF!</definedName>
    <definedName name="FEFEC_13D">#REF!</definedName>
    <definedName name="FEFEC_13J">#REF!</definedName>
    <definedName name="FEFEC_13M">#REF!</definedName>
    <definedName name="FEFEC_13S">#REF!</definedName>
    <definedName name="FEFEC_14D">#REF!</definedName>
    <definedName name="FEFEC_14J">#REF!</definedName>
    <definedName name="FEFEC_14M">#REF!</definedName>
    <definedName name="FEFEC_14S">#REF!</definedName>
    <definedName name="FEFEC_15D">#REF!</definedName>
    <definedName name="FEFEC_15J">#REF!</definedName>
    <definedName name="FEFEC_15M">#REF!</definedName>
    <definedName name="FEFEC_15S">#REF!</definedName>
    <definedName name="FEFEC_16D">#REF!</definedName>
    <definedName name="FEFEC_16J">#REF!</definedName>
    <definedName name="FEFEC_16M">#REF!</definedName>
    <definedName name="FEFEC_16S">#REF!</definedName>
    <definedName name="FEFEC_17D">#REF!</definedName>
    <definedName name="FEFEC_17J">#REF!</definedName>
    <definedName name="FEFEC_17M">#REF!</definedName>
    <definedName name="FEFEC_17S">#REF!</definedName>
    <definedName name="FEFEC_18D">#REF!</definedName>
    <definedName name="FEFEC_18J">#REF!</definedName>
    <definedName name="FEFEC_18M">#REF!</definedName>
    <definedName name="FEFEC_18S">#REF!</definedName>
    <definedName name="FEFEC_19D">#REF!</definedName>
    <definedName name="FEFEC_19J">#REF!</definedName>
    <definedName name="FEFEC_19M">#REF!</definedName>
    <definedName name="FEFEC_19S">#REF!</definedName>
    <definedName name="FEFEC_20D">#REF!</definedName>
    <definedName name="FEFEC_20J">#REF!</definedName>
    <definedName name="FEFEC_20M">#REF!</definedName>
    <definedName name="FEFEC_20S">#REF!</definedName>
    <definedName name="FEFEC_21D">#REF!</definedName>
    <definedName name="FEFEC_21J">#REF!</definedName>
    <definedName name="FEFEC_21M">#REF!</definedName>
    <definedName name="FEFEC_21S">#REF!</definedName>
    <definedName name="FEFEC_22D">#REF!</definedName>
    <definedName name="FEFEC_22J">#REF!</definedName>
    <definedName name="FEFEC_22M">#REF!</definedName>
    <definedName name="FEFEC_22S">#REF!</definedName>
    <definedName name="FEFEC_23D">#REF!</definedName>
    <definedName name="FEFEC_23J">#REF!</definedName>
    <definedName name="FEFEC_23M">#REF!</definedName>
    <definedName name="FEFEC_23S">#REF!</definedName>
    <definedName name="FEFEC_24D">#REF!</definedName>
    <definedName name="FEFEC_24J">#REF!</definedName>
    <definedName name="FEFEC_24M">#REF!</definedName>
    <definedName name="FEFEC_24S">#REF!</definedName>
    <definedName name="FEFEC_25D">#REF!</definedName>
    <definedName name="FEFEC_25J">#REF!</definedName>
    <definedName name="FEFEC_25M">#REF!</definedName>
    <definedName name="FEFEC_25S">#REF!</definedName>
    <definedName name="FEFEC_87D">#REF!</definedName>
    <definedName name="FEFEC_87J">#REF!</definedName>
    <definedName name="FEFEC_87M">#REF!</definedName>
    <definedName name="FEFEC_87S">#REF!</definedName>
    <definedName name="FEFEC_88D">#REF!</definedName>
    <definedName name="FEFEC_88J">#REF!</definedName>
    <definedName name="FEFEC_88M">#REF!</definedName>
    <definedName name="FEFEC_88S">#REF!</definedName>
    <definedName name="FEFEC_89D">#REF!</definedName>
    <definedName name="FEFEC_89J">#REF!</definedName>
    <definedName name="FEFEC_89M">#REF!</definedName>
    <definedName name="FEFEC_89S">#REF!</definedName>
    <definedName name="FEFEC_90D">#REF!</definedName>
    <definedName name="FEFEC_90J">#REF!</definedName>
    <definedName name="FEFEC_90M">#REF!</definedName>
    <definedName name="FEFEC_90S">#REF!</definedName>
    <definedName name="FEFEC_91D">#REF!</definedName>
    <definedName name="FEFEC_91J">#REF!</definedName>
    <definedName name="FEFEC_91M">#REF!</definedName>
    <definedName name="FEFEC_91S">#REF!</definedName>
    <definedName name="FEFEC_92D">#REF!</definedName>
    <definedName name="FEFEC_92J">#REF!</definedName>
    <definedName name="FEFEC_92M">#REF!</definedName>
    <definedName name="FEFEC_92S">#REF!</definedName>
    <definedName name="FEFEC_93D">#REF!</definedName>
    <definedName name="FEFEC_93J">#REF!</definedName>
    <definedName name="FEFEC_93M">#REF!</definedName>
    <definedName name="FEFEC_93S">#REF!</definedName>
    <definedName name="FEFEC_94D">#REF!</definedName>
    <definedName name="FEFEC_94J">#REF!</definedName>
    <definedName name="FEFEC_94M">#REF!</definedName>
    <definedName name="FEFEC_94S">#REF!</definedName>
    <definedName name="FEFEC_95D">#REF!</definedName>
    <definedName name="FEFEC_95J">#REF!</definedName>
    <definedName name="FEFEC_95M">#REF!</definedName>
    <definedName name="FEFEC_95S">#REF!</definedName>
    <definedName name="FEFEC_96D">#REF!</definedName>
    <definedName name="FEFEC_96J">#REF!</definedName>
    <definedName name="FEFEC_96M">#REF!</definedName>
    <definedName name="FEFEC_96S">#REF!</definedName>
    <definedName name="FEFEC_97D">#REF!</definedName>
    <definedName name="FEFEC_97J">#REF!</definedName>
    <definedName name="FEFEC_97M">#REF!</definedName>
    <definedName name="FEFEC_97S">#REF!</definedName>
    <definedName name="FEFEC_98D">#REF!</definedName>
    <definedName name="FEFEC_98J">#REF!</definedName>
    <definedName name="FEFEC_98M">#REF!</definedName>
    <definedName name="FEFEC_98S">#REF!</definedName>
    <definedName name="FEFEC_99D">#REF!</definedName>
    <definedName name="FEFEC_99J">#REF!</definedName>
    <definedName name="FEFEC_99M">#REF!</definedName>
    <definedName name="FEFEC_99S">#REF!</definedName>
    <definedName name="FEFEC_LT">#REF!</definedName>
    <definedName name="FEL_00D">#REF!</definedName>
    <definedName name="FEL_00J">#REF!</definedName>
    <definedName name="FEL_00M">#REF!</definedName>
    <definedName name="FEL_00S">#REF!</definedName>
    <definedName name="FEL_01D">#REF!</definedName>
    <definedName name="FEL_01J">#REF!</definedName>
    <definedName name="FEL_01M">#REF!</definedName>
    <definedName name="FEL_01S">#REF!</definedName>
    <definedName name="FEL_02D">#REF!</definedName>
    <definedName name="FEL_02J">#REF!</definedName>
    <definedName name="FEL_02M">#REF!</definedName>
    <definedName name="FEL_02S">#REF!</definedName>
    <definedName name="FEL_03D">#REF!</definedName>
    <definedName name="FEL_03J">#REF!</definedName>
    <definedName name="FEL_03M">#REF!</definedName>
    <definedName name="FEL_03S">#REF!</definedName>
    <definedName name="FEL_04D">#REF!</definedName>
    <definedName name="FEL_04J">#REF!</definedName>
    <definedName name="FEL_04M">#REF!</definedName>
    <definedName name="FEL_04S">#REF!</definedName>
    <definedName name="FEL_05D">#REF!</definedName>
    <definedName name="FEL_05J">#REF!</definedName>
    <definedName name="FEL_05M">#REF!</definedName>
    <definedName name="FEL_05S">#REF!</definedName>
    <definedName name="FEL_06D">#REF!</definedName>
    <definedName name="FEL_06J">#REF!</definedName>
    <definedName name="FEL_06M">#REF!</definedName>
    <definedName name="FEL_06S">#REF!</definedName>
    <definedName name="FEL_07D">#REF!</definedName>
    <definedName name="FEL_07J">#REF!</definedName>
    <definedName name="FEL_07M">#REF!</definedName>
    <definedName name="FEL_07S">#REF!</definedName>
    <definedName name="FEL_08D">#REF!</definedName>
    <definedName name="FEL_08J">#REF!</definedName>
    <definedName name="FEL_08M">#REF!</definedName>
    <definedName name="FEL_08S">#REF!</definedName>
    <definedName name="FEL_09D">#REF!</definedName>
    <definedName name="FEL_09J">#REF!</definedName>
    <definedName name="FEL_09M">#REF!</definedName>
    <definedName name="FEL_09S">#REF!</definedName>
    <definedName name="FEL_10D">#REF!</definedName>
    <definedName name="FEL_10J">#REF!</definedName>
    <definedName name="FEL_10M">#REF!</definedName>
    <definedName name="FEL_10S">#REF!</definedName>
    <definedName name="FEL_11D">#REF!</definedName>
    <definedName name="FEL_11J">#REF!</definedName>
    <definedName name="FEL_11M">#REF!</definedName>
    <definedName name="FEL_11S">#REF!</definedName>
    <definedName name="FEL_12D">#REF!</definedName>
    <definedName name="FEL_12J">#REF!</definedName>
    <definedName name="FEL_12M">#REF!</definedName>
    <definedName name="FEL_12S">#REF!</definedName>
    <definedName name="FEL_13D">#REF!</definedName>
    <definedName name="FEL_13J">#REF!</definedName>
    <definedName name="FEL_13M">#REF!</definedName>
    <definedName name="FEL_13S">#REF!</definedName>
    <definedName name="FEL_14D">#REF!</definedName>
    <definedName name="FEL_14J">#REF!</definedName>
    <definedName name="FEL_14M">#REF!</definedName>
    <definedName name="FEL_14S">#REF!</definedName>
    <definedName name="FEL_15D">#REF!</definedName>
    <definedName name="FEL_15J">#REF!</definedName>
    <definedName name="FEL_15M">#REF!</definedName>
    <definedName name="FEL_15S">#REF!</definedName>
    <definedName name="FEL_16D">#REF!</definedName>
    <definedName name="FEL_16J">#REF!</definedName>
    <definedName name="FEL_16M">#REF!</definedName>
    <definedName name="FEL_16S">#REF!</definedName>
    <definedName name="FEL_17D">#REF!</definedName>
    <definedName name="FEL_17J">#REF!</definedName>
    <definedName name="FEL_17M">#REF!</definedName>
    <definedName name="FEL_17S">#REF!</definedName>
    <definedName name="FEL_18D">#REF!</definedName>
    <definedName name="FEL_18J">#REF!</definedName>
    <definedName name="FEL_18M">#REF!</definedName>
    <definedName name="FEL_18S">#REF!</definedName>
    <definedName name="FEL_19D">#REF!</definedName>
    <definedName name="FEL_19J">#REF!</definedName>
    <definedName name="FEL_19M">#REF!</definedName>
    <definedName name="FEL_19S">#REF!</definedName>
    <definedName name="FEL_20D">#REF!</definedName>
    <definedName name="FEL_20J">#REF!</definedName>
    <definedName name="FEL_20M">#REF!</definedName>
    <definedName name="FEL_20S">#REF!</definedName>
    <definedName name="FEL_21D">#REF!</definedName>
    <definedName name="FEL_21J">#REF!</definedName>
    <definedName name="FEL_21M">#REF!</definedName>
    <definedName name="FEL_21S">#REF!</definedName>
    <definedName name="FEL_22D">#REF!</definedName>
    <definedName name="FEL_22J">#REF!</definedName>
    <definedName name="FEL_22M">#REF!</definedName>
    <definedName name="FEL_22S">#REF!</definedName>
    <definedName name="FEL_23D">#REF!</definedName>
    <definedName name="FEL_23J">#REF!</definedName>
    <definedName name="FEL_23M">#REF!</definedName>
    <definedName name="FEL_23S">#REF!</definedName>
    <definedName name="FEL_24D">#REF!</definedName>
    <definedName name="FEL_24J">#REF!</definedName>
    <definedName name="FEL_24M">#REF!</definedName>
    <definedName name="FEL_24S">#REF!</definedName>
    <definedName name="FEL_25D">#REF!</definedName>
    <definedName name="FEL_25J">#REF!</definedName>
    <definedName name="FEL_25M">#REF!</definedName>
    <definedName name="FEL_25S">#REF!</definedName>
    <definedName name="FEL_87D">#REF!</definedName>
    <definedName name="FEL_87J">#REF!</definedName>
    <definedName name="FEL_87M">#REF!</definedName>
    <definedName name="FEL_87S">#REF!</definedName>
    <definedName name="FEL_88D">#REF!</definedName>
    <definedName name="FEL_88J">#REF!</definedName>
    <definedName name="FEL_88M">#REF!</definedName>
    <definedName name="FEL_88S">#REF!</definedName>
    <definedName name="FEL_89D">#REF!</definedName>
    <definedName name="FEL_89J">#REF!</definedName>
    <definedName name="FEL_89M">#REF!</definedName>
    <definedName name="FEL_89S">#REF!</definedName>
    <definedName name="FEL_90D">#REF!</definedName>
    <definedName name="FEL_90J">#REF!</definedName>
    <definedName name="FEL_90M">#REF!</definedName>
    <definedName name="FEL_90S">#REF!</definedName>
    <definedName name="FEL_91D">#REF!</definedName>
    <definedName name="FEL_91J">#REF!</definedName>
    <definedName name="FEL_91M">#REF!</definedName>
    <definedName name="FEL_91S">#REF!</definedName>
    <definedName name="FEL_92D">#REF!</definedName>
    <definedName name="FEL_92J">#REF!</definedName>
    <definedName name="FEL_92M">#REF!</definedName>
    <definedName name="FEL_92S">#REF!</definedName>
    <definedName name="FEL_93D">#REF!</definedName>
    <definedName name="FEL_93J">#REF!</definedName>
    <definedName name="FEL_93M">#REF!</definedName>
    <definedName name="FEL_93S">#REF!</definedName>
    <definedName name="FEL_94D">#REF!</definedName>
    <definedName name="FEL_94J">#REF!</definedName>
    <definedName name="FEL_94M">#REF!</definedName>
    <definedName name="FEL_94S">#REF!</definedName>
    <definedName name="FEL_95D">#REF!</definedName>
    <definedName name="FEL_95J">#REF!</definedName>
    <definedName name="FEL_95M">#REF!</definedName>
    <definedName name="FEL_95S">#REF!</definedName>
    <definedName name="FEL_96D">#REF!</definedName>
    <definedName name="FEL_96J">#REF!</definedName>
    <definedName name="FEL_96M">#REF!</definedName>
    <definedName name="FEL_96S">#REF!</definedName>
    <definedName name="FEL_97D">#REF!</definedName>
    <definedName name="FEL_97J">#REF!</definedName>
    <definedName name="FEL_97M">#REF!</definedName>
    <definedName name="FEL_97S">#REF!</definedName>
    <definedName name="FEL_98D">#REF!</definedName>
    <definedName name="FEL_98J">#REF!</definedName>
    <definedName name="FEL_98M">#REF!</definedName>
    <definedName name="FEL_98S">#REF!</definedName>
    <definedName name="FEL_99D">#REF!</definedName>
    <definedName name="FEL_99J">#REF!</definedName>
    <definedName name="FEL_99M">#REF!</definedName>
    <definedName name="FEL_99S">#REF!</definedName>
    <definedName name="FEL_LT">#REF!</definedName>
    <definedName name="FEL_OUT">#REF!</definedName>
    <definedName name="FEL_Spot">#REF!</definedName>
    <definedName name="FELC_00D">#REF!</definedName>
    <definedName name="FELC_00J">#REF!</definedName>
    <definedName name="FELC_00M">#REF!</definedName>
    <definedName name="FELC_00S">#REF!</definedName>
    <definedName name="FELC_01D">#REF!</definedName>
    <definedName name="FELC_01J">#REF!</definedName>
    <definedName name="FELC_01M">#REF!</definedName>
    <definedName name="FELC_01S">#REF!</definedName>
    <definedName name="FELC_02D">#REF!</definedName>
    <definedName name="FELC_02J">#REF!</definedName>
    <definedName name="FELC_02M">#REF!</definedName>
    <definedName name="FELC_02S">#REF!</definedName>
    <definedName name="FELC_03D">#REF!</definedName>
    <definedName name="FELC_03J">#REF!</definedName>
    <definedName name="FELC_03M">#REF!</definedName>
    <definedName name="FELC_03S">#REF!</definedName>
    <definedName name="FELC_04D">#REF!</definedName>
    <definedName name="FELC_04J">#REF!</definedName>
    <definedName name="FELC_04M">#REF!</definedName>
    <definedName name="FELC_04S">#REF!</definedName>
    <definedName name="FELC_05D">#REF!</definedName>
    <definedName name="FELC_05J">#REF!</definedName>
    <definedName name="FELC_05M">#REF!</definedName>
    <definedName name="FELC_05S">#REF!</definedName>
    <definedName name="FELC_06D">#REF!</definedName>
    <definedName name="FELC_06J">#REF!</definedName>
    <definedName name="FELC_06M">#REF!</definedName>
    <definedName name="FELC_06S">#REF!</definedName>
    <definedName name="FELC_07D">#REF!</definedName>
    <definedName name="FELC_07J">#REF!</definedName>
    <definedName name="FELC_07M">#REF!</definedName>
    <definedName name="FELC_07S">#REF!</definedName>
    <definedName name="FELC_08D">#REF!</definedName>
    <definedName name="FELC_08J">#REF!</definedName>
    <definedName name="FELC_08M">#REF!</definedName>
    <definedName name="FELC_08S">#REF!</definedName>
    <definedName name="FELC_09D">#REF!</definedName>
    <definedName name="FELC_09J">#REF!</definedName>
    <definedName name="FELC_09M">#REF!</definedName>
    <definedName name="FELC_09S">#REF!</definedName>
    <definedName name="FELC_10D">#REF!</definedName>
    <definedName name="FELC_10J">#REF!</definedName>
    <definedName name="FELC_10M">#REF!</definedName>
    <definedName name="FELC_10S">#REF!</definedName>
    <definedName name="FELC_11D">#REF!</definedName>
    <definedName name="FELC_11J">#REF!</definedName>
    <definedName name="FELC_11M">#REF!</definedName>
    <definedName name="FELC_11S">#REF!</definedName>
    <definedName name="FELC_12D">#REF!</definedName>
    <definedName name="FELC_12J">#REF!</definedName>
    <definedName name="FELC_12M">#REF!</definedName>
    <definedName name="FELC_12S">#REF!</definedName>
    <definedName name="FELC_13D">#REF!</definedName>
    <definedName name="FELC_13J">#REF!</definedName>
    <definedName name="FELC_13M">#REF!</definedName>
    <definedName name="FELC_13S">#REF!</definedName>
    <definedName name="FELC_14D">#REF!</definedName>
    <definedName name="FELC_14J">#REF!</definedName>
    <definedName name="FELC_14M">#REF!</definedName>
    <definedName name="FELC_14S">#REF!</definedName>
    <definedName name="FELC_15D">#REF!</definedName>
    <definedName name="FELC_15J">#REF!</definedName>
    <definedName name="FELC_15M">#REF!</definedName>
    <definedName name="FELC_15S">#REF!</definedName>
    <definedName name="FELC_16D">#REF!</definedName>
    <definedName name="FELC_16J">#REF!</definedName>
    <definedName name="FELC_16M">#REF!</definedName>
    <definedName name="FELC_16S">#REF!</definedName>
    <definedName name="FELC_17D">#REF!</definedName>
    <definedName name="FELC_17J">#REF!</definedName>
    <definedName name="FELC_17M">#REF!</definedName>
    <definedName name="FELC_17S">#REF!</definedName>
    <definedName name="FELC_18D">#REF!</definedName>
    <definedName name="FELC_18J">#REF!</definedName>
    <definedName name="FELC_18M">#REF!</definedName>
    <definedName name="FELC_18S">#REF!</definedName>
    <definedName name="FELC_19D">#REF!</definedName>
    <definedName name="FELC_19J">#REF!</definedName>
    <definedName name="FELC_19M">#REF!</definedName>
    <definedName name="FELC_19S">#REF!</definedName>
    <definedName name="FELC_20D">#REF!</definedName>
    <definedName name="FELC_20J">#REF!</definedName>
    <definedName name="FELC_20M">#REF!</definedName>
    <definedName name="FELC_20S">#REF!</definedName>
    <definedName name="FELC_21D">#REF!</definedName>
    <definedName name="FELC_21J">#REF!</definedName>
    <definedName name="FELC_21M">#REF!</definedName>
    <definedName name="FELC_21S">#REF!</definedName>
    <definedName name="FELC_22D">#REF!</definedName>
    <definedName name="FELC_22J">#REF!</definedName>
    <definedName name="FELC_22M">#REF!</definedName>
    <definedName name="FELC_22S">#REF!</definedName>
    <definedName name="FELC_23D">#REF!</definedName>
    <definedName name="FELC_23J">#REF!</definedName>
    <definedName name="FELC_23M">#REF!</definedName>
    <definedName name="FELC_23S">#REF!</definedName>
    <definedName name="FELC_24D">#REF!</definedName>
    <definedName name="FELC_24J">#REF!</definedName>
    <definedName name="FELC_24M">#REF!</definedName>
    <definedName name="FELC_24S">#REF!</definedName>
    <definedName name="FELC_25D">#REF!</definedName>
    <definedName name="FELC_25J">#REF!</definedName>
    <definedName name="FELC_25M">#REF!</definedName>
    <definedName name="FELC_25S">#REF!</definedName>
    <definedName name="FELC_87D">#REF!</definedName>
    <definedName name="FELC_87J">#REF!</definedName>
    <definedName name="FELC_87M">#REF!</definedName>
    <definedName name="FELC_87S">#REF!</definedName>
    <definedName name="FELC_88D">#REF!</definedName>
    <definedName name="FELC_88J">#REF!</definedName>
    <definedName name="FELC_88M">#REF!</definedName>
    <definedName name="FELC_88S">#REF!</definedName>
    <definedName name="FELC_89D">#REF!</definedName>
    <definedName name="FELC_89J">#REF!</definedName>
    <definedName name="FELC_89M">#REF!</definedName>
    <definedName name="FELC_89S">#REF!</definedName>
    <definedName name="FELC_90D">#REF!</definedName>
    <definedName name="FELC_90J">#REF!</definedName>
    <definedName name="FELC_90M">#REF!</definedName>
    <definedName name="FELC_90S">#REF!</definedName>
    <definedName name="FELC_91D">#REF!</definedName>
    <definedName name="FELC_91J">#REF!</definedName>
    <definedName name="FELC_91M">#REF!</definedName>
    <definedName name="FELC_91S">#REF!</definedName>
    <definedName name="FELC_92D">#REF!</definedName>
    <definedName name="FELC_92J">#REF!</definedName>
    <definedName name="FELC_92M">#REF!</definedName>
    <definedName name="FELC_92S">#REF!</definedName>
    <definedName name="FELC_93D">#REF!</definedName>
    <definedName name="FELC_93J">#REF!</definedName>
    <definedName name="FELC_93M">#REF!</definedName>
    <definedName name="FELC_93S">#REF!</definedName>
    <definedName name="FELC_94D">#REF!</definedName>
    <definedName name="FELC_94J">#REF!</definedName>
    <definedName name="FELC_94M">#REF!</definedName>
    <definedName name="FELC_94S">#REF!</definedName>
    <definedName name="FELC_95D">#REF!</definedName>
    <definedName name="FELC_95J">#REF!</definedName>
    <definedName name="FELC_95M">#REF!</definedName>
    <definedName name="FELC_95S">#REF!</definedName>
    <definedName name="FELC_96D">#REF!</definedName>
    <definedName name="FELC_96J">#REF!</definedName>
    <definedName name="FELC_96M">#REF!</definedName>
    <definedName name="FELC_96S">#REF!</definedName>
    <definedName name="FELC_97D">#REF!</definedName>
    <definedName name="FELC_97J">#REF!</definedName>
    <definedName name="FELC_97M">#REF!</definedName>
    <definedName name="FELC_97S">#REF!</definedName>
    <definedName name="FELC_98D">#REF!</definedName>
    <definedName name="FELC_98J">#REF!</definedName>
    <definedName name="FELC_98M">#REF!</definedName>
    <definedName name="FELC_98S">#REF!</definedName>
    <definedName name="FELC_99D">#REF!</definedName>
    <definedName name="FELC_99J">#REF!</definedName>
    <definedName name="FELC_99M">#REF!</definedName>
    <definedName name="FELC_99S">#REF!</definedName>
    <definedName name="FELC_LT">#REF!</definedName>
    <definedName name="FELE_00D">#REF!</definedName>
    <definedName name="FELE_00J">#REF!</definedName>
    <definedName name="FELE_00M">#REF!</definedName>
    <definedName name="FELE_00S">#REF!</definedName>
    <definedName name="FELE_01D">#REF!</definedName>
    <definedName name="FELE_01J">#REF!</definedName>
    <definedName name="FELE_01M">#REF!</definedName>
    <definedName name="FELE_01S">#REF!</definedName>
    <definedName name="FELE_02D">#REF!</definedName>
    <definedName name="FELE_02J">#REF!</definedName>
    <definedName name="FELE_02M">#REF!</definedName>
    <definedName name="FELE_02S">#REF!</definedName>
    <definedName name="FELE_03D">#REF!</definedName>
    <definedName name="FELE_03J">#REF!</definedName>
    <definedName name="FELE_03M">#REF!</definedName>
    <definedName name="FELE_03S">#REF!</definedName>
    <definedName name="FELE_04D">#REF!</definedName>
    <definedName name="FELE_04J">#REF!</definedName>
    <definedName name="FELE_04M">#REF!</definedName>
    <definedName name="FELE_04S">#REF!</definedName>
    <definedName name="FELE_05D">#REF!</definedName>
    <definedName name="FELE_05J">#REF!</definedName>
    <definedName name="FELE_05M">#REF!</definedName>
    <definedName name="FELE_05S">#REF!</definedName>
    <definedName name="FELE_06D">#REF!</definedName>
    <definedName name="FELE_06J">#REF!</definedName>
    <definedName name="FELE_06M">#REF!</definedName>
    <definedName name="FELE_06S">#REF!</definedName>
    <definedName name="FELE_07D">#REF!</definedName>
    <definedName name="FELE_07J">#REF!</definedName>
    <definedName name="FELE_07M">#REF!</definedName>
    <definedName name="FELE_07S">#REF!</definedName>
    <definedName name="FELE_08D">#REF!</definedName>
    <definedName name="FELE_08J">#REF!</definedName>
    <definedName name="FELE_08M">#REF!</definedName>
    <definedName name="FELE_08S">#REF!</definedName>
    <definedName name="FELE_09D">#REF!</definedName>
    <definedName name="FELE_09J">#REF!</definedName>
    <definedName name="FELE_09M">#REF!</definedName>
    <definedName name="FELE_09S">#REF!</definedName>
    <definedName name="FELE_10D">#REF!</definedName>
    <definedName name="FELE_10J">#REF!</definedName>
    <definedName name="FELE_10M">#REF!</definedName>
    <definedName name="FELE_10S">#REF!</definedName>
    <definedName name="FELE_11D">#REF!</definedName>
    <definedName name="FELE_11J">#REF!</definedName>
    <definedName name="FELE_11M">#REF!</definedName>
    <definedName name="FELE_11S">#REF!</definedName>
    <definedName name="FELE_12D">#REF!</definedName>
    <definedName name="FELE_12J">#REF!</definedName>
    <definedName name="FELE_12M">#REF!</definedName>
    <definedName name="FELE_12S">#REF!</definedName>
    <definedName name="FELE_13D">#REF!</definedName>
    <definedName name="FELE_13J">#REF!</definedName>
    <definedName name="FELE_13M">#REF!</definedName>
    <definedName name="FELE_13S">#REF!</definedName>
    <definedName name="FELE_14D">#REF!</definedName>
    <definedName name="FELE_14J">#REF!</definedName>
    <definedName name="FELE_14M">#REF!</definedName>
    <definedName name="FELE_14S">#REF!</definedName>
    <definedName name="FELE_15D">#REF!</definedName>
    <definedName name="FELE_15J">#REF!</definedName>
    <definedName name="FELE_15M">#REF!</definedName>
    <definedName name="FELE_15S">#REF!</definedName>
    <definedName name="FELE_16D">#REF!</definedName>
    <definedName name="FELE_16J">#REF!</definedName>
    <definedName name="FELE_16M">#REF!</definedName>
    <definedName name="FELE_16S">#REF!</definedName>
    <definedName name="FELE_17D">#REF!</definedName>
    <definedName name="FELE_17J">#REF!</definedName>
    <definedName name="FELE_17M">#REF!</definedName>
    <definedName name="FELE_17S">#REF!</definedName>
    <definedName name="FELE_18D">#REF!</definedName>
    <definedName name="FELE_18J">#REF!</definedName>
    <definedName name="FELE_18M">#REF!</definedName>
    <definedName name="FELE_18S">#REF!</definedName>
    <definedName name="FELE_19D">#REF!</definedName>
    <definedName name="FELE_19J">#REF!</definedName>
    <definedName name="FELE_19M">#REF!</definedName>
    <definedName name="FELE_19S">#REF!</definedName>
    <definedName name="FELE_20D">#REF!</definedName>
    <definedName name="FELE_20J">#REF!</definedName>
    <definedName name="FELE_20M">#REF!</definedName>
    <definedName name="FELE_20S">#REF!</definedName>
    <definedName name="FELE_21D">#REF!</definedName>
    <definedName name="FELE_21J">#REF!</definedName>
    <definedName name="FELE_21M">#REF!</definedName>
    <definedName name="FELE_21S">#REF!</definedName>
    <definedName name="FELE_22D">#REF!</definedName>
    <definedName name="FELE_22J">#REF!</definedName>
    <definedName name="FELE_22M">#REF!</definedName>
    <definedName name="FELE_22S">#REF!</definedName>
    <definedName name="FELE_23D">#REF!</definedName>
    <definedName name="FELE_23J">#REF!</definedName>
    <definedName name="FELE_23M">#REF!</definedName>
    <definedName name="FELE_23S">#REF!</definedName>
    <definedName name="FELE_24D">#REF!</definedName>
    <definedName name="FELE_24J">#REF!</definedName>
    <definedName name="FELE_24M">#REF!</definedName>
    <definedName name="FELE_24S">#REF!</definedName>
    <definedName name="FELE_25D">#REF!</definedName>
    <definedName name="FELE_25J">#REF!</definedName>
    <definedName name="FELE_25M">#REF!</definedName>
    <definedName name="FELE_25S">#REF!</definedName>
    <definedName name="FELE_87D">#REF!</definedName>
    <definedName name="FELE_87J">#REF!</definedName>
    <definedName name="FELE_87M">#REF!</definedName>
    <definedName name="FELE_87S">#REF!</definedName>
    <definedName name="FELE_88D">#REF!</definedName>
    <definedName name="FELE_88J">#REF!</definedName>
    <definedName name="FELE_88M">#REF!</definedName>
    <definedName name="FELE_88S">#REF!</definedName>
    <definedName name="FELE_89D">#REF!</definedName>
    <definedName name="FELE_89J">#REF!</definedName>
    <definedName name="FELE_89M">#REF!</definedName>
    <definedName name="FELE_89S">#REF!</definedName>
    <definedName name="FELE_90D">#REF!</definedName>
    <definedName name="FELE_90J">#REF!</definedName>
    <definedName name="FELE_90M">#REF!</definedName>
    <definedName name="FELE_90S">#REF!</definedName>
    <definedName name="FELE_91D">#REF!</definedName>
    <definedName name="FELE_91J">#REF!</definedName>
    <definedName name="FELE_91M">#REF!</definedName>
    <definedName name="FELE_91S">#REF!</definedName>
    <definedName name="FELE_92D">#REF!</definedName>
    <definedName name="FELE_92J">#REF!</definedName>
    <definedName name="FELE_92M">#REF!</definedName>
    <definedName name="FELE_92S">#REF!</definedName>
    <definedName name="FELE_93D">#REF!</definedName>
    <definedName name="FELE_93J">#REF!</definedName>
    <definedName name="FELE_93M">#REF!</definedName>
    <definedName name="FELE_93S">#REF!</definedName>
    <definedName name="FELE_94D">#REF!</definedName>
    <definedName name="FELE_94J">#REF!</definedName>
    <definedName name="FELE_94M">#REF!</definedName>
    <definedName name="FELE_94S">#REF!</definedName>
    <definedName name="FELE_95D">#REF!</definedName>
    <definedName name="FELE_95J">#REF!</definedName>
    <definedName name="FELE_95M">#REF!</definedName>
    <definedName name="FELE_95S">#REF!</definedName>
    <definedName name="FELE_96D">#REF!</definedName>
    <definedName name="FELE_96J">#REF!</definedName>
    <definedName name="FELE_96M">#REF!</definedName>
    <definedName name="FELE_96S">#REF!</definedName>
    <definedName name="FELE_97D">#REF!</definedName>
    <definedName name="FELE_97J">#REF!</definedName>
    <definedName name="FELE_97M">#REF!</definedName>
    <definedName name="FELE_97S">#REF!</definedName>
    <definedName name="FELE_98D">#REF!</definedName>
    <definedName name="FELE_98J">#REF!</definedName>
    <definedName name="FELE_98M">#REF!</definedName>
    <definedName name="FELE_98S">#REF!</definedName>
    <definedName name="FELE_99D">#REF!</definedName>
    <definedName name="FELE_99J">#REF!</definedName>
    <definedName name="FELE_99M">#REF!</definedName>
    <definedName name="FELE_99S">#REF!</definedName>
    <definedName name="FELE_LT">#REF!</definedName>
    <definedName name="FELE_T">#REF!</definedName>
    <definedName name="FELEC_00D">#REF!</definedName>
    <definedName name="FELEC_00J">#REF!</definedName>
    <definedName name="FELEC_00M">#REF!</definedName>
    <definedName name="FELEC_00S">#REF!</definedName>
    <definedName name="FELEC_01D">#REF!</definedName>
    <definedName name="FELEC_01J">#REF!</definedName>
    <definedName name="FELEC_01M">#REF!</definedName>
    <definedName name="FELEC_01S">#REF!</definedName>
    <definedName name="FELEC_02D">#REF!</definedName>
    <definedName name="FELEC_02J">#REF!</definedName>
    <definedName name="FELEC_02M">#REF!</definedName>
    <definedName name="FELEC_02S">#REF!</definedName>
    <definedName name="FELEC_03D">#REF!</definedName>
    <definedName name="FELEC_03J">#REF!</definedName>
    <definedName name="FELEC_03M">#REF!</definedName>
    <definedName name="FELEC_03S">#REF!</definedName>
    <definedName name="FELEC_04D">#REF!</definedName>
    <definedName name="FELEC_04J">#REF!</definedName>
    <definedName name="FELEC_04M">#REF!</definedName>
    <definedName name="FELEC_04S">#REF!</definedName>
    <definedName name="FELEC_05D">#REF!</definedName>
    <definedName name="FELEC_05J">#REF!</definedName>
    <definedName name="FELEC_05M">#REF!</definedName>
    <definedName name="FELEC_05S">#REF!</definedName>
    <definedName name="FELEC_06D">#REF!</definedName>
    <definedName name="FELEC_06J">#REF!</definedName>
    <definedName name="FELEC_06M">#REF!</definedName>
    <definedName name="FELEC_06S">#REF!</definedName>
    <definedName name="FELEC_07D">#REF!</definedName>
    <definedName name="FELEC_07J">#REF!</definedName>
    <definedName name="FELEC_07M">#REF!</definedName>
    <definedName name="FELEC_07S">#REF!</definedName>
    <definedName name="FELEC_08D">#REF!</definedName>
    <definedName name="FELEC_08J">#REF!</definedName>
    <definedName name="FELEC_08M">#REF!</definedName>
    <definedName name="FELEC_08S">#REF!</definedName>
    <definedName name="FELEC_09D">#REF!</definedName>
    <definedName name="FELEC_09J">#REF!</definedName>
    <definedName name="FELEC_09M">#REF!</definedName>
    <definedName name="FELEC_09S">#REF!</definedName>
    <definedName name="FELEC_10D">#REF!</definedName>
    <definedName name="FELEC_10J">#REF!</definedName>
    <definedName name="FELEC_10M">#REF!</definedName>
    <definedName name="FELEC_10S">#REF!</definedName>
    <definedName name="FELEC_11D">#REF!</definedName>
    <definedName name="FELEC_11J">#REF!</definedName>
    <definedName name="FELEC_11M">#REF!</definedName>
    <definedName name="FELEC_11S">#REF!</definedName>
    <definedName name="FELEC_12D">#REF!</definedName>
    <definedName name="FELEC_12J">#REF!</definedName>
    <definedName name="FELEC_12M">#REF!</definedName>
    <definedName name="FELEC_12S">#REF!</definedName>
    <definedName name="FELEC_13D">#REF!</definedName>
    <definedName name="FELEC_13J">#REF!</definedName>
    <definedName name="FELEC_13M">#REF!</definedName>
    <definedName name="FELEC_13S">#REF!</definedName>
    <definedName name="FELEC_14D">#REF!</definedName>
    <definedName name="FELEC_14J">#REF!</definedName>
    <definedName name="FELEC_14M">#REF!</definedName>
    <definedName name="FELEC_14S">#REF!</definedName>
    <definedName name="FELEC_15D">#REF!</definedName>
    <definedName name="FELEC_15J">#REF!</definedName>
    <definedName name="FELEC_15M">#REF!</definedName>
    <definedName name="FELEC_15S">#REF!</definedName>
    <definedName name="FELEC_16D">#REF!</definedName>
    <definedName name="FELEC_16J">#REF!</definedName>
    <definedName name="FELEC_16M">#REF!</definedName>
    <definedName name="FELEC_16S">#REF!</definedName>
    <definedName name="FELEC_17D">#REF!</definedName>
    <definedName name="FELEC_17J">#REF!</definedName>
    <definedName name="FELEC_17M">#REF!</definedName>
    <definedName name="FELEC_17S">#REF!</definedName>
    <definedName name="FELEC_18D">#REF!</definedName>
    <definedName name="FELEC_18J">#REF!</definedName>
    <definedName name="FELEC_18M">#REF!</definedName>
    <definedName name="FELEC_18S">#REF!</definedName>
    <definedName name="FELEC_19D">#REF!</definedName>
    <definedName name="FELEC_19J">#REF!</definedName>
    <definedName name="FELEC_19M">#REF!</definedName>
    <definedName name="FELEC_19S">#REF!</definedName>
    <definedName name="FELEC_20D">#REF!</definedName>
    <definedName name="FELEC_20J">#REF!</definedName>
    <definedName name="FELEC_20M">#REF!</definedName>
    <definedName name="FELEC_20S">#REF!</definedName>
    <definedName name="FELEC_21D">#REF!</definedName>
    <definedName name="FELEC_21J">#REF!</definedName>
    <definedName name="FELEC_21M">#REF!</definedName>
    <definedName name="FELEC_21S">#REF!</definedName>
    <definedName name="FELEC_22D">#REF!</definedName>
    <definedName name="FELEC_22J">#REF!</definedName>
    <definedName name="FELEC_22M">#REF!</definedName>
    <definedName name="FELEC_22S">#REF!</definedName>
    <definedName name="FELEC_23D">#REF!</definedName>
    <definedName name="FELEC_23J">#REF!</definedName>
    <definedName name="FELEC_23M">#REF!</definedName>
    <definedName name="FELEC_23S">#REF!</definedName>
    <definedName name="FELEC_24D">#REF!</definedName>
    <definedName name="FELEC_24J">#REF!</definedName>
    <definedName name="FELEC_24M">#REF!</definedName>
    <definedName name="FELEC_24S">#REF!</definedName>
    <definedName name="FELEC_25D">#REF!</definedName>
    <definedName name="FELEC_25J">#REF!</definedName>
    <definedName name="FELEC_25M">#REF!</definedName>
    <definedName name="FELEC_25S">#REF!</definedName>
    <definedName name="FELEC_87D">#REF!</definedName>
    <definedName name="FELEC_87J">#REF!</definedName>
    <definedName name="FELEC_87M">#REF!</definedName>
    <definedName name="FELEC_87S">#REF!</definedName>
    <definedName name="FELEC_88D">#REF!</definedName>
    <definedName name="FELEC_88J">#REF!</definedName>
    <definedName name="FELEC_88M">#REF!</definedName>
    <definedName name="FELEC_88S">#REF!</definedName>
    <definedName name="FELEC_89D">#REF!</definedName>
    <definedName name="FELEC_89J">#REF!</definedName>
    <definedName name="FELEC_89M">#REF!</definedName>
    <definedName name="FELEC_89S">#REF!</definedName>
    <definedName name="FELEC_90D">#REF!</definedName>
    <definedName name="FELEC_90J">#REF!</definedName>
    <definedName name="FELEC_90M">#REF!</definedName>
    <definedName name="FELEC_90S">#REF!</definedName>
    <definedName name="FELEC_91D">#REF!</definedName>
    <definedName name="FELEC_91J">#REF!</definedName>
    <definedName name="FELEC_91M">#REF!</definedName>
    <definedName name="FELEC_91S">#REF!</definedName>
    <definedName name="FELEC_92D">#REF!</definedName>
    <definedName name="FELEC_92J">#REF!</definedName>
    <definedName name="FELEC_92M">#REF!</definedName>
    <definedName name="FELEC_92S">#REF!</definedName>
    <definedName name="FELEC_93D">#REF!</definedName>
    <definedName name="FELEC_93J">#REF!</definedName>
    <definedName name="FELEC_93M">#REF!</definedName>
    <definedName name="FELEC_93S">#REF!</definedName>
    <definedName name="FELEC_94D">#REF!</definedName>
    <definedName name="FELEC_94J">#REF!</definedName>
    <definedName name="FELEC_94M">#REF!</definedName>
    <definedName name="FELEC_94S">#REF!</definedName>
    <definedName name="FELEC_95D">#REF!</definedName>
    <definedName name="FELEC_95J">#REF!</definedName>
    <definedName name="FELEC_95M">#REF!</definedName>
    <definedName name="FELEC_95S">#REF!</definedName>
    <definedName name="FELEC_96D">#REF!</definedName>
    <definedName name="FELEC_96J">#REF!</definedName>
    <definedName name="FELEC_96M">#REF!</definedName>
    <definedName name="FELEC_96S">#REF!</definedName>
    <definedName name="FELEC_97D">#REF!</definedName>
    <definedName name="FELEC_97J">#REF!</definedName>
    <definedName name="FELEC_97M">#REF!</definedName>
    <definedName name="FELEC_97S">#REF!</definedName>
    <definedName name="FELEC_98D">#REF!</definedName>
    <definedName name="FELEC_98J">#REF!</definedName>
    <definedName name="FELEC_98M">#REF!</definedName>
    <definedName name="FELEC_98S">#REF!</definedName>
    <definedName name="FELEC_99D">#REF!</definedName>
    <definedName name="FELEC_99J">#REF!</definedName>
    <definedName name="FELEC_99M">#REF!</definedName>
    <definedName name="FELEC_99S">#REF!</definedName>
    <definedName name="FELEC_LT">#REF!</definedName>
    <definedName name="Ferndale">#REF!</definedName>
    <definedName name="fferw" localSheetId="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rUS">#REF!</definedName>
    <definedName name="FFU_00M">#REF!</definedName>
    <definedName name="FFU_00S">#REF!</definedName>
    <definedName name="FFU_01D">#REF!</definedName>
    <definedName name="FFU_01J">#REF!</definedName>
    <definedName name="FFU_01M">#REF!</definedName>
    <definedName name="FFU_01S">#REF!</definedName>
    <definedName name="FFU_02D">#REF!</definedName>
    <definedName name="FFU_02J">#REF!</definedName>
    <definedName name="FFU_02M">#REF!</definedName>
    <definedName name="FFU_02S">#REF!</definedName>
    <definedName name="FFU_03D">#REF!</definedName>
    <definedName name="FFU_03J">#REF!</definedName>
    <definedName name="FFU_03M">#REF!</definedName>
    <definedName name="FFU_03S">#REF!</definedName>
    <definedName name="FFU_04D">#REF!</definedName>
    <definedName name="FFU_04J">#REF!</definedName>
    <definedName name="FFU_04M">#REF!</definedName>
    <definedName name="FFU_04S">#REF!</definedName>
    <definedName name="FFU_05D">#REF!</definedName>
    <definedName name="FFU_05J">#REF!</definedName>
    <definedName name="FFU_05M">#REF!</definedName>
    <definedName name="FFU_05S">#REF!</definedName>
    <definedName name="FFU_06D">#REF!</definedName>
    <definedName name="FFU_06J">#REF!</definedName>
    <definedName name="FFU_06M">#REF!</definedName>
    <definedName name="FFU_06S">#REF!</definedName>
    <definedName name="FFU_07D">#REF!</definedName>
    <definedName name="FFU_07J">#REF!</definedName>
    <definedName name="FFU_07M">#REF!</definedName>
    <definedName name="FFU_07S">#REF!</definedName>
    <definedName name="FFU_08D">#REF!</definedName>
    <definedName name="FFU_08J">#REF!</definedName>
    <definedName name="FFU_08M">#REF!</definedName>
    <definedName name="FFU_08S">#REF!</definedName>
    <definedName name="FFU_09D">#REF!</definedName>
    <definedName name="FFU_09J">#REF!</definedName>
    <definedName name="FFU_09M">#REF!</definedName>
    <definedName name="FFU_09S">#REF!</definedName>
    <definedName name="FFU_10D">#REF!</definedName>
    <definedName name="FFU_10J">#REF!</definedName>
    <definedName name="FFU_10M">#REF!</definedName>
    <definedName name="FFU_10S">#REF!</definedName>
    <definedName name="FFU_11D">#REF!</definedName>
    <definedName name="FFU_11J">#REF!</definedName>
    <definedName name="FFU_11M">#REF!</definedName>
    <definedName name="FFU_11S">#REF!</definedName>
    <definedName name="FFU_12D">#REF!</definedName>
    <definedName name="FFU_12J">#REF!</definedName>
    <definedName name="FFU_12M">#REF!</definedName>
    <definedName name="FFU_12S">#REF!</definedName>
    <definedName name="FFU_13D">#REF!</definedName>
    <definedName name="FFU_13J">#REF!</definedName>
    <definedName name="FFU_13M">#REF!</definedName>
    <definedName name="FFU_13S">#REF!</definedName>
    <definedName name="FFU_14D">#REF!</definedName>
    <definedName name="FFU_14J">#REF!</definedName>
    <definedName name="FFU_14M">#REF!</definedName>
    <definedName name="FFU_14S">#REF!</definedName>
    <definedName name="FFU_15D">#REF!</definedName>
    <definedName name="FFU_15J">#REF!</definedName>
    <definedName name="FFU_15M">#REF!</definedName>
    <definedName name="FFU_15S">#REF!</definedName>
    <definedName name="FFU_16D">#REF!</definedName>
    <definedName name="FFU_16J">#REF!</definedName>
    <definedName name="FFU_16M">#REF!</definedName>
    <definedName name="FFU_16S">#REF!</definedName>
    <definedName name="FFU_17D">#REF!</definedName>
    <definedName name="FFU_17J">#REF!</definedName>
    <definedName name="FFU_17M">#REF!</definedName>
    <definedName name="FFU_17S">#REF!</definedName>
    <definedName name="FFU_18D">#REF!</definedName>
    <definedName name="FFU_18J">#REF!</definedName>
    <definedName name="FFU_18M">#REF!</definedName>
    <definedName name="FFU_18S">#REF!</definedName>
    <definedName name="FFU_19D">#REF!</definedName>
    <definedName name="FFU_19J">#REF!</definedName>
    <definedName name="FFU_19M">#REF!</definedName>
    <definedName name="FFU_19S">#REF!</definedName>
    <definedName name="FFU_20D">#REF!</definedName>
    <definedName name="FFU_20J">#REF!</definedName>
    <definedName name="FFU_20M">#REF!</definedName>
    <definedName name="FFU_20S">#REF!</definedName>
    <definedName name="FFU_21D">#REF!</definedName>
    <definedName name="FFU_21J">#REF!</definedName>
    <definedName name="FFU_21M">#REF!</definedName>
    <definedName name="FFU_21S">#REF!</definedName>
    <definedName name="FFU_22D">#REF!</definedName>
    <definedName name="FFU_22J">#REF!</definedName>
    <definedName name="FFU_22M">#REF!</definedName>
    <definedName name="FFU_22S">#REF!</definedName>
    <definedName name="FFU_23D">#REF!</definedName>
    <definedName name="FFU_23J">#REF!</definedName>
    <definedName name="FFU_23M">#REF!</definedName>
    <definedName name="FFU_23S">#REF!</definedName>
    <definedName name="FFU_24D">#REF!</definedName>
    <definedName name="FFU_24J">#REF!</definedName>
    <definedName name="FFU_24M">#REF!</definedName>
    <definedName name="FFU_24S">#REF!</definedName>
    <definedName name="FFU_25D">#REF!</definedName>
    <definedName name="FFU_25J">#REF!</definedName>
    <definedName name="FFU_25M">#REF!</definedName>
    <definedName name="FFU_25S">#REF!</definedName>
    <definedName name="FFU_87D">#REF!</definedName>
    <definedName name="FFU_87J">#REF!</definedName>
    <definedName name="FFU_87M">#REF!</definedName>
    <definedName name="FFU_87S">#REF!</definedName>
    <definedName name="FFU_88D">#REF!</definedName>
    <definedName name="FFU_88J">#REF!</definedName>
    <definedName name="FFU_88M">#REF!</definedName>
    <definedName name="FFU_88S">#REF!</definedName>
    <definedName name="FFU_89D">#REF!</definedName>
    <definedName name="FFU_89J">#REF!</definedName>
    <definedName name="FFU_89M">#REF!</definedName>
    <definedName name="FFU_89S">#REF!</definedName>
    <definedName name="FFU_90D">#REF!</definedName>
    <definedName name="FFU_90J">#REF!</definedName>
    <definedName name="FFU_90M">#REF!</definedName>
    <definedName name="FFU_90S">#REF!</definedName>
    <definedName name="FFU_91D">#REF!</definedName>
    <definedName name="FFU_91J">#REF!</definedName>
    <definedName name="FFU_91M">#REF!</definedName>
    <definedName name="FFU_91S">#REF!</definedName>
    <definedName name="FFU_92D">#REF!</definedName>
    <definedName name="FFU_92J">#REF!</definedName>
    <definedName name="FFU_92M">#REF!</definedName>
    <definedName name="FFU_92S">#REF!</definedName>
    <definedName name="FFU_93D">#REF!</definedName>
    <definedName name="FFU_93J">#REF!</definedName>
    <definedName name="FFU_93M">#REF!</definedName>
    <definedName name="FFU_93S">#REF!</definedName>
    <definedName name="FFU_94D">#REF!</definedName>
    <definedName name="FFU_94J">#REF!</definedName>
    <definedName name="FFU_94M">#REF!</definedName>
    <definedName name="FFU_94S">#REF!</definedName>
    <definedName name="FFU_95D">#REF!</definedName>
    <definedName name="FFU_95J">#REF!</definedName>
    <definedName name="FFU_95M">#REF!</definedName>
    <definedName name="FFU_95S">#REF!</definedName>
    <definedName name="FFU_96D">#REF!</definedName>
    <definedName name="FFU_96J">#REF!</definedName>
    <definedName name="FFU_96M">#REF!</definedName>
    <definedName name="FFU_96S">#REF!</definedName>
    <definedName name="FFU_97D">#REF!</definedName>
    <definedName name="FFU_97J">#REF!</definedName>
    <definedName name="FFU_97M">#REF!</definedName>
    <definedName name="FFU_97S">#REF!</definedName>
    <definedName name="FFU_98D">#REF!</definedName>
    <definedName name="FFU_98J">#REF!</definedName>
    <definedName name="FFU_98M">#REF!</definedName>
    <definedName name="FFU_98S">#REF!</definedName>
    <definedName name="FFU_99D">#REF!</definedName>
    <definedName name="FFU_99J">#REF!</definedName>
    <definedName name="FFU_99M">#REF!</definedName>
    <definedName name="FFU_99S">#REF!</definedName>
    <definedName name="FFU_lt">#REF!</definedName>
    <definedName name="fgh">[35]Sheet1!$B$8:$M$162</definedName>
    <definedName name="fiber_upgrade">#REF!</definedName>
    <definedName name="figures">#REF!</definedName>
    <definedName name="Filapr">#REF!</definedName>
    <definedName name="file">#REF!</definedName>
    <definedName name="file1">#REF!</definedName>
    <definedName name="FILL">#REF!</definedName>
    <definedName name="Filtration_Cost">#REF!</definedName>
    <definedName name="FIM_00D">#REF!</definedName>
    <definedName name="FIM_00J">#REF!</definedName>
    <definedName name="FIM_00M">#REF!</definedName>
    <definedName name="FIM_00S">#REF!</definedName>
    <definedName name="FIM_01D">#REF!</definedName>
    <definedName name="FIM_01J">#REF!</definedName>
    <definedName name="FIM_01M">#REF!</definedName>
    <definedName name="FIM_01S">#REF!</definedName>
    <definedName name="FIM_02D">#REF!</definedName>
    <definedName name="FIM_02J">#REF!</definedName>
    <definedName name="FIM_02M">#REF!</definedName>
    <definedName name="FIM_02S">#REF!</definedName>
    <definedName name="FIM_03D">#REF!</definedName>
    <definedName name="FIM_03J">#REF!</definedName>
    <definedName name="FIM_03M">#REF!</definedName>
    <definedName name="FIM_03S">#REF!</definedName>
    <definedName name="FIM_04D">#REF!</definedName>
    <definedName name="FIM_04J">#REF!</definedName>
    <definedName name="FIM_04M">#REF!</definedName>
    <definedName name="FIM_04S">#REF!</definedName>
    <definedName name="FIM_05D">#REF!</definedName>
    <definedName name="FIM_05J">#REF!</definedName>
    <definedName name="FIM_05M">#REF!</definedName>
    <definedName name="FIM_05S">#REF!</definedName>
    <definedName name="FIM_06D">#REF!</definedName>
    <definedName name="FIM_06J">#REF!</definedName>
    <definedName name="FIM_06M">#REF!</definedName>
    <definedName name="FIM_06S">#REF!</definedName>
    <definedName name="FIM_07D">#REF!</definedName>
    <definedName name="FIM_07J">#REF!</definedName>
    <definedName name="FIM_07M">#REF!</definedName>
    <definedName name="FIM_07S">#REF!</definedName>
    <definedName name="FIM_08D">#REF!</definedName>
    <definedName name="FIM_08J">#REF!</definedName>
    <definedName name="FIM_08M">#REF!</definedName>
    <definedName name="FIM_08S">#REF!</definedName>
    <definedName name="FIM_09D">#REF!</definedName>
    <definedName name="FIM_09J">#REF!</definedName>
    <definedName name="FIM_09M">#REF!</definedName>
    <definedName name="FIM_09S">#REF!</definedName>
    <definedName name="FIM_10D">#REF!</definedName>
    <definedName name="FIM_10J">#REF!</definedName>
    <definedName name="FIM_10M">#REF!</definedName>
    <definedName name="FIM_10S">#REF!</definedName>
    <definedName name="FIM_11D">#REF!</definedName>
    <definedName name="FIM_11J">#REF!</definedName>
    <definedName name="FIM_11M">#REF!</definedName>
    <definedName name="FIM_11S">#REF!</definedName>
    <definedName name="FIM_12D">#REF!</definedName>
    <definedName name="FIM_12J">#REF!</definedName>
    <definedName name="FIM_12M">#REF!</definedName>
    <definedName name="FIM_12S">#REF!</definedName>
    <definedName name="FIM_13D">#REF!</definedName>
    <definedName name="FIM_13J">#REF!</definedName>
    <definedName name="FIM_13M">#REF!</definedName>
    <definedName name="FIM_13S">#REF!</definedName>
    <definedName name="FIM_14D">#REF!</definedName>
    <definedName name="FIM_14J">#REF!</definedName>
    <definedName name="FIM_14M">#REF!</definedName>
    <definedName name="FIM_14S">#REF!</definedName>
    <definedName name="FIM_15D">#REF!</definedName>
    <definedName name="FIM_15J">#REF!</definedName>
    <definedName name="FIM_15M">#REF!</definedName>
    <definedName name="FIM_15S">#REF!</definedName>
    <definedName name="FIM_16D">#REF!</definedName>
    <definedName name="FIM_16J">#REF!</definedName>
    <definedName name="FIM_16M">#REF!</definedName>
    <definedName name="FIM_16S">#REF!</definedName>
    <definedName name="FIM_17D">#REF!</definedName>
    <definedName name="FIM_17J">#REF!</definedName>
    <definedName name="FIM_17M">#REF!</definedName>
    <definedName name="FIM_17S">#REF!</definedName>
    <definedName name="FIM_18D">#REF!</definedName>
    <definedName name="FIM_18J">#REF!</definedName>
    <definedName name="FIM_18M">#REF!</definedName>
    <definedName name="FIM_18S">#REF!</definedName>
    <definedName name="FIM_19D">#REF!</definedName>
    <definedName name="FIM_19J">#REF!</definedName>
    <definedName name="FIM_19M">#REF!</definedName>
    <definedName name="FIM_19S">#REF!</definedName>
    <definedName name="FIM_20D">#REF!</definedName>
    <definedName name="FIM_20J">#REF!</definedName>
    <definedName name="FIM_20M">#REF!</definedName>
    <definedName name="FIM_20S">#REF!</definedName>
    <definedName name="FIM_21D">#REF!</definedName>
    <definedName name="FIM_21J">#REF!</definedName>
    <definedName name="FIM_21M">#REF!</definedName>
    <definedName name="FIM_21S">#REF!</definedName>
    <definedName name="FIM_22D">#REF!</definedName>
    <definedName name="FIM_22J">#REF!</definedName>
    <definedName name="FIM_22M">#REF!</definedName>
    <definedName name="FIM_22S">#REF!</definedName>
    <definedName name="FIM_23D">#REF!</definedName>
    <definedName name="FIM_23J">#REF!</definedName>
    <definedName name="FIM_23M">#REF!</definedName>
    <definedName name="FIM_23S">#REF!</definedName>
    <definedName name="FIM_24D">#REF!</definedName>
    <definedName name="FIM_24J">#REF!</definedName>
    <definedName name="FIM_24M">#REF!</definedName>
    <definedName name="FIM_24S">#REF!</definedName>
    <definedName name="FIM_25D">#REF!</definedName>
    <definedName name="FIM_25J">#REF!</definedName>
    <definedName name="FIM_25M">#REF!</definedName>
    <definedName name="FIM_25S">#REF!</definedName>
    <definedName name="FIM_87D">#REF!</definedName>
    <definedName name="FIM_87J">#REF!</definedName>
    <definedName name="FIM_87M">#REF!</definedName>
    <definedName name="FIM_87S">#REF!</definedName>
    <definedName name="FIM_88D">#REF!</definedName>
    <definedName name="FIM_88J">#REF!</definedName>
    <definedName name="FIM_88M">#REF!</definedName>
    <definedName name="FIM_88S">#REF!</definedName>
    <definedName name="FIM_89D">#REF!</definedName>
    <definedName name="FIM_89J">#REF!</definedName>
    <definedName name="FIM_89M">#REF!</definedName>
    <definedName name="FIM_89S">#REF!</definedName>
    <definedName name="FIM_90D">#REF!</definedName>
    <definedName name="FIM_90J">#REF!</definedName>
    <definedName name="FIM_90M">#REF!</definedName>
    <definedName name="FIM_90S">#REF!</definedName>
    <definedName name="FIM_91D">#REF!</definedName>
    <definedName name="FIM_91J">#REF!</definedName>
    <definedName name="FIM_91M">#REF!</definedName>
    <definedName name="FIM_91S">#REF!</definedName>
    <definedName name="FIM_92D">#REF!</definedName>
    <definedName name="FIM_92J">#REF!</definedName>
    <definedName name="FIM_92M">#REF!</definedName>
    <definedName name="FIM_92S">#REF!</definedName>
    <definedName name="FIM_93D">#REF!</definedName>
    <definedName name="FIM_93J">#REF!</definedName>
    <definedName name="FIM_93M">#REF!</definedName>
    <definedName name="FIM_93S">#REF!</definedName>
    <definedName name="FIM_94D">#REF!</definedName>
    <definedName name="FIM_94J">#REF!</definedName>
    <definedName name="FIM_94M">#REF!</definedName>
    <definedName name="FIM_94S">#REF!</definedName>
    <definedName name="FIM_95D">#REF!</definedName>
    <definedName name="FIM_95J">#REF!</definedName>
    <definedName name="FIM_95M">#REF!</definedName>
    <definedName name="FIM_95S">#REF!</definedName>
    <definedName name="FIM_96D">#REF!</definedName>
    <definedName name="FIM_96J">#REF!</definedName>
    <definedName name="FIM_96M">#REF!</definedName>
    <definedName name="FIM_96S">#REF!</definedName>
    <definedName name="FIM_97D">#REF!</definedName>
    <definedName name="FIM_97J">#REF!</definedName>
    <definedName name="FIM_97M">#REF!</definedName>
    <definedName name="FIM_97S">#REF!</definedName>
    <definedName name="FIM_98D">#REF!</definedName>
    <definedName name="FIM_98J">#REF!</definedName>
    <definedName name="FIM_98M">#REF!</definedName>
    <definedName name="FIM_98S">#REF!</definedName>
    <definedName name="FIM_99D">#REF!</definedName>
    <definedName name="FIM_99J">#REF!</definedName>
    <definedName name="FIM_99M">#REF!</definedName>
    <definedName name="FIM_99S">#REF!</definedName>
    <definedName name="FIM_LT">#REF!</definedName>
    <definedName name="Fin_Const_Costs">#REF!</definedName>
    <definedName name="FinalYear">#REF!</definedName>
    <definedName name="financial_data">#REF!</definedName>
    <definedName name="financial_data2">#REF!</definedName>
    <definedName name="financial_data3">#REF!</definedName>
    <definedName name="financial_data4">#REF!</definedName>
    <definedName name="Financial_Inv_Div">#REF!</definedName>
    <definedName name="FinancingMethod">[17]筹资!$B$18</definedName>
    <definedName name="FINCopyDirection">2</definedName>
    <definedName name="FINCriteriaRange">#REF!</definedName>
    <definedName name="FINCriteriaType">1</definedName>
    <definedName name="FINOptions">"0,0,1,1,1,0,1,-1,0,0,2,0,"</definedName>
    <definedName name="fix.2001">#REF!</definedName>
    <definedName name="fix.99">#REF!</definedName>
    <definedName name="Fixed_asset_investments">#REF!</definedName>
    <definedName name="Fixed_asset_turns">#REF!</definedName>
    <definedName name="Fixed_asset_turns_fore">#REF!</definedName>
    <definedName name="Fixed_assets">#REF!</definedName>
    <definedName name="Fixed_assets_investments">#REF!</definedName>
    <definedName name="Fixed_line">#REF!</definedName>
    <definedName name="Flag_index">#REF!</definedName>
    <definedName name="Flag_index_all">#REF!</definedName>
    <definedName name="footnote">#REF!</definedName>
    <definedName name="FORE_10q_div">#REF!</definedName>
    <definedName name="FORE_10q_shares">#REF!</definedName>
    <definedName name="FORE_bk_cap">#REF!</definedName>
    <definedName name="FORE_bk_equity">#REF!</definedName>
    <definedName name="FORE_bs_conv_debt">#REF!</definedName>
    <definedName name="FORE_bs_min_int">#REF!</definedName>
    <definedName name="FORE_bs_pref">#REF!</definedName>
    <definedName name="FORE_cash">#REF!</definedName>
    <definedName name="FORE_conv_debt_pr">#REF!</definedName>
    <definedName name="FORE_conv_pref_pr">#REF!</definedName>
    <definedName name="FORE_fin_date">#REF!</definedName>
    <definedName name="FORE_hist_d">#REF!</definedName>
    <definedName name="FORE_hst_a">#REF!</definedName>
    <definedName name="FORE_hst_cogs">#REF!</definedName>
    <definedName name="FORE_hst_ebit">#REF!</definedName>
    <definedName name="FORE_hst_ebt">#REF!</definedName>
    <definedName name="FORE_hst_eps">#REF!</definedName>
    <definedName name="FORE_hst_inc_b_m">#REF!</definedName>
    <definedName name="FORE_hst_r_d">#REF!</definedName>
    <definedName name="FORE_hst_rev">#REF!</definedName>
    <definedName name="FORE_hst_sg_a">#REF!</definedName>
    <definedName name="FORE_LQ_ni">#REF!</definedName>
    <definedName name="FORE_LQ_rev">#REF!</definedName>
    <definedName name="FORE_lt_debt">#REF!</definedName>
    <definedName name="FORE_ltm_a">#REF!</definedName>
    <definedName name="FORE_ltm_cap_ex">#REF!</definedName>
    <definedName name="FORE_ltm_cogs">#REF!</definedName>
    <definedName name="FORE_ltm_csh_int">#REF!</definedName>
    <definedName name="FORE_ltm_d">#REF!</definedName>
    <definedName name="FORE_ltm_ebit">#REF!</definedName>
    <definedName name="FORE_ltm_ebt">#REF!</definedName>
    <definedName name="FORE_ltm_inc_b_m">#REF!</definedName>
    <definedName name="FORE_ltm_int">#REF!</definedName>
    <definedName name="FORE_ltm_min_int">#REF!</definedName>
    <definedName name="FORE_ltm_pref_div">#REF!</definedName>
    <definedName name="FORE_ltm_r_d">#REF!</definedName>
    <definedName name="FORE_ltm_rev">#REF!</definedName>
    <definedName name="FORE_ltm_sg_a">#REF!</definedName>
    <definedName name="FORE_ltm_shares">#REF!</definedName>
    <definedName name="FORE_ltm_tax">#REF!</definedName>
    <definedName name="FORE_ltm_tax_rate">#REF!</definedName>
    <definedName name="FORE_name">#REF!</definedName>
    <definedName name="FORE_o_debt_1">#REF!</definedName>
    <definedName name="FORE_o_debt_2">#REF!</definedName>
    <definedName name="FORE_o_debt_3">#REF!</definedName>
    <definedName name="FORE_option_n">#REF!</definedName>
    <definedName name="FORE_option_pr">#REF!</definedName>
    <definedName name="FORE_PQ_ni">#REF!</definedName>
    <definedName name="FORE_PQ_rev">#REF!</definedName>
    <definedName name="FORE_shares">#REF!</definedName>
    <definedName name="FORE_YQ_ni">#REF!</definedName>
    <definedName name="FORE_YQ_rev">#REF!</definedName>
    <definedName name="Forecast_Type">#REF!</definedName>
    <definedName name="forex">#REF!</definedName>
    <definedName name="Forex_differences">#REF!</definedName>
    <definedName name="Forex_Gains_Losses">#REF!</definedName>
    <definedName name="Form10q_pg1">#REF!</definedName>
    <definedName name="Form10q_pg2">#REF!</definedName>
    <definedName name="Formats">#REF!</definedName>
    <definedName name="forx00">#REF!</definedName>
    <definedName name="forx01">#REF!</definedName>
    <definedName name="forx93">#REF!</definedName>
    <definedName name="forx94">#REF!</definedName>
    <definedName name="forx95">#REF!</definedName>
    <definedName name="forx96">#REF!</definedName>
    <definedName name="forx97">#REF!</definedName>
    <definedName name="forx98">#REF!</definedName>
    <definedName name="forx99">#REF!</definedName>
    <definedName name="Fossilpr">#REF!</definedName>
    <definedName name="FQE_range">#REF!</definedName>
    <definedName name="fr" localSheetId="2" hidden="1">{"print STAY opening assumptions",#N/A,FALSE,"STAY Openings";"print STAY openings",#N/A,FALSE,"STAY Openings"}</definedName>
    <definedName name="fr" localSheetId="1" hidden="1">{"print STAY opening assumptions",#N/A,FALSE,"STAY Openings";"print STAY openings",#N/A,FALSE,"STAY Openings"}</definedName>
    <definedName name="fr" hidden="1">{"print STAY opening assumptions",#N/A,FALSE,"STAY Openings";"print STAY openings",#N/A,FALSE,"STAY Openings"}</definedName>
    <definedName name="France_w">#REF!</definedName>
    <definedName name="FranceE">#REF!</definedName>
    <definedName name="FranceEG">#REF!</definedName>
    <definedName name="FranceES">#REF!</definedName>
    <definedName name="FranceG">#REF!</definedName>
    <definedName name="FranceS">#REF!</definedName>
    <definedName name="fratios">#REF!</definedName>
    <definedName name="Frederick">#REF!</definedName>
    <definedName name="free">#REF!</definedName>
    <definedName name="Free_cash">#REF!</definedName>
    <definedName name="Free_cash_flow">#REF!</definedName>
    <definedName name="Free_cash_flow_return_on_replacement_cost">#REF!</definedName>
    <definedName name="Free_cash_flow_return_on_replacement_cost_NBV">#REF!</definedName>
    <definedName name="Free_cash_flow_yield">#REF!</definedName>
    <definedName name="FreeCashFlowPerShare">#REF!</definedName>
    <definedName name="FREQS">#REF!</definedName>
    <definedName name="FS">#REF!</definedName>
    <definedName name="Fully_taxed_EPS">'[4]P&amp;L'!$B$66:$AH$66</definedName>
    <definedName name="FundingStructure">[20]NERD!$G$10:$N$10</definedName>
    <definedName name="Fushun">#REF!</definedName>
    <definedName name="Fusina">#REF!</definedName>
    <definedName name="future">[7]Curtrans!$U$14</definedName>
    <definedName name="fvalue">#REF!</definedName>
    <definedName name="FX_JP">#REF!</definedName>
    <definedName name="FX_rate">#REF!</definedName>
    <definedName name="FX_TW">#REF!</definedName>
    <definedName name="fxa">#REF!</definedName>
    <definedName name="FXCode">"USD"</definedName>
    <definedName name="fxe">#REF!</definedName>
    <definedName name="FXList">#REF!</definedName>
    <definedName name="FXNProfit">#REF!</definedName>
    <definedName name="FXOpProfit">#REF!</definedName>
    <definedName name="FXOProfit">#REF!</definedName>
    <definedName name="FxPerSh">#REF!</definedName>
    <definedName name="FXRATE94">#REF!</definedName>
    <definedName name="FXRATE95">#REF!</definedName>
    <definedName name="FXRATE96">#REF!</definedName>
    <definedName name="FXRATE97">#REF!</definedName>
    <definedName name="FXRATE98">#REF!</definedName>
    <definedName name="FXRATE99">#REF!</definedName>
    <definedName name="FxRateAvg">#REF!</definedName>
    <definedName name="FxRateSpot">#REF!</definedName>
    <definedName name="FXSales">#REF!</definedName>
    <definedName name="fy..02">#REF!</definedName>
    <definedName name="fy.01">#REF!</definedName>
    <definedName name="fy.2002">#REF!</definedName>
    <definedName name="fy.98">#REF!</definedName>
    <definedName name="fy_00">#REF!</definedName>
    <definedName name="FY_01">#REF!</definedName>
    <definedName name="fy_02">#REF!</definedName>
    <definedName name="FY_03">#REF!</definedName>
    <definedName name="FY_93">#REF!</definedName>
    <definedName name="FY_94">#REF!</definedName>
    <definedName name="FY_95">#REF!</definedName>
    <definedName name="FY_96">#REF!</definedName>
    <definedName name="FY_97">#REF!</definedName>
    <definedName name="fy_98">#REF!</definedName>
    <definedName name="fy_99">#REF!</definedName>
    <definedName name="fy00_rev">#REF!</definedName>
    <definedName name="FY1993_">#REF!</definedName>
    <definedName name="FY1994_">#REF!</definedName>
    <definedName name="FY1995_">#REF!</definedName>
    <definedName name="FY1996_">#REF!</definedName>
    <definedName name="FY1997_">#REF!</definedName>
    <definedName name="FY1998_">#REF!</definedName>
    <definedName name="FY1999_">#REF!</definedName>
    <definedName name="FY2000_">#REF!</definedName>
    <definedName name="FY2001_">#REF!</definedName>
    <definedName name="FY2002_">#REF!</definedName>
    <definedName name="FY2003_">#REF!</definedName>
    <definedName name="FY2004_">#REF!</definedName>
    <definedName name="FY2005_">#REF!</definedName>
    <definedName name="fy95_rev">#REF!</definedName>
    <definedName name="fy96_rev">#REF!</definedName>
    <definedName name="fy96_shares">#REF!</definedName>
    <definedName name="fy97_ni">#REF!</definedName>
    <definedName name="fy97_rev">#REF!</definedName>
    <definedName name="fy97_shares">#REF!</definedName>
    <definedName name="fy98_ni">#REF!</definedName>
    <definedName name="fy98_shares">#REF!</definedName>
    <definedName name="fy99_ni">#REF!</definedName>
    <definedName name="fy99_rev">#REF!</definedName>
    <definedName name="fy99_shares">#REF!</definedName>
    <definedName name="FYE">#REF!</definedName>
    <definedName name="FYERef">#REF!</definedName>
    <definedName name="G_DATA">#REF!</definedName>
    <definedName name="gain94">#REF!</definedName>
    <definedName name="gain95">#REF!</definedName>
    <definedName name="gain96">#REF!</definedName>
    <definedName name="gain97">#REF!</definedName>
    <definedName name="gain98">#REF!</definedName>
    <definedName name="gain99">#REF!</definedName>
    <definedName name="Gas">#REF!</definedName>
    <definedName name="GAS_AUS_OUT">#REF!</definedName>
    <definedName name="Gas_depreciation">#REF!</definedName>
    <definedName name="GAS_EUR_00D">#REF!</definedName>
    <definedName name="GAS_EUR_00J">#REF!</definedName>
    <definedName name="GAS_EUR_00M">#REF!</definedName>
    <definedName name="GAS_EUR_00S">#REF!</definedName>
    <definedName name="GAS_EUR_01D">#REF!</definedName>
    <definedName name="GAS_EUR_01J">#REF!</definedName>
    <definedName name="GAS_EUR_01M">#REF!</definedName>
    <definedName name="GAS_EUR_01S">#REF!</definedName>
    <definedName name="GAS_EUR_02D">#REF!</definedName>
    <definedName name="GAS_EUR_02J">#REF!</definedName>
    <definedName name="GAS_EUR_02M">#REF!</definedName>
    <definedName name="GAS_EUR_02S">#REF!</definedName>
    <definedName name="GAS_EUR_03D">#REF!</definedName>
    <definedName name="GAS_EUR_03J">#REF!</definedName>
    <definedName name="GAS_EUR_03M">#REF!</definedName>
    <definedName name="GAS_EUR_03S">#REF!</definedName>
    <definedName name="GAS_EUR_04D">#REF!</definedName>
    <definedName name="GAS_EUR_04J">#REF!</definedName>
    <definedName name="GAS_EUR_04M">#REF!</definedName>
    <definedName name="GAS_EUR_04S">#REF!</definedName>
    <definedName name="GAS_EUR_05D">#REF!</definedName>
    <definedName name="GAS_EUR_05J">#REF!</definedName>
    <definedName name="GAS_EUR_05M">#REF!</definedName>
    <definedName name="GAS_EUR_05S">#REF!</definedName>
    <definedName name="GAS_EUR_06D">#REF!</definedName>
    <definedName name="GAS_EUR_06J">#REF!</definedName>
    <definedName name="GAS_EUR_06M">#REF!</definedName>
    <definedName name="GAS_EUR_06S">#REF!</definedName>
    <definedName name="GAS_EUR_07D">#REF!</definedName>
    <definedName name="GAS_EUR_07J">#REF!</definedName>
    <definedName name="GAS_EUR_07M">#REF!</definedName>
    <definedName name="GAS_EUR_07S">#REF!</definedName>
    <definedName name="GAS_EUR_08D">#REF!</definedName>
    <definedName name="GAS_EUR_08J">#REF!</definedName>
    <definedName name="GAS_EUR_08M">#REF!</definedName>
    <definedName name="GAS_EUR_08S">#REF!</definedName>
    <definedName name="GAS_EUR_09D">#REF!</definedName>
    <definedName name="GAS_EUR_09J">#REF!</definedName>
    <definedName name="GAS_EUR_09M">#REF!</definedName>
    <definedName name="GAS_EUR_09S">#REF!</definedName>
    <definedName name="GAS_EUR_10D">#REF!</definedName>
    <definedName name="GAS_EUR_10J">#REF!</definedName>
    <definedName name="GAS_EUR_10M">#REF!</definedName>
    <definedName name="GAS_EUR_10S">#REF!</definedName>
    <definedName name="GAS_EUR_11D">#REF!</definedName>
    <definedName name="GAS_EUR_11J">#REF!</definedName>
    <definedName name="GAS_EUR_11M">#REF!</definedName>
    <definedName name="GAS_EUR_11S">#REF!</definedName>
    <definedName name="GAS_EUR_12D">#REF!</definedName>
    <definedName name="GAS_EUR_12J">#REF!</definedName>
    <definedName name="GAS_EUR_12M">#REF!</definedName>
    <definedName name="GAS_EUR_12S">#REF!</definedName>
    <definedName name="GAS_EUR_13D">#REF!</definedName>
    <definedName name="GAS_EUR_13J">#REF!</definedName>
    <definedName name="GAS_EUR_13M">#REF!</definedName>
    <definedName name="GAS_EUR_13S">#REF!</definedName>
    <definedName name="GAS_EUR_14D">#REF!</definedName>
    <definedName name="GAS_EUR_14J">#REF!</definedName>
    <definedName name="GAS_EUR_14M">#REF!</definedName>
    <definedName name="GAS_EUR_14S">#REF!</definedName>
    <definedName name="GAS_EUR_15D">#REF!</definedName>
    <definedName name="GAS_EUR_15J">#REF!</definedName>
    <definedName name="GAS_EUR_15M">#REF!</definedName>
    <definedName name="GAS_EUR_15S">#REF!</definedName>
    <definedName name="GAS_EUR_16D">#REF!</definedName>
    <definedName name="GAS_EUR_16J">#REF!</definedName>
    <definedName name="GAS_EUR_16M">#REF!</definedName>
    <definedName name="GAS_EUR_16S">#REF!</definedName>
    <definedName name="GAS_EUR_17D">#REF!</definedName>
    <definedName name="GAS_EUR_17J">#REF!</definedName>
    <definedName name="GAS_EUR_17M">#REF!</definedName>
    <definedName name="GAS_EUR_17S">#REF!</definedName>
    <definedName name="GAS_EUR_18D">#REF!</definedName>
    <definedName name="GAS_EUR_18J">#REF!</definedName>
    <definedName name="GAS_EUR_18M">#REF!</definedName>
    <definedName name="GAS_EUR_18S">#REF!</definedName>
    <definedName name="GAS_EUR_19D">#REF!</definedName>
    <definedName name="GAS_EUR_19J">#REF!</definedName>
    <definedName name="GAS_EUR_19M">#REF!</definedName>
    <definedName name="GAS_EUR_19S">#REF!</definedName>
    <definedName name="GAS_EUR_20D">#REF!</definedName>
    <definedName name="GAS_EUR_20J">#REF!</definedName>
    <definedName name="GAS_EUR_20M">#REF!</definedName>
    <definedName name="GAS_EUR_20S">#REF!</definedName>
    <definedName name="GAS_EUR_21D">#REF!</definedName>
    <definedName name="GAS_EUR_21J">#REF!</definedName>
    <definedName name="GAS_EUR_21M">#REF!</definedName>
    <definedName name="GAS_EUR_21S">#REF!</definedName>
    <definedName name="GAS_EUR_22D">#REF!</definedName>
    <definedName name="GAS_EUR_22J">#REF!</definedName>
    <definedName name="GAS_EUR_22M">#REF!</definedName>
    <definedName name="GAS_EUR_22S">#REF!</definedName>
    <definedName name="GAS_EUR_23D">#REF!</definedName>
    <definedName name="GAS_EUR_23J">#REF!</definedName>
    <definedName name="GAS_EUR_23M">#REF!</definedName>
    <definedName name="GAS_EUR_23S">#REF!</definedName>
    <definedName name="GAS_EUR_24D">#REF!</definedName>
    <definedName name="GAS_EUR_24J">#REF!</definedName>
    <definedName name="GAS_EUR_24M">#REF!</definedName>
    <definedName name="GAS_EUR_24S">#REF!</definedName>
    <definedName name="GAS_EUR_25D">#REF!</definedName>
    <definedName name="GAS_EUR_25J">#REF!</definedName>
    <definedName name="GAS_EUR_25M">#REF!</definedName>
    <definedName name="GAS_EUR_25S">#REF!</definedName>
    <definedName name="GAS_EUR_87D">#REF!</definedName>
    <definedName name="GAS_EUR_87J">#REF!</definedName>
    <definedName name="GAS_EUR_87M">#REF!</definedName>
    <definedName name="GAS_EUR_87S">#REF!</definedName>
    <definedName name="GAS_EUR_88D">#REF!</definedName>
    <definedName name="GAS_EUR_88J">#REF!</definedName>
    <definedName name="GAS_EUR_88M">#REF!</definedName>
    <definedName name="GAS_EUR_88S">#REF!</definedName>
    <definedName name="GAS_EUR_89D">#REF!</definedName>
    <definedName name="GAS_EUR_89J">#REF!</definedName>
    <definedName name="GAS_EUR_89M">#REF!</definedName>
    <definedName name="GAS_EUR_89S">#REF!</definedName>
    <definedName name="GAS_EUR_90D">#REF!</definedName>
    <definedName name="GAS_EUR_90J">#REF!</definedName>
    <definedName name="GAS_EUR_90M">#REF!</definedName>
    <definedName name="GAS_EUR_90S">#REF!</definedName>
    <definedName name="GAS_EUR_91D">#REF!</definedName>
    <definedName name="GAS_EUR_91J">#REF!</definedName>
    <definedName name="GAS_EUR_91M">#REF!</definedName>
    <definedName name="GAS_EUR_91S">#REF!</definedName>
    <definedName name="GAS_EUR_92D">#REF!</definedName>
    <definedName name="GAS_EUR_92J">#REF!</definedName>
    <definedName name="GAS_EUR_92M">#REF!</definedName>
    <definedName name="GAS_EUR_92S">#REF!</definedName>
    <definedName name="GAS_EUR_93D">#REF!</definedName>
    <definedName name="GAS_EUR_93J">#REF!</definedName>
    <definedName name="GAS_EUR_93M">#REF!</definedName>
    <definedName name="GAS_EUR_93S">#REF!</definedName>
    <definedName name="GAS_EUR_94D">#REF!</definedName>
    <definedName name="GAS_EUR_94J">#REF!</definedName>
    <definedName name="GAS_EUR_94M">#REF!</definedName>
    <definedName name="GAS_EUR_94S">#REF!</definedName>
    <definedName name="GAS_EUR_95D">#REF!</definedName>
    <definedName name="GAS_EUR_95J">#REF!</definedName>
    <definedName name="GAS_EUR_95M">#REF!</definedName>
    <definedName name="GAS_EUR_95S">#REF!</definedName>
    <definedName name="GAS_EUR_96D">#REF!</definedName>
    <definedName name="GAS_EUR_96J">#REF!</definedName>
    <definedName name="GAS_EUR_96M">#REF!</definedName>
    <definedName name="GAS_EUR_96S">#REF!</definedName>
    <definedName name="GAS_EUR_97D">#REF!</definedName>
    <definedName name="GAS_EUR_97J">#REF!</definedName>
    <definedName name="GAS_EUR_97M">#REF!</definedName>
    <definedName name="GAS_EUR_97S">#REF!</definedName>
    <definedName name="GAS_EUR_98D">#REF!</definedName>
    <definedName name="GAS_EUR_98J">#REF!</definedName>
    <definedName name="GAS_EUR_98M">#REF!</definedName>
    <definedName name="GAS_EUR_98S">#REF!</definedName>
    <definedName name="GAS_EUR_99D">#REF!</definedName>
    <definedName name="GAS_EUR_99J">#REF!</definedName>
    <definedName name="GAS_EUR_99M">#REF!</definedName>
    <definedName name="GAS_EUR_99S">#REF!</definedName>
    <definedName name="GAS_EUR_LT">#REF!</definedName>
    <definedName name="GAS_EUR_OUT">#REF!</definedName>
    <definedName name="Gas_inflation_uplift">#REF!</definedName>
    <definedName name="Gas_maintenance_capex">#REF!</definedName>
    <definedName name="GAS_OFF_AUS_00D">#REF!</definedName>
    <definedName name="GAS_OFF_AUS_00J">#REF!</definedName>
    <definedName name="GAS_OFF_AUS_00M">#REF!</definedName>
    <definedName name="GAS_OFF_AUS_00S">#REF!</definedName>
    <definedName name="GAS_OFF_AUS_01D">#REF!</definedName>
    <definedName name="GAS_OFF_AUS_01J">#REF!</definedName>
    <definedName name="GAS_OFF_AUS_01M">#REF!</definedName>
    <definedName name="GAS_OFF_AUS_01S">#REF!</definedName>
    <definedName name="GAS_OFF_AUS_02D">#REF!</definedName>
    <definedName name="GAS_OFF_AUS_02J">#REF!</definedName>
    <definedName name="GAS_OFF_AUS_02M">#REF!</definedName>
    <definedName name="GAS_OFF_AUS_02S">#REF!</definedName>
    <definedName name="GAS_OFF_AUS_03D">#REF!</definedName>
    <definedName name="GAS_OFF_AUS_03J">#REF!</definedName>
    <definedName name="GAS_OFF_AUS_03M">#REF!</definedName>
    <definedName name="GAS_OFF_AUS_03S">#REF!</definedName>
    <definedName name="GAS_OFF_AUS_04D">#REF!</definedName>
    <definedName name="GAS_OFF_AUS_04J">#REF!</definedName>
    <definedName name="GAS_OFF_AUS_04M">#REF!</definedName>
    <definedName name="GAS_OFF_AUS_04S">#REF!</definedName>
    <definedName name="GAS_OFF_AUS_05D">#REF!</definedName>
    <definedName name="GAS_OFF_AUS_05J">#REF!</definedName>
    <definedName name="GAS_OFF_AUS_05M">#REF!</definedName>
    <definedName name="GAS_OFF_AUS_05S">#REF!</definedName>
    <definedName name="GAS_OFF_AUS_06D">#REF!</definedName>
    <definedName name="GAS_OFF_AUS_06J">#REF!</definedName>
    <definedName name="GAS_OFF_AUS_06M">#REF!</definedName>
    <definedName name="GAS_OFF_AUS_06S">#REF!</definedName>
    <definedName name="GAS_OFF_AUS_07D">#REF!</definedName>
    <definedName name="GAS_OFF_AUS_07J">#REF!</definedName>
    <definedName name="GAS_OFF_AUS_07M">#REF!</definedName>
    <definedName name="GAS_OFF_AUS_07S">#REF!</definedName>
    <definedName name="GAS_OFF_AUS_08D">#REF!</definedName>
    <definedName name="GAS_OFF_AUS_08J">#REF!</definedName>
    <definedName name="GAS_OFF_AUS_08M">#REF!</definedName>
    <definedName name="GAS_OFF_AUS_08S">#REF!</definedName>
    <definedName name="GAS_OFF_AUS_09D">#REF!</definedName>
    <definedName name="GAS_OFF_AUS_09J">#REF!</definedName>
    <definedName name="GAS_OFF_AUS_09M">#REF!</definedName>
    <definedName name="GAS_OFF_AUS_09S">#REF!</definedName>
    <definedName name="GAS_OFF_AUS_10D">#REF!</definedName>
    <definedName name="GAS_OFF_AUS_10J">#REF!</definedName>
    <definedName name="GAS_OFF_AUS_10M">#REF!</definedName>
    <definedName name="GAS_OFF_AUS_10S">#REF!</definedName>
    <definedName name="GAS_OFF_AUS_11D">#REF!</definedName>
    <definedName name="GAS_OFF_AUS_11J">#REF!</definedName>
    <definedName name="GAS_OFF_AUS_11M">#REF!</definedName>
    <definedName name="GAS_OFF_AUS_11S">#REF!</definedName>
    <definedName name="GAS_OFF_AUS_12D">#REF!</definedName>
    <definedName name="GAS_OFF_AUS_12J">#REF!</definedName>
    <definedName name="GAS_OFF_AUS_12M">#REF!</definedName>
    <definedName name="GAS_OFF_AUS_12S">#REF!</definedName>
    <definedName name="GAS_OFF_AUS_13D">#REF!</definedName>
    <definedName name="GAS_OFF_AUS_13J">#REF!</definedName>
    <definedName name="GAS_OFF_AUS_13M">#REF!</definedName>
    <definedName name="GAS_OFF_AUS_13S">#REF!</definedName>
    <definedName name="GAS_OFF_AUS_14D">#REF!</definedName>
    <definedName name="GAS_OFF_AUS_14J">#REF!</definedName>
    <definedName name="GAS_OFF_AUS_14M">#REF!</definedName>
    <definedName name="GAS_OFF_AUS_14S">#REF!</definedName>
    <definedName name="GAS_OFF_AUS_15D">#REF!</definedName>
    <definedName name="GAS_OFF_AUS_15J">#REF!</definedName>
    <definedName name="GAS_OFF_AUS_15M">#REF!</definedName>
    <definedName name="GAS_OFF_AUS_15S">#REF!</definedName>
    <definedName name="GAS_OFF_AUS_16D">#REF!</definedName>
    <definedName name="GAS_OFF_AUS_16J">#REF!</definedName>
    <definedName name="GAS_OFF_AUS_16M">#REF!</definedName>
    <definedName name="GAS_OFF_AUS_16S">#REF!</definedName>
    <definedName name="GAS_OFF_AUS_17D">#REF!</definedName>
    <definedName name="GAS_OFF_AUS_17J">#REF!</definedName>
    <definedName name="GAS_OFF_AUS_17M">#REF!</definedName>
    <definedName name="GAS_OFF_AUS_17S">#REF!</definedName>
    <definedName name="GAS_OFF_AUS_18D">#REF!</definedName>
    <definedName name="GAS_OFF_AUS_18J">#REF!</definedName>
    <definedName name="GAS_OFF_AUS_18M">#REF!</definedName>
    <definedName name="GAS_OFF_AUS_18S">#REF!</definedName>
    <definedName name="GAS_OFF_AUS_19D">#REF!</definedName>
    <definedName name="GAS_OFF_AUS_19J">#REF!</definedName>
    <definedName name="GAS_OFF_AUS_19M">#REF!</definedName>
    <definedName name="GAS_OFF_AUS_19S">#REF!</definedName>
    <definedName name="GAS_OFF_AUS_20D">#REF!</definedName>
    <definedName name="GAS_OFF_AUS_20J">#REF!</definedName>
    <definedName name="GAS_OFF_AUS_20M">#REF!</definedName>
    <definedName name="GAS_OFF_AUS_20S">#REF!</definedName>
    <definedName name="GAS_OFF_AUS_21D">#REF!</definedName>
    <definedName name="GAS_OFF_AUS_21J">#REF!</definedName>
    <definedName name="GAS_OFF_AUS_21M">#REF!</definedName>
    <definedName name="GAS_OFF_AUS_21S">#REF!</definedName>
    <definedName name="GAS_OFF_AUS_22D">#REF!</definedName>
    <definedName name="GAS_OFF_AUS_22J">#REF!</definedName>
    <definedName name="GAS_OFF_AUS_22M">#REF!</definedName>
    <definedName name="GAS_OFF_AUS_22S">#REF!</definedName>
    <definedName name="GAS_OFF_AUS_23D">#REF!</definedName>
    <definedName name="GAS_OFF_AUS_23J">#REF!</definedName>
    <definedName name="GAS_OFF_AUS_23M">#REF!</definedName>
    <definedName name="GAS_OFF_AUS_23S">#REF!</definedName>
    <definedName name="GAS_OFF_AUS_24D">#REF!</definedName>
    <definedName name="GAS_OFF_AUS_24J">#REF!</definedName>
    <definedName name="GAS_OFF_AUS_24M">#REF!</definedName>
    <definedName name="GAS_OFF_AUS_24S">#REF!</definedName>
    <definedName name="GAS_OFF_AUS_25D">#REF!</definedName>
    <definedName name="GAS_OFF_AUS_25J">#REF!</definedName>
    <definedName name="GAS_OFF_AUS_25M">#REF!</definedName>
    <definedName name="GAS_OFF_AUS_25S">#REF!</definedName>
    <definedName name="GAS_OFF_AUS_87D">#REF!</definedName>
    <definedName name="GAS_OFF_AUS_87J">#REF!</definedName>
    <definedName name="GAS_OFF_AUS_87M">#REF!</definedName>
    <definedName name="GAS_OFF_AUS_87S">#REF!</definedName>
    <definedName name="GAS_OFF_AUS_88D">#REF!</definedName>
    <definedName name="GAS_OFF_AUS_88J">#REF!</definedName>
    <definedName name="GAS_OFF_AUS_88M">#REF!</definedName>
    <definedName name="GAS_OFF_AUS_88S">#REF!</definedName>
    <definedName name="GAS_OFF_AUS_89D">#REF!</definedName>
    <definedName name="GAS_OFF_AUS_89J">#REF!</definedName>
    <definedName name="GAS_OFF_AUS_89M">#REF!</definedName>
    <definedName name="GAS_OFF_AUS_89S">#REF!</definedName>
    <definedName name="GAS_OFF_AUS_90D">#REF!</definedName>
    <definedName name="GAS_OFF_AUS_90J">#REF!</definedName>
    <definedName name="GAS_OFF_AUS_90M">#REF!</definedName>
    <definedName name="GAS_OFF_AUS_90S">#REF!</definedName>
    <definedName name="GAS_OFF_AUS_91D">#REF!</definedName>
    <definedName name="GAS_OFF_AUS_91J">#REF!</definedName>
    <definedName name="GAS_OFF_AUS_91M">#REF!</definedName>
    <definedName name="GAS_OFF_AUS_91S">#REF!</definedName>
    <definedName name="GAS_OFF_AUS_92D">#REF!</definedName>
    <definedName name="GAS_OFF_AUS_92J">#REF!</definedName>
    <definedName name="GAS_OFF_AUS_92M">#REF!</definedName>
    <definedName name="GAS_OFF_AUS_92S">#REF!</definedName>
    <definedName name="GAS_OFF_AUS_93D">#REF!</definedName>
    <definedName name="GAS_OFF_AUS_93J">#REF!</definedName>
    <definedName name="GAS_OFF_AUS_93M">#REF!</definedName>
    <definedName name="GAS_OFF_AUS_93S">#REF!</definedName>
    <definedName name="GAS_OFF_AUS_94D">#REF!</definedName>
    <definedName name="GAS_OFF_AUS_94J">#REF!</definedName>
    <definedName name="GAS_OFF_AUS_94M">#REF!</definedName>
    <definedName name="GAS_OFF_AUS_94S">#REF!</definedName>
    <definedName name="GAS_OFF_AUS_95D">#REF!</definedName>
    <definedName name="GAS_OFF_AUS_95J">#REF!</definedName>
    <definedName name="GAS_OFF_AUS_95M">#REF!</definedName>
    <definedName name="GAS_OFF_AUS_95S">#REF!</definedName>
    <definedName name="GAS_OFF_AUS_96D">#REF!</definedName>
    <definedName name="GAS_OFF_AUS_96J">#REF!</definedName>
    <definedName name="GAS_OFF_AUS_96M">#REF!</definedName>
    <definedName name="GAS_OFF_AUS_96S">#REF!</definedName>
    <definedName name="GAS_OFF_AUS_97D">#REF!</definedName>
    <definedName name="GAS_OFF_AUS_97J">#REF!</definedName>
    <definedName name="GAS_OFF_AUS_97M">#REF!</definedName>
    <definedName name="GAS_OFF_AUS_97S">#REF!</definedName>
    <definedName name="GAS_OFF_AUS_98D">#REF!</definedName>
    <definedName name="GAS_OFF_AUS_98J">#REF!</definedName>
    <definedName name="GAS_OFF_AUS_98M">#REF!</definedName>
    <definedName name="GAS_OFF_AUS_98S">#REF!</definedName>
    <definedName name="GAS_OFF_AUS_99D">#REF!</definedName>
    <definedName name="GAS_OFF_AUS_99J">#REF!</definedName>
    <definedName name="GAS_OFF_AUS_99M">#REF!</definedName>
    <definedName name="GAS_OFF_AUS_99S">#REF!</definedName>
    <definedName name="GAS_OFF_AUS_LT">#REF!</definedName>
    <definedName name="GAS_ON_AUS_00D">#REF!</definedName>
    <definedName name="GAS_ON_AUS_00J">#REF!</definedName>
    <definedName name="GAS_ON_AUS_00M">#REF!</definedName>
    <definedName name="GAS_ON_AUS_00S">#REF!</definedName>
    <definedName name="GAS_ON_AUS_01D">#REF!</definedName>
    <definedName name="GAS_ON_AUS_01J">#REF!</definedName>
    <definedName name="GAS_ON_AUS_01M">#REF!</definedName>
    <definedName name="GAS_ON_AUS_01S">#REF!</definedName>
    <definedName name="GAS_ON_AUS_02D">#REF!</definedName>
    <definedName name="GAS_ON_AUS_02J">#REF!</definedName>
    <definedName name="GAS_ON_AUS_02M">#REF!</definedName>
    <definedName name="GAS_ON_AUS_02S">#REF!</definedName>
    <definedName name="GAS_ON_AUS_03D">#REF!</definedName>
    <definedName name="GAS_ON_AUS_03J">#REF!</definedName>
    <definedName name="GAS_ON_AUS_03M">#REF!</definedName>
    <definedName name="GAS_ON_AUS_03S">#REF!</definedName>
    <definedName name="GAS_ON_AUS_04D">#REF!</definedName>
    <definedName name="GAS_ON_AUS_04J">#REF!</definedName>
    <definedName name="GAS_ON_AUS_04M">#REF!</definedName>
    <definedName name="GAS_ON_AUS_04S">#REF!</definedName>
    <definedName name="GAS_ON_AUS_05D">#REF!</definedName>
    <definedName name="GAS_ON_AUS_05J">#REF!</definedName>
    <definedName name="GAS_ON_AUS_05M">#REF!</definedName>
    <definedName name="GAS_ON_AUS_05S">#REF!</definedName>
    <definedName name="GAS_ON_AUS_06D">#REF!</definedName>
    <definedName name="GAS_ON_AUS_06J">#REF!</definedName>
    <definedName name="GAS_ON_AUS_06M">#REF!</definedName>
    <definedName name="GAS_ON_AUS_06S">#REF!</definedName>
    <definedName name="GAS_ON_AUS_07D">#REF!</definedName>
    <definedName name="GAS_ON_AUS_07J">#REF!</definedName>
    <definedName name="GAS_ON_AUS_07M">#REF!</definedName>
    <definedName name="GAS_ON_AUS_07S">#REF!</definedName>
    <definedName name="GAS_ON_AUS_08D">#REF!</definedName>
    <definedName name="GAS_ON_AUS_08J">#REF!</definedName>
    <definedName name="GAS_ON_AUS_08M">#REF!</definedName>
    <definedName name="GAS_ON_AUS_08S">#REF!</definedName>
    <definedName name="GAS_ON_AUS_09D">#REF!</definedName>
    <definedName name="GAS_ON_AUS_09J">#REF!</definedName>
    <definedName name="GAS_ON_AUS_09M">#REF!</definedName>
    <definedName name="GAS_ON_AUS_09S">#REF!</definedName>
    <definedName name="GAS_ON_AUS_10D">#REF!</definedName>
    <definedName name="GAS_ON_AUS_10J">#REF!</definedName>
    <definedName name="GAS_ON_AUS_10M">#REF!</definedName>
    <definedName name="GAS_ON_AUS_10S">#REF!</definedName>
    <definedName name="GAS_ON_AUS_11D">#REF!</definedName>
    <definedName name="GAS_ON_AUS_11J">#REF!</definedName>
    <definedName name="GAS_ON_AUS_11M">#REF!</definedName>
    <definedName name="GAS_ON_AUS_11S">#REF!</definedName>
    <definedName name="GAS_ON_AUS_12D">#REF!</definedName>
    <definedName name="GAS_ON_AUS_12J">#REF!</definedName>
    <definedName name="GAS_ON_AUS_12M">#REF!</definedName>
    <definedName name="GAS_ON_AUS_12S">#REF!</definedName>
    <definedName name="GAS_ON_AUS_13D">#REF!</definedName>
    <definedName name="GAS_ON_AUS_13J">#REF!</definedName>
    <definedName name="GAS_ON_AUS_13M">#REF!</definedName>
    <definedName name="GAS_ON_AUS_13S">#REF!</definedName>
    <definedName name="GAS_ON_AUS_14D">#REF!</definedName>
    <definedName name="GAS_ON_AUS_14J">#REF!</definedName>
    <definedName name="GAS_ON_AUS_14M">#REF!</definedName>
    <definedName name="GAS_ON_AUS_14S">#REF!</definedName>
    <definedName name="GAS_ON_AUS_15D">#REF!</definedName>
    <definedName name="GAS_ON_AUS_15J">#REF!</definedName>
    <definedName name="GAS_ON_AUS_15M">#REF!</definedName>
    <definedName name="GAS_ON_AUS_15S">#REF!</definedName>
    <definedName name="GAS_ON_AUS_16D">#REF!</definedName>
    <definedName name="GAS_ON_AUS_16J">#REF!</definedName>
    <definedName name="GAS_ON_AUS_16M">#REF!</definedName>
    <definedName name="GAS_ON_AUS_16S">#REF!</definedName>
    <definedName name="GAS_ON_AUS_17D">#REF!</definedName>
    <definedName name="GAS_ON_AUS_17J">#REF!</definedName>
    <definedName name="GAS_ON_AUS_17M">#REF!</definedName>
    <definedName name="GAS_ON_AUS_17S">#REF!</definedName>
    <definedName name="GAS_ON_AUS_18D">#REF!</definedName>
    <definedName name="GAS_ON_AUS_18J">#REF!</definedName>
    <definedName name="GAS_ON_AUS_18M">#REF!</definedName>
    <definedName name="GAS_ON_AUS_18S">#REF!</definedName>
    <definedName name="GAS_ON_AUS_19D">#REF!</definedName>
    <definedName name="GAS_ON_AUS_19J">#REF!</definedName>
    <definedName name="GAS_ON_AUS_19M">#REF!</definedName>
    <definedName name="GAS_ON_AUS_19S">#REF!</definedName>
    <definedName name="GAS_ON_AUS_20D">#REF!</definedName>
    <definedName name="GAS_ON_AUS_20J">#REF!</definedName>
    <definedName name="GAS_ON_AUS_20M">#REF!</definedName>
    <definedName name="GAS_ON_AUS_20S">#REF!</definedName>
    <definedName name="GAS_ON_AUS_21D">#REF!</definedName>
    <definedName name="GAS_ON_AUS_21J">#REF!</definedName>
    <definedName name="GAS_ON_AUS_21M">#REF!</definedName>
    <definedName name="GAS_ON_AUS_21S">#REF!</definedName>
    <definedName name="GAS_ON_AUS_22D">#REF!</definedName>
    <definedName name="GAS_ON_AUS_22J">#REF!</definedName>
    <definedName name="GAS_ON_AUS_22M">#REF!</definedName>
    <definedName name="GAS_ON_AUS_22S">#REF!</definedName>
    <definedName name="GAS_ON_AUS_23D">#REF!</definedName>
    <definedName name="GAS_ON_AUS_23J">#REF!</definedName>
    <definedName name="GAS_ON_AUS_23M">#REF!</definedName>
    <definedName name="GAS_ON_AUS_23S">#REF!</definedName>
    <definedName name="GAS_ON_AUS_24D">#REF!</definedName>
    <definedName name="GAS_ON_AUS_24J">#REF!</definedName>
    <definedName name="GAS_ON_AUS_24M">#REF!</definedName>
    <definedName name="GAS_ON_AUS_24S">#REF!</definedName>
    <definedName name="GAS_ON_AUS_25D">#REF!</definedName>
    <definedName name="GAS_ON_AUS_25J">#REF!</definedName>
    <definedName name="GAS_ON_AUS_25M">#REF!</definedName>
    <definedName name="GAS_ON_AUS_25S">#REF!</definedName>
    <definedName name="GAS_ON_AUS_87D">#REF!</definedName>
    <definedName name="GAS_ON_AUS_87J">#REF!</definedName>
    <definedName name="GAS_ON_AUS_87M">#REF!</definedName>
    <definedName name="GAS_ON_AUS_87S">#REF!</definedName>
    <definedName name="GAS_ON_AUS_88D">#REF!</definedName>
    <definedName name="GAS_ON_AUS_88J">#REF!</definedName>
    <definedName name="GAS_ON_AUS_88M">#REF!</definedName>
    <definedName name="GAS_ON_AUS_88S">#REF!</definedName>
    <definedName name="GAS_ON_AUS_89D">#REF!</definedName>
    <definedName name="GAS_ON_AUS_89J">#REF!</definedName>
    <definedName name="GAS_ON_AUS_89M">#REF!</definedName>
    <definedName name="GAS_ON_AUS_89S">#REF!</definedName>
    <definedName name="GAS_ON_AUS_90D">#REF!</definedName>
    <definedName name="GAS_ON_AUS_90J">#REF!</definedName>
    <definedName name="GAS_ON_AUS_90M">#REF!</definedName>
    <definedName name="GAS_ON_AUS_90S">#REF!</definedName>
    <definedName name="GAS_ON_AUS_91D">#REF!</definedName>
    <definedName name="GAS_ON_AUS_91J">#REF!</definedName>
    <definedName name="GAS_ON_AUS_91M">#REF!</definedName>
    <definedName name="GAS_ON_AUS_91S">#REF!</definedName>
    <definedName name="GAS_ON_AUS_92D">#REF!</definedName>
    <definedName name="GAS_ON_AUS_92J">#REF!</definedName>
    <definedName name="GAS_ON_AUS_92M">#REF!</definedName>
    <definedName name="GAS_ON_AUS_92S">#REF!</definedName>
    <definedName name="GAS_ON_AUS_93D">#REF!</definedName>
    <definedName name="GAS_ON_AUS_93J">#REF!</definedName>
    <definedName name="GAS_ON_AUS_93M">#REF!</definedName>
    <definedName name="GAS_ON_AUS_93S">#REF!</definedName>
    <definedName name="GAS_ON_AUS_94D">#REF!</definedName>
    <definedName name="GAS_ON_AUS_94J">#REF!</definedName>
    <definedName name="GAS_ON_AUS_94M">#REF!</definedName>
    <definedName name="GAS_ON_AUS_94S">#REF!</definedName>
    <definedName name="GAS_ON_AUS_95D">#REF!</definedName>
    <definedName name="GAS_ON_AUS_95J">#REF!</definedName>
    <definedName name="GAS_ON_AUS_95M">#REF!</definedName>
    <definedName name="GAS_ON_AUS_95S">#REF!</definedName>
    <definedName name="GAS_ON_AUS_96D">#REF!</definedName>
    <definedName name="GAS_ON_AUS_96J">#REF!</definedName>
    <definedName name="GAS_ON_AUS_96M">#REF!</definedName>
    <definedName name="GAS_ON_AUS_96S">#REF!</definedName>
    <definedName name="GAS_ON_AUS_97D">#REF!</definedName>
    <definedName name="GAS_ON_AUS_97J">#REF!</definedName>
    <definedName name="GAS_ON_AUS_97M">#REF!</definedName>
    <definedName name="GAS_ON_AUS_97S">#REF!</definedName>
    <definedName name="GAS_ON_AUS_98D">#REF!</definedName>
    <definedName name="GAS_ON_AUS_98J">#REF!</definedName>
    <definedName name="GAS_ON_AUS_98M">#REF!</definedName>
    <definedName name="GAS_ON_AUS_98S">#REF!</definedName>
    <definedName name="GAS_ON_AUS_99D">#REF!</definedName>
    <definedName name="GAS_ON_AUS_99J">#REF!</definedName>
    <definedName name="GAS_ON_AUS_99M">#REF!</definedName>
    <definedName name="GAS_ON_AUS_99S">#REF!</definedName>
    <definedName name="GAS_ON_AUS_LT">#REF!</definedName>
    <definedName name="GAS_USA_00D">#REF!</definedName>
    <definedName name="GAS_USA_00J">#REF!</definedName>
    <definedName name="GAS_USA_00M">#REF!</definedName>
    <definedName name="GAS_USA_00S">#REF!</definedName>
    <definedName name="GAS_USA_01D">#REF!</definedName>
    <definedName name="GAS_USA_01J">#REF!</definedName>
    <definedName name="GAS_USA_01M">#REF!</definedName>
    <definedName name="GAS_USA_01S">#REF!</definedName>
    <definedName name="GAS_USA_02D">#REF!</definedName>
    <definedName name="GAS_USA_02J">#REF!</definedName>
    <definedName name="GAS_USA_02M">#REF!</definedName>
    <definedName name="GAS_USA_02S">#REF!</definedName>
    <definedName name="GAS_USA_03D">#REF!</definedName>
    <definedName name="GAS_USA_03J">#REF!</definedName>
    <definedName name="GAS_USA_03M">#REF!</definedName>
    <definedName name="GAS_USA_03S">#REF!</definedName>
    <definedName name="GAS_USA_04D">#REF!</definedName>
    <definedName name="GAS_USA_04J">#REF!</definedName>
    <definedName name="GAS_USA_04M">#REF!</definedName>
    <definedName name="GAS_USA_04S">#REF!</definedName>
    <definedName name="GAS_USA_05D">#REF!</definedName>
    <definedName name="GAS_USA_05J">#REF!</definedName>
    <definedName name="GAS_USA_05M">#REF!</definedName>
    <definedName name="GAS_USA_05S">#REF!</definedName>
    <definedName name="GAS_USA_06D">#REF!</definedName>
    <definedName name="GAS_USA_06J">#REF!</definedName>
    <definedName name="GAS_USA_06M">#REF!</definedName>
    <definedName name="GAS_USA_06S">#REF!</definedName>
    <definedName name="GAS_USA_07D">#REF!</definedName>
    <definedName name="GAS_USA_07J">#REF!</definedName>
    <definedName name="GAS_USA_07M">#REF!</definedName>
    <definedName name="GAS_USA_07S">#REF!</definedName>
    <definedName name="GAS_USA_08D">#REF!</definedName>
    <definedName name="GAS_USA_08J">#REF!</definedName>
    <definedName name="GAS_USA_08M">#REF!</definedName>
    <definedName name="GAS_USA_08S">#REF!</definedName>
    <definedName name="GAS_USA_09D">#REF!</definedName>
    <definedName name="GAS_USA_09J">#REF!</definedName>
    <definedName name="GAS_USA_09M">#REF!</definedName>
    <definedName name="GAS_USA_09S">#REF!</definedName>
    <definedName name="GAS_USA_10D">#REF!</definedName>
    <definedName name="GAS_USA_10J">#REF!</definedName>
    <definedName name="GAS_USA_10M">#REF!</definedName>
    <definedName name="GAS_USA_10S">#REF!</definedName>
    <definedName name="GAS_USA_11D">#REF!</definedName>
    <definedName name="GAS_USA_11J">#REF!</definedName>
    <definedName name="GAS_USA_11M">#REF!</definedName>
    <definedName name="GAS_USA_11S">#REF!</definedName>
    <definedName name="GAS_USA_12D">#REF!</definedName>
    <definedName name="GAS_USA_12J">#REF!</definedName>
    <definedName name="GAS_USA_12M">#REF!</definedName>
    <definedName name="GAS_USA_12S">#REF!</definedName>
    <definedName name="GAS_USA_13D">#REF!</definedName>
    <definedName name="GAS_USA_13J">#REF!</definedName>
    <definedName name="GAS_USA_13M">#REF!</definedName>
    <definedName name="GAS_USA_13S">#REF!</definedName>
    <definedName name="GAS_USA_14D">#REF!</definedName>
    <definedName name="GAS_USA_14J">#REF!</definedName>
    <definedName name="GAS_USA_14M">#REF!</definedName>
    <definedName name="GAS_USA_14S">#REF!</definedName>
    <definedName name="GAS_USA_15D">#REF!</definedName>
    <definedName name="GAS_USA_15J">#REF!</definedName>
    <definedName name="GAS_USA_15M">#REF!</definedName>
    <definedName name="GAS_USA_15S">#REF!</definedName>
    <definedName name="GAS_USA_16D">#REF!</definedName>
    <definedName name="GAS_USA_16J">#REF!</definedName>
    <definedName name="GAS_USA_16M">#REF!</definedName>
    <definedName name="GAS_USA_16S">#REF!</definedName>
    <definedName name="GAS_USA_17D">#REF!</definedName>
    <definedName name="GAS_USA_17J">#REF!</definedName>
    <definedName name="GAS_USA_17M">#REF!</definedName>
    <definedName name="GAS_USA_17S">#REF!</definedName>
    <definedName name="GAS_USA_18D">#REF!</definedName>
    <definedName name="GAS_USA_18J">#REF!</definedName>
    <definedName name="GAS_USA_18M">#REF!</definedName>
    <definedName name="GAS_USA_18S">#REF!</definedName>
    <definedName name="GAS_USA_19D">#REF!</definedName>
    <definedName name="GAS_USA_19J">#REF!</definedName>
    <definedName name="GAS_USA_19M">#REF!</definedName>
    <definedName name="GAS_USA_19S">#REF!</definedName>
    <definedName name="GAS_USA_20D">#REF!</definedName>
    <definedName name="GAS_USA_20J">#REF!</definedName>
    <definedName name="GAS_USA_20M">#REF!</definedName>
    <definedName name="GAS_USA_20S">#REF!</definedName>
    <definedName name="GAS_USA_21D">#REF!</definedName>
    <definedName name="GAS_USA_21J">#REF!</definedName>
    <definedName name="GAS_USA_21M">#REF!</definedName>
    <definedName name="GAS_USA_21S">#REF!</definedName>
    <definedName name="GAS_USA_22D">#REF!</definedName>
    <definedName name="GAS_USA_22J">#REF!</definedName>
    <definedName name="GAS_USA_22M">#REF!</definedName>
    <definedName name="GAS_USA_22S">#REF!</definedName>
    <definedName name="GAS_USA_23D">#REF!</definedName>
    <definedName name="GAS_USA_23J">#REF!</definedName>
    <definedName name="GAS_USA_23M">#REF!</definedName>
    <definedName name="GAS_USA_23S">#REF!</definedName>
    <definedName name="GAS_USA_24D">#REF!</definedName>
    <definedName name="GAS_USA_24J">#REF!</definedName>
    <definedName name="GAS_USA_24M">#REF!</definedName>
    <definedName name="GAS_USA_24S">#REF!</definedName>
    <definedName name="GAS_USA_25D">#REF!</definedName>
    <definedName name="GAS_USA_25J">#REF!</definedName>
    <definedName name="GAS_USA_25M">#REF!</definedName>
    <definedName name="GAS_USA_25S">#REF!</definedName>
    <definedName name="GAS_USA_87D">#REF!</definedName>
    <definedName name="GAS_USA_87J">#REF!</definedName>
    <definedName name="GAS_USA_87M">#REF!</definedName>
    <definedName name="GAS_USA_87S">#REF!</definedName>
    <definedName name="GAS_USA_88D">#REF!</definedName>
    <definedName name="GAS_USA_88J">#REF!</definedName>
    <definedName name="GAS_USA_88M">#REF!</definedName>
    <definedName name="GAS_USA_88S">#REF!</definedName>
    <definedName name="GAS_USA_89D">#REF!</definedName>
    <definedName name="GAS_USA_89J">#REF!</definedName>
    <definedName name="GAS_USA_89M">#REF!</definedName>
    <definedName name="GAS_USA_89S">#REF!</definedName>
    <definedName name="GAS_USA_90D">#REF!</definedName>
    <definedName name="GAS_USA_90J">#REF!</definedName>
    <definedName name="GAS_USA_90M">#REF!</definedName>
    <definedName name="GAS_USA_90S">#REF!</definedName>
    <definedName name="GAS_USA_91D">#REF!</definedName>
    <definedName name="GAS_USA_91J">#REF!</definedName>
    <definedName name="GAS_USA_91M">#REF!</definedName>
    <definedName name="GAS_USA_91S">#REF!</definedName>
    <definedName name="GAS_USA_92D">#REF!</definedName>
    <definedName name="GAS_USA_92J">#REF!</definedName>
    <definedName name="GAS_USA_92M">#REF!</definedName>
    <definedName name="GAS_USA_92S">#REF!</definedName>
    <definedName name="GAS_USA_93D">#REF!</definedName>
    <definedName name="GAS_USA_93J">#REF!</definedName>
    <definedName name="GAS_USA_93M">#REF!</definedName>
    <definedName name="GAS_USA_93S">#REF!</definedName>
    <definedName name="GAS_USA_94D">#REF!</definedName>
    <definedName name="GAS_USA_94J">#REF!</definedName>
    <definedName name="GAS_USA_94M">#REF!</definedName>
    <definedName name="GAS_USA_94S">#REF!</definedName>
    <definedName name="GAS_USA_95D">#REF!</definedName>
    <definedName name="GAS_USA_95J">#REF!</definedName>
    <definedName name="GAS_USA_95M">#REF!</definedName>
    <definedName name="GAS_USA_95S">#REF!</definedName>
    <definedName name="GAS_USA_96D">#REF!</definedName>
    <definedName name="GAS_USA_96J">#REF!</definedName>
    <definedName name="GAS_USA_96M">#REF!</definedName>
    <definedName name="GAS_USA_96S">#REF!</definedName>
    <definedName name="GAS_USA_97D">#REF!</definedName>
    <definedName name="GAS_USA_97J">#REF!</definedName>
    <definedName name="GAS_USA_97M">#REF!</definedName>
    <definedName name="GAS_USA_97S">#REF!</definedName>
    <definedName name="GAS_USA_98D">#REF!</definedName>
    <definedName name="GAS_USA_98J">#REF!</definedName>
    <definedName name="GAS_USA_98M">#REF!</definedName>
    <definedName name="GAS_USA_98S">#REF!</definedName>
    <definedName name="GAS_USA_99D">#REF!</definedName>
    <definedName name="GAS_USA_99J">#REF!</definedName>
    <definedName name="GAS_USA_99M">#REF!</definedName>
    <definedName name="GAS_USA_99S">#REF!</definedName>
    <definedName name="GAS_USA_LT">#REF!</definedName>
    <definedName name="GAS_USA_OUT">#REF!</definedName>
    <definedName name="GBP_00S">#REF!</definedName>
    <definedName name="GBP_01D">#REF!</definedName>
    <definedName name="GBP_01J">#REF!</definedName>
    <definedName name="GBP_01M">#REF!</definedName>
    <definedName name="GBP_01S">#REF!</definedName>
    <definedName name="GBP_02D">#REF!</definedName>
    <definedName name="GBP_02J">#REF!</definedName>
    <definedName name="GBP_02M">#REF!</definedName>
    <definedName name="GBP_02S">#REF!</definedName>
    <definedName name="GBP_03D">#REF!</definedName>
    <definedName name="GBP_03J">#REF!</definedName>
    <definedName name="GBP_03M">#REF!</definedName>
    <definedName name="GBP_03S">#REF!</definedName>
    <definedName name="GBP_04D">#REF!</definedName>
    <definedName name="GBP_04J">#REF!</definedName>
    <definedName name="GBP_04M">#REF!</definedName>
    <definedName name="GBP_04S">#REF!</definedName>
    <definedName name="GBP_05D">#REF!</definedName>
    <definedName name="GBP_05J">#REF!</definedName>
    <definedName name="GBP_05M">#REF!</definedName>
    <definedName name="GBP_05S">#REF!</definedName>
    <definedName name="GBP_06D">#REF!</definedName>
    <definedName name="GBP_06J">#REF!</definedName>
    <definedName name="GBP_06M">#REF!</definedName>
    <definedName name="GBP_06S">#REF!</definedName>
    <definedName name="GBP_07D">#REF!</definedName>
    <definedName name="GBP_07J">#REF!</definedName>
    <definedName name="GBP_07M">#REF!</definedName>
    <definedName name="GBP_07S">#REF!</definedName>
    <definedName name="GBP_08D">#REF!</definedName>
    <definedName name="GBP_08J">#REF!</definedName>
    <definedName name="GBP_08M">#REF!</definedName>
    <definedName name="GBP_08S">#REF!</definedName>
    <definedName name="GBP_09D">#REF!</definedName>
    <definedName name="GBP_09J">#REF!</definedName>
    <definedName name="GBP_09M">#REF!</definedName>
    <definedName name="GBP_09S">#REF!</definedName>
    <definedName name="GBP_10D">#REF!</definedName>
    <definedName name="GBP_10J">#REF!</definedName>
    <definedName name="GBP_10M">#REF!</definedName>
    <definedName name="GBP_10S">#REF!</definedName>
    <definedName name="GBP_11D">#REF!</definedName>
    <definedName name="GBP_11J">#REF!</definedName>
    <definedName name="GBP_11M">#REF!</definedName>
    <definedName name="GBP_11S">#REF!</definedName>
    <definedName name="GBP_12D">#REF!</definedName>
    <definedName name="GBP_12J">#REF!</definedName>
    <definedName name="GBP_12M">#REF!</definedName>
    <definedName name="GBP_12S">#REF!</definedName>
    <definedName name="GBP_13D">#REF!</definedName>
    <definedName name="GBP_13J">#REF!</definedName>
    <definedName name="GBP_13M">#REF!</definedName>
    <definedName name="GBP_13S">#REF!</definedName>
    <definedName name="GBP_14D">#REF!</definedName>
    <definedName name="GBP_14J">#REF!</definedName>
    <definedName name="GBP_14M">#REF!</definedName>
    <definedName name="GBP_14S">#REF!</definedName>
    <definedName name="GBP_15D">#REF!</definedName>
    <definedName name="GBP_15J">#REF!</definedName>
    <definedName name="GBP_15M">#REF!</definedName>
    <definedName name="GBP_15S">#REF!</definedName>
    <definedName name="GBP_16D">#REF!</definedName>
    <definedName name="GBP_16J">#REF!</definedName>
    <definedName name="GBP_16M">#REF!</definedName>
    <definedName name="GBP_16S">#REF!</definedName>
    <definedName name="GBP_17D">#REF!</definedName>
    <definedName name="GBP_17J">#REF!</definedName>
    <definedName name="GBP_17M">#REF!</definedName>
    <definedName name="GBP_17S">#REF!</definedName>
    <definedName name="GBP_18D">#REF!</definedName>
    <definedName name="GBP_18J">#REF!</definedName>
    <definedName name="GBP_18M">#REF!</definedName>
    <definedName name="GBP_18S">#REF!</definedName>
    <definedName name="GBP_19D">#REF!</definedName>
    <definedName name="GBP_19J">#REF!</definedName>
    <definedName name="GBP_19M">#REF!</definedName>
    <definedName name="GBP_19S">#REF!</definedName>
    <definedName name="GBP_20D">#REF!</definedName>
    <definedName name="GBP_20J">#REF!</definedName>
    <definedName name="GBP_20M">#REF!</definedName>
    <definedName name="GBP_20S">#REF!</definedName>
    <definedName name="GBP_21D">#REF!</definedName>
    <definedName name="GBP_21J">#REF!</definedName>
    <definedName name="GBP_21M">#REF!</definedName>
    <definedName name="GBP_21S">#REF!</definedName>
    <definedName name="GBP_22D">#REF!</definedName>
    <definedName name="GBP_22J">#REF!</definedName>
    <definedName name="GBP_22M">#REF!</definedName>
    <definedName name="GBP_22S">#REF!</definedName>
    <definedName name="GBP_23D">#REF!</definedName>
    <definedName name="GBP_23J">#REF!</definedName>
    <definedName name="GBP_23M">#REF!</definedName>
    <definedName name="GBP_23S">#REF!</definedName>
    <definedName name="GBP_24D">#REF!</definedName>
    <definedName name="GBP_24J">#REF!</definedName>
    <definedName name="GBP_24M">#REF!</definedName>
    <definedName name="GBP_24S">#REF!</definedName>
    <definedName name="GBP_25D">#REF!</definedName>
    <definedName name="GBP_25J">#REF!</definedName>
    <definedName name="GBP_25M">#REF!</definedName>
    <definedName name="GBP_25S">#REF!</definedName>
    <definedName name="GBP_87D">#REF!</definedName>
    <definedName name="GBP_87J">#REF!</definedName>
    <definedName name="GBP_87M">#REF!</definedName>
    <definedName name="GBP_87S">#REF!</definedName>
    <definedName name="GBP_88D">#REF!</definedName>
    <definedName name="GBP_88J">#REF!</definedName>
    <definedName name="GBP_88M">#REF!</definedName>
    <definedName name="GBP_88S">#REF!</definedName>
    <definedName name="GBP_89D">#REF!</definedName>
    <definedName name="GBP_89J">#REF!</definedName>
    <definedName name="GBP_89M">#REF!</definedName>
    <definedName name="GBP_89S">#REF!</definedName>
    <definedName name="GBP_90D">#REF!</definedName>
    <definedName name="GBP_90J">#REF!</definedName>
    <definedName name="GBP_90M">#REF!</definedName>
    <definedName name="GBP_90S">#REF!</definedName>
    <definedName name="GBP_91D">#REF!</definedName>
    <definedName name="GBP_91J">#REF!</definedName>
    <definedName name="GBP_91M">#REF!</definedName>
    <definedName name="GBP_91S">#REF!</definedName>
    <definedName name="GBP_92D">#REF!</definedName>
    <definedName name="GBP_92J">#REF!</definedName>
    <definedName name="GBP_92M">#REF!</definedName>
    <definedName name="GBP_92S">#REF!</definedName>
    <definedName name="GBP_93D">#REF!</definedName>
    <definedName name="GBP_93J">#REF!</definedName>
    <definedName name="GBP_93M">#REF!</definedName>
    <definedName name="GBP_93S">#REF!</definedName>
    <definedName name="GBP_94D">#REF!</definedName>
    <definedName name="GBP_94J">#REF!</definedName>
    <definedName name="GBP_94M">#REF!</definedName>
    <definedName name="GBP_94S">#REF!</definedName>
    <definedName name="GBP_95D">#REF!</definedName>
    <definedName name="GBP_95J">#REF!</definedName>
    <definedName name="GBP_95M">#REF!</definedName>
    <definedName name="GBP_95S">#REF!</definedName>
    <definedName name="GBP_96D">#REF!</definedName>
    <definedName name="GBP_96J">#REF!</definedName>
    <definedName name="GBP_96M">#REF!</definedName>
    <definedName name="GBP_96S">#REF!</definedName>
    <definedName name="GBP_97D">#REF!</definedName>
    <definedName name="GBP_97J">#REF!</definedName>
    <definedName name="GBP_97M">#REF!</definedName>
    <definedName name="GBP_97S">#REF!</definedName>
    <definedName name="GBP_98D">#REF!</definedName>
    <definedName name="GBP_98J">#REF!</definedName>
    <definedName name="GBP_98M">#REF!</definedName>
    <definedName name="GBP_98S">#REF!</definedName>
    <definedName name="GBP_99D">#REF!</definedName>
    <definedName name="GBP_99J">#REF!</definedName>
    <definedName name="GBP_99M">#REF!</definedName>
    <definedName name="GBP_99S">#REF!</definedName>
    <definedName name="GBP_EUR">[40]FXRATES!$D$2</definedName>
    <definedName name="GBP_LT">#REF!</definedName>
    <definedName name="GBP_USD">#REF!</definedName>
    <definedName name="gcf.00">#REF!</definedName>
    <definedName name="gcf.96">#REF!</definedName>
    <definedName name="gcf.97">#REF!</definedName>
    <definedName name="gcf.98">#REF!</definedName>
    <definedName name="gcf.99">#REF!</definedName>
    <definedName name="GDR_EXRATE">#REF!</definedName>
    <definedName name="GE_00D">#REF!</definedName>
    <definedName name="GE_00J">#REF!</definedName>
    <definedName name="GE_00M">#REF!</definedName>
    <definedName name="GE_00S">#REF!</definedName>
    <definedName name="GE_01D">#REF!</definedName>
    <definedName name="GE_01J">#REF!</definedName>
    <definedName name="GE_01M">#REF!</definedName>
    <definedName name="GE_01S">#REF!</definedName>
    <definedName name="GE_02D">#REF!</definedName>
    <definedName name="GE_02J">#REF!</definedName>
    <definedName name="GE_02M">#REF!</definedName>
    <definedName name="GE_02S">#REF!</definedName>
    <definedName name="GE_03D">#REF!</definedName>
    <definedName name="GE_03J">#REF!</definedName>
    <definedName name="GE_03M">#REF!</definedName>
    <definedName name="GE_03S">#REF!</definedName>
    <definedName name="GE_04D">#REF!</definedName>
    <definedName name="GE_04J">#REF!</definedName>
    <definedName name="GE_04M">#REF!</definedName>
    <definedName name="GE_04S">#REF!</definedName>
    <definedName name="GE_05D">#REF!</definedName>
    <definedName name="GE_05J">#REF!</definedName>
    <definedName name="GE_05M">#REF!</definedName>
    <definedName name="GE_05S">#REF!</definedName>
    <definedName name="GE_06D">#REF!</definedName>
    <definedName name="GE_06J">#REF!</definedName>
    <definedName name="GE_06M">#REF!</definedName>
    <definedName name="GE_06S">#REF!</definedName>
    <definedName name="GE_07D">#REF!</definedName>
    <definedName name="GE_07J">#REF!</definedName>
    <definedName name="GE_07M">#REF!</definedName>
    <definedName name="GE_07S">#REF!</definedName>
    <definedName name="GE_08D">#REF!</definedName>
    <definedName name="GE_08J">#REF!</definedName>
    <definedName name="GE_08M">#REF!</definedName>
    <definedName name="GE_08S">#REF!</definedName>
    <definedName name="GE_09D">#REF!</definedName>
    <definedName name="GE_09J">#REF!</definedName>
    <definedName name="GE_09M">#REF!</definedName>
    <definedName name="GE_09S">#REF!</definedName>
    <definedName name="GE_10D">#REF!</definedName>
    <definedName name="GE_10J">#REF!</definedName>
    <definedName name="GE_10M">#REF!</definedName>
    <definedName name="GE_10S">#REF!</definedName>
    <definedName name="GE_11D">#REF!</definedName>
    <definedName name="GE_11J">#REF!</definedName>
    <definedName name="GE_11M">#REF!</definedName>
    <definedName name="GE_11S">#REF!</definedName>
    <definedName name="GE_12D">#REF!</definedName>
    <definedName name="GE_12J">#REF!</definedName>
    <definedName name="GE_12M">#REF!</definedName>
    <definedName name="GE_12S">#REF!</definedName>
    <definedName name="GE_13D">#REF!</definedName>
    <definedName name="GE_13J">#REF!</definedName>
    <definedName name="GE_13M">#REF!</definedName>
    <definedName name="GE_13S">#REF!</definedName>
    <definedName name="GE_14D">#REF!</definedName>
    <definedName name="GE_14J">#REF!</definedName>
    <definedName name="GE_14M">#REF!</definedName>
    <definedName name="GE_14S">#REF!</definedName>
    <definedName name="GE_15D">#REF!</definedName>
    <definedName name="GE_15J">#REF!</definedName>
    <definedName name="GE_15M">#REF!</definedName>
    <definedName name="GE_15S">#REF!</definedName>
    <definedName name="GE_16D">#REF!</definedName>
    <definedName name="GE_16J">#REF!</definedName>
    <definedName name="GE_16M">#REF!</definedName>
    <definedName name="GE_16S">#REF!</definedName>
    <definedName name="GE_17D">#REF!</definedName>
    <definedName name="GE_17J">#REF!</definedName>
    <definedName name="GE_17M">#REF!</definedName>
    <definedName name="GE_17S">#REF!</definedName>
    <definedName name="GE_18D">#REF!</definedName>
    <definedName name="GE_18J">#REF!</definedName>
    <definedName name="GE_18M">#REF!</definedName>
    <definedName name="GE_18S">#REF!</definedName>
    <definedName name="GE_19D">#REF!</definedName>
    <definedName name="GE_19J">#REF!</definedName>
    <definedName name="GE_19M">#REF!</definedName>
    <definedName name="GE_19S">#REF!</definedName>
    <definedName name="GE_20D">#REF!</definedName>
    <definedName name="GE_20J">#REF!</definedName>
    <definedName name="GE_20M">#REF!</definedName>
    <definedName name="GE_20S">#REF!</definedName>
    <definedName name="GE_21D">#REF!</definedName>
    <definedName name="GE_21J">#REF!</definedName>
    <definedName name="GE_21M">#REF!</definedName>
    <definedName name="GE_21S">#REF!</definedName>
    <definedName name="GE_22D">#REF!</definedName>
    <definedName name="GE_22J">#REF!</definedName>
    <definedName name="GE_22M">#REF!</definedName>
    <definedName name="GE_22S">#REF!</definedName>
    <definedName name="GE_23D">#REF!</definedName>
    <definedName name="GE_23J">#REF!</definedName>
    <definedName name="GE_23M">#REF!</definedName>
    <definedName name="GE_23S">#REF!</definedName>
    <definedName name="GE_24D">#REF!</definedName>
    <definedName name="GE_24J">#REF!</definedName>
    <definedName name="GE_24M">#REF!</definedName>
    <definedName name="GE_24S">#REF!</definedName>
    <definedName name="GE_25D">#REF!</definedName>
    <definedName name="GE_25J">#REF!</definedName>
    <definedName name="GE_25M">#REF!</definedName>
    <definedName name="GE_25S">#REF!</definedName>
    <definedName name="GE_87D">#REF!</definedName>
    <definedName name="GE_87J">#REF!</definedName>
    <definedName name="GE_87M">#REF!</definedName>
    <definedName name="GE_87S">#REF!</definedName>
    <definedName name="GE_88D">#REF!</definedName>
    <definedName name="GE_88J">#REF!</definedName>
    <definedName name="GE_88M">#REF!</definedName>
    <definedName name="GE_88S">#REF!</definedName>
    <definedName name="GE_89D">#REF!</definedName>
    <definedName name="GE_89J">#REF!</definedName>
    <definedName name="GE_89M">#REF!</definedName>
    <definedName name="GE_89S">#REF!</definedName>
    <definedName name="GE_90D">#REF!</definedName>
    <definedName name="GE_90J">#REF!</definedName>
    <definedName name="GE_90M">#REF!</definedName>
    <definedName name="GE_90S">#REF!</definedName>
    <definedName name="GE_91D">#REF!</definedName>
    <definedName name="GE_91J">#REF!</definedName>
    <definedName name="GE_91M">#REF!</definedName>
    <definedName name="GE_91S">#REF!</definedName>
    <definedName name="GE_92D">#REF!</definedName>
    <definedName name="GE_92J">#REF!</definedName>
    <definedName name="GE_92M">#REF!</definedName>
    <definedName name="GE_92S">#REF!</definedName>
    <definedName name="GE_93D">#REF!</definedName>
    <definedName name="GE_93J">#REF!</definedName>
    <definedName name="GE_93M">#REF!</definedName>
    <definedName name="GE_93S">#REF!</definedName>
    <definedName name="GE_94D">#REF!</definedName>
    <definedName name="GE_94J">#REF!</definedName>
    <definedName name="GE_94M">#REF!</definedName>
    <definedName name="GE_94S">#REF!</definedName>
    <definedName name="GE_95D">#REF!</definedName>
    <definedName name="GE_95J">#REF!</definedName>
    <definedName name="GE_95M">#REF!</definedName>
    <definedName name="GE_95S">#REF!</definedName>
    <definedName name="GE_96D">#REF!</definedName>
    <definedName name="GE_96J">#REF!</definedName>
    <definedName name="GE_96M">#REF!</definedName>
    <definedName name="GE_96S">#REF!</definedName>
    <definedName name="GE_97D">#REF!</definedName>
    <definedName name="GE_97J">#REF!</definedName>
    <definedName name="GE_97M">#REF!</definedName>
    <definedName name="GE_97S">#REF!</definedName>
    <definedName name="GE_98D">#REF!</definedName>
    <definedName name="GE_98J">#REF!</definedName>
    <definedName name="GE_98M">#REF!</definedName>
    <definedName name="GE_98S">#REF!</definedName>
    <definedName name="GE_99D">#REF!</definedName>
    <definedName name="GE_99J">#REF!</definedName>
    <definedName name="GE_99M">#REF!</definedName>
    <definedName name="GE_99S">#REF!</definedName>
    <definedName name="GE_LT">#REF!</definedName>
    <definedName name="GE_OUT">#REF!</definedName>
    <definedName name="gear92">#REF!</definedName>
    <definedName name="gear93">#REF!</definedName>
    <definedName name="gear94">#REF!</definedName>
    <definedName name="gear95a">#REF!</definedName>
    <definedName name="Gearing">[20]NERD!$G$8:$N$8</definedName>
    <definedName name="general93">#REF!</definedName>
    <definedName name="general94">#REF!</definedName>
    <definedName name="GEOG">#REF!</definedName>
    <definedName name="Germany">{"Cereva Networks, Inc"}</definedName>
    <definedName name="Germany_w">#REF!</definedName>
    <definedName name="gfd" hidden="1">#REF!</definedName>
    <definedName name="GHRLF">#REF!</definedName>
    <definedName name="gic_5_yr_est">#REF!</definedName>
    <definedName name="gic_52_wk">#REF!</definedName>
    <definedName name="GIC_bk_cap">#REF!</definedName>
    <definedName name="GIC_bk_equity">#REF!</definedName>
    <definedName name="GIC_bs_conv_debt">#REF!</definedName>
    <definedName name="GIC_bs_min_int">#REF!</definedName>
    <definedName name="GIC_bs_pref">#REF!</definedName>
    <definedName name="GIC_cash">#REF!</definedName>
    <definedName name="GIC_cod">#REF!</definedName>
    <definedName name="GIC_code">#REF!</definedName>
    <definedName name="GIC_conv_debt_pr">#REF!</definedName>
    <definedName name="GIC_conv_pref_pr">#REF!</definedName>
    <definedName name="gic_curr">#REF!</definedName>
    <definedName name="GIC_dil_shares">#REF!</definedName>
    <definedName name="gic_eps00">#REF!</definedName>
    <definedName name="gic_eps98">#REF!</definedName>
    <definedName name="gic_eps99">#REF!</definedName>
    <definedName name="GIC_equity_mcap">#REF!</definedName>
    <definedName name="GIC_fin_date">#REF!</definedName>
    <definedName name="GIC_hist_d">#REF!</definedName>
    <definedName name="GIC_hst_a">#REF!</definedName>
    <definedName name="GIC_hst_cogs">#REF!</definedName>
    <definedName name="GIC_hst_ebit">#REF!</definedName>
    <definedName name="GIC_hst_ebt">#REF!</definedName>
    <definedName name="GIC_hst_eps">#REF!</definedName>
    <definedName name="GIC_hst_inc_b_m">#REF!</definedName>
    <definedName name="GIC_hst_r_d">#REF!</definedName>
    <definedName name="GIC_hst_rev">#REF!</definedName>
    <definedName name="GIC_hst_sg_a">#REF!</definedName>
    <definedName name="GIC_lev_mcap">#REF!</definedName>
    <definedName name="GIC_LQ_ni">#REF!</definedName>
    <definedName name="GIC_LQ_rev">#REF!</definedName>
    <definedName name="GIC_lt_debt">#REF!</definedName>
    <definedName name="GIC_ltm_a">#REF!</definedName>
    <definedName name="GIC_ltm_cap_ex">#REF!</definedName>
    <definedName name="GIC_ltm_cogs">#REF!</definedName>
    <definedName name="GIC_ltm_csh_int">#REF!</definedName>
    <definedName name="GIC_ltm_d">#REF!</definedName>
    <definedName name="GIC_ltm_ebit">#REF!</definedName>
    <definedName name="GIC_ltm_ebt">#REF!</definedName>
    <definedName name="GIC_ltm_inc_b_m">#REF!</definedName>
    <definedName name="GIC_ltm_int">#REF!</definedName>
    <definedName name="GIC_ltm_min_int">#REF!</definedName>
    <definedName name="GIC_ltm_pref_div">#REF!</definedName>
    <definedName name="GIC_ltm_r_d">#REF!</definedName>
    <definedName name="GIC_ltm_rev">#REF!</definedName>
    <definedName name="GIC_ltm_sg_a">#REF!</definedName>
    <definedName name="GIC_ltm_shares">#REF!</definedName>
    <definedName name="GIC_ltm_tax">#REF!</definedName>
    <definedName name="GIC_ltm_tax_rate">#REF!</definedName>
    <definedName name="GIC_name">#REF!</definedName>
    <definedName name="GIC_o_debt_1">#REF!</definedName>
    <definedName name="GIC_o_debt_2">#REF!</definedName>
    <definedName name="GIC_o_debt_3">#REF!</definedName>
    <definedName name="GIC_option_n">#REF!</definedName>
    <definedName name="GIC_option_pr">#REF!</definedName>
    <definedName name="GIC_PQ_ni">#REF!</definedName>
    <definedName name="GIC_PQ_rev">#REF!</definedName>
    <definedName name="gic_pr">#REF!</definedName>
    <definedName name="GIC_shares">#REF!</definedName>
    <definedName name="gic_ticker">#REF!</definedName>
    <definedName name="GIC_total_dt">#REF!</definedName>
    <definedName name="GIC_YQ_ni">#REF!</definedName>
    <definedName name="GIC_YQ_rev">#REF!</definedName>
    <definedName name="glad">glad</definedName>
    <definedName name="global">'[41]Global Assumptions'!$B$2:$Y$39</definedName>
    <definedName name="Global_Country">OFFSET(#REF!,0,0,COUNTA(#REF!)-1,1)</definedName>
    <definedName name="Global_Country_Select">#REF!</definedName>
    <definedName name="Global_Tables">#REF!,#REF!,#REF!</definedName>
    <definedName name="global1">#REF!</definedName>
    <definedName name="Global123">#REF!</definedName>
    <definedName name="global2">#REF!</definedName>
    <definedName name="GLW_10q_div">#REF!</definedName>
    <definedName name="GLW_10q_shares">#REF!</definedName>
    <definedName name="GLW_5_yr_est">#REF!</definedName>
    <definedName name="GLW_52_wk">#REF!</definedName>
    <definedName name="GLW_bk_cap">#REF!</definedName>
    <definedName name="GLW_bk_equity">#REF!</definedName>
    <definedName name="GLW_bs_conv_debt">#REF!</definedName>
    <definedName name="GLW_bs_min_int">#REF!</definedName>
    <definedName name="GLW_bs_pref">#REF!</definedName>
    <definedName name="GLW_cash">#REF!</definedName>
    <definedName name="GLW_conv_debt_pr">#REF!</definedName>
    <definedName name="GLW_conv_pref_pr">#REF!</definedName>
    <definedName name="GLW_curr">#REF!</definedName>
    <definedName name="GLW_dil_shares">#REF!</definedName>
    <definedName name="glw_eps00">#REF!</definedName>
    <definedName name="glw_eps98">#REF!</definedName>
    <definedName name="glw_eps99">#REF!</definedName>
    <definedName name="GLW_equity_mcap">#REF!</definedName>
    <definedName name="GLW_fin_date">#REF!</definedName>
    <definedName name="GLW_hist_d">#REF!</definedName>
    <definedName name="GLW_hst_a">#REF!</definedName>
    <definedName name="GLW_hst_cogs">#REF!</definedName>
    <definedName name="GLW_hst_ebit">#REF!</definedName>
    <definedName name="GLW_hst_ebt">#REF!</definedName>
    <definedName name="GLW_hst_eps">#REF!</definedName>
    <definedName name="GLW_hst_inc_b_m">#REF!</definedName>
    <definedName name="GLW_hst_r_d">#REF!</definedName>
    <definedName name="GLW_hst_rev">#REF!</definedName>
    <definedName name="GLW_hst_sg_a">#REF!</definedName>
    <definedName name="GLW_lev_mcap">#REF!</definedName>
    <definedName name="GLW_LQ_ni">#REF!</definedName>
    <definedName name="GLW_LQ_rev">#REF!</definedName>
    <definedName name="GLW_lt_debt">#REF!</definedName>
    <definedName name="GLW_ltm_a">#REF!</definedName>
    <definedName name="GLW_ltm_cap_ex">#REF!</definedName>
    <definedName name="GLW_ltm_cogs">#REF!</definedName>
    <definedName name="GLW_ltm_csh_int">#REF!</definedName>
    <definedName name="GLW_ltm_d">#REF!</definedName>
    <definedName name="GLW_ltm_ebit">#REF!</definedName>
    <definedName name="GLW_ltm_ebt">#REF!</definedName>
    <definedName name="GLW_ltm_eps">#REF!</definedName>
    <definedName name="GLW_ltm_inc_b_m">#REF!</definedName>
    <definedName name="GLW_ltm_int">#REF!</definedName>
    <definedName name="GLW_ltm_min_int">#REF!</definedName>
    <definedName name="GLW_ltm_pref_div">#REF!</definedName>
    <definedName name="GLW_ltm_r_d">#REF!</definedName>
    <definedName name="GLW_ltm_rev">#REF!</definedName>
    <definedName name="GLW_ltm_sg_a">#REF!</definedName>
    <definedName name="GLW_ltm_tax">#REF!</definedName>
    <definedName name="GLW_ltm_tax_rate">#REF!</definedName>
    <definedName name="GLW_name">#REF!</definedName>
    <definedName name="GLW_o_debt_1">#REF!</definedName>
    <definedName name="GLW_o_debt_2">#REF!</definedName>
    <definedName name="GLW_o_debt_3">#REF!</definedName>
    <definedName name="GLW_option_n">#REF!</definedName>
    <definedName name="GLW_option_pr">#REF!</definedName>
    <definedName name="GLW_PQ_rev">#REF!</definedName>
    <definedName name="GLW_pr">#REF!</definedName>
    <definedName name="GLW_shares">#REF!</definedName>
    <definedName name="GLW_ticker">#REF!</definedName>
    <definedName name="GLW_total_dt">#REF!</definedName>
    <definedName name="GLW_YQ_ni">#REF!</definedName>
    <definedName name="GLW_YQ_rev">#REF!</definedName>
    <definedName name="GM">#REF!</definedName>
    <definedName name="GME">"Chart 6"</definedName>
    <definedName name="Goodwill_Amortisation">#REF!</definedName>
    <definedName name="Goodwill_Amortization">25</definedName>
    <definedName name="Goodwill_growth_fore">#REF!</definedName>
    <definedName name="GoveCapacity">#REF!</definedName>
    <definedName name="GPRS_capex_driver">#REF!</definedName>
    <definedName name="GPRS_subs">#REF!</definedName>
    <definedName name="GQ_Area">#REF!</definedName>
    <definedName name="GQ_Titles">#REF!</definedName>
    <definedName name="gr">#REF!</definedName>
    <definedName name="GramercyCapacity">#REF!</definedName>
    <definedName name="Grand_Baie">#REF!</definedName>
    <definedName name="grd">#REF!</definedName>
    <definedName name="GRD_EUR">[40]FXRATES!$D$17</definedName>
    <definedName name="gross.00">#REF!</definedName>
    <definedName name="gross.01">#REF!</definedName>
    <definedName name="gross.02">#REF!</definedName>
    <definedName name="gross.03">#REF!</definedName>
    <definedName name="gross.04">#REF!</definedName>
    <definedName name="gross.marg">#N/A</definedName>
    <definedName name="gross_assets">#REF!</definedName>
    <definedName name="Gross_assets_end">#REF!</definedName>
    <definedName name="Gross_book_value">#REF!</definedName>
    <definedName name="Gross_Capex">#REF!</definedName>
    <definedName name="Gross_cash_return_on_gross_book_value">#REF!</definedName>
    <definedName name="Gross_inc_growth">#REF!</definedName>
    <definedName name="Gross_income">#REF!</definedName>
    <definedName name="Gross_income_fore">#REF!</definedName>
    <definedName name="Gross_income_growth_avg">#REF!</definedName>
    <definedName name="Gross_Margin">#REF!</definedName>
    <definedName name="Gross_margin_fore">#REF!</definedName>
    <definedName name="Gross_Premium__Non_Life">#REF!</definedName>
    <definedName name="Gross_profit">'[4]P&amp;L'!$B$45:$AH$45</definedName>
    <definedName name="GrossTangibles">#REF!</definedName>
    <definedName name="Grow">#REF!</definedName>
    <definedName name="Growth">[24]ISBSCF!$A$56:$AE$104</definedName>
    <definedName name="GS">#REF!</definedName>
    <definedName name="gsal95a">#REF!</definedName>
    <definedName name="gsal95e">#REF!</definedName>
    <definedName name="gsal96">#REF!</definedName>
    <definedName name="GSM_data_arpu">#REF!</definedName>
    <definedName name="GSM_data_subs">#REF!</definedName>
    <definedName name="Guangxi">#REF!</definedName>
    <definedName name="Guizhou">#REF!</definedName>
    <definedName name="GuizhouCapacity">#REF!</definedName>
    <definedName name="Gulf1">#REF!</definedName>
    <definedName name="Gulf2">#REF!</definedName>
    <definedName name="GWyears">40</definedName>
    <definedName name="HALF_YEAR_PROFIT___LOSS">#REF!</definedName>
    <definedName name="HalfReview">{"Client Name or Project Name"}</definedName>
    <definedName name="Hamburg">#REF!</definedName>
    <definedName name="handset_distribution">#REF!</definedName>
    <definedName name="handset_retail_price">#REF!</definedName>
    <definedName name="Handset_revs">#REF!</definedName>
    <definedName name="Handsets_sold">#REF!</definedName>
    <definedName name="HangSeng">'[42]BS Growth'!$A$1:$R$61</definedName>
    <definedName name="Hannibal">#REF!</definedName>
    <definedName name="Hanwha">#REF!</definedName>
    <definedName name="Hawesville">#REF!</definedName>
    <definedName name="HB_consol">#REF!</definedName>
    <definedName name="HBI_00D">#REF!</definedName>
    <definedName name="HBI_00J">#REF!</definedName>
    <definedName name="HBI_00M">#REF!</definedName>
    <definedName name="HBI_00S">#REF!</definedName>
    <definedName name="HBI_01D">#REF!</definedName>
    <definedName name="HBI_01J">#REF!</definedName>
    <definedName name="HBI_01M">#REF!</definedName>
    <definedName name="HBI_01S">#REF!</definedName>
    <definedName name="HBI_02D">#REF!</definedName>
    <definedName name="HBI_02J">#REF!</definedName>
    <definedName name="HBI_02M">#REF!</definedName>
    <definedName name="HBI_02S">#REF!</definedName>
    <definedName name="HBI_03D">#REF!</definedName>
    <definedName name="HBI_03J">#REF!</definedName>
    <definedName name="HBI_03M">#REF!</definedName>
    <definedName name="HBI_03S">#REF!</definedName>
    <definedName name="HBI_04D">#REF!</definedName>
    <definedName name="HBI_04J">#REF!</definedName>
    <definedName name="HBI_04M">#REF!</definedName>
    <definedName name="HBI_04S">#REF!</definedName>
    <definedName name="HBI_05D">#REF!</definedName>
    <definedName name="HBI_05J">#REF!</definedName>
    <definedName name="HBI_05M">#REF!</definedName>
    <definedName name="HBI_05S">#REF!</definedName>
    <definedName name="HBI_06D">#REF!</definedName>
    <definedName name="HBI_06J">#REF!</definedName>
    <definedName name="HBI_06M">#REF!</definedName>
    <definedName name="HBI_06S">#REF!</definedName>
    <definedName name="HBI_07D">#REF!</definedName>
    <definedName name="HBI_07J">#REF!</definedName>
    <definedName name="HBI_07M">#REF!</definedName>
    <definedName name="HBI_07S">#REF!</definedName>
    <definedName name="HBI_08D">#REF!</definedName>
    <definedName name="HBI_08J">#REF!</definedName>
    <definedName name="HBI_08M">#REF!</definedName>
    <definedName name="HBI_08S">#REF!</definedName>
    <definedName name="HBI_09D">#REF!</definedName>
    <definedName name="HBI_09J">#REF!</definedName>
    <definedName name="HBI_09M">#REF!</definedName>
    <definedName name="HBI_09S">#REF!</definedName>
    <definedName name="HBI_10D">#REF!</definedName>
    <definedName name="HBI_10J">#REF!</definedName>
    <definedName name="HBI_10M">#REF!</definedName>
    <definedName name="HBI_10S">#REF!</definedName>
    <definedName name="HBI_11D">#REF!</definedName>
    <definedName name="HBI_11J">#REF!</definedName>
    <definedName name="HBI_11M">#REF!</definedName>
    <definedName name="HBI_11S">#REF!</definedName>
    <definedName name="HBI_12D">#REF!</definedName>
    <definedName name="HBI_12J">#REF!</definedName>
    <definedName name="HBI_12M">#REF!</definedName>
    <definedName name="HBI_12S">#REF!</definedName>
    <definedName name="HBI_13D">#REF!</definedName>
    <definedName name="HBI_13J">#REF!</definedName>
    <definedName name="HBI_13M">#REF!</definedName>
    <definedName name="HBI_13S">#REF!</definedName>
    <definedName name="HBI_14D">#REF!</definedName>
    <definedName name="HBI_14J">#REF!</definedName>
    <definedName name="HBI_14M">#REF!</definedName>
    <definedName name="HBI_14S">#REF!</definedName>
    <definedName name="HBI_15D">#REF!</definedName>
    <definedName name="HBI_15J">#REF!</definedName>
    <definedName name="HBI_15M">#REF!</definedName>
    <definedName name="HBI_15S">#REF!</definedName>
    <definedName name="HBI_16D">#REF!</definedName>
    <definedName name="HBI_16J">#REF!</definedName>
    <definedName name="HBI_16M">#REF!</definedName>
    <definedName name="HBI_16S">#REF!</definedName>
    <definedName name="HBI_17D">#REF!</definedName>
    <definedName name="HBI_17J">#REF!</definedName>
    <definedName name="HBI_17M">#REF!</definedName>
    <definedName name="HBI_17S">#REF!</definedName>
    <definedName name="HBI_18D">#REF!</definedName>
    <definedName name="HBI_18J">#REF!</definedName>
    <definedName name="HBI_18M">#REF!</definedName>
    <definedName name="HBI_18S">#REF!</definedName>
    <definedName name="HBI_19D">#REF!</definedName>
    <definedName name="HBI_19J">#REF!</definedName>
    <definedName name="HBI_19M">#REF!</definedName>
    <definedName name="HBI_19S">#REF!</definedName>
    <definedName name="HBI_20D">#REF!</definedName>
    <definedName name="HBI_20J">#REF!</definedName>
    <definedName name="HBI_20M">#REF!</definedName>
    <definedName name="HBI_20S">#REF!</definedName>
    <definedName name="HBI_21D">#REF!</definedName>
    <definedName name="HBI_21J">#REF!</definedName>
    <definedName name="HBI_21M">#REF!</definedName>
    <definedName name="HBI_21S">#REF!</definedName>
    <definedName name="HBI_22D">#REF!</definedName>
    <definedName name="HBI_22J">#REF!</definedName>
    <definedName name="HBI_22M">#REF!</definedName>
    <definedName name="HBI_22S">#REF!</definedName>
    <definedName name="HBI_23D">#REF!</definedName>
    <definedName name="HBI_23J">#REF!</definedName>
    <definedName name="HBI_23M">#REF!</definedName>
    <definedName name="HBI_23S">#REF!</definedName>
    <definedName name="HBI_24D">#REF!</definedName>
    <definedName name="HBI_24J">#REF!</definedName>
    <definedName name="HBI_24M">#REF!</definedName>
    <definedName name="HBI_24S">#REF!</definedName>
    <definedName name="HBI_25D">#REF!</definedName>
    <definedName name="HBI_25J">#REF!</definedName>
    <definedName name="HBI_25M">#REF!</definedName>
    <definedName name="HBI_25S">#REF!</definedName>
    <definedName name="HBI_87D">#REF!</definedName>
    <definedName name="HBI_87J">#REF!</definedName>
    <definedName name="HBI_87M">#REF!</definedName>
    <definedName name="HBI_87S">#REF!</definedName>
    <definedName name="HBI_88D">#REF!</definedName>
    <definedName name="HBI_88J">#REF!</definedName>
    <definedName name="HBI_88M">#REF!</definedName>
    <definedName name="HBI_88S">#REF!</definedName>
    <definedName name="HBI_89D">#REF!</definedName>
    <definedName name="HBI_89J">#REF!</definedName>
    <definedName name="HBI_89M">#REF!</definedName>
    <definedName name="HBI_89S">#REF!</definedName>
    <definedName name="HBI_90D">#REF!</definedName>
    <definedName name="HBI_90J">#REF!</definedName>
    <definedName name="HBI_90M">#REF!</definedName>
    <definedName name="HBI_90S">#REF!</definedName>
    <definedName name="HBI_91D">#REF!</definedName>
    <definedName name="HBI_91J">#REF!</definedName>
    <definedName name="HBI_91M">#REF!</definedName>
    <definedName name="HBI_91S">#REF!</definedName>
    <definedName name="HBI_92D">#REF!</definedName>
    <definedName name="HBI_92J">#REF!</definedName>
    <definedName name="HBI_92M">#REF!</definedName>
    <definedName name="HBI_92S">#REF!</definedName>
    <definedName name="HBI_93D">#REF!</definedName>
    <definedName name="HBI_93J">#REF!</definedName>
    <definedName name="HBI_93M">#REF!</definedName>
    <definedName name="HBI_93S">#REF!</definedName>
    <definedName name="HBI_94D">#REF!</definedName>
    <definedName name="HBI_94J">#REF!</definedName>
    <definedName name="HBI_94M">#REF!</definedName>
    <definedName name="HBI_94S">#REF!</definedName>
    <definedName name="HBI_95D">#REF!</definedName>
    <definedName name="HBI_95J">#REF!</definedName>
    <definedName name="HBI_95M">#REF!</definedName>
    <definedName name="HBI_95S">#REF!</definedName>
    <definedName name="HBI_96D">#REF!</definedName>
    <definedName name="HBI_96J">#REF!</definedName>
    <definedName name="HBI_96M">#REF!</definedName>
    <definedName name="HBI_96S">#REF!</definedName>
    <definedName name="HBI_97D">#REF!</definedName>
    <definedName name="HBI_97J">#REF!</definedName>
    <definedName name="HBI_97M">#REF!</definedName>
    <definedName name="HBI_97S">#REF!</definedName>
    <definedName name="HBI_98D">#REF!</definedName>
    <definedName name="HBI_98J">#REF!</definedName>
    <definedName name="HBI_98M">#REF!</definedName>
    <definedName name="HBI_98S">#REF!</definedName>
    <definedName name="HBI_99D">#REF!</definedName>
    <definedName name="HBI_99J">#REF!</definedName>
    <definedName name="HBI_99M">#REF!</definedName>
    <definedName name="HBI_99S">#REF!</definedName>
    <definedName name="HBI_LT">#REF!</definedName>
    <definedName name="HBI_OUT">#REF!</definedName>
    <definedName name="hd"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d"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DY"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DY"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DY"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EAD">#REF!</definedName>
    <definedName name="head1">#REF!</definedName>
    <definedName name="HEADER">#REF!</definedName>
    <definedName name="heading">#REF!</definedName>
    <definedName name="Health">#REF!</definedName>
    <definedName name="Health_depreciation">#REF!</definedName>
    <definedName name="Health_inflation_uplift">#REF!</definedName>
    <definedName name="Health_maintenance_capex">#REF!</definedName>
    <definedName name="Hebei_MI">#REF!</definedName>
    <definedName name="Hei">#REF!</definedName>
    <definedName name="Heilongjiang">#REF!</definedName>
    <definedName name="hello">#REF!</definedName>
    <definedName name="help" localSheetId="2" hidden="1">{"'RCIM'!$E$128"}</definedName>
    <definedName name="help" localSheetId="1" hidden="1">{"'RCIM'!$E$128"}</definedName>
    <definedName name="help" hidden="1">{"'RCIM'!$E$128"}</definedName>
    <definedName name="Henan">#REF!</definedName>
    <definedName name="HF_Capacity">#REF!</definedName>
    <definedName name="HFH" localSheetId="2" hidden="1">{"print annual inc. statement",#N/A,FALSE,"Summary";"print annual stats",#N/A,FALSE,"Summary";"print quarterly inc. statement",#N/A,FALSE,"Summary";"print quarterly stats",#N/A,FALSE,"Summary"}</definedName>
    <definedName name="HFH" localSheetId="1" hidden="1">{"print annual inc. statement",#N/A,FALSE,"Summary";"print annual stats",#N/A,FALSE,"Summary";"print quarterly inc. statement",#N/A,FALSE,"Summary";"print quarterly stats",#N/A,FALSE,"Summary"}</definedName>
    <definedName name="HFH" hidden="1">{"print annual inc. statement",#N/A,FALSE,"Summary";"print annual stats",#N/A,FALSE,"Summary";"print quarterly inc. statement",#N/A,FALSE,"Summary";"print quarterly stats",#N/A,FALSE,"Summary"}</definedName>
    <definedName name="hg">#REF!</definedName>
    <definedName name="HGrowth">#REF!</definedName>
    <definedName name="High_vs_low_rate">#REF!</definedName>
    <definedName name="historic_prices_new">#REF!</definedName>
    <definedName name="historical_date_Range">#REF!</definedName>
    <definedName name="hjhjhj">{#N/A,#N/A,FALSE,"Index";"Stmts_Qtrs",#N/A,FALSE,"Summary";"Stmts_24 mo",#N/A,FALSE,"Summary";"Summary_24",#N/A,FALSE,"Revenue";"Month_24",#N/A,FALSE,"Engineering";"Month_24",#N/A,FALSE,"Marketing";"Month_24",#N/A,FALSE,"G &amp; A";"Month_24",#N/A,FALSE,"Manufacturing"}</definedName>
    <definedName name="hk_asia">#REF!</definedName>
    <definedName name="hk_nie">#REF!</definedName>
    <definedName name="HKB">'[21]HK rates'!$A$1:$K$50</definedName>
    <definedName name="HKUS">#REF!</definedName>
    <definedName name="hn.ExtDb" hidden="1">FALSE</definedName>
    <definedName name="hn.ModelType" hidden="1">"DEAL"</definedName>
    <definedName name="hn.ModelVersion" hidden="1">1</definedName>
    <definedName name="hn.NoUpload" hidden="1">0</definedName>
    <definedName name="Hoechst____Balance_Sheet_Summary_1989_2000E__DMm">#REF!</definedName>
    <definedName name="Hoechst___Margins_and_Ratios_1989_2000E">#REF!</definedName>
    <definedName name="Hoechst___Profit_and_Loss_Summary_1989_2000E__DMm">#REF!</definedName>
    <definedName name="Hoechst___Quarterly_divisional_results_and_forcasts">#REF!</definedName>
    <definedName name="Hoechst___Quarterly_Results_1995_and_1996">#REF!</definedName>
    <definedName name="Hold">#REF!</definedName>
    <definedName name="Holyhead">#REF!</definedName>
    <definedName name="Homo_Cap">#REF!</definedName>
    <definedName name="HongKong">#REF!</definedName>
    <definedName name="Horizon_Year">#REF!</definedName>
    <definedName name="Horizon_Year_2">#REF!</definedName>
    <definedName name="Hoyanger">#REF!</definedName>
    <definedName name="HSBC_Cash_Flow">#REF!</definedName>
    <definedName name="HSBC2">[3]EPS!#REF!</definedName>
    <definedName name="HSBCTbl_Table1">#REF!</definedName>
    <definedName name="HTML_CodePage">1252</definedName>
    <definedName name="HTML_Control">{"'Segment'!$A$1:$J$45"}</definedName>
    <definedName name="HTML_Description">""</definedName>
    <definedName name="HTML_Email">""</definedName>
    <definedName name="HTML_Header">""</definedName>
    <definedName name="HTML_LastUpdate">""</definedName>
    <definedName name="HTML_LineAfter">FALSE</definedName>
    <definedName name="HTML_LineBefore">FALSE</definedName>
    <definedName name="HTML_Name">""</definedName>
    <definedName name="HTML_OBDlg2">TRUE</definedName>
    <definedName name="HTML_OBDlg4">TRUE</definedName>
    <definedName name="HTML_OS">0</definedName>
    <definedName name="HTML_PathFile">"J:\carpente\Releases\Q2-00\segment2Q-00.htm"</definedName>
    <definedName name="HTML_Title">"Segment and Supplemental Information"</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usnes">#REF!</definedName>
    <definedName name="i_combined_ratio">#REF!</definedName>
    <definedName name="i_embedded_value">#REF!</definedName>
    <definedName name="i_expense_ratio">#REF!</definedName>
    <definedName name="i_solvency_ratio">#REF!</definedName>
    <definedName name="ian">#REF!</definedName>
    <definedName name="IB">#REF!</definedName>
    <definedName name="IB_all">#REF!</definedName>
    <definedName name="ibc">#REF!</definedName>
    <definedName name="IBES_HC_Toggle">"IBES"</definedName>
    <definedName name="ibf">#REF!</definedName>
    <definedName name="IC_2">#REF!</definedName>
    <definedName name="IC_P">#REF!</definedName>
    <definedName name="IC_P1">#REF!</definedName>
    <definedName name="IC_P2">#REF!</definedName>
    <definedName name="IC_P3">#REF!</definedName>
    <definedName name="icd">#REF!</definedName>
    <definedName name="ICP">0</definedName>
    <definedName name="ict">#REF!</definedName>
    <definedName name="icu">#REF!</definedName>
    <definedName name="ID">[43]Data!$A$2</definedName>
    <definedName name="id_asean">#REF!</definedName>
    <definedName name="id_asean5">#REF!</definedName>
    <definedName name="id_asia">#REF!</definedName>
    <definedName name="ida">#REF!</definedName>
    <definedName name="IDALCONS">#N/A</definedName>
    <definedName name="IDALPROD">#N/A</definedName>
    <definedName name="iex">#REF!</definedName>
    <definedName name="IF_Capacity">#REF!</definedName>
    <definedName name="ifd">#REF!</definedName>
    <definedName name="iff">#REF!</definedName>
    <definedName name="ifl">#REF!</definedName>
    <definedName name="ifn">#REF!</definedName>
    <definedName name="ifo">#REF!</definedName>
    <definedName name="ihd">#REF!</definedName>
    <definedName name="iii">#REF!</definedName>
    <definedName name="IL_01D">#REF!</definedName>
    <definedName name="IL_01J">#REF!</definedName>
    <definedName name="IL_01M">#REF!</definedName>
    <definedName name="IL_01S">#REF!</definedName>
    <definedName name="IL_02D">#REF!</definedName>
    <definedName name="IL_02J">#REF!</definedName>
    <definedName name="IL_02M">#REF!</definedName>
    <definedName name="IL_02S">#REF!</definedName>
    <definedName name="IL_03D">#REF!</definedName>
    <definedName name="IL_03J">#REF!</definedName>
    <definedName name="IL_03M">#REF!</definedName>
    <definedName name="IL_03S">#REF!</definedName>
    <definedName name="IL_04D">#REF!</definedName>
    <definedName name="IL_04J">#REF!</definedName>
    <definedName name="IL_04M">#REF!</definedName>
    <definedName name="IL_04S">#REF!</definedName>
    <definedName name="IL_05D">#REF!</definedName>
    <definedName name="IL_05J">#REF!</definedName>
    <definedName name="IL_05M">#REF!</definedName>
    <definedName name="IL_05S">#REF!</definedName>
    <definedName name="IL_06D">#REF!</definedName>
    <definedName name="IL_06J">#REF!</definedName>
    <definedName name="IL_06M">#REF!</definedName>
    <definedName name="IL_06S">#REF!</definedName>
    <definedName name="IL_07D">#REF!</definedName>
    <definedName name="IL_07J">#REF!</definedName>
    <definedName name="IL_07M">#REF!</definedName>
    <definedName name="IL_07S">#REF!</definedName>
    <definedName name="IL_08D">#REF!</definedName>
    <definedName name="IL_08J">#REF!</definedName>
    <definedName name="IL_08M">#REF!</definedName>
    <definedName name="IL_08S">#REF!</definedName>
    <definedName name="IL_09D">#REF!</definedName>
    <definedName name="IL_09J">#REF!</definedName>
    <definedName name="IL_09M">#REF!</definedName>
    <definedName name="IL_09S">#REF!</definedName>
    <definedName name="IL_10D">#REF!</definedName>
    <definedName name="IL_10J">#REF!</definedName>
    <definedName name="IL_10M">#REF!</definedName>
    <definedName name="IL_10S">#REF!</definedName>
    <definedName name="IL_11D">#REF!</definedName>
    <definedName name="IL_11J">#REF!</definedName>
    <definedName name="IL_11M">#REF!</definedName>
    <definedName name="IL_11S">#REF!</definedName>
    <definedName name="IL_12D">#REF!</definedName>
    <definedName name="IL_12J">#REF!</definedName>
    <definedName name="IL_12M">#REF!</definedName>
    <definedName name="IL_12S">#REF!</definedName>
    <definedName name="IL_13D">#REF!</definedName>
    <definedName name="IL_13J">#REF!</definedName>
    <definedName name="IL_13M">#REF!</definedName>
    <definedName name="IL_13S">#REF!</definedName>
    <definedName name="IL_14D">#REF!</definedName>
    <definedName name="IL_14J">#REF!</definedName>
    <definedName name="IL_14M">#REF!</definedName>
    <definedName name="IL_14S">#REF!</definedName>
    <definedName name="IL_15D">#REF!</definedName>
    <definedName name="IL_15J">#REF!</definedName>
    <definedName name="IL_15M">#REF!</definedName>
    <definedName name="IL_15S">#REF!</definedName>
    <definedName name="IL_16D">#REF!</definedName>
    <definedName name="IL_16J">#REF!</definedName>
    <definedName name="IL_16M">#REF!</definedName>
    <definedName name="IL_16S">#REF!</definedName>
    <definedName name="IL_17D">#REF!</definedName>
    <definedName name="IL_17J">#REF!</definedName>
    <definedName name="IL_17M">#REF!</definedName>
    <definedName name="IL_17S">#REF!</definedName>
    <definedName name="IL_18D">#REF!</definedName>
    <definedName name="IL_18J">#REF!</definedName>
    <definedName name="IL_18M">#REF!</definedName>
    <definedName name="IL_18S">#REF!</definedName>
    <definedName name="IL_19D">#REF!</definedName>
    <definedName name="IL_19J">#REF!</definedName>
    <definedName name="IL_19M">#REF!</definedName>
    <definedName name="IL_19S">#REF!</definedName>
    <definedName name="IL_20D">#REF!</definedName>
    <definedName name="IL_20J">#REF!</definedName>
    <definedName name="IL_20M">#REF!</definedName>
    <definedName name="IL_20S">#REF!</definedName>
    <definedName name="IL_21D">#REF!</definedName>
    <definedName name="IL_21J">#REF!</definedName>
    <definedName name="IL_21M">#REF!</definedName>
    <definedName name="IL_21S">#REF!</definedName>
    <definedName name="IL_22D">#REF!</definedName>
    <definedName name="IL_22J">#REF!</definedName>
    <definedName name="IL_22M">#REF!</definedName>
    <definedName name="IL_22S">#REF!</definedName>
    <definedName name="IL_23D">#REF!</definedName>
    <definedName name="IL_23J">#REF!</definedName>
    <definedName name="IL_23M">#REF!</definedName>
    <definedName name="IL_23S">#REF!</definedName>
    <definedName name="IL_24D">#REF!</definedName>
    <definedName name="IL_24J">#REF!</definedName>
    <definedName name="IL_24M">#REF!</definedName>
    <definedName name="IL_24S">#REF!</definedName>
    <definedName name="IL_25D">#REF!</definedName>
    <definedName name="IL_25J">#REF!</definedName>
    <definedName name="IL_25M">#REF!</definedName>
    <definedName name="IL_25S">#REF!</definedName>
    <definedName name="IL_87D">#REF!</definedName>
    <definedName name="IL_87J">#REF!</definedName>
    <definedName name="IL_87M">#REF!</definedName>
    <definedName name="IL_87S">#REF!</definedName>
    <definedName name="IL_88D">#REF!</definedName>
    <definedName name="IL_88J">#REF!</definedName>
    <definedName name="IL_88M">#REF!</definedName>
    <definedName name="IL_88S">#REF!</definedName>
    <definedName name="IL_89D">#REF!</definedName>
    <definedName name="IL_89J">#REF!</definedName>
    <definedName name="IL_89M">#REF!</definedName>
    <definedName name="IL_89S">#REF!</definedName>
    <definedName name="IL_90D">#REF!</definedName>
    <definedName name="IL_90J">#REF!</definedName>
    <definedName name="IL_90M">#REF!</definedName>
    <definedName name="IL_90S">#REF!</definedName>
    <definedName name="IL_91D">#REF!</definedName>
    <definedName name="IL_91J">#REF!</definedName>
    <definedName name="IL_91M">#REF!</definedName>
    <definedName name="IL_91S">#REF!</definedName>
    <definedName name="IL_92D">#REF!</definedName>
    <definedName name="IL_92J">#REF!</definedName>
    <definedName name="IL_92M">#REF!</definedName>
    <definedName name="IL_92S">#REF!</definedName>
    <definedName name="IL_93D">#REF!</definedName>
    <definedName name="IL_93J">#REF!</definedName>
    <definedName name="IL_93M">#REF!</definedName>
    <definedName name="IL_93S">#REF!</definedName>
    <definedName name="IL_94D">#REF!</definedName>
    <definedName name="IL_94J">#REF!</definedName>
    <definedName name="IL_94M">#REF!</definedName>
    <definedName name="IL_94S">#REF!</definedName>
    <definedName name="IL_95D">#REF!</definedName>
    <definedName name="IL_95J">#REF!</definedName>
    <definedName name="IL_95M">#REF!</definedName>
    <definedName name="IL_95S">#REF!</definedName>
    <definedName name="IL_96D">#REF!</definedName>
    <definedName name="IL_96J">#REF!</definedName>
    <definedName name="IL_96M">#REF!</definedName>
    <definedName name="IL_96S">#REF!</definedName>
    <definedName name="IL_97D">#REF!</definedName>
    <definedName name="IL_97J">#REF!</definedName>
    <definedName name="IL_97M">#REF!</definedName>
    <definedName name="IL_97S">#REF!</definedName>
    <definedName name="IL_98D">#REF!</definedName>
    <definedName name="IL_98J">#REF!</definedName>
    <definedName name="IL_98M">#REF!</definedName>
    <definedName name="IL_98S">#REF!</definedName>
    <definedName name="IL_99D">#REF!</definedName>
    <definedName name="IL_99J">#REF!</definedName>
    <definedName name="IL_99M">#REF!</definedName>
    <definedName name="IL_99S">#REF!</definedName>
    <definedName name="il_lt">#REF!</definedName>
    <definedName name="IL_Spot">#REF!</definedName>
    <definedName name="ILL_OUT">#REF!</definedName>
    <definedName name="ILS_USD">[40]FXRATES!$E$30</definedName>
    <definedName name="ime">#REF!</definedName>
    <definedName name="Img_ML_1b2g4p3u" hidden="1">"IMG_56"</definedName>
    <definedName name="Img_ML_1c3d1n6n" hidden="1">"IMG_13"</definedName>
    <definedName name="Img_ML_1d1b5x3i" hidden="1">"IMG_17"</definedName>
    <definedName name="Img_ML_1e1k9n5y" hidden="1">"IMG_52"</definedName>
    <definedName name="Img_ML_1g9i6j4i" hidden="1">"IMG_56"</definedName>
    <definedName name="Img_ML_1h4n3h8h" hidden="1">"IMG_55"</definedName>
    <definedName name="Img_ML_1k2d3y6g" hidden="1">"IMG_17"</definedName>
    <definedName name="Img_ML_1k4g9u7k" hidden="1">"IMG_52"</definedName>
    <definedName name="Img_ML_1q6n1r3y" hidden="1">"IMG_17"</definedName>
    <definedName name="Img_ML_1q7t4c5p" hidden="1">"IMG_17"</definedName>
    <definedName name="Img_ML_1q9i2k7i" hidden="1">"IMG_3"</definedName>
    <definedName name="Img_ML_1t5s6u1f" hidden="1">"IMG_55"</definedName>
    <definedName name="Img_ML_1y7a6c1t" hidden="1">"IMG_52"</definedName>
    <definedName name="Img_ML_2b2b8h8h" hidden="1">"IMG_12"</definedName>
    <definedName name="Img_ML_2b5e9i4d" hidden="1">"IMG_4"</definedName>
    <definedName name="Img_ML_2e1r5p2m" hidden="1">"IMG_52"</definedName>
    <definedName name="Img_ML_2f4p3r6p" hidden="1">"IMG_56"</definedName>
    <definedName name="Img_ML_2i4d6c2r" hidden="1">"IMG_17"</definedName>
    <definedName name="Img_ML_2j1p7k4i" hidden="1">"IMG_55"</definedName>
    <definedName name="Img_ML_2j4h5d5y" hidden="1">"IMG_52"</definedName>
    <definedName name="Img_ML_2j6i5k6b" hidden="1">"IMG_17"</definedName>
    <definedName name="Img_ML_2m9t4m5q" hidden="1">"IMG_55"</definedName>
    <definedName name="Img_ML_2t3d1r8m" hidden="1">"IMG_17"</definedName>
    <definedName name="Img_ML_2v6s9i5c" hidden="1">"IMG_52"</definedName>
    <definedName name="Img_ML_2w1t7g9m" hidden="1">"IMG_17"</definedName>
    <definedName name="Img_ML_2x1b8j5c" hidden="1">"IMG_52"</definedName>
    <definedName name="Img_ML_3b3j3x9k" hidden="1">"IMG_3"</definedName>
    <definedName name="Img_ML_3b5m6a3d" hidden="1">"IMG_55"</definedName>
    <definedName name="Img_ML_3c6e9c4g" hidden="1">"IMG_52"</definedName>
    <definedName name="Img_ML_3c7g1a7g" hidden="1">"IMG_12"</definedName>
    <definedName name="Img_ML_3e2q4k7i" hidden="1">"IMG_52"</definedName>
    <definedName name="Img_ML_3g8d6p6r" hidden="1">"IMG_17"</definedName>
    <definedName name="Img_ML_3h2n3p4v" hidden="1">"IMG_5"</definedName>
    <definedName name="Img_ML_3j3i3p7g" hidden="1">"IMG_17"</definedName>
    <definedName name="Img_ML_3n5p3k4y" hidden="1">"IMG_17"</definedName>
    <definedName name="Img_ML_3p5d9q5j" hidden="1">"IMG_18"</definedName>
    <definedName name="Img_ML_3t5w7a1m" hidden="1">"IMG_52"</definedName>
    <definedName name="Img_ML_3t6y8n6e" hidden="1">"IMG_17"</definedName>
    <definedName name="Img_ML_3u5n6c7g" hidden="1">"IMG_18"</definedName>
    <definedName name="Img_ML_3y1j4m2m" hidden="1">"IMG_52"</definedName>
    <definedName name="Img_ML_4b5b4m3y" hidden="1">"IMG_13"</definedName>
    <definedName name="Img_ML_4b5r5k9y" hidden="1">"IMG_10"</definedName>
    <definedName name="Img_ML_4d2b6f6f" hidden="1">"IMG_12"</definedName>
    <definedName name="Img_ML_4k8k7q4x" hidden="1">"IMG_10"</definedName>
    <definedName name="Img_ML_4m1m4x3e" hidden="1">"IMG_17"</definedName>
    <definedName name="Img_ML_4m3p5r8j" hidden="1">"IMG_5"</definedName>
    <definedName name="Img_ML_4n6t1k1h" hidden="1">"IMG_52"</definedName>
    <definedName name="Img_ML_4s4r5e3c" hidden="1">"IMG_55"</definedName>
    <definedName name="Img_ML_4u2s9f9y" hidden="1">"IMG_12"</definedName>
    <definedName name="Img_ML_5d3i8b5s" hidden="1">"IMG_55"</definedName>
    <definedName name="Img_ML_5e6f9i8h" hidden="1">"IMG_4"</definedName>
    <definedName name="Img_ML_5e7g5e5e" hidden="1">"IMG_12"</definedName>
    <definedName name="Img_ML_5e7s6t2u" hidden="1">"IMG_52"</definedName>
    <definedName name="Img_ML_5e9m1k3s" hidden="1">"IMG_11"</definedName>
    <definedName name="Img_ML_5f9d1i5x" hidden="1">"IMG_13"</definedName>
    <definedName name="Img_ML_5f9x9u4u" hidden="1">"IMG_55"</definedName>
    <definedName name="Img_ML_5h6q3g8u" hidden="1">"IMG_10"</definedName>
    <definedName name="Img_ML_5i5j3b6j" hidden="1">"IMG_17"</definedName>
    <definedName name="Img_ML_5k1g6v5e" hidden="1">"IMG_11"</definedName>
    <definedName name="Img_ML_5k7e4n8n" hidden="1">"IMG_12"</definedName>
    <definedName name="Img_ML_5k8u7s9i" hidden="1">"IMG_17"</definedName>
    <definedName name="Img_ML_5p5a4d6d" hidden="1">"IMG_55"</definedName>
    <definedName name="Img_ML_5w4p4b1d" hidden="1">"IMG_17"</definedName>
    <definedName name="Img_ML_6a6y1x1h" hidden="1">"IMG_52"</definedName>
    <definedName name="Img_ML_6f2p1m9g" hidden="1">"IMG_18"</definedName>
    <definedName name="Img_ML_6k9c9p4d" hidden="1">"IMG_13"</definedName>
    <definedName name="Img_ML_6m3p7m9h" hidden="1">"IMG_52"</definedName>
    <definedName name="Img_ML_6m5d9e6r" hidden="1">"IMG_17"</definedName>
    <definedName name="Img_ML_6m6i9t6k" hidden="1">"IMG_52"</definedName>
    <definedName name="Img_ML_6n6c2h1d" hidden="1">"IMG_52"</definedName>
    <definedName name="Img_ML_6p2b6u6k" hidden="1">"IMG_55"</definedName>
    <definedName name="Img_ML_6p3m8v1n" hidden="1">"IMG_55"</definedName>
    <definedName name="Img_ML_6p9x3u7k" hidden="1">"IMG_17"</definedName>
    <definedName name="Img_ML_6r9u1n9k" hidden="1">"IMG_6"</definedName>
    <definedName name="Img_ML_6u1b6h4m" hidden="1">"IMG_52"</definedName>
    <definedName name="Img_ML_6u4t7r7e" hidden="1">"IMG_52"</definedName>
    <definedName name="Img_ML_6w6m7b7r" hidden="1">"IMG_40"</definedName>
    <definedName name="Img_ML_6y9f7y3n" hidden="1">"IMG_10"</definedName>
    <definedName name="Img_ML_7b3x8f2f" hidden="1">"IMG_52"</definedName>
    <definedName name="Img_ML_7d3a8x3f" hidden="1">"IMG_17"</definedName>
    <definedName name="Img_ML_7e1g7x4r" hidden="1">"IMG_52"</definedName>
    <definedName name="Img_ML_7f1w1m7s" hidden="1">"IMG_55"</definedName>
    <definedName name="Img_ML_7g1w4i4i" hidden="1">"IMG_10"</definedName>
    <definedName name="Img_ML_7g4k9d6i" hidden="1">"IMG_52"</definedName>
    <definedName name="Img_ML_7g5e5e2b" hidden="1">"IMG_12"</definedName>
    <definedName name="Img_ML_7j3p5m6t" hidden="1">"IMG_17"</definedName>
    <definedName name="Img_ML_7m3b4p7p" hidden="1">"IMG_52"</definedName>
    <definedName name="Img_ML_7m5m4k3b" hidden="1">"IMG_52"</definedName>
    <definedName name="Img_ML_7n6h3t1t" hidden="1">"IMG_5"</definedName>
    <definedName name="Img_ML_7s4w7c6r" hidden="1">"IMG_52"</definedName>
    <definedName name="Img_ML_7w3j1h9t" hidden="1">"IMG_17"</definedName>
    <definedName name="Img_ML_8a8m2p9x" hidden="1">"IMG_52"</definedName>
    <definedName name="Img_ML_8b9j5t1p" hidden="1">"IMG_11"</definedName>
    <definedName name="Img_ML_8c2q5i2r" hidden="1">"IMG_12"</definedName>
    <definedName name="Img_ML_8c4u3q4u" hidden="1">"IMG_17"</definedName>
    <definedName name="Img_ML_8f5v8k5i" hidden="1">"IMG_55"</definedName>
    <definedName name="Img_ML_8g3e4a7v" hidden="1">"IMG_11"</definedName>
    <definedName name="Img_ML_8h3m3i1m" hidden="1">"IMG_52"</definedName>
    <definedName name="Img_ML_8h5e9i3c" hidden="1">"IMG_12"</definedName>
    <definedName name="Img_ML_8h7g3c9i" hidden="1">"IMG_12"</definedName>
    <definedName name="Img_ML_8h7g4d4d" hidden="1">"IMG_12"</definedName>
    <definedName name="Img_ML_8i9u7w8k" hidden="1">"IMG_55"</definedName>
    <definedName name="Img_ML_8j3w6p4c" hidden="1">"IMG_5"</definedName>
    <definedName name="Img_ML_8n6m2q6v" hidden="1">"IMG_18"</definedName>
    <definedName name="Img_ML_8r1k8t4y" hidden="1">"IMG_52"</definedName>
    <definedName name="Img_ML_8r9f4n4f" hidden="1">"IMG_52"</definedName>
    <definedName name="Img_ML_8s3q3c1i" hidden="1">"IMG_52"</definedName>
    <definedName name="Img_ML_8t3m5u6f" hidden="1">"IMG_11"</definedName>
    <definedName name="Img_ML_8y3q6y4b" hidden="1">"IMG_6"</definedName>
    <definedName name="Img_ML_8y5b6i3r" hidden="1">"IMG_17"</definedName>
    <definedName name="Img_ML_9c9p6w6g" hidden="1">"IMG_10"</definedName>
    <definedName name="Img_ML_9e4j3y6n" hidden="1">"IMG_5"</definedName>
    <definedName name="Img_ML_9g2r1i7c" hidden="1">"IMG_52"</definedName>
    <definedName name="Img_ML_9g3r6t7h" hidden="1">"IMG_52"</definedName>
    <definedName name="Img_ML_9h6h8h8e" hidden="1">"IMG_55"</definedName>
    <definedName name="Img_ML_9h6p7r7t" hidden="1">"IMG_55"</definedName>
    <definedName name="Img_ML_9j3t2m3v" hidden="1">"IMG_11"</definedName>
    <definedName name="Img_ML_9m3v1d9u" hidden="1">"IMG_5"</definedName>
    <definedName name="Img_ML_9n1s4m5f" hidden="1">"IMG_55"</definedName>
    <definedName name="Img_ML_9n4a3e6y" hidden="1">"IMG_11"</definedName>
    <definedName name="Img_ML_9u2c1d4e" hidden="1">"IMG_11"</definedName>
    <definedName name="Img_ML_9v6s2g1u" hidden="1">"IMG_52"</definedName>
    <definedName name="imptax94">#REF!</definedName>
    <definedName name="imptax95">#REF!</definedName>
    <definedName name="imptax96">#REF!</definedName>
    <definedName name="imptax97">#REF!</definedName>
    <definedName name="imptax98">#REF!</definedName>
    <definedName name="in">#REF!</definedName>
    <definedName name="in_asia">#REF!</definedName>
    <definedName name="IN_g">#REF!</definedName>
    <definedName name="IN_is">#REF!</definedName>
    <definedName name="Inc_cap_RnD_fore">#REF!</definedName>
    <definedName name="IncDebt">#REF!</definedName>
    <definedName name="income">#REF!</definedName>
    <definedName name="Income_before_taxes">#REF!</definedName>
    <definedName name="Income_equivalents">#REF!</definedName>
    <definedName name="Income_equivalents_fore">#REF!</definedName>
    <definedName name="Income_form_uncons_subs_fore">#REF!</definedName>
    <definedName name="Income_from_Unconsolidated_Subs">#REF!</definedName>
    <definedName name="Income_tax">#REF!</definedName>
    <definedName name="Income_tax__benefit__expense">'[4]P&amp;L'!$B$61:$AH$61</definedName>
    <definedName name="Income_tax_fore">#REF!</definedName>
    <definedName name="Income_tax_growth_fore">#REF!</definedName>
    <definedName name="Income_taxes">#REF!</definedName>
    <definedName name="Income_taxes_payable_growth_fore">#REF!</definedName>
    <definedName name="IncomeEPSFullyDiluted">0</definedName>
    <definedName name="IncomeEPSPrimary">0</definedName>
    <definedName name="IncomeEPSRegular">0</definedName>
    <definedName name="Incr_customer_advance">#REF!</definedName>
    <definedName name="Incr_Dec_ShareCapital">#REF!</definedName>
    <definedName name="Incr_inventories">#REF!</definedName>
    <definedName name="Incr_payables_creditors">#REF!</definedName>
    <definedName name="Incr_receivables_debtors">#REF!</definedName>
    <definedName name="Increase_cap_RnD_fore">#REF!</definedName>
    <definedName name="Increase_Capitalized_R_D_net">#REF!</definedName>
    <definedName name="Increase_in_other_liabilities">#REF!</definedName>
    <definedName name="Increase_net_other_assets">#REF!</definedName>
    <definedName name="incremental_capex_voice">#REF!</definedName>
    <definedName name="incremental_voice_mins">#REF!</definedName>
    <definedName name="IncStocks">#REF!</definedName>
    <definedName name="inctax93">#REF!</definedName>
    <definedName name="inctax94">#REF!</definedName>
    <definedName name="Index_Range">INDIRECT("'Index Map'!$H$"&amp;#REF!&amp;":$H$"&amp;#REF!)</definedName>
    <definedName name="Indexes">#REF!</definedName>
    <definedName name="IndLo">#REF!</definedName>
    <definedName name="indodda94">#REF!</definedName>
    <definedName name="indodda95">#REF!</definedName>
    <definedName name="indoexpl94">#REF!</definedName>
    <definedName name="indoexpl95">#REF!</definedName>
    <definedName name="indooil00">#REF!</definedName>
    <definedName name="indooil01">#REF!</definedName>
    <definedName name="indooil94">#REF!</definedName>
    <definedName name="indooil95">#REF!</definedName>
    <definedName name="indooil96">#REF!</definedName>
    <definedName name="indooil97">#REF!</definedName>
    <definedName name="indooil98">#REF!</definedName>
    <definedName name="indooil99">#REF!</definedName>
    <definedName name="indoopinc94">#REF!</definedName>
    <definedName name="indoopinc95">#REF!</definedName>
    <definedName name="indoprod94">#REF!</definedName>
    <definedName name="indoprod95">#REF!</definedName>
    <definedName name="indorev00">#REF!</definedName>
    <definedName name="indorev01">#REF!</definedName>
    <definedName name="indorev94">#REF!</definedName>
    <definedName name="indorev95">#REF!</definedName>
    <definedName name="indorev96">#REF!</definedName>
    <definedName name="indorev97">#REF!</definedName>
    <definedName name="indorev98">#REF!</definedName>
    <definedName name="indorev99">#REF!</definedName>
    <definedName name="indoroy94">#REF!</definedName>
    <definedName name="indoroy95">#REF!</definedName>
    <definedName name="INGWE_NPV">#REF!</definedName>
    <definedName name="initial_fiber_miles">#REF!</definedName>
    <definedName name="initial_trans_rev">#REF!</definedName>
    <definedName name="inm">#REF!</definedName>
    <definedName name="Inota">#REF!</definedName>
    <definedName name="input">{"0.614608629108408";"0.089";"0.07";"0.036";"0.09";"0.39";"0.177761404547907";"0.116071428571429";"0.708";"0.0556964285714285";"0.127160714285714"}</definedName>
    <definedName name="input_data">#REF!</definedName>
    <definedName name="input_dates_ventes_hebdo">#REF!</definedName>
    <definedName name="input_dates_vtes_hebdo">#REF!</definedName>
    <definedName name="Input_range">#REF!</definedName>
    <definedName name="input2">#REF!</definedName>
    <definedName name="INPUTS">#REF!</definedName>
    <definedName name="inputsemaine">#REF!</definedName>
    <definedName name="INSTAL">#REF!</definedName>
    <definedName name="INT">#REF!</definedName>
    <definedName name="int.exp.2001">#REF!</definedName>
    <definedName name="int.exp.99">#REF!</definedName>
    <definedName name="int_calc">#REF!</definedName>
    <definedName name="INT_COV">#REF!</definedName>
    <definedName name="Int_exp">8%</definedName>
    <definedName name="INT_INC">#REF!</definedName>
    <definedName name="int_income">#REF!</definedName>
    <definedName name="Int_Paid">#REF!</definedName>
    <definedName name="Int_Recd">#REF!</definedName>
    <definedName name="intangibles">#REF!</definedName>
    <definedName name="IntangiblesAmortisation">#REF!</definedName>
    <definedName name="interco">#REF!</definedName>
    <definedName name="INTEREST">#REF!</definedName>
    <definedName name="interest_01">#REF!</definedName>
    <definedName name="interest_02">#REF!</definedName>
    <definedName name="interest_03">#REF!</definedName>
    <definedName name="interest_97">#REF!</definedName>
    <definedName name="Interest_and_other_income">'[4]P&amp;L'!$B$58:$AH$58</definedName>
    <definedName name="Interest_exp_growth_fore">#REF!</definedName>
    <definedName name="Interest_exp_inc_fore">#REF!</definedName>
    <definedName name="Interest_expense">'[4]P&amp;L'!$B$57:$AH$57</definedName>
    <definedName name="Interest_expense_income">#REF!</definedName>
    <definedName name="interest_expense_pretelstra">#REF!</definedName>
    <definedName name="Interest_In">#REF!</definedName>
    <definedName name="interest_income_pretelstra">#REF!</definedName>
    <definedName name="Interest_on_convertibles___options">#REF!</definedName>
    <definedName name="Interest_Out">#REF!</definedName>
    <definedName name="Interest_paid">'[44]Jihe WestInt_Paid'!$A$57:$IV$57</definedName>
    <definedName name="interest_rate">#REF!</definedName>
    <definedName name="InterestExp">#REF!</definedName>
    <definedName name="InterestG">#REF!</definedName>
    <definedName name="interestrate">#REF!/(#REF!+#REF!)*2</definedName>
    <definedName name="InterestS">#REF!</definedName>
    <definedName name="interl">#REF!</definedName>
    <definedName name="internl">#REF!</definedName>
    <definedName name="intinc94">#REF!</definedName>
    <definedName name="intinc95">#REF!</definedName>
    <definedName name="intinc96">#REF!</definedName>
    <definedName name="intinc97">#REF!</definedName>
    <definedName name="intinc98">#REF!</definedName>
    <definedName name="intinc99">#REF!</definedName>
    <definedName name="INTLD">#REF!</definedName>
    <definedName name="Intra_1Q98">#REF!</definedName>
    <definedName name="inv">#REF!</definedName>
    <definedName name="Inventories">#REF!</definedName>
    <definedName name="inventory_driver">#REF!</definedName>
    <definedName name="Inventory_growth_fore">#REF!</definedName>
    <definedName name="invest.2000">#REF!</definedName>
    <definedName name="invest.2001">#REF!</definedName>
    <definedName name="invest.99">#REF!</definedName>
    <definedName name="Invested_Capital">#REF!</definedName>
    <definedName name="Invested_Capital_AVG">#REF!</definedName>
    <definedName name="Invested_Capital_CB">#REF!</definedName>
    <definedName name="Invested_capital_DCF">#REF!</definedName>
    <definedName name="Invested_capital_growth_fore">#REF!</definedName>
    <definedName name="Invested_Capital_OB">#REF!</definedName>
    <definedName name="Invested_capital_turns">#REF!</definedName>
    <definedName name="Invested_capital_turns_DCF">#REF!</definedName>
    <definedName name="Invested_capital_turns_fore">#REF!</definedName>
    <definedName name="InvestedCapital">#REF!</definedName>
    <definedName name="Investment_in_fixed_assets">#REF!</definedName>
    <definedName name="Investment_Intelligence">#REF!</definedName>
    <definedName name="Investments" localSheetId="4">BS_LongTermInvestments</definedName>
    <definedName name="Investments">BS_LongTermInvestments</definedName>
    <definedName name="Investments_and_other_assets">#REF!</definedName>
    <definedName name="Investments_in_companies">#REF!</definedName>
    <definedName name="Investments_in_equity_accounted_for_companies">#REF!</definedName>
    <definedName name="ios">#REF!</definedName>
    <definedName name="ip1_">#REF!</definedName>
    <definedName name="ip2_">#REF!</definedName>
    <definedName name="ip3_">#REF!</definedName>
    <definedName name="ip4_">#REF!</definedName>
    <definedName name="ip5_">#REF!</definedName>
    <definedName name="ipr">#REF!</definedName>
    <definedName name="ipu">#REF!</definedName>
    <definedName name="ipv">#REF!</definedName>
    <definedName name="IQ_0_PCT_RISK_WEIGHT_TOTAL_THRIFT" hidden="1">"c25055"</definedName>
    <definedName name="IQ_1_4_CONST_LOANS_DOM_LOANS_RSTRC_DUE_30_89_FFIEC" hidden="1">"c27091"</definedName>
    <definedName name="IQ_1_4_CONST_LOANS_DOM_LOANS_RSTRC_DUE_90_FFIEC" hidden="1">"c27131"</definedName>
    <definedName name="IQ_1_4_CONST_LOANS_DOM_LOANS_RSTRC_NON_ACCRUAL_FFIEC" hidden="1">"c27171"</definedName>
    <definedName name="IQ_1_4_CONST_LOANS_DOM_LOANS_RSTRC_TERMS_FFIEC" hidden="1">"c27023"</definedName>
    <definedName name="IQ_1_4_CONST_LOANS_DOM_LOSS_SHARING_FFIEC" hidden="1">"c27188"</definedName>
    <definedName name="IQ_1_4_CONST_LOANS_SEC_RE_DOM_LOSS_SHARING_DUE_30_89_FFIEC" hidden="1">"c27071"</definedName>
    <definedName name="IQ_1_4_CONST_LOANS_SEC_RE_DOM_LOSS_SHARING_DUE_90_FFIEC" hidden="1">"c27111"</definedName>
    <definedName name="IQ_1_4_CONST_LOANS_SEC_RE_DOM_LOSS_SHARING_NON_ACCRUAL_FFIEC" hidden="1">"c27151"</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DOM_LOSS_SHARING_FFIEC" hidden="1">"c27209"</definedName>
    <definedName name="IQ_1_4_DWELLING_UNITS_CONSTRUCTION_MORTGAGE_LOANS_ADJUSTED_NCOS_TOTAL_THRIFT" hidden="1">"c25200"</definedName>
    <definedName name="IQ_1_4_DWELLING_UNITS_CONSTRUCTION_MORTGAGE_LOANS_GVA_CHARGE_OFFS_THRIFT" hidden="1">"c25115"</definedName>
    <definedName name="IQ_1_4_DWELLING_UNITS_CONSTRUCTION_MORTGAGE_LOANS_GVA_RECOVERIES_THRIFT" hidden="1">"c25146"</definedName>
    <definedName name="IQ_1_4_DWELLING_UNITS_CONSTRUCTION_MORTGAGE_LOANS_SVA_PROVISIONS_TRANSFERS_FROM_GVA_TOTAL_THRIFT" hidden="1">"c25169"</definedName>
    <definedName name="IQ_1_4_DWELLING_UNITS_REVOLVING_OPEN_END_PML_ADJUSTED_NCOS_TOTAL_THRIFT" hidden="1">"c25203"</definedName>
    <definedName name="IQ_1_4_DWELLING_UNITS_REVOLVING_OPEN_END_PML_GVA_CHARGE_OFFS_THRIFT" hidden="1">"c25118"</definedName>
    <definedName name="IQ_1_4_DWELLING_UNITS_REVOLVING_OPEN_END_PML_GVA_RECOVERIES_THRIFT" hidden="1">"c25149"</definedName>
    <definedName name="IQ_1_4_DWELLING_UNITS_REVOLVING_OPEN_END_PML_SVA_PROVISIONS_TRANSFERS_FROM_GVA_TOTAL_THRIFT" hidden="1">"c25172"</definedName>
    <definedName name="IQ_1_4_DWELLING_UNITS_SECURED_FIRST_LIENS_IN_PROCESS_FORECLOSURE_THRIFT" hidden="1">"c25305"</definedName>
    <definedName name="IQ_1_4_DWELLING_UNITS_SECURED_FIRST_LIENS_PML_ADJUSTED_NCOS_TOTAL_THRIFT" hidden="1">"c25204"</definedName>
    <definedName name="IQ_1_4_DWELLING_UNITS_SECURED_FIRST_LIENS_PML_GVA_CHARGE_OFFS_THRIFT" hidden="1">"c25119"</definedName>
    <definedName name="IQ_1_4_DWELLING_UNITS_SECURED_FIRST_LIENS_PML_GVA_RECOVERIES_THRIFT" hidden="1">"c25150"</definedName>
    <definedName name="IQ_1_4_DWELLING_UNITS_SECURED_FIRST_LIENS_PML_SVA_PROVISIONS_TRANSFERS_FROM_GVA_TOTAL_THRIFT" hidden="1">"c25173"</definedName>
    <definedName name="IQ_1_4_DWELLING_UNITS_SECURED_JUNIOR_LIENS_IN_PROCESS_FORECLOSURE_THRIFT" hidden="1">"c25306"</definedName>
    <definedName name="IQ_1_4_DWELLING_UNITS_SECURED_JUNIOR_LIENS_PML_ADJUSTED_NCOS_TOTAL_THRIFT" hidden="1">"c25205"</definedName>
    <definedName name="IQ_1_4_DWELLING_UNITS_SECURED_JUNIOR_LIENS_PML_GVA_CHARGE_OFFS_THRIFT" hidden="1">"c25120"</definedName>
    <definedName name="IQ_1_4_DWELLING_UNITS_SECURED_JUNIOR_LIENS_PML_GVA_RECOVERIES_THRIFT" hidden="1">"c25151"</definedName>
    <definedName name="IQ_1_4_DWELLING_UNITS_SECURED_JUNIOR_LIENS_PML_SVA_PROVISIONS_TRANSFERS_FROM_GVA_TOTAL_THRIFT" hidden="1">"c25174"</definedName>
    <definedName name="IQ_1_4_DWELLING_UNITS_SECURED_REVOLVING_OPEN_END_LOANS_IN_PROCESS_FORECLOSURE_THRIFT" hidden="1">"c25304"</definedName>
    <definedName name="IQ_1_4_FAMILY_CONSTRUCTION_LOANS_GROSS_LOANS_THRIFT" hidden="1">"c25727"</definedName>
    <definedName name="IQ_1_4_FAMILY_CONSTRUCTION_LOANS_RISK_BASED_CAPITAL_THRIFT" hidden="1">"c25712"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100_PCT_RISK_WEIGHT_TOTAL_THRIFT" hidden="1">"c25073"</definedName>
    <definedName name="IQ_20_PCT_RISK_WEIGHT_TOTAL_THRIFT" hidden="1">"c25062"</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50_PCT_RISK_WEIGHT_TOTAL_THRIFT" hidden="1">"c25069"</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S_PAY" hidden="1">"c1343"</definedName>
    <definedName name="IQ_ACCOUNTS_PAYABLE_THRIFT" hidden="1">"c24910"</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_PAYABLE_DEPOSITS_THRIFT" hidden="1">"c24907"</definedName>
    <definedName name="IQ_ACCRUED_INT_PAYABLE_THRIFT" hidden="1">"c24906"</definedName>
    <definedName name="IQ_ACCRUED_INT_RECEIVABLE_MBS_THRIFT" hidden="1">"c24836"</definedName>
    <definedName name="IQ_ACCRUED_INT_RECEIVABLE_THRIFT" hidden="1">"c24827"</definedName>
    <definedName name="IQ_ACCRUED_INTEREST_RECEIVABLE_FFIEC" hidden="1">"c12842"</definedName>
    <definedName name="IQ_ACCRUED_MORTGAGE_INT_RECEIVABLE_THRIFT" hidden="1">"c24849"</definedName>
    <definedName name="IQ_ACCRUED_NON_MORTGAGE_INT_RECEIVABLE_THRIFT" hidden="1">"c24866"</definedName>
    <definedName name="IQ_ACCRUED_TAXES_THRIFT" hidden="1">"c24909"</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ULATED_GAINS_LOSSES_CASH_FLOW_HEDGES_THRIFT" hidden="1">"c24922"</definedName>
    <definedName name="IQ_ACCUMULATED_GAINS_LOSSES_CERTAIN_SEC_THRIFT" hidden="1">"c24921"</definedName>
    <definedName name="IQ_ACCUMULATED_LOSSES_GAINS_CASH_FLOW_HEDGES_ADJUSTED_ASSETS_THRIFT" hidden="1">"c25035"</definedName>
    <definedName name="IQ_ACCUMULATED_LOSSES_GAINS_CASH_FLOW_HEDGES_T1_THRIFT" hidden="1">"c25026"</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CTUAL_THRIFT_INV_PERCENTAGE_MONTH_END_FIRST_MONTH_QUARTER_THRIFT" hidden="1">"c25584"</definedName>
    <definedName name="IQ_ACTUAL_THRIFT_INV_PERCENTAGE_MONTH_END_SECOND_MONTH_QUARTER_THRIFT" hidden="1">"c25585"</definedName>
    <definedName name="IQ_ACTUAL_THRIFT_INV_PERCENTAGE_MONTH_END_THIRD_MONTH_QUARTER_THRIFT" hidden="1">"c25586"</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JUSTED_OPERATING_INCOME_AVG_ASSETS_THRIFT" hidden="1">"c25651"</definedName>
    <definedName name="IQ_ADJUSTED_TOTAL_ASSETS_ADJUSTED_ASSETS_THRIFT" hidden="1">"c25038"</definedName>
    <definedName name="IQ_ADJUSTMENTS_GVA_THRIFT" hidden="1">"c25095"</definedName>
    <definedName name="IQ_ADJUSTMENTS_SVA_THRIFT" hidden="1">"c25102"</definedName>
    <definedName name="IQ_ADJUSTMENTS_TVA_THRIFT" hidden="1">"c25109"</definedName>
    <definedName name="IQ_ADMIN_RATIO" hidden="1">"c2784"</definedName>
    <definedName name="IQ_ADVANCES_FROM_FHLB_THRIFT" hidden="1">"c24900"</definedName>
    <definedName name="IQ_ADVANCES_TAXES_INSURANCE_THRIFT" hidden="1">"c24850"</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CM"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_AMOUNTS_NETTED_THRIFT" hidden="1">"c25492"</definedName>
    <definedName name="IQ_AFS_SEC_INV_SEC_THRIFT" hidden="1">"c25670"</definedName>
    <definedName name="IQ_AFS_SEC_LEVEL_1_THRIFT" hidden="1">"c25488"</definedName>
    <definedName name="IQ_AFS_SEC_LEVEL_2_THRIFT" hidden="1">"c25489"</definedName>
    <definedName name="IQ_AFS_SEC_LEVEL_3_THRIFT" hidden="1">"c25490"</definedName>
    <definedName name="IQ_AFS_SEC_THRIFT" hidden="1">"c24933"</definedName>
    <definedName name="IQ_AFS_SEC_TIER_1_CAPITAL_THRIFT" hidden="1">"c25630"</definedName>
    <definedName name="IQ_AFS_SEC_TOTAL_AFTER_NETTING_THRIFT" hidden="1">"c25493"</definedName>
    <definedName name="IQ_AFS_SEC_TOTAL_BEFORE_NETTING_THRIFT" hidden="1">"c25491"</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CORPORATE_SHARES" hidden="1">"c13781"</definedName>
    <definedName name="IQ_AGG_CORPORATE_VALUE" hidden="1">"c13774"</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ESOP_SHARES" hidden="1">"c13782"</definedName>
    <definedName name="IQ_AGG_ESOP_VALUE" hidden="1">"c13775"</definedName>
    <definedName name="IQ_AGG_FAMILY_OVER_TOTAL" hidden="1">"c24687"</definedName>
    <definedName name="IQ_AGG_FAMILY_SHARES" hidden="1">"c24689"</definedName>
    <definedName name="IQ_AGG_FAMILY_VALUE" hidden="1">"c24688"</definedName>
    <definedName name="IQ_AGG_FOUNDATION_SHARES" hidden="1">"c24731"</definedName>
    <definedName name="IQ_AGG_FOUNDATION_VALUE" hidden="1">"c24732"</definedName>
    <definedName name="IQ_AGG_HEDGEFUND_OVER_TOTAL" hidden="1">"c13771"</definedName>
    <definedName name="IQ_AGG_HEDGEFUND_SHARES" hidden="1">"c13785"</definedName>
    <definedName name="IQ_AGG_HEDGEFUND_VALUE" hidden="1">"c13778"</definedName>
    <definedName name="IQ_AGG_INSIDER_OVER_TOTAL" hidden="1">"c1581"</definedName>
    <definedName name="IQ_AGG_INSIDER_SHARES" hidden="1">"c13780"</definedName>
    <definedName name="IQ_AGG_INSIDER_VALUE" hidden="1">"c13773"</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TITUTIONAL_SHARES" hidden="1">"c13779"</definedName>
    <definedName name="IQ_AGG_INSTITUTIONAL_VALUE" hidden="1">"c13772"</definedName>
    <definedName name="IQ_AGG_INSURANCE_OVER_TOTAL" hidden="1">"c24681"</definedName>
    <definedName name="IQ_AGG_INSURANCE_SHARES" hidden="1">"c24683"</definedName>
    <definedName name="IQ_AGG_INSURANCE_VALUE" hidden="1">"c24682"</definedName>
    <definedName name="IQ_AGG_INV_MANAGERS_OVER_TOTAL" hidden="1">"c26967"</definedName>
    <definedName name="IQ_AGG_INV_MANAGERS_SHARES" hidden="1">"c26968"</definedName>
    <definedName name="IQ_AGG_INV_MANAGERS_VALUE" hidden="1">"c26969"</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OTHER_SHARES" hidden="1">"c13784"</definedName>
    <definedName name="IQ_AGG_OTHER_VALUE" hidden="1">"c13777"</definedName>
    <definedName name="IQ_AGG_PENSION_OVER_TOTAL" hidden="1">"c24675"</definedName>
    <definedName name="IQ_AGG_PENSION_SHARES" hidden="1">"c24677"</definedName>
    <definedName name="IQ_AGG_PENSION_VALUE" hidden="1">"c24676"</definedName>
    <definedName name="IQ_AGG_REIT_OVER_TOTAL" hidden="1">"c24693"</definedName>
    <definedName name="IQ_AGG_REIT_SHARES" hidden="1">"c24695"</definedName>
    <definedName name="IQ_AGG_REIT_VALUE" hidden="1">"c24694"</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GREGATE_AMT_ALL_EXTENSIONS_CREDIT_THRIFT" hidden="1">"c25589"</definedName>
    <definedName name="IQ_AGGREGATE_INV_IN_SERVICE_CORPORATIONS_THRIFT" hidden="1">"c25588"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IRCRAFT_RENT" hidden="1">"c17872"</definedName>
    <definedName name="IQ_ALL_OTHER_ASSETS_ELIGIBLE_100_PCT_RISK_WEIGHT_THRIFT" hidden="1">"c25072"</definedName>
    <definedName name="IQ_ALL_OTHER_DEPOSITS_FOREIGN_DEP_FFIEC" hidden="1">"c15347"</definedName>
    <definedName name="IQ_ALL_OTHER_FINANCIAL_ASSETS_AMOUNTS_NETTED_THRIFT" hidden="1">"c25516"</definedName>
    <definedName name="IQ_ALL_OTHER_FINANCIAL_ASSETS_LEVEL_1_THRIFT" hidden="1">"c25512"</definedName>
    <definedName name="IQ_ALL_OTHER_FINANCIAL_ASSETS_LEVEL_2_THRIFT" hidden="1">"c25513"</definedName>
    <definedName name="IQ_ALL_OTHER_FINANCIAL_ASSETS_LEVEL_3_THRIFT" hidden="1">"c25514"</definedName>
    <definedName name="IQ_ALL_OTHER_FINANCIAL_ASSETS_TOTAL_AFTER_NETTING_THRIFT" hidden="1">"c25517"</definedName>
    <definedName name="IQ_ALL_OTHER_FINANCIAL_ASSETS_TOTAL_BEFORE_NETTING_THRIFT" hidden="1">"c25515"</definedName>
    <definedName name="IQ_ALL_OTHER_FINANCIAL_LIABILITIES_AMOUNTS_NETTED_THRIFT" hidden="1">"c25558"</definedName>
    <definedName name="IQ_ALL_OTHER_FINANCIAL_LIABILITIES_LEVEL_1_THRIFT" hidden="1">"c25554"</definedName>
    <definedName name="IQ_ALL_OTHER_FINANCIAL_LIABILITIES_LEVEL_2_THRIFT" hidden="1">"c25555"</definedName>
    <definedName name="IQ_ALL_OTHER_FINANCIAL_LIABILITIES_LEVEL_3_THRIFT" hidden="1">"c25556"</definedName>
    <definedName name="IQ_ALL_OTHER_FINANCIAL_LIABILITIES_TOTAL_AFTER_NETTING_THRIFT" hidden="1">"c25559"</definedName>
    <definedName name="IQ_ALL_OTHER_FINANCIAL_LIABILITIES_TOTAL_BEFORE_NETTING_THRIFT" hidden="1">"c25557"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EXCL_CONSUMER_LL_REC_DOM_FFIEC" hidden="1">"c25857"</definedName>
    <definedName name="IQ_ALL_OTHER_LOANS_EXCL_CONSUMER_LL_REC_FFIEC" hidden="1">"c25853"</definedName>
    <definedName name="IQ_ALL_OTHER_LOANS_LOSS_SHARING_DUE_30_89_FFIEC" hidden="1">"c27085"</definedName>
    <definedName name="IQ_ALL_OTHER_LOANS_LOSS_SHARING_DUE_90_FFIEC" hidden="1">"c27125"</definedName>
    <definedName name="IQ_ALL_OTHER_LOANS_LOSS_SHARING_NON_ACCRUAL_FFIEC" hidden="1">"c27165"</definedName>
    <definedName name="IQ_ALL_OTHER_LOANS_RECOV_FFIEC" hidden="1">"c13205"</definedName>
    <definedName name="IQ_ALL_OTHER_LOANS_RSTRC_DUE_30_89_FFIEC" hidden="1">"c27099"</definedName>
    <definedName name="IQ_ALL_OTHER_LOANS_RSTRC_DUE_90_FFIEC" hidden="1">"c27139"</definedName>
    <definedName name="IQ_ALL_OTHER_LOANS_RSTRC_NON_ACCRUAL_FFIEC" hidden="1">"c27179"</definedName>
    <definedName name="IQ_ALL_OTHER_LOANS_RSTRC_TERMS_FFIEC" hidden="1">"c27030"</definedName>
    <definedName name="IQ_ALL_OTHER_SEC_1_4_DOM_CHARGE_OFFS_FFIEC" hidden="1">"c25842"</definedName>
    <definedName name="IQ_ALL_OTHER_SEC_1_4_DOM_RECOV_FFIEC" hidden="1">"c25843"</definedName>
    <definedName name="IQ_ALL_OTHER_SEC_1_4_DUE_30_89_FFIEC" hidden="1">"c25835"</definedName>
    <definedName name="IQ_ALL_OTHER_SEC_1_4_DUE_90_FFIEC" hidden="1">"c25836"</definedName>
    <definedName name="IQ_ALL_OTHER_SEC_1_4_NON_ACCRUAL_FFIEC" hidden="1">"c25837"</definedName>
    <definedName name="IQ_ALL_OTHER_TRADING_LIABILITIES_DOM_FFIEC" hidden="1">"c12942"</definedName>
    <definedName name="IQ_ALL_OTHER_UNUSED_FFIEC" hidden="1">"c25861"</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_MORTGAGE_LL_LOSSES_THRIFT" hidden="1">"c24851"</definedName>
    <definedName name="IQ_ALLOW_NON_MORTGAGE_LOAN_LL_THRIFT" hidden="1">"c24867"</definedName>
    <definedName name="IQ_ALLOWABLE_T2_CAPITAL_FFIEC" hidden="1">"c13150"</definedName>
    <definedName name="IQ_ALLOWABLE_TIER_2_CAPITAL_T2_THRIFT" hidden="1">"c25046"</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AMT_INCLUDED_IN_ALLOWANCE_LOAN_LEASE_LOSSES_PURCHASED_CREDIT_IMPAIRED_LOANS_THRIFT" hidden="1">"c25239"</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LLOWANCES_LL_LOSSES_T2_THRIFT" hidden="1">"c25043"</definedName>
    <definedName name="IQ_ALPHA_SCORE_DATE" hidden="1">"c25923"</definedName>
    <definedName name="IQ_AMENDED_BALANCE_PREVIOUS_YR_FDIC" hidden="1">"c6499"</definedName>
    <definedName name="IQ_AMORT_EXP_IMPAIRMENT_OTHER_INTANGIBLE_ASSETS_FFIEC" hidden="1">"c13026"</definedName>
    <definedName name="IQ_AMORT_EXPENSE_FDIC" hidden="1">"c6677"</definedName>
    <definedName name="IQ_AMORT_LOAN_SERVICING_ASSETS_LIABILITIES_THRIFT" hidden="1">"c24767"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DIRECT_CREDIT_SUBSTITUTES_ASSETS_THRIFT" hidden="1">"c25616"</definedName>
    <definedName name="IQ_AMT_LOW_LEVEL_RECOURSE_RESIDUAL_INTERESTS_BEFORE_RISK_WEIGHTING_THRIFT" hidden="1">"c25074"</definedName>
    <definedName name="IQ_AMT_NONINTEREST_BEARING_TRANSACTION_ACCOUNTS_MORE_THAN_250000_THRIFT" hidden="1">"c25582"</definedName>
    <definedName name="IQ_AMT_OUT" hidden="1">"c2145"</definedName>
    <definedName name="IQ_AMT_RECOURSE_OBLIGATIONS_ASSETS_THRIFT" hidden="1">"c25617"</definedName>
    <definedName name="IQ_AMT_RECOURSE_OBLIGATIONS_LOANS_THRIFT" hidden="1">"c25618"</definedName>
    <definedName name="IQ_AMT_RECOURSE_OBLIGATIONS_LOANS_WHERE_RECOURSE_IS_120_DAYS_LESS_THRIFT" hidden="1">"c25619"</definedName>
    <definedName name="IQ_AMT_RECOURSE_OBLIGATIONS_LOANS_WHERE_RECOURSE_IS_GREATER_THAN_120_DAYS_THRIFT" hidden="1">"c25620"</definedName>
    <definedName name="IQ_AMT_THIS_QUARTER_TROUBLED_DEBT_RESTRUCTURED_THRIFT" hidden="1">"c25229"</definedName>
    <definedName name="IQ_ANALYST_COVERAGE_DATE" hidden="1">"c27294"</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OCI_THRIFT" hidden="1">"c24920"</definedName>
    <definedName name="IQ_AP" hidden="1">"c32"</definedName>
    <definedName name="IQ_AP_BNK" hidden="1">"c33"</definedName>
    <definedName name="IQ_AP_BR" hidden="1">"c34"</definedName>
    <definedName name="IQ_AP_CM"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IC_THRIFT" hidden="1">"c24918"</definedName>
    <definedName name="IQ_APPLICABLE_INCOME_TAXES_AVG_ASSETS_THRIFT" hidden="1">"c25657"</definedName>
    <definedName name="IQ_APPLICABLE_INCOME_TAXES_FTE_FFIEC" hidden="1">"c13853"</definedName>
    <definedName name="IQ_AR" hidden="1">"c40"</definedName>
    <definedName name="IQ_AR_BR" hidden="1">"c41"</definedName>
    <definedName name="IQ_AR_CM"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BACKED_SEC_INV_SEC_THRIFT" hidden="1">"c25674"</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CM"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CM" hidden="1">"c50"</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EXCLUDED_PURPOSES_OTS_ASSESSMENT_COMPLEXITY_COMPONENT_MANAGED_ASSETS_THRIFT" hidden="1">"c25356"</definedName>
    <definedName name="IQ_ASSETS_EXCLUDED_PURPOSES_OTS_ASSESSMENT_COMPLEXITY_COMPONENT_NONMANAGED_ASSETS_THRIFT" hidden="1">"c25378"</definedName>
    <definedName name="IQ_ASSETS_FAIR_VALUE" hidden="1">"c13843"</definedName>
    <definedName name="IQ_ASSETS_HELD_FDIC" hidden="1">"c6305"</definedName>
    <definedName name="IQ_ASSETS_HFS_THRIFT" hidden="1">"c24934"</definedName>
    <definedName name="IQ_ASSETS_LEVEL_1" hidden="1">"c13839"</definedName>
    <definedName name="IQ_ASSETS_LEVEL_2" hidden="1">"c13840"</definedName>
    <definedName name="IQ_ASSETS_LEVEL_3" hidden="1">"c13841"</definedName>
    <definedName name="IQ_ASSETS_LOSS_SHARING_DEBT_SEC_FFIEC" hidden="1">"c25867"</definedName>
    <definedName name="IQ_ASSETS_LOSS_SHARING_FFIEC" hidden="1">"c25864"</definedName>
    <definedName name="IQ_ASSETS_LOSS_SHARING_LL_FFIEC" hidden="1">"c25865"</definedName>
    <definedName name="IQ_ASSETS_LOSS_SHARING_OREO_FFIEC" hidden="1">"c25866"</definedName>
    <definedName name="IQ_ASSETS_LOSS_SHARING_OTHER_FFIEC" hidden="1">"c25868"</definedName>
    <definedName name="IQ_ASSETS_NAME_AP" hidden="1">"c8921"</definedName>
    <definedName name="IQ_ASSETS_NAME_AP_ABS" hidden="1">"c8940"</definedName>
    <definedName name="IQ_ASSETS_NETTING_OTHER_ADJUSTMENTS" hidden="1">"c13842"</definedName>
    <definedName name="IQ_ASSETS_NON_INCLUDABLE_SUBS_ADJUSTED_ASSETS_THRIFT" hidden="1">"c25031"</definedName>
    <definedName name="IQ_ASSETS_OPER_LEASE_DEPR" hidden="1">"c2070"</definedName>
    <definedName name="IQ_ASSETS_OPER_LEASE_GROSS" hidden="1">"c2071"</definedName>
    <definedName name="IQ_ASSETS_PER_EMPLOYEE_FDIC" hidden="1">"c6737"</definedName>
    <definedName name="IQ_ASSETS_PER_EMPLOYEE_THRIFT" hidden="1">"c25783"</definedName>
    <definedName name="IQ_ASSETS_REPRICE_ASSETS_TOT_FFIEC" hidden="1">"c13454"</definedName>
    <definedName name="IQ_ASSETS_RISK_WEIGHT_THRIFT" hidden="1">"c25076"</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CHARGE_OFFS_FFIEC" hidden="1">"c27055"</definedName>
    <definedName name="IQ_AUTO_LOANS_DUE_30_89_FFIEC" hidden="1">"c27057"</definedName>
    <definedName name="IQ_AUTO_LOANS_DUE_90_FFIEC" hidden="1">"c27058"</definedName>
    <definedName name="IQ_AUTO_LOANS_EXCD_10_RSTRC_DUE_30_89_FFIEC" hidden="1">"c27104"</definedName>
    <definedName name="IQ_AUTO_LOANS_EXCD_10_RSTRC_DUE_90_FFIEC" hidden="1">"c27144"</definedName>
    <definedName name="IQ_AUTO_LOANS_EXCD_10_RSTRC_NON_ACCRUAL_FFIEC" hidden="1">"c27184"</definedName>
    <definedName name="IQ_AUTO_LOANS_FAIR_VAL_DOM_FFIEC" hidden="1">"c27043"</definedName>
    <definedName name="IQ_AUTO_LOANS_FAIR_VAL_FFIEC" hidden="1">"c27039"</definedName>
    <definedName name="IQ_AUTO_LOANS_FFIEC" hidden="1">"c27007"</definedName>
    <definedName name="IQ_AUTO_LOANS_LL_REC_FFIEC" hidden="1">"c27011"</definedName>
    <definedName name="IQ_AUTO_LOANS_LOSS_SHARING_DUE_30_89_FFIEC" hidden="1">"c27083"</definedName>
    <definedName name="IQ_AUTO_LOANS_LOSS_SHARING_DUE_90_FFIEC" hidden="1">"c27123"</definedName>
    <definedName name="IQ_AUTO_LOANS_LOSS_SHARING_FFIEC" hidden="1">"c27200"</definedName>
    <definedName name="IQ_AUTO_LOANS_LOSS_SHARING_NON_ACCRUAL_FFIEC" hidden="1">"c27163"</definedName>
    <definedName name="IQ_AUTO_LOANS_NON_ACCRUAL_FFIEC" hidden="1">"c27059"</definedName>
    <definedName name="IQ_AUTO_LOANS_RECOV_FFIEC" hidden="1">"c27056"</definedName>
    <definedName name="IQ_AUTO_LOANS_RSTRC_TERMS_FFIEC" hidden="1">"c27035"</definedName>
    <definedName name="IQ_AUTO_LOANS_THRIFT" hidden="1">"c24862"</definedName>
    <definedName name="IQ_AUTO_LOANS_TOTAL_LOANS" hidden="1">"c15713"</definedName>
    <definedName name="IQ_AUTO_LOANS_TRADING_DOM_FFIEC" hidden="1">"c27014"</definedName>
    <definedName name="IQ_AUTO_LOANS_UNPAID_PRIN_FAIR_VAL_DOM_FFIEC" hidden="1">"c27045"</definedName>
    <definedName name="IQ_AUTO_LOANS_UNPAID_PRIN_FAIR_VAL_FFIEC" hidden="1">"c27041"</definedName>
    <definedName name="IQ_AUTO_LOANS_UNPAID_PRIN_FAIR_VAL_TRADING_DOM_FFIEC" hidden="1">"c27049"</definedName>
    <definedName name="IQ_AUTO_LOANS_UNPAID_PRIN_FAIR_VAL_TRADING_FFIEC" hidden="1">"c27047"</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DEPOSITS_ESCROWS_THRIFT" hidden="1">"c24950"</definedName>
    <definedName name="IQ_AVG_DEPOSITS_INV_EXCLUDING_NON_INT_EARNING_ITEMS_THRIFT" hidden="1">"c24947"</definedName>
    <definedName name="IQ_AVG_EARNING_ASSETS_AVG_ASSETS_THRIFT" hidden="1">"c25645"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BEARING_FUNDS_AVG_ASSETS_THRIFT" hidden="1">"c25646"</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ARKETCAP_Z" hidden="1">"c25900"</definedName>
    <definedName name="IQ_AVG_MKTCAP" hidden="1">"c80"</definedName>
    <definedName name="IQ_AVG_MORTGAGE_LOANS_MBS_THRIFT" hidden="1">"c24948"</definedName>
    <definedName name="IQ_AVG_NON_MORTGAGE_LOANS_THRIFT" hidden="1">"c24949"</definedName>
    <definedName name="IQ_AVG_PORTFOLIO_DURATION" hidden="1">"c17693"</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TOTAL_ASSETS_THRIFT" hidden="1">"c24946"</definedName>
    <definedName name="IQ_AVG_TOTAL_BORROWINGS_THRIFT" hidden="1">"c24951"</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SHEET_AP" hidden="1">"c25883"</definedName>
    <definedName name="IQ_BALANCE_SHEET_AP_CO" hidden="1">"c25884"</definedName>
    <definedName name="IQ_BALANCE_SHEET_INDUSTRY" hidden="1">"c25879"</definedName>
    <definedName name="IQ_BALANCE_SHEET_INDUSTRY_CO" hidden="1">"c25880"</definedName>
    <definedName name="IQ_BALANCE_SHEET_STANDARD" hidden="1">"c25881"</definedName>
    <definedName name="IQ_BALANCE_SHEET_STANDARD_CO" hidden="1">"c25882"</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OWNED_LIFE_INSURANCE_THRIFT" hidden="1">"c24884"</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EL" hidden="1">"c26996"</definedName>
    <definedName name="IQ_BASIC_EPS_EXCL" hidden="1">"c85"</definedName>
    <definedName name="IQ_BASIC_EPS_INCL" hidden="1">"c86"</definedName>
    <definedName name="IQ_BASIC_NAV_SHARES" hidden="1">"c16012"</definedName>
    <definedName name="IQ_BASIC_NORMAL_EPS" hidden="1">"c1592"</definedName>
    <definedName name="IQ_BASIC_WEIGHT" hidden="1">"c87"</definedName>
    <definedName name="IQ_BEGINNING_BALANCE_GVA_THRIFT" hidden="1">"c25091"</definedName>
    <definedName name="IQ_BEGINNING_BALANCE_REPORTED_QUARTERLY_BALANCE_GVA_THRIFT" hidden="1">"c25090"</definedName>
    <definedName name="IQ_BEGINNING_BALANCE_REPORTED_QUARTERLY_BALANCE_SVA_THRIFT" hidden="1">"c25098"</definedName>
    <definedName name="IQ_BEGINNING_BALANCE_REPORTED_QUARTERLY_BALANCE_TVA_THRIFT" hidden="1">"c25105"</definedName>
    <definedName name="IQ_BEGINNING_BALANCE_SVA_THRIFT" hidden="1">"c25099"</definedName>
    <definedName name="IQ_BEGINNING_BALANCE_TVA_THRIFT" hidden="1">"c25106"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_DEPOSITS_TOTAL_DEPOSITS_THRIFT" hidden="1">"c25781"</definedName>
    <definedName name="IQ_BROKER_ORIGINATED_DEPOSITS_FULLY_INSURED_100000_THROUGH_250000_THRIFT" hidden="1">"c24980"</definedName>
    <definedName name="IQ_BROKER_ORIGINATED_DEPOSITS_FULLY_INSURED_LESS_THAN_100000_THRIFT" hidden="1">"c24979"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OVER_SHARES" hidden="1">"c1349"</definedName>
    <definedName name="IQ_BV_SHARE" hidden="1">"c100"</definedName>
    <definedName name="IQ_BV_SHARE_ACT_OR_EST_THOM" hidden="1">"c5312"</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THOM" hidden="1">"c5546"</definedName>
    <definedName name="IQ_CAPEX_BNK" hidden="1">"c110"</definedName>
    <definedName name="IQ_CAPEX_BR" hidden="1">"c111"</definedName>
    <definedName name="IQ_CAPEX_CM" hidden="1">"c111"</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PCT_REV" hidden="1">"c19144"</definedName>
    <definedName name="IQ_CAPEX_STDDEV_EST" hidden="1">"c3522"</definedName>
    <definedName name="IQ_CAPEX_STDDEV_EST_THOM" hidden="1">"c5507"</definedName>
    <definedName name="IQ_CAPEX_UTI" hidden="1">"c114"</definedName>
    <definedName name="IQ_CAPITAL_ALLOCATION_ADJUSTMENT_FOREIGN_FFIEC" hidden="1">"c15389"</definedName>
    <definedName name="IQ_CAPITAL_CONTRIBUTIONS_SAVINGS_ASSOCIATION_THRIFT" hidden="1">"c25014"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_THRIFT" hidden="1">"c24763"</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RRYING_AMT_DEBT_SEC_COVERED_FDIC_LOSS_SHARING_AGREEMENTS_THRIFT" hidden="1">"c24944"</definedName>
    <definedName name="IQ_CARRYING_AMT_LOANS_LEASES_COVERED_FDIC_LOSS_SHARING_AGREEMENTS_THRIFT" hidden="1">"c24942"</definedName>
    <definedName name="IQ_CARRYING_AMT_OTHER_ASSETS_COVERED_FDIC_LOSS_SHARING_AGREEMENTS_THRIFT" hidden="1">"c24945"</definedName>
    <definedName name="IQ_CARRYING_AMT_RE_OWNED_COVERED_FDIC_LOSS_SHARING_AGREEMENTS_THRIFT" hidden="1">"c24943"</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IVIDENDS_NET_INCOME_THRIFT" hidden="1">"c25634"</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LIGIBLE_0_PCT_RISK_WEIGHT_THRIFT" hidden="1">"c25051"</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P" hidden="1">"c25889"</definedName>
    <definedName name="IQ_CASH_FLOW_AP_CO" hidden="1">"c25890"</definedName>
    <definedName name="IQ_CASH_FLOW_INDUSTRY" hidden="1">"c25885"</definedName>
    <definedName name="IQ_CASH_FLOW_INDUSTRY_CO" hidden="1">"c25886"</definedName>
    <definedName name="IQ_CASH_FLOW_STANDARD" hidden="1">"c25887"</definedName>
    <definedName name="IQ_CASH_FLOW_STANDARD_CO" hidden="1">"c25888"</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NON_INT_EARNING_DEPOSITS_THRIFT" hidden="1">"c24818"</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ATASTROPHIC_LOSSES" hidden="1">"c17694"</definedName>
    <definedName name="IQ_CC_RELATED_DUE_90_FFIEC" hidden="1">"c25833"</definedName>
    <definedName name="IQ_CC_RELATED_LOANS_DUE_30_89_FFIEC" hidden="1">"c25832"</definedName>
    <definedName name="IQ_CC_RELATED_NON_ACCRUAL_FFIEC" hidden="1">"c25834"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_SHARE" hidden="1">"c27339"</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THOM" hidden="1">"c5301"</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CM"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CM"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CM"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CM"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GVA_THRIFT" hidden="1">"c25096"</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SVA_THRIFT" hidden="1">"c25103"</definedName>
    <definedName name="IQ_CHARGE_OFFS_TOTAL_AVG_LOANS" hidden="1">"c165"</definedName>
    <definedName name="IQ_CHARGE_OFFS_TVA_THRIFT" hidden="1">"c25110"</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INESE_SHORT_NATIVE_TICKER" hidden="1">"c27236"</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IMS_DOMESTIC_DEPOSITORY_INSTITUTIONS_ELIGIBLE_20_PCT_RISK_WEIGHT_THRIFT" hidden="1">"c25060"</definedName>
    <definedName name="IQ_CLAIMS_FHLBS_ELIGIBLE_20_PCT_RISK_WEIGHT_THRIFT" hidden="1">"c25058"</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AMILY_LOANS_TOTAL_LOANS_THRIFT" hidden="1">"c25742"</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LOANS_GROSS_LOANS_THRIFT" hidden="1">"c25724"</definedName>
    <definedName name="IQ_CLOSED_END_LOANS_RISK_BASED_CAPITAL_THRIFT" hidden="1">"c25709"</definedName>
    <definedName name="IQ_CLOSED_END_SEC_1_4_1ST_LIENS_CHARGE_OFFS_FFIEC" hidden="1">"c13169"</definedName>
    <definedName name="IQ_CLOSED_END_SEC_1_4_1ST_LIENS_DOM_LOSS_SHARING_DUE_30_89_FFIEC" hidden="1">"c27075"</definedName>
    <definedName name="IQ_CLOSED_END_SEC_1_4_1ST_LIENS_DOM_LOSS_SHARING_DUE_90_FFIEC" hidden="1">"c27115"</definedName>
    <definedName name="IQ_CLOSED_END_SEC_1_4_1ST_LIENS_DOM_LOSS_SHARING_FFIEC" hidden="1">"c27192"</definedName>
    <definedName name="IQ_CLOSED_END_SEC_1_4_1ST_LIENS_DOM_LOSS_SHARING_NON_ACCRUAL_FFIEC" hidden="1">"c27155"</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OM_LOSS_SHARING_DUE_30_89_FFIEC" hidden="1">"c27076"</definedName>
    <definedName name="IQ_CLOSED_END_SEC_1_4_JR_LIENS_DOM_LOSS_SHARING_DUE_90_FFIEC" hidden="1">"c27116"</definedName>
    <definedName name="IQ_CLOSED_END_SEC_1_4_JR_LIENS_DOM_LOSS_SHARING_FFIEC" hidden="1">"c27193"</definedName>
    <definedName name="IQ_CLOSED_END_SEC_1_4_JR_LIENS_DOM_LOSS_SHARING_NON_ACCRUAL_FFIEC" hidden="1">"c27156"</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D_PURCHASED_COMM_NON_MORTGAGE_LOANS_THRIFT" hidden="1">"c25339"</definedName>
    <definedName name="IQ_CLOSED_PURCHASED_CONSUMER_NON_MORTGAGE_LOANS_THRIFT" hidden="1">"c25341"</definedName>
    <definedName name="IQ_CLOSEPRICE" hidden="1">"c174"</definedName>
    <definedName name="IQ_CLOSEPRICE_ADJ" hidden="1">"c2115"</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MO_THRIFT" hidden="1">"c24903"</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ATERALIZED_MBS_ISSUED_GUARANTEED_FNMA_FHLMC_GNMA_THRIFT" hidden="1">"c24834"</definedName>
    <definedName name="IQ_COLLECTION_DOMESTIC_FDIC" hidden="1">"c6387"</definedName>
    <definedName name="IQ_COLLECTIVE_INV_FUNDS_COMMON_TRUST_FUNDS_DOMESTIC_EQUITY_MARKET_VALUE_FUNDED_ASSETS_THRIFT" hidden="1">"c25445"</definedName>
    <definedName name="IQ_COLLECTIVE_INV_FUNDS_COMMON_TRUST_FUNDS_DOMESTIC_EQUITY_NUMBER_FUNDS_THRIFT" hidden="1">"c25446"</definedName>
    <definedName name="IQ_COLLECTIVE_INV_FUNDS_COMMON_TRUST_FUNDS_INTERNATIONALGLOBAL_EQUITY_MARKET_VALUE_FUNDED_ASSETS_THRIFT" hidden="1">"c25447"</definedName>
    <definedName name="IQ_COLLECTIVE_INV_FUNDS_COMMON_TRUST_FUNDS_INTERNATIONALGLOBAL_EQUITY_NUMBER_FUNDS_THRIFT" hidden="1">"c25448"</definedName>
    <definedName name="IQ_COLLECTIVE_INV_FUNDS_COMMON_TRUST_FUNDS_MUNICIPAL_BOND_MARKET_VALUE_FUNDED_ASSETS_THRIFT" hidden="1">"c25453"</definedName>
    <definedName name="IQ_COLLECTIVE_INV_FUNDS_COMMON_TRUST_FUNDS_MUNICIPAL_BOND_NUMBER_FUNDS_THRIFT" hidden="1">"c25454"</definedName>
    <definedName name="IQ_COLLECTIVE_INV_FUNDS_COMMON_TRUST_FUNDS_SHORT_TERM_INVESTMENTSMONEY_MARKET_MARKET_VALUE_FUNDED_ASSETS_THRIFT" hidden="1">"c25455"</definedName>
    <definedName name="IQ_COLLECTIVE_INV_FUNDS_COMMON_TRUST_FUNDS_SHORT_TERM_INVESTMENTSMONEY_MARKET_NUMBER_FUNDS_THRIFT" hidden="1">"c25456"</definedName>
    <definedName name="IQ_COLLECTIVE_INV_FUNDS_COMMON_TRUST_FUNDS_SPECIALTYOTHER_MARKET_VALUE_FUNDED_ASSETS_THRIFT" hidden="1">"c25457"</definedName>
    <definedName name="IQ_COLLECTIVE_INV_FUNDS_COMMON_TRUST_FUNDS_SPECIALTYOTHER_NUMBER_FUNDS_THRIFT" hidden="1">"c25458"</definedName>
    <definedName name="IQ_COLLECTIVE_INV_FUNDS_COMMON_TRUST_FUNDS_STOCKBOND_BLEND_MARKET_VALUE_FUNDED_ASSETS_THRIFT" hidden="1">"c25449"</definedName>
    <definedName name="IQ_COLLECTIVE_INV_FUNDS_COMMON_TRUST_FUNDS_STOCKBOND_BLEND_NUMBER_FUNDS_THRIFT" hidden="1">"c25450"</definedName>
    <definedName name="IQ_COLLECTIVE_INV_FUNDS_COMMON_TRUST_FUNDS_TAXABLE_BOND_MARKET_VALUE_FUNDED_ASSETS_THRIFT" hidden="1">"c25451"</definedName>
    <definedName name="IQ_COLLECTIVE_INV_FUNDS_COMMON_TRUST_FUNDS_TAXABLE_BOND_NUMBER_FUNDS_THRIFT" hidden="1">"c25452"</definedName>
    <definedName name="IQ_COLLECTIVE_INV_FUNDS_COMMON_TRUST_FUNDS_TOTAL_COLLECTIVE_INV_FUNDS_MARKET_VALUE_FUNDED_ASSETS_THRIFT" hidden="1">"c25459"</definedName>
    <definedName name="IQ_COLLECTIVE_INV_FUNDS_COMMON_TRUST_FUNDS_TOTAL_COLLECTIVE_INV_FUNDS_NUMBER_FUNDS_THRIFT" hidden="1">"c25460"</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_LL_LOSS_SHARING_DUE_30_89_FFIEC" hidden="1">"c27081"</definedName>
    <definedName name="IQ_COMM_INDUST_LL_LOSS_SHARING_DUE_90_FFIEC" hidden="1">"c27121"</definedName>
    <definedName name="IQ_COMM_INDUST_LL_LOSS_SHARING_NON_ACCRUAL_FFIEC" hidden="1">"c27161"</definedName>
    <definedName name="IQ_COMM_INDUST_LOANS_QUARTERLY_AVG_FFIEC" hidden="1">"c27064"</definedName>
    <definedName name="IQ_COMM_INDUST_LOSS_SHARING_FFIEC" hidden="1">"c27198"</definedName>
    <definedName name="IQ_COMM_INDUST_NON_US_ADR_LOANS_RSTRC_DUE_30_89_FFIEC" hidden="1">"c27098"</definedName>
    <definedName name="IQ_COMM_INDUST_NON_US_ADR_LOANS_RSTRC_NON_ACCRUAL_FFIEC" hidden="1">"c27178"</definedName>
    <definedName name="IQ_COMM_INDUST_NON_US_ADR_LOANS_RSTRC_TERMS_FFIEC" hidden="1">"c27029"</definedName>
    <definedName name="IQ_COMM_INDUST_US_ADR_LOANS_RSTRC_DUE_30_89_FFIEC" hidden="1">"c27097"</definedName>
    <definedName name="IQ_COMM_INDUST_US_ADR_LOANS_RSTRC_DUE_90_FFIEC" hidden="1">"c27137"</definedName>
    <definedName name="IQ_COMM_INDUST_US_ADR_LOANS_RSTRC_NON_ACCRUAL_FFIEC" hidden="1">"c27177"</definedName>
    <definedName name="IQ_COMM_INDUST_US_ADR_LOANS_RSTRC_TERMS_FFIEC" hidden="1">"c27028"</definedName>
    <definedName name="IQ_COMM_INDUSTRIA_NONL_US_ADR_LOANS_RSTRC_DUE_90_FFIEC" hidden="1">"c27138"</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LETTERS_CREDIT_THRIFT" hidden="1">"c25613"</definedName>
    <definedName name="IQ_COMM_LOANS_GROSS_LOANS_THRIFT" hidden="1">"c25732"</definedName>
    <definedName name="IQ_COMM_LOANS_NON_MORTGAGE_ADJUSTED_NCOS_TOTAL_THRIFT" hidden="1">"c25210"</definedName>
    <definedName name="IQ_COMM_LOANS_NON_MORTGAGE_GVA_CHARGE_OFFS_THRIFT" hidden="1">"c25125"</definedName>
    <definedName name="IQ_COMM_LOANS_NON_MORTGAGE_GVA_RECOVERIES_THRIFT" hidden="1">"c25156"</definedName>
    <definedName name="IQ_COMM_LOANS_NON_MORTGAGE_SVA_PROVISIONS_TRANSFERS_FROM_GVA_TOTAL_THRIFT" hidden="1">"c25179"</definedName>
    <definedName name="IQ_COMM_LOANS_RISK_BASED_CAPITAL_THRIFT" hidden="1">"c25717"</definedName>
    <definedName name="IQ_COMM_LOANS_THRIFT" hidden="1">"c24853"</definedName>
    <definedName name="IQ_COMM_LOANS_TOTAL_LOANS_THRIFT" hidden="1">"c25749"</definedName>
    <definedName name="IQ_COMM_MBS_ISSUED_FNMA_TRADING_DOM_FFIEC" hidden="1">"c27012"</definedName>
    <definedName name="IQ_COMM_MBS_ISSUED_FNMA_TRADING_FFIEC" hidden="1">"c27005"</definedName>
    <definedName name="IQ_COMM_MBS_TRADING_DOM_FFIEC" hidden="1">"c27354"</definedName>
    <definedName name="IQ_COMM_MBS_TRADING_FFIEC" hidden="1">"c27353"</definedName>
    <definedName name="IQ_COMM_NON_MORTGAGE_LOANS_DUE_30_89_THRIFT" hidden="1">"c25247"</definedName>
    <definedName name="IQ_COMM_NON_MORTGAGE_LOANS_DUE_90_THRIFT" hidden="1">"c25268"</definedName>
    <definedName name="IQ_COMM_NON_MORTGAGE_LOANS_NON_ACCRUAL_THRIFT" hidden="1">"c25289"</definedName>
    <definedName name="IQ_COMM_RE_FARM_LOANS_TOT_LOANS_FFIEC" hidden="1">"c13872"</definedName>
    <definedName name="IQ_COMM_RE_FARM_LOANS_TOTAL_LOANS_THRIFT" hidden="1">"c25743"</definedName>
    <definedName name="IQ_COMM_RE_LOANS_GROSS_LOANS_THRIFT" hidden="1">"c25725"</definedName>
    <definedName name="IQ_COMM_RE_LOANS_RISK_BASED_CAPITAL_THRIFT" hidden="1">"c25710"</definedName>
    <definedName name="IQ_COMM_RE_NONFARM_NONRES_TOT_LOANS_FFIEC" hidden="1">"c13871"</definedName>
    <definedName name="IQ_COMM_RE_NONFARM_NONRESIDENTIAL_TOTAL_LOANS_THRIFT" hidden="1">"c25746"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_UNUSED_FFIEC" hidden="1">"c25859"</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 hidden="1">"c177"</definedName>
    <definedName name="IQ_COMMERCIAL_LOANS_TOTAL_LOANS" hidden="1">"c15709"</definedName>
    <definedName name="IQ_COMMERCIAL_MORT" hidden="1">"c179"</definedName>
    <definedName name="IQ_COMMERCIAL_MORT_LOANS"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CM"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CM"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CM"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DIVIDENDS_DECLARED_SAVINGS_ASSOCIATION_THRIFT" hidden="1">"c25011"</definedName>
    <definedName name="IQ_COMMON_STOCK_FFIEC" hidden="1">"c12876"</definedName>
    <definedName name="IQ_COMMON_STOCK_THRIFT" hidden="1">"c24917"</definedName>
    <definedName name="IQ_COMMON_TRUST_FUNDS_COLLECTIVE_INV_FUNDS_ALL_OTHER_ACCOUNTS_THRIFT" hidden="1">"c25430"</definedName>
    <definedName name="IQ_COMMON_TRUST_FUNDS_COLLECTIVE_INV_FUNDS_EMPLOYEE_BENEFIT_RETIREMENT_RELATED_ACCOUNTS_THRIFT" hidden="1">"c25414"</definedName>
    <definedName name="IQ_COMMON_TRUST_FUNDS_COLLECTIVE_INV_FUNDS_PERSONAL_TRUST_AGENCY_INV_MANAGEMENT_ACCOUNTS_THRIFT" hidden="1">"c25398"</definedName>
    <definedName name="IQ_COMP_BENEFITS" hidden="1">"c213"</definedName>
    <definedName name="IQ_COMPANY_ADDRESS" hidden="1">"c214"</definedName>
    <definedName name="IQ_COMPANY_ID" hidden="1">"c3513"</definedName>
    <definedName name="IQ_COMPANY_ID_QUICK_MATCH" hidden="1">"c16227"</definedName>
    <definedName name="IQ_COMPANY_MAIN_FAX" hidden="1">"c18016"</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LOSS_SHARING_FFIEC" hidden="1">"c27207"</definedName>
    <definedName name="IQ_CONST_LAND_DEVELOP_OTHER_DOM_RECOV_FFIEC" hidden="1">"c13632"</definedName>
    <definedName name="IQ_CONSTITUENTS" hidden="1">"c19169"</definedName>
    <definedName name="IQ_CONSTITUENTS_ADD" hidden="1">"c26979"</definedName>
    <definedName name="IQ_CONSTITUENTS_ADD_DATE" hidden="1">"c26980"</definedName>
    <definedName name="IQ_CONSTITUENTS_NAME" hidden="1">"c19192"</definedName>
    <definedName name="IQ_CONSTITUENTS_REMOVE" hidden="1">"c26981"</definedName>
    <definedName name="IQ_CONSTITUENTS_REMOVE_DATE" hidden="1">"c26982"</definedName>
    <definedName name="IQ_CONSTRUCTION_1_4_DWELLING_UNITS_THRIFT" hidden="1">"c24839"</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LOANS_TOTAL_LOANS_THRIFT" hidden="1">"c25744"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GROSS_LOANS_THRIFT" hidden="1">"c25726"</definedName>
    <definedName name="IQ_CONSTRUCTION_LOANS_IN_PROCESS_FORECLOSURE_THRIFT" hidden="1">"c25303"</definedName>
    <definedName name="IQ_CONSTRUCTION_LOANS_RISK_BASED_CAPITAL_THRIFT" hidden="1">"c25711"</definedName>
    <definedName name="IQ_CONSTRUCTION_LOANS_TOTAL_LOANS" hidden="1">"c15711"</definedName>
    <definedName name="IQ_CONSTRUCTION_MORTGAGE_LOANS_30_89_DAYS_PAST_DUE_STILL_ACCRUING_THRIFT" hidden="1">"c25240"</definedName>
    <definedName name="IQ_CONSTRUCTION_MORTGAGE_LOANS_DUE_90_THRIFT" hidden="1">"c25261"</definedName>
    <definedName name="IQ_CONSTRUCTION_MORTGAGE_LOANS_FORECLOSED_DURING_QUARTER_THRIFT" hidden="1">"c25231"</definedName>
    <definedName name="IQ_CONSTRUCTION_MORTGAGE_LOANS_NON_ACCRUAL_THRIFT" hidden="1">"c25282"</definedName>
    <definedName name="IQ_CONSTRUCTION_MORTGAGE_LOANS_THRIFT" hidden="1">"c24838"</definedName>
    <definedName name="IQ_CONSTRUCTION_MULTIFAMILY_DWELLING_UNITS_THRIFT" hidden="1">"c24840"</definedName>
    <definedName name="IQ_CONSTRUCTION_NONRES_PROPERTY_THRIFT" hidden="1">"c24841"</definedName>
    <definedName name="IQ_CONSTRUCTION_RISK_BASED_FFIEC" hidden="1">"c13422"</definedName>
    <definedName name="IQ_CONSULTING_FFIEC" hidden="1">"c13055"</definedName>
    <definedName name="IQ_CONSUMER_AUTO_LOANS_DUE_90_THRIFT" hidden="1">"c25272"</definedName>
    <definedName name="IQ_CONSUMER_AUTO_LOANS_NON_MORTGAGE_ADJUSTED_NCOS_TOTAL_THRIFT" hidden="1">"c25214"</definedName>
    <definedName name="IQ_CONSUMER_AUTO_LOANS_NON_MORTGAGE_GVA_CHARGE_OFFS_THRIFT" hidden="1">"c25129"</definedName>
    <definedName name="IQ_CONSUMER_AUTO_LOANS_NON_MORTGAGE_GVA_RECOVERIES_THRIFT" hidden="1">"c25160"</definedName>
    <definedName name="IQ_CONSUMER_AUTO_LOANS_NON_MORTGAGE_LOANS_DUE_30_89_THRIFT" hidden="1">"c25251"</definedName>
    <definedName name="IQ_CONSUMER_AUTO_LOANS_NON_MORTGAGE_LOANS_NON_ACCRUAL_THRIFT" hidden="1">"c25293"</definedName>
    <definedName name="IQ_CONSUMER_AUTO_LOANS_NON_MORTGAGE_SVA_PROVISIONS_TRANSFERS_FROM_GVA_TOTAL_THRIFT" hidden="1">"c25183"</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CREDIT_CARD_LINES_UNUSED_FFIEC" hidden="1">"c25862"</definedName>
    <definedName name="IQ_CONSUMER_CREDIT_CARDS_NON_MORTGAGE_ADJUSTED_NCOS_TOTAL_THRIFT" hidden="1">"c25216"</definedName>
    <definedName name="IQ_CONSUMER_CREDIT_CARDS_NON_MORTGAGE_GVA_CHARGE_OFFS_THRIFT" hidden="1">"c25131"</definedName>
    <definedName name="IQ_CONSUMER_CREDIT_CARDS_NON_MORTGAGE_GVA_RECOVERIES_THRIFT" hidden="1">"c25162"</definedName>
    <definedName name="IQ_CONSUMER_CREDIT_CARDS_NON_MORTGAGE_LOANS_DUE_30_89_THRIFT" hidden="1">"c25253"</definedName>
    <definedName name="IQ_CONSUMER_CREDIT_CARDS_NON_MORTGAGE_LOANS_DUE_90_THRIFT" hidden="1">"c25274"</definedName>
    <definedName name="IQ_CONSUMER_CREDIT_CARDS_NON_MORTGAGE_LOANS_NON_ACCRUAL_THRIFT" hidden="1">"c25295"</definedName>
    <definedName name="IQ_CONSUMER_CREDIT_CARDS_NON_MORTGAGE_SVA_PROVISIONS_TRANSFERS_FROM_GVA_TOTAL_THRIFT" hidden="1">"c25185"</definedName>
    <definedName name="IQ_CONSUMER_EDUCATION_LOANS_NON_MORTGAGE_ADJUSTED_NCOS_TOTAL_THRIFT" hidden="1">"c25213"</definedName>
    <definedName name="IQ_CONSUMER_EDUCATION_LOANS_NON_MORTGAGE_GVA_CHARGE_OFFS_THRIFT" hidden="1">"c25128"</definedName>
    <definedName name="IQ_CONSUMER_EDUCATION_LOANS_NON_MORTGAGE_GVA_RECOVERIES_THRIFT" hidden="1">"c25159"</definedName>
    <definedName name="IQ_CONSUMER_EDUCATION_LOANS_NON_MORTGAGE_SVA_PROVISIONS_TRANSFERS_FROM_GVA_TOTAL_THRIFT" hidden="1">"c25182"</definedName>
    <definedName name="IQ_CONSUMER_EDUCATION_NON_MORTGAGE_LOANS_DUE_30_89_THRIFT" hidden="1">"c25250"</definedName>
    <definedName name="IQ_CONSUMER_EDUCATION_NON_MORTGAGE_LOANS_DUE_90_THRIFT" hidden="1">"c25271"</definedName>
    <definedName name="IQ_CONSUMER_EDUCATION_NON_MORTGAGE_LOANS_NON_ACCRUAL_THRIFT" hidden="1">"c25292"</definedName>
    <definedName name="IQ_CONSUMER_HOME_IMPROVEMENT_LOANS_NON_MORTGAGE_ADJUSTED_NCOS_TOTAL_THRIFT" hidden="1">"c25212"</definedName>
    <definedName name="IQ_CONSUMER_HOME_IMPROVEMENT_LOANS_NON_MORTGAGE_GVA_CHARGE_OFFS_THRIFT" hidden="1">"c25127"</definedName>
    <definedName name="IQ_CONSUMER_HOME_IMPROVEMENT_LOANS_NON_MORTGAGE_GVA_RECOVERIES_THRIFT" hidden="1">"c25158"</definedName>
    <definedName name="IQ_CONSUMER_HOME_IMPROVEMENT_LOANS_NON_MORTGAGE_SVA_PROVISIONS_TRANSFERS_FROM_GVA_TOTAL_THRIFT" hidden="1">"c25181"</definedName>
    <definedName name="IQ_CONSUMER_HOME_IMPROVEMENT_NON_MORTGAGE_LOANS_DUE_30_89_THRIFT" hidden="1">"c25249"</definedName>
    <definedName name="IQ_CONSUMER_HOME_IMPROVEMENT_NON_MORTGAGE_LOANS_DUE_90_THRIFT" hidden="1">"c25270"</definedName>
    <definedName name="IQ_CONSUMER_HOME_IMPROVEMENT_NON_MORTGAGE_LOANS_NON_ACCRUAL_THRIFT" hidden="1">"c25291"</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L_REC_FFIEC" hidden="1">"c25869"</definedName>
    <definedName name="IQ_CONSUMER_LOANS" hidden="1">"c223"</definedName>
    <definedName name="IQ_CONSUMER_LOANS_CHARGE_OFFS_FFIEC" hidden="1">"c25838"</definedName>
    <definedName name="IQ_CONSUMER_LOANS_DEPOSITS_NON_MORTGAGE_ADJUSTED_NCOS_TOTAL_THRIFT" hidden="1">"c25211"</definedName>
    <definedName name="IQ_CONSUMER_LOANS_DEPOSITS_NON_MORTGAGE_GVA_CHARGE_OFFS_THRIFT" hidden="1">"c25126"</definedName>
    <definedName name="IQ_CONSUMER_LOANS_DEPOSITS_NON_MORTGAGE_GVA_RECOVERIES_THRIFT" hidden="1">"c25157"</definedName>
    <definedName name="IQ_CONSUMER_LOANS_DEPOSITS_NON_MORTGAGE_LOANS_DUE_30_89_THRIFT" hidden="1">"c25248"</definedName>
    <definedName name="IQ_CONSUMER_LOANS_DEPOSITS_NON_MORTGAGE_LOANS_DUE_90_THRIFT" hidden="1">"c25269"</definedName>
    <definedName name="IQ_CONSUMER_LOANS_DEPOSITS_NON_MORTGAGE_LOANS_NON_ACCRUAL_THRIFT" hidden="1">"c25290"</definedName>
    <definedName name="IQ_CONSUMER_LOANS_DEPOSITS_NON_MORTGAGE_SVA_PROVISIONS_TRANSFERS_FROM_GVA_TOTAL_THRIFT" hidden="1">"c25180"</definedName>
    <definedName name="IQ_CONSUMER_LOANS_DEPOSITS_THRIFT" hidden="1">"c24859"</definedName>
    <definedName name="IQ_CONSUMER_LOANS_DUE_30_89_FFIEC" hidden="1">"c25829"</definedName>
    <definedName name="IQ_CONSUMER_LOANS_DUE_90_FFIEC" hidden="1">"c25830"</definedName>
    <definedName name="IQ_CONSUMER_LOANS_LL_REC_DOM_FFIEC" hidden="1">"c12911"</definedName>
    <definedName name="IQ_CONSUMER_LOANS_NON_ACCRUAL_FFIEC" hidden="1">"c25831"</definedName>
    <definedName name="IQ_CONSUMER_LOANS_QUARTERLY_AVG_FFIEC" hidden="1">"c27065"</definedName>
    <definedName name="IQ_CONSUMER_LOANS_RECOV_FFIEC" hidden="1">"c25839"</definedName>
    <definedName name="IQ_CONSUMER_LOANS_THRIFT" hidden="1">"c24858"</definedName>
    <definedName name="IQ_CONSUMER_LOANS_TOT_LOANS_FFIEC" hidden="1">"c13875"</definedName>
    <definedName name="IQ_CONSUMER_LOANS_TOTAL_LOANS" hidden="1">"c15712"</definedName>
    <definedName name="IQ_CONSUMER_LOANS_TOTAL_LOANS_THRIFT" hidden="1">"c25750"</definedName>
    <definedName name="IQ_CONSUMER_MOBILE_HOME_LOANS_NON_MORTGAGE_ADJUSTED_NCOS_TOTAL_THRIFT" hidden="1">"c25215"</definedName>
    <definedName name="IQ_CONSUMER_MOBILE_HOME_LOANS_NON_MORTGAGE_GVA_CHARGE_OFFS_THRIFT" hidden="1">"c25130"</definedName>
    <definedName name="IQ_CONSUMER_MOBILE_HOME_LOANS_NON_MORTGAGE_GVA_RECOVERIES_THRIFT" hidden="1">"c25161"</definedName>
    <definedName name="IQ_CONSUMER_MOBILE_HOME_LOANS_NON_MORTGAGE_LOANS_DUE_30_89_THRIFT" hidden="1">"c25252"</definedName>
    <definedName name="IQ_CONSUMER_MOBILE_HOME_LOANS_NON_MORTGAGE_LOANS_DUE_90_THRIFT" hidden="1">"c25273"</definedName>
    <definedName name="IQ_CONSUMER_MOBILE_HOME_LOANS_NON_MORTGAGE_LOANS_NON_ACCRUAL_THRIFT" hidden="1">"c25294"</definedName>
    <definedName name="IQ_CONSUMER_MOBILE_HOME_LOANS_NON_MORTGAGE_SVA_PROVISIONS_TRANSFERS_FROM_GVA_TOTAL_THRIFT" hidden="1">"c25184"</definedName>
    <definedName name="IQ_CONSUMER_OTHER_NON_MORTGAGE_ADJUSTED_NCOS_TOTAL_THRIFT" hidden="1">"c25217"</definedName>
    <definedName name="IQ_CONSUMER_OTHER_NON_MORTGAGE_GVA_RECOVERIES_THRIFT" hidden="1">"c25163"</definedName>
    <definedName name="IQ_CONSUMER_OTHER_NON_MORTGAGE_LOANS_DUE_30_89_THRIFT" hidden="1">"c25254"</definedName>
    <definedName name="IQ_CONSUMER_OTHER_NON_MORTGAGE_LOANS_DUE_90_THRIFT" hidden="1">"c25275"</definedName>
    <definedName name="IQ_CONSUMER_OTHER_NON_MORTGAGE_LOANS_GVA_CHARGE_OFFS_THRIFT" hidden="1">"c25132"</definedName>
    <definedName name="IQ_CONSUMER_OTHER_NON_MORTGAGE_LOANS_NON_ACCRUAL_THRIFT" hidden="1">"c25296"</definedName>
    <definedName name="IQ_CONSUMER_OTHER_NON_MORTGAGE_SVA_PROVISIONS_TRANSFERS_FROM_GVA_TOTAL_THRIFT" hidden="1">"c25186"</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ASSETS_THRIFT" hidden="1">"c25622"</definedName>
    <definedName name="IQ_CONTINGENT_LIABILITIES" hidden="1">"c18873"</definedName>
    <definedName name="IQ_CONTINGENT_RENTAL" hidden="1">"c17746"</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COVERAGE_DATE" hidden="1">"c27242"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HRIFT" hidden="1">"c25089"</definedName>
    <definedName name="IQ_CORE_DEPOSITS_TOT_DEPOSITS_FFIEC" hidden="1">"c13911"</definedName>
    <definedName name="IQ_CORE_DEPOSITS_TOTAL_ASSETS_THRIFT" hidden="1">"c25699"</definedName>
    <definedName name="IQ_CORE_DEPOSITS_TOTAL_DEPOSITS_THRIFT" hidden="1">"c25782"</definedName>
    <definedName name="IQ_CORE_TIER_ONE_CAPITAL" hidden="1">"c15244"</definedName>
    <definedName name="IQ_CORE_TIER_ONE_CAPITAL_RATIO" hidden="1">"c15240"</definedName>
    <definedName name="IQ_CORP_DEPOSITS" hidden="1">"c26986"</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 hidden="1">"c20636"</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FTER_TAXES" hidden="1">"c20637"</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TAXES" hidden="1">"c20638"</definedName>
    <definedName name="IQ_CORP_PROFITS_YOY" hidden="1">"c7283"</definedName>
    <definedName name="IQ_CORP_PROFITS_YOY_FC" hidden="1">"c8163"</definedName>
    <definedName name="IQ_CORPORATE_MUNICIPAL_TRUSTEESHIPS_NUMBER_ISSUES_THRIFT" hidden="1">"c25441"</definedName>
    <definedName name="IQ_CORPORATE_MUNICIPAL_TRUSTEESHIPS_PRINCIPAL_AMT_OUTSTANDING_THRIFT" hidden="1">"c25440"</definedName>
    <definedName name="IQ_CORPORATE_OVER_TOTAL" hidden="1">"c24733"</definedName>
    <definedName name="IQ_CORPORATE_TRUST_AGENCY_ACCOUNTS_INC_THRIFT" hidden="1">"c24805"</definedName>
    <definedName name="IQ_CORPORATE_TRUST_AGENCY_ACCOUNTS_MANAGED_ASSETS_THRIFT" hidden="1">"c25352"</definedName>
    <definedName name="IQ_CORPORATE_TRUST_AGENCY_ACCOUNTS_NONMANAGED_ASSETS_THRIFT" hidden="1">"c25373"</definedName>
    <definedName name="IQ_CORPORATE_TRUST_AGENCY_ACCOUNTS_NUMBER_MANAGED_ACCOUNTS_THRIFT" hidden="1">"c25363"</definedName>
    <definedName name="IQ_CORPORATE_TRUST_AGENCY_ACCOUNTS_NUMBER_NONMANAGED_ACCOUNTS_THRIFT" hidden="1">"c25385"</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ED_FUNDS_PURCHASED_THRIFT" hidden="1">"c25681"</definedName>
    <definedName name="IQ_COST_FOREIGN_DEPOSITS_FFIEC" hidden="1">"c13490"</definedName>
    <definedName name="IQ_COST_FUNDS" hidden="1">"c15726"</definedName>
    <definedName name="IQ_COST_FUNDS_PURCHASED_FFIEC" hidden="1">"c13491"</definedName>
    <definedName name="IQ_COST_INT_BEARING_DEPOSITS_THRIFT" hidden="1">"c25680"</definedName>
    <definedName name="IQ_COST_INT_DEPOSITS_FFIEC" hidden="1">"c13489"</definedName>
    <definedName name="IQ_COST_OF_FUNDING_ASSETS_FDIC" hidden="1">"c6725"</definedName>
    <definedName name="IQ_COST_OTHER_BORROWED_FUNDS_THRIFT" hidden="1">"c25682"</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ERPARTY_RISK" hidden="1">"c26989"</definedName>
    <definedName name="IQ_COUNTRY_NAME" hidden="1">"c230"</definedName>
    <definedName name="IQ_COUNTRY_NAME_ECON" hidden="1">"c11752"</definedName>
    <definedName name="IQ_COUPON_FORMULA" hidden="1">"c8965"</definedName>
    <definedName name="IQ_COVERAGE_RATIO" hidden="1">"c15243"</definedName>
    <definedName name="IQ_COVERED_COMPANIES_ANALYST_ID" hidden="1">"c27241"</definedName>
    <definedName name="IQ_COVERED_COMPANIES_ANALYST_NAME" hidden="1">"c27240"</definedName>
    <definedName name="IQ_COVERED_COMPANIES_ID" hidden="1">"c27239"</definedName>
    <definedName name="IQ_COVERED_COMPANIES_NAME" hidden="1">"c27238"</definedName>
    <definedName name="IQ_COVERED_COMPANIES_TICKER" hidden="1">"c27293"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PI_YOY_PCT" hidden="1">"c20639"</definedName>
    <definedName name="IQ_CPI_YOY_PCT_FC" hidden="1">"c20640"</definedName>
    <definedName name="IQ_CQ" hidden="1">5000</definedName>
    <definedName name="IQ_CREDIT_CARD_CHARGE_OFFS_FDIC" hidden="1">"c6652"</definedName>
    <definedName name="IQ_CREDIT_CARD_CHARGE_OFFS_RELATED_ACCRUED_INTEREST_THRIFT" hidden="1">"c25228"</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GROSS_LOANS_THRIFT" hidden="1">"c25734"</definedName>
    <definedName name="IQ_CREDIT_CARD_LOANS_LOSS_SHARING_DUE_30_89_FFIEC" hidden="1">"c27082"</definedName>
    <definedName name="IQ_CREDIT_CARD_LOANS_LOSS_SHARING_DUE_90_FFIEC" hidden="1">"c27122"</definedName>
    <definedName name="IQ_CREDIT_CARD_LOANS_LOSS_SHARING_FFIEC" hidden="1">"c27199"</definedName>
    <definedName name="IQ_CREDIT_CARD_LOANS_LOSS_SHARING_NON_ACCRUAL_FFIEC" hidden="1">"c27162"</definedName>
    <definedName name="IQ_CREDIT_CARD_LOANS_NON_ACCRUAL_FFIEC" hidden="1">"c13324"</definedName>
    <definedName name="IQ_CREDIT_CARD_LOANS_OUTSTANDING_BUS_NON_MORTGAGE_COMM_LOANS_THRIFT" hidden="1">"c24856"</definedName>
    <definedName name="IQ_CREDIT_CARD_LOANS_RECOV_FFIEC" hidden="1">"c13202"</definedName>
    <definedName name="IQ_CREDIT_CARD_LOANS_RELATED_CHARGE_OFFS_FFIEC" hidden="1">"c25840"</definedName>
    <definedName name="IQ_CREDIT_CARD_LOANS_RELATED_RECOV_FFIEC" hidden="1">"c25841"</definedName>
    <definedName name="IQ_CREDIT_CARD_LOANS_RISK_BASED_CAPITAL_THRIFT" hidden="1">"c25719"</definedName>
    <definedName name="IQ_CREDIT_CARD_LOANS_RSTRC_TERMS_FFIEC" hidden="1">"c27034"</definedName>
    <definedName name="IQ_CREDIT_CARD_NET_CHARGE_OFFS_FDIC" hidden="1">"c6654"</definedName>
    <definedName name="IQ_CREDIT_CARD_RECOVERIES_FDIC" hidden="1">"c6653"</definedName>
    <definedName name="IQ_CREDIT_CARD_RELATED_LL_REC_FFIEC" hidden="1">"c25870"</definedName>
    <definedName name="IQ_CREDIT_CARD_RISK_BASED_FFIEC" hidden="1">"c13433"</definedName>
    <definedName name="IQ_CREDIT_CARDS_CONSUMER_LOANS_FFIEC" hidden="1">"c12822"</definedName>
    <definedName name="IQ_CREDIT_CARDS_CONSUMER_LOANS_QUARTERLY_AVG_FFIEC" hidden="1">"c27066"</definedName>
    <definedName name="IQ_CREDIT_CARDS_CONSUMER_OPEN_END_LINES_CREDIT_THRIFT" hidden="1">"c25609"</definedName>
    <definedName name="IQ_CREDIT_CARDS_EXCD_10_RSTRC_DUE_30_89_FFIEC" hidden="1">"c27103"</definedName>
    <definedName name="IQ_CREDIT_CARDS_EXCD_10_RSTRC_DUE_90_FFIEC" hidden="1">"c27143"</definedName>
    <definedName name="IQ_CREDIT_CARDS_EXCD_10_RSTRC_NON_ACCRUAL_FFIEC" hidden="1">"c27183"</definedName>
    <definedName name="IQ_CREDIT_CARDS_LL_REC_FFIEC" hidden="1">"c12889"</definedName>
    <definedName name="IQ_CREDIT_CARDS_LOANS_TRADING_DOM_FFIEC" hidden="1">"c12933"</definedName>
    <definedName name="IQ_CREDIT_CARDS_OTHER_OPEN_END_LINES_CREDIT_THRIFT" hidden="1">"c25610"</definedName>
    <definedName name="IQ_CREDIT_CARDS_THRIFT" hidden="1">"c24864"</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REDIT_RISK" hidden="1">"c26988"</definedName>
    <definedName name="IQ_CUM_EFFECT_CHANGE_ACCOUNTING_FFIEC" hidden="1">"c25849"</definedName>
    <definedName name="IQ_CUMULATIVE_PREF_THRIFT" hidden="1">"c24915"</definedName>
    <definedName name="IQ_CUMULATIVE_PREFERREDS_T2_FFIEC" hidden="1">"c13145"</definedName>
    <definedName name="IQ_CUMULATIVE_SPLIT_FACTOR" hidden="1">"c2094"</definedName>
    <definedName name="IQ_CURR_ACCT_BALANCE" hidden="1">"c20641"</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GDP" hidden="1">"c20642"</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CM"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CM"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DY_SAFEKEEPING_ACCOUNTS_INC_THRIFT" hidden="1">"c24809"</definedName>
    <definedName name="IQ_CUSTODY_SAFEKEEPING_ACCOUNTS_NONMANAGED_ASSETS_THRIFT" hidden="1">"c25377"</definedName>
    <definedName name="IQ_CUSTODY_SAFEKEEPING_ACCOUNTS_NUMBER_NONMANAGED_ACCOUNTS_THRIFT" hidden="1">"c25389"</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CM"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CM" hidden="1">"c248"</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CM"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CM" hidden="1">"c260"</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LOSS_SHARING_FFIEC" hidden="1">"c27214"</definedName>
    <definedName name="IQ_DEBT_SEC_OVER_5YR_INVEST_SECURITIES_FFIEC" hidden="1">"c13466"</definedName>
    <definedName name="IQ_DEBT_SECURITIES_FOREIGN_FFIEC" hidden="1">"c13484"</definedName>
    <definedName name="IQ_DEBT_SECURITIES_LESS_THAN_1YR_INV_SEC_THRIFT" hidden="1">"c25676"</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BT_SECURITIES_OVER_1YR_INV_SEC_THRIFT" hidden="1">"c25677"</definedName>
    <definedName name="IQ_DECREASE_INT_EXPENSE_FFIEC" hidden="1">"c13064"</definedName>
    <definedName name="IQ_DEDUCTION_EQUITY_INV_OTHER_ASSETS_THRIFT" hidden="1">"c25047"</definedName>
    <definedName name="IQ_DEDUCTION_LOW_LEVEL_RECOURSE_RESIDUAL_INTERESTS_THRIFT" hidden="1">"c25048"</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CM"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CM" hidden="1">"c288"</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CM"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CM"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CM"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OME_TAXES_THRIFT" hidden="1">"c24911"</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CONSOLIDATED_SUBSIDIARIES_THRIFT" hidden="1">"c25570"</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ACQUIRED_NET_DISPOSITIONS_IN_BULK_TRANSACTIONS_THRIFT" hidden="1">"c25345"</definedName>
    <definedName name="IQ_DEPOSITS_AMOUNTS_NETTED_THRIFT" hidden="1">"c25534"</definedName>
    <definedName name="IQ_DEPOSITS_DOM_FFIEC" hidden="1">"c12850"</definedName>
    <definedName name="IQ_DEPOSITS_ESCROWS_THRIFT" hidden="1">"c24895"</definedName>
    <definedName name="IQ_DEPOSITS_EXCLUDING_RETIREMENT_ACCOUNTS_GREATER_THAN_250000_THRIFT" hidden="1">"c24986"</definedName>
    <definedName name="IQ_DEPOSITS_EXCLUDING_RETIREMENT_ACCOUNTS_LESS_THAN_250000_THRIFT" hidden="1">"c24985"</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INV_SEC_GVA_CHARGE_OFFS_THRIFT" hidden="1">"c25112"</definedName>
    <definedName name="IQ_DEPOSITS_INV_SEC_GVA_RECOVERIES_THRIFT" hidden="1">"c25143"</definedName>
    <definedName name="IQ_DEPOSITS_INV_SEC_SVA_PROVISIONS_TRANSFERS_FROM_GVA_THRIFT" hidden="1">"c25166"</definedName>
    <definedName name="IQ_DEPOSITS_INV_SEC_TOTAL_THRIFT" hidden="1">"c25197"</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1_THRIFT" hidden="1">"c25530"</definedName>
    <definedName name="IQ_DEPOSITS_LEVEL_2_FFIEC" hidden="1">"c13229"</definedName>
    <definedName name="IQ_DEPOSITS_LEVEL_2_THRIFT" hidden="1">"c25531"</definedName>
    <definedName name="IQ_DEPOSITS_LEVEL_3_FFIEC" hidden="1">"c13237"</definedName>
    <definedName name="IQ_DEPOSITS_LEVEL_3_THRIFT" hidden="1">"c25532"</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OSITS_THRIFT" hidden="1">"c24896"</definedName>
    <definedName name="IQ_DEPOSITS_TOTAL_AFTER_NETTING_THRIFT" hidden="1">"c25535"</definedName>
    <definedName name="IQ_DEPOSITS_TOTAL_BEFORE_NETTING_THRIFT" hidden="1">"c25533"</definedName>
    <definedName name="IQ_DEPRE_AMORT" hidden="1">"c1360"</definedName>
    <definedName name="IQ_DEPRE_AMORT_SUPPL" hidden="1">"c1593"</definedName>
    <definedName name="IQ_DEPRE_DEPLE" hidden="1">"c1361"</definedName>
    <definedName name="IQ_DEPRE_SUPP" hidden="1">"c1443"</definedName>
    <definedName name="IQ_DEPRECIATION_RENTAL_ASSETS" hidden="1">"c26972"</definedName>
    <definedName name="IQ_DEPRECIATION_RENTAL_ASSETS_CF" hidden="1">"c26973"</definedName>
    <definedName name="IQ_DERIVATIVE_ASSETS_AMOUNTS_NETTED_THRIFT" hidden="1">"c25510"</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1_THRIFT" hidden="1">"c25506"</definedName>
    <definedName name="IQ_DERIVATIVE_ASSETS_LEVEL_2_FFIEC" hidden="1">"c15438"</definedName>
    <definedName name="IQ_DERIVATIVE_ASSETS_LEVEL_2_THRIFT" hidden="1">"c25507"</definedName>
    <definedName name="IQ_DERIVATIVE_ASSETS_LEVEL_3_FFIEC" hidden="1">"c15451"</definedName>
    <definedName name="IQ_DERIVATIVE_ASSETS_LEVEL_3_THRIFT" hidden="1">"c25508"</definedName>
    <definedName name="IQ_DERIVATIVE_ASSETS_LT" hidden="1">"c17745"</definedName>
    <definedName name="IQ_DERIVATIVE_ASSETS_TOTAL_AFTER_NETTING_THRIFT" hidden="1">"c25511"</definedName>
    <definedName name="IQ_DERIVATIVE_ASSETS_TOTAL_BEFORE_NETTING_THRIFT" hidden="1">"c25509"</definedName>
    <definedName name="IQ_DERIVATIVE_LIAB_CURRENT" hidden="1">"c17873"</definedName>
    <definedName name="IQ_DERIVATIVE_LIAB_NON_CURRENT" hidden="1">"c17874"</definedName>
    <definedName name="IQ_DERIVATIVE_LIABILITIES_AMOUNTS_NETTED_THRIFT" hidden="1">"c25552"</definedName>
    <definedName name="IQ_DERIVATIVE_LIABILITIES_FAIR_VALUE_TOT_FFIEC" hidden="1">"c15407"</definedName>
    <definedName name="IQ_DERIVATIVE_LIABILITIES_LEVEL_1_FFIEC" hidden="1">"c15429"</definedName>
    <definedName name="IQ_DERIVATIVE_LIABILITIES_LEVEL_1_THRIFT" hidden="1">"c25548"</definedName>
    <definedName name="IQ_DERIVATIVE_LIABILITIES_LEVEL_2_FFIEC" hidden="1">"c15442"</definedName>
    <definedName name="IQ_DERIVATIVE_LIABILITIES_LEVEL_2_THRIFT" hidden="1">"c25549"</definedName>
    <definedName name="IQ_DERIVATIVE_LIABILITIES_LEVEL_3_FFIEC" hidden="1">"c15455"</definedName>
    <definedName name="IQ_DERIVATIVE_LIABILITIES_LEVEL_3_THRIFT" hidden="1">"c25550"</definedName>
    <definedName name="IQ_DERIVATIVE_LIABILITIES_TOTAL_AFTER_NETTING_THRIFT" hidden="1">"c25553"</definedName>
    <definedName name="IQ_DERIVATIVE_LIABILITIES_TOTAL_BEFORE_NETTING_THRIFT" hidden="1">"c25551"</definedName>
    <definedName name="IQ_DERIVATIVE_TRADING_ASSETS" hidden="1">"c17875"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ALLOWED_SERVICING_OTHER_ASSETS_ADJUSTED_ASSETS_THRIFT" hidden="1">"c25033"</definedName>
    <definedName name="IQ_DISALLOWED_SERVICING_OTHER_ASSETS_T1_THRIFT" hidden="1">"c25024"</definedName>
    <definedName name="IQ_DISBURSED_CONSTRUCTION_MORTGAGE_LOANS_1_4_DWELLING_UNITS_THRIFT" hidden="1">"c25317"</definedName>
    <definedName name="IQ_DISBURSED_CONSTRUCTION_MORTGAGE_LOANS_MULTIFAMILY_5_MORE_DWELLING_UNITS_THRIFT" hidden="1">"c25318"</definedName>
    <definedName name="IQ_DISBURSED_CONSTRUCTION_MORTGAGE_LOANS_NONRES_THRIFT" hidden="1">"c25319"</definedName>
    <definedName name="IQ_DISBURSED_PML_1_4_DWELLING_UNITS_THRIFT" hidden="1">"c25320"</definedName>
    <definedName name="IQ_DISBURSED_PML_HOME_EQUITY_JUNIOR_LIENS_THRIFT" hidden="1">"c25321"</definedName>
    <definedName name="IQ_DISBURSED_PML_LAND_THRIFT" hidden="1">"c25324"</definedName>
    <definedName name="IQ_DISBURSED_PML_MULTIFAMILY_5_MORE_DWELLING_UNITS_THRIFT" hidden="1">"c25322"</definedName>
    <definedName name="IQ_DISBURSED_PML_NONRES_EXCEPT_LAND_THRIFT" hidden="1">"c25323"</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S_BASIC" hidden="1">"c16189"</definedName>
    <definedName name="IQ_DISTRIBUTABLE_CASH_SHARES_DILUTED" hidden="1">"c16190"</definedName>
    <definedName name="IQ_DISTRIBUTABLE_CASH_STANDARDIZED" hidden="1">"c20435"</definedName>
    <definedName name="IQ_DIV_AMOUNT" hidden="1">"c3041"</definedName>
    <definedName name="IQ_DIV_AMOUNT_LIST" hidden="1">"c17417"</definedName>
    <definedName name="IQ_DIV_PAYMENT_DATE" hidden="1">"c2106"</definedName>
    <definedName name="IQ_DIV_PAYMENT_DATE_LIST" hidden="1">"c17418"</definedName>
    <definedName name="IQ_DIV_PAYMENT_TYPE" hidden="1">"c12752"</definedName>
    <definedName name="IQ_DIV_PAYMENT_TYPE_LIST" hidden="1">"c17419"</definedName>
    <definedName name="IQ_DIV_RECORD_DATE" hidden="1">"c2105"</definedName>
    <definedName name="IQ_DIV_RECORD_DATE_LIST" hidden="1">"c17420"</definedName>
    <definedName name="IQ_DIV_SHARE" hidden="1">"c330"</definedName>
    <definedName name="IQ_DIVEST_CF" hidden="1">"c331"</definedName>
    <definedName name="IQ_DIVID_SHARE" hidden="1">"c1366"</definedName>
    <definedName name="IQ_DIVIDEND_INCOME_FHLB_STOCK_THRIFT" hidden="1">"c24754"</definedName>
    <definedName name="IQ_DIVIDEND_INCOME_OTHER_EQUITY_INV_THRIFT" hidden="1">"c24755"</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_FINANCE_CF" hidden="1">"c27336"</definedName>
    <definedName name="IQ_DO_INVEST_CF" hidden="1">"c27335"</definedName>
    <definedName name="IQ_DOC_CLAUSE" hidden="1">"c6032"</definedName>
    <definedName name="IQ_DOM_OFFICE_DEPOSITS_TOT_DEPOSITS_FFIEC" hidden="1">"c13910"</definedName>
    <definedName name="IQ_DOMESTIC_DEPOSITS" hidden="1">"c27338"</definedName>
    <definedName name="IQ_DOMESTIC_LOANS" hidden="1">"c27340"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EST" hidden="1">"c1674"</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_PARENT_EXCL_EXTRA" hidden="1">"c25791"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BEFORE_TAXES_AVG_ASSETS_THRIFT" hidden="1">"c25656"</definedName>
    <definedName name="IQ_EARNINGS_CO_FFIEC" hidden="1">"c13032"</definedName>
    <definedName name="IQ_EARNINGS_CO_THRIFT" hidden="1">"c24796"</definedName>
    <definedName name="IQ_EARNINGS_CONT_OPS_HOMEBUILDING_SALES" hidden="1">"c15817"</definedName>
    <definedName name="IQ_EARNINGS_COVERAGE_LOSSES_FFIEC" hidden="1">"c13351"</definedName>
    <definedName name="IQ_EARNINGS_COVERAGE_NET_CHARGE_OFFS_FDIC" hidden="1">"c6735"</definedName>
    <definedName name="IQ_EARNINGS_COVERAGE_NET_LOSSES_THRIFT" hidden="1">"c25641"</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W_ACT_OR_EST" hidden="1">"c4306"</definedName>
    <definedName name="IQ_EBIT_HIGH_EST" hidden="1">"c1683"</definedName>
    <definedName name="IQ_EBIT_HIGH_EST_THOM" hidden="1">"c5107"</definedName>
    <definedName name="IQ_EBIT_HOMEBUILDING_SALES" hidden="1">"c15815"</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CM" hidden="1">"c378"</definedName>
    <definedName name="IQ_EBT_EXCL" hidden="1">"c379"</definedName>
    <definedName name="IQ_EBT_EXCL_BNK" hidden="1">"c380"</definedName>
    <definedName name="IQ_EBT_EXCL_BR" hidden="1">"c381"</definedName>
    <definedName name="IQ_EBT_EXCL_CM"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HOMEBUILDING_SALES" hidden="1">"c15816"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THRIFT" hidden="1">"c24794"</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DUCATION_LOANS_THRIFT" hidden="1">"c24861"</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MPLOYMENT_YOY" hidden="1">"c20643"</definedName>
    <definedName name="IQ_ENDING_BALANCE_GVA_THRIFT" hidden="1">"c25097"</definedName>
    <definedName name="IQ_ENDING_BALANCE_SVA_THRIFT" hidden="1">"c25104"</definedName>
    <definedName name="IQ_ENDING_BALANCE_TVA_THRIFT" hidden="1">"c25111"</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EST" hidden="1">"c399"</definedName>
    <definedName name="IQ_EPS_EST_BOTTOM_UP" hidden="1">"c5489"</definedName>
    <definedName name="IQ_EPS_EST_BOTTOM_UP_THOM" hidden="1">"c5647"</definedName>
    <definedName name="IQ_EPS_EST_CIQ" hidden="1">"c4994"</definedName>
    <definedName name="IQ_EPS_EST_REUT" hidden="1">"c5453"</definedName>
    <definedName name="IQ_EPS_EST_THOM" hidden="1">"c5290"</definedName>
    <definedName name="IQ_EPS_GW_ACT_OR_EST" hidden="1">"c2223"</definedName>
    <definedName name="IQ_EPS_GW_ACT_OR_EST_CIQ" hidden="1">"c5066"</definedName>
    <definedName name="IQ_EPS_GW_EST" hidden="1">"c1737"</definedName>
    <definedName name="IQ_EPS_GW_EST_CIQ" hidden="1">"c4723"</definedName>
    <definedName name="IQ_EPS_GW_EST_REUT" hidden="1">"c5389"</definedName>
    <definedName name="IQ_EPS_GW_EST_THOM" hidden="1">"c5133"</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EST" hidden="1">"c1744"</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INV_NOT_CARRIED_FV_ADJUSTED_NCOS_THRIFT" hidden="1">"c25226"</definedName>
    <definedName name="IQ_EQUITY_INV_NOT_CARRIED_FV_SVA_PROVISIONS_TRANSFERS_FROM_GVA_THRIFT" hidden="1">"c25195"</definedName>
    <definedName name="IQ_EQUITY_INV_NOT_SUBJECT_SFAS_NO115_GVA_CHARGE_OFFS_THRIFT" hidden="1">"c25141"</definedName>
    <definedName name="IQ_EQUITY_INV_NOT_SUBJECT_SFAS_NO115_GVA_RECOVERIES_THRIFT" hidden="1">"c25164"</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FV_THRIFT" hidden="1">"c24823"</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CROWS_THRIFT" hidden="1">"c24897"</definedName>
    <definedName name="IQ_ESOP_DEBT" hidden="1">"c1597"</definedName>
    <definedName name="IQ_ESOP_DEBT_GUARANTEED_FFIEC" hidden="1">"c12971"</definedName>
    <definedName name="IQ_ESOP_OVER_TOTAL" hidden="1">"c24734"</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FPS" hidden="1">"c1673"</definedName>
    <definedName name="IQ_EST_ACT_CFPS_THOM" hidden="1">"c4012"</definedName>
    <definedName name="IQ_EST_ACT_DPS" hidden="1">"c1680"</definedName>
    <definedName name="IQ_EST_ACT_DPS_THOM" hidden="1">"c4019"</definedName>
    <definedName name="IQ_EST_ACT_EBIT" hidden="1">"c1687"</definedName>
    <definedName name="IQ_EST_ACT_EBIT_THOM" hidden="1">"c5111"</definedName>
    <definedName name="IQ_EST_ACT_EBITDA" hidden="1">"c1664"</definedName>
    <definedName name="IQ_EST_ACT_EBITDA_THOM" hidden="1">"c3998"</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THOM" hidden="1">"c5294"</definedName>
    <definedName name="IQ_EST_ACT_FFO" hidden="1">"c1666"</definedName>
    <definedName name="IQ_EST_ACT_FFO_THOM" hidden="1">"c4005"</definedName>
    <definedName name="IQ_EST_ACT_GROSS_MARGIN" hidden="1">"c5553"</definedName>
    <definedName name="IQ_EST_ACT_GROSS_MARGIN_THOM" hidden="1">"c5561"</definedName>
    <definedName name="IQ_EST_ACT_NAV" hidden="1">"c1757"</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EQ_GROWTH_Q" hidden="1">"c1764"</definedName>
    <definedName name="IQ_EST_EPS_SEQ_GROWTH_Q_THOM" hidden="1">"c5156"</definedName>
    <definedName name="IQ_EST_EPS_SURPRISE_PERCENT" hidden="1">"c1635"</definedName>
    <definedName name="IQ_EST_EPS_SURPRISE_PERCENT_THOM" hidden="1">"c5296"</definedName>
    <definedName name="IQ_EST_FAIR_VALUE_MORT_SERVICING_ASSETS_FFIEC" hidden="1">"c12956"</definedName>
    <definedName name="IQ_EST_FFO_DIFF" hidden="1">"c1869"</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URPRISE_PERCENT" hidden="1">"c1870"</definedName>
    <definedName name="IQ_EST_FFO_SURPRISE_PERCENT_THOM" hidden="1">"c5187"</definedName>
    <definedName name="IQ_EST_FOOTNOTE" hidden="1">"c4540"</definedName>
    <definedName name="IQ_EST_FOOTNOTE_THOM" hidden="1">"c5313"</definedName>
    <definedName name="IQ_EST_NAV_DIFF" hidden="1">"c1895"</definedName>
    <definedName name="IQ_EST_NAV_SURPRISE_PERCENT" hidden="1">"c1896"</definedName>
    <definedName name="IQ_EST_NEXT_EARNINGS_DATE" hidden="1">"c13591"</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CRO_ACTUAL" hidden="1">"c27246"</definedName>
    <definedName name="IQ_EVENT_MACRO_COUNTRY_NAME" hidden="1">"c27250"</definedName>
    <definedName name="IQ_EVENT_MACRO_FORECAST" hidden="1">"c27248"</definedName>
    <definedName name="IQ_EVENT_MACRO_ID" hidden="1">"c27243"</definedName>
    <definedName name="IQ_EVENT_MACRO_PERIOD" hidden="1">"c27245"</definedName>
    <definedName name="IQ_EVENT_MACRO_PREVIOUS" hidden="1">"c27247"</definedName>
    <definedName name="IQ_EVENT_MACRO_REPORT_NAME" hidden="1">"c27244"</definedName>
    <definedName name="IQ_EVENT_MACRO_UNIT" hidden="1">"c27249"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ESS_ALLOWANCE_LL_LOSSES_THRIFT" hidden="1">"c25078"</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_USD" hidden="1">"c20650"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CM"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AVG_ASSETS_THRIFT" hidden="1">"c25659"</definedName>
    <definedName name="IQ_EXTRAORDINARY_ITEMS_FFIEC" hidden="1">"c13033"</definedName>
    <definedName name="IQ_EXTRAORDINARY_ITEMS_THRIFT" hidden="1">"c24797"</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DOM_LOSS_SHARING_FFIEC" hidden="1">"c27208"</definedName>
    <definedName name="IQ_FARMLAND_LOANS_FDIC" hidden="1">"c6314"</definedName>
    <definedName name="IQ_FDI_INFLOWS" hidden="1">"c20651"</definedName>
    <definedName name="IQ_FDI_NET" hidden="1">"c20652"</definedName>
    <definedName name="IQ_FDI_OUTFLOWS" hidden="1">"c20653"</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PURCHASED_SEC_SOLD_REPURCHASE_THRIFT" hidden="1">"c24901"</definedName>
    <definedName name="IQ_FED_FUND_SOLD_SEC_PURCHASED_RESELL_FFIEC" hidden="1">"c15488"</definedName>
    <definedName name="IQ_FED_FUND_SOLD_SEC_PURCHASED_RESELL_THRIFT" hidden="1">"c24821"</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PURCHASED_REPOS_TOTAL_ASSETS_THRIFT" hidden="1">"c25702"</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ERAL_FUNDS_PURCHASED_SEC_SOLD_UNDER_AGREEMENTS_REPURCHASE_AMOUNTS_NETTED_THRIFT" hidden="1">"c25528"</definedName>
    <definedName name="IQ_FEDERAL_FUNDS_PURCHASED_SEC_SOLD_UNDER_AGREEMENTS_REPURCHASE_LEVEL_1_THRIFT" hidden="1">"c25524"</definedName>
    <definedName name="IQ_FEDERAL_FUNDS_PURCHASED_SEC_SOLD_UNDER_AGREEMENTS_REPURCHASE_LEVEL_2_THRIFT" hidden="1">"c25525"</definedName>
    <definedName name="IQ_FEDERAL_FUNDS_PURCHASED_SEC_SOLD_UNDER_AGREEMENTS_REPURCHASE_LEVEL_3_THRIFT" hidden="1">"c25526"</definedName>
    <definedName name="IQ_FEDERAL_FUNDS_PURCHASED_SEC_SOLD_UNDER_AGREEMENTS_REPURCHASE_TOTAL_AFTER_NETTING_THRIFT" hidden="1">"c25529"</definedName>
    <definedName name="IQ_FEDERAL_FUNDS_PURCHASED_SEC_SOLD_UNDER_AGREEMENTS_REPURCHASE_TOTAL_BEFORE_NETTING_THRIFT" hidden="1">"c25527"</definedName>
    <definedName name="IQ_FEDERAL_FUNDS_SOLD_SEC_PURCHASED_UNDER_AGREEMENTS_RESELL_AMOUNTS_NETTED_THRIFT" hidden="1">"c25480"</definedName>
    <definedName name="IQ_FEDERAL_FUNDS_SOLD_SEC_PURCHASED_UNDER_AGREEMENTS_RESELL_LEVEL_1_THRIFT" hidden="1">"c25476"</definedName>
    <definedName name="IQ_FEDERAL_FUNDS_SOLD_SEC_PURCHASED_UNDER_AGREEMENTS_RESELL_LEVEL_2_THRIFT" hidden="1">"c25477"</definedName>
    <definedName name="IQ_FEDERAL_FUNDS_SOLD_SEC_PURCHASED_UNDER_AGREEMENTS_RESELL_LEVEL_3_THRIFT" hidden="1">"c25478"</definedName>
    <definedName name="IQ_FEDERAL_FUNDS_SOLD_SEC_PURCHASED_UNDER_AGREEMENTS_RESELL_TOTAL_AFTER_NETTING_THRIFT" hidden="1">"c25481"</definedName>
    <definedName name="IQ_FEDERAL_FUNDS_SOLD_SEC_PURCHASED_UNDER_AGREEMENTS_RESELL_TOTAL_BEFORE_NETTING_THRIFT" hidden="1">"c25479"</definedName>
    <definedName name="IQ_FEDERAL_INC_TAXES_THRIFT" hidden="1">"c24816"</definedName>
    <definedName name="IQ_FEDFUNDS_PURCHASED_RELATED" hidden="1">"c19132"</definedName>
    <definedName name="IQ_FEDFUNDS_SOLD" hidden="1">"c2256"</definedName>
    <definedName name="IQ_FEDFUNDS_SOLD_RELATED" hidden="1">"c19130"</definedName>
    <definedName name="IQ_FEE_INCOME_COMM_LOANS_THRIFT" hidden="1">"c24751"</definedName>
    <definedName name="IQ_FEE_INCOME_CONSUMER_LOANS_THRIFT" hidden="1">"c24752"</definedName>
    <definedName name="IQ_FEE_INCOME_MORTGAGE_LOANS_THRIFT" hidden="1">"c24750"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DILUTED" hidden="1">"c16186"</definedName>
    <definedName name="IQ_FFO_EST" hidden="1">"c418"</definedName>
    <definedName name="IQ_FFO_EST_THOM" hidden="1">"c3999"</definedName>
    <definedName name="IQ_FFO_HIGH_EST" hidden="1">"c419"</definedName>
    <definedName name="IQ_FFO_HIGH_EST_THOM" hidden="1">"c4001"</definedName>
    <definedName name="IQ_FFO_LOW_EST" hidden="1">"c420"</definedName>
    <definedName name="IQ_FFO_LOW_EST_THOM" hidden="1">"c4002"</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S_BASIC" hidden="1">"c16185"</definedName>
    <definedName name="IQ_FFO_SHARES_DILUTED" hidden="1">"c16187"</definedName>
    <definedName name="IQ_FFO_STDDEV_EST" hidden="1">"c422"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STOCK_NOT_CARRIED_FV_THRIFT" hidden="1">"c24880"</definedName>
    <definedName name="IQ_FIDUCIARY_ACTIVITIES_FDIC" hidden="1">"c6571"</definedName>
    <definedName name="IQ_FIDUCIARY_ACTIVITIES_INCOME_ADJUSTED_OPERATING_INCOME_THRIFT" hidden="1">"c25689"</definedName>
    <definedName name="IQ_FIDUCIARY_INCOME_OPERATING_INC_FFIEC" hidden="1">"c13383"</definedName>
    <definedName name="IQ_FIDUCIARY_MANAGED_ASSETS_THRIFT" hidden="1">"c25438"</definedName>
    <definedName name="IQ_FIDUCIARY_RELATED_SERVICES_EXP_THRIFT" hidden="1">"c24812"</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MINORITY_INT_REDEEM" hidden="1">"c25788"</definedName>
    <definedName name="IQ_FIN_DIV_MINORITY_INTEREST" hidden="1">"c25790"</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_UNUSED_FFIEC" hidden="1">"c25860"</definedName>
    <definedName name="IQ_FIN_INSTANCE_ID" hidden="1">"c13921"</definedName>
    <definedName name="IQ_FIN_PERIOD_ID" hidden="1">"c13920"</definedName>
    <definedName name="IQ_FINANCIAL_ASSETS_CARRIED_FV_THROUGH_EARNINGS_THRIFT" hidden="1">"c24931"</definedName>
    <definedName name="IQ_FINANCIAL_ASSETS_HELD_TRADING_PURPOSES_THRIFT" hidden="1">"c24930"</definedName>
    <definedName name="IQ_FINANCIAL_LIABILITIES_CARRIED_FV_THROUGH_EARNINGS_THRIFT" hidden="1">"c24932"</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BALANCE_PCT_GDP" hidden="1">"c20654"</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SCAL_YEAR_END_THRIFT" hidden="1">"c25020"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IXED_RATE_DEBT" hidden="1">"c17894"</definedName>
    <definedName name="IQ_FIXED_RATE_DEBT_PCT" hidden="1">"c18008"</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"c24735"</definedName>
    <definedName name="IQ_FOUNDATIONS_ENDOWMENT_ACCOUNTS_MANAGED_ASSETS_THRIFT" hidden="1">"c25354"</definedName>
    <definedName name="IQ_FOUNDATIONS_ENDOWMENT_ACCOUNTS_NONMANAGED_ASSETS_THRIFT" hidden="1">"c25375"</definedName>
    <definedName name="IQ_FOUNDATIONS_ENDOWMENT_ACCOUNTS_NUMBER_MANAGED_ACCOUNTS_THRIFT" hidden="1">"c25365"</definedName>
    <definedName name="IQ_FOUNDATIONS_ENDOWMENT_ACCOUNTS_NUMBER_NONMANAGED_ACCOUNTS_THRIFT" hidden="1">"c25387"</definedName>
    <definedName name="IQ_FOUNDATIONS_ENDOWMENTS_INC_THRIFT" hidden="1">"c24807"</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BROKERED_TIME_DEPOSITS_THRIFT" hidden="1">"c25005"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 hidden="1">1000</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CM"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CM" hidden="1">"c454"</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CM"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CM"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CM" hidden="1">"c1464"</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CM"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BARGAIN_PURCHASES_FFIEC" hidden="1">"c25844"</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_AVAILABLE_SALE_AVG_ASSETS_THRIFT" hidden="1">"c25655"</definedName>
    <definedName name="IQ_GAINS_SEC_HELD_MATURITY_AVG_ASSETS_THRIFT" hidden="1">"c25654"</definedName>
    <definedName name="IQ_GAINS_SECURITIZATION_OPERATING_INC_FFIEC" hidden="1">"c13391"</definedName>
    <definedName name="IQ_GCP_CDS_MDS_DATE" hidden="1">"c27273"</definedName>
    <definedName name="IQ_GCP_CDS_MDS_SCORE" hidden="1">"c27272"</definedName>
    <definedName name="IQ_GCP_CDS_MDS_Z_SCORE" hidden="1">"c27274"</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_LIFE_INSURANCE_ASSET_FFIEC" hidden="1">"c27008"</definedName>
    <definedName name="IQ_GENERAL_ALLOWANCE" hidden="1">"c15248"</definedName>
    <definedName name="IQ_GENERAL_OBLIGATIONS_STATE_LOCAL_GOVERNMENTS_ELIGIBLE_20_PCT_RISK_WEIGHT_THRIFT" hidden="1">"c25059"</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INTANGIBLE_ASSETS_THRIFT" hidden="1">"c24887"</definedName>
    <definedName name="IQ_GOODWILL_NET" hidden="1">"c1380"</definedName>
    <definedName name="IQ_GOODWILL_OTHER_INTANGIBLE_ASSETS_ADJUSTED_ASSETS_THRIFT" hidden="1">"c25032"</definedName>
    <definedName name="IQ_GOODWILL_OTHER_INTANGIBLE_ASSETS_T1_THRIFT" hidden="1">"c25023"</definedName>
    <definedName name="IQ_GOODWILL_OTHER_INTANGIBLE_ASSETS_THRIFT" hidden="1">"c24890"</definedName>
    <definedName name="IQ_GOODWILL_OTHER_INTANGIBLES_EXP_THRIFT" hidden="1">"c24791"</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DEPOSITS" hidden="1">"c26987"</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 hidden="1">"c6877"</definedName>
    <definedName name="IQ_GOVT_RECEIPTS_APR" hidden="1">"c7537"</definedName>
    <definedName name="IQ_GOVT_RECEIPTS_APR_FC" hidden="1">"c8417"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FC" hidden="1">"c7757"</definedName>
    <definedName name="IQ_GOVT_RECEIPTS_POP" hidden="1">"c7097"</definedName>
    <definedName name="IQ_GOVT_RECEIPTS_POP_FC" hidden="1">"c7977"</definedName>
    <definedName name="IQ_GOVT_RECEIPTS_TRANSFER" hidden="1">"c20729"</definedName>
    <definedName name="IQ_GOVT_RECEIPTS_TRANSFER_BUSINESS" hidden="1">"c20730"</definedName>
    <definedName name="IQ_GOVT_RECEIPTS_TRANSFER_PERSONAL" hidden="1">"c20731"</definedName>
    <definedName name="IQ_GOVT_RECEIPTS_YOY" hidden="1">"c7317"</definedName>
    <definedName name="IQ_GOVT_RECEIPTS_YOY_FC" hidden="1">"c8197"</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"c17750"</definedName>
    <definedName name="IQ_GROSS_INTAN_ASSETS" hidden="1">"c17748"</definedName>
    <definedName name="IQ_GROSS_LIFE_EARNED" hidden="1">"c2737"</definedName>
    <definedName name="IQ_GROSS_LIFE_IN_FORCE" hidden="1">"c2767"</definedName>
    <definedName name="IQ_GROSS_LOAN_AVG_LOANS_THRIFT" hidden="1">"c25636"</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UARANTEED_PORTION_OTHER_LOANS_LEASES_EXCLUDE_REBOOKED_GNMA_LOANS_DUE_90_THRIFT" hidden="1">"c25280"</definedName>
    <definedName name="IQ_GUARANTEED_PORTION_OTHER_LOANS_LEASES_EXCLUDE_REBOOKED_GNMA_LOANS_NON_ACCRUAL_THRIFT" hidden="1">"c25301"</definedName>
    <definedName name="IQ_GUARTANTEED_PORTION_OTHER_LOANS_LEASES_EXCLUDE_REBOOKED_GNMA_LOANS_DUE_30_89_THRIFT" hidden="1">"c25259"</definedName>
    <definedName name="IQ_GVKEY" hidden="1">"c15590"</definedName>
    <definedName name="IQ_GVKEY_OTHER" hidden="1">"c15633"</definedName>
    <definedName name="IQ_GW" hidden="1">"c530"</definedName>
    <definedName name="IQ_GW_AMORT_BR" hidden="1">"c532"</definedName>
    <definedName name="IQ_GW_AMORT_CM"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CM"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CM" hidden="1">"c1470"</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"c24736"</definedName>
    <definedName name="IQ_HEDGING_ACTIVITIES" hidden="1">"c17899"</definedName>
    <definedName name="IQ_HEDGING_ACTIVITIES_PCT" hidden="1">"c18013"</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INSTITUTION_TYPE" hidden="1">"c24729"</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TYPE" hidden="1">"c27366"</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QUITY_ASSETS" hidden="1">"c26966"</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ANS_TOTAL_LOANS_THRIFT" hidden="1">"c25748"</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MPROVEMENT_LOANS_NOT_SECURED_RE_THRIFT" hidden="1">"c24860"</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30YR_MORTGAGE" hidden="1">"c20753"</definedName>
    <definedName name="IQ_HOUSING_COMPLETION" hidden="1">"c20754"</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RENTAL_VACANCY" hidden="1">"c20763"</definedName>
    <definedName name="IQ_HOUSING_START" hidden="1">"c20764"</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_INV_SEC_THRIFT" hidden="1">"c25669"</definedName>
    <definedName name="IQ_HTM_SEC_TIER_1_CAPITAL_THRIFT" hidden="1">"c25629"</definedName>
    <definedName name="IQ_HTM_SECURITIES_TIER_1_FFIEC" hidden="1">"c13342"</definedName>
    <definedName name="IQ_HYBRID_CAPITAL" hidden="1">"c15245"</definedName>
    <definedName name="IQ_HYBRID_LIFE_INSURANCE_ASSET_FFIEC" hidden="1">"c27010"</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CHG_CREDITWORTH_BANK_HOLD_DRV_ASSET_TRADING_REV_FFIEC" hidden="1">"c27051"</definedName>
    <definedName name="IQ_IMPACT_CHG_CREDITWORTH_BANK_HOLD_DRV_LIAB_TRADING_REV_FFIEC" hidden="1">"c27052"</definedName>
    <definedName name="IQ_IMPACT_UNRECOG_TAX_BENEFIT_EFFECTIVE_TAX" hidden="1">"c15748"</definedName>
    <definedName name="IQ_IMPAIR_CHARGES_DEBT_EQUITY_SEC_THRIFT" hidden="1">"c24777"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ORTS_USD" hidden="1">"c20765"</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CM" hidden="1">"c550"</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BEFORE_EXTRAORDINARY_ITEMS_AVG_ASSETS_THRIFT" hidden="1">"c25658"</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STATEMENT_AP" hidden="1">"c25877"</definedName>
    <definedName name="IQ_INCOME_STATEMENT_AP_CO" hidden="1">"c25878"</definedName>
    <definedName name="IQ_INCOME_STATEMENT_INDUSTRY" hidden="1">"c25873"</definedName>
    <definedName name="IQ_INCOME_STATEMENT_INDUSTRY_CO" hidden="1">"c25874"</definedName>
    <definedName name="IQ_INCOME_STATEMENT_STANDARD" hidden="1">"c25875"</definedName>
    <definedName name="IQ_INCOME_STATEMENT_STANDARD_CO" hidden="1">"c25876"</definedName>
    <definedName name="IQ_INCOME_TAX_FOREIGN_FFIEC" hidden="1">"c15391"</definedName>
    <definedName name="IQ_INCOME_TAXES_FDIC" hidden="1">"c6582"</definedName>
    <definedName name="IQ_INCOME_TAXES_FFIEC" hidden="1">"c13030"</definedName>
    <definedName name="IQ_INCOME_TAXES_PRETAX_NET_OPERATING_INCOME_THRIFT" hidden="1">"c25693"</definedName>
    <definedName name="IQ_INCOME_TAXES_THRIFT" hidden="1">"c24795"</definedName>
    <definedName name="IQ_INCREASE_INT_INCOME_FFIEC" hidden="1">"c13063"</definedName>
    <definedName name="IQ_IND_PROD_INDEX_GROWTH" hidden="1">"c20766"</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CM"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_TYPE" hidden="1">"c24730"</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SURED_GUARANTEED_AGENCY_US_SPONSORED_ENTERPRISE_THRIFT" hidden="1">"c24830"</definedName>
    <definedName name="IQ_INT_ADVANCES_FHLB_THRIFT" hidden="1">"c24759"</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COMM_LOANS_LEASES_THRIFT" hidden="1">"c24748"</definedName>
    <definedName name="IQ_INT_CONSUMER_LOANS_LEASES_THRIFT" hidden="1">"c24749"</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EPOSITS_INV_SEC_THRIFT" hidden="1">"c24745"</definedName>
    <definedName name="IQ_INT_DEPOSITS_THRIFT" hidden="1">"c24757"</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ARNING_DEPOSITS_FHLBS_THRIFT" hidden="1">"c24819"</definedName>
    <definedName name="IQ_INT_ESCROWS_THRIFT" hidden="1">"c24758"</definedName>
    <definedName name="IQ_INT_EXP_AVG_ASSETS_FFIEC" hidden="1">"c13357"</definedName>
    <definedName name="IQ_INT_EXP_AVG_ASSETS_THRIFT" hidden="1">"c25648"</definedName>
    <definedName name="IQ_INT_EXP_AVG_EARNING_ASSETS_THRIFT" hidden="1">"c25667"</definedName>
    <definedName name="IQ_INT_EXP_BR" hidden="1">"c586"</definedName>
    <definedName name="IQ_INT_EXP_CM"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FULLY_INSURED_BROKERED_DEPOSITS_THRIFT" hidden="1">"c24982"</definedName>
    <definedName name="IQ_INT_EXP_INCL_CAP" hidden="1">"c2988"</definedName>
    <definedName name="IQ_INT_EXP_INS" hidden="1">"c589"</definedName>
    <definedName name="IQ_INT_EXP_LTD" hidden="1">"c2086"</definedName>
    <definedName name="IQ_INT_EXP_OTHER_BROKERED_DEPOSITS_THRIFT" hidden="1">"c24983"</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CM"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AVG_ASSETS_THRIFT" hidden="1">"c25647"</definedName>
    <definedName name="IQ_INT_INCOME_AVG_EARNING_ASSETS_THRIFT" hidden="1">"c25666"</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MBS_THRIFT" hidden="1">"c24746"</definedName>
    <definedName name="IQ_INT_MORTGAGE_COLLATERALIZED_SEC_THRIFT" hidden="1">"c24761"</definedName>
    <definedName name="IQ_INT_MORTGAGE_LOANS_THRIFT" hidden="1">"c24747"</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ONLY_STRIP_RECEIVABLES_OTHER_INSTRUMENTS_THRIFT" hidden="1">"c24891"</definedName>
    <definedName name="IQ_INT_OTHER_BORROWINGS_THRIFT" hidden="1">"c24762"</definedName>
    <definedName name="IQ_INT_RATE_EXPOSURE_FFIEC" hidden="1">"c13058"</definedName>
    <definedName name="IQ_INT_RATE_SPREAD" hidden="1">"c604"</definedName>
    <definedName name="IQ_INT_SAVINGS_DEPOSITS_MMDA_DOM_FFIEC" hidden="1">"c15364"</definedName>
    <definedName name="IQ_INT_SUB_DEBT_THRIFT" hidden="1">"c24760"</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_YIELD_DEPOSITS_INV_SEC_THRIFT" hidden="1">"c25679"</definedName>
    <definedName name="IQ_INT_YIELD_MBS_THRIFT" hidden="1">"c25678"</definedName>
    <definedName name="IQ_INTANGIBLE_ASSETS_ADJUSTED_ASSETS_THRIFT" hidden="1">"c25036"</definedName>
    <definedName name="IQ_INTANGIBLE_ASSETS_T1_THRIFT" hidden="1">"c25027"</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ALL_OTHER_ACCOUNTS_THRIFT" hidden="1">"c25424"</definedName>
    <definedName name="IQ_INTEREST_BEARING_DEPOSITS_DOMESTIC_FDIC" hidden="1">"c6478"</definedName>
    <definedName name="IQ_INTEREST_BEARING_DEPOSITS_EMPLOYEE_BENEFIT_RETIREMENT_RELATED_ACCOUNTS_THRIFT" hidden="1">"c25408"</definedName>
    <definedName name="IQ_INTEREST_BEARING_DEPOSITS_FDIC" hidden="1">"c6373"</definedName>
    <definedName name="IQ_INTEREST_BEARING_DEPOSITS_FOREIGN_FDIC" hidden="1">"c6485"</definedName>
    <definedName name="IQ_INTEREST_BEARING_DEPOSITS_PERSONAL_TRUST_AGENCY_INV_MANAGEMENT_AGENCY_ACCOUNTS_THRIFT_THRIFT" hidden="1">"c25392"</definedName>
    <definedName name="IQ_INTEREST_BEARING_TRANS_DOM_QUARTERLY_AVG_FFIEC" hidden="1">"c15484"</definedName>
    <definedName name="IQ_INTEREST_CASH_DEPOSITS" hidden="1">"c2255"</definedName>
    <definedName name="IQ_INTEREST_CREDITED_DEPOSITS_THRIFT" hidden="1">"c25344"</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TRACO_INC_CREDITS_FIDUCIARY_RELATED_SERVICES_THRIFT" hidden="1">"c24814"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IN_UNREGISTERED_FUNDS_PRIVATE_EQUITY_INV_ALL_OTHER_ACCOUNTS_THRIFT" hidden="1">"c25433"</definedName>
    <definedName name="IQ_INV_IN_UNREGISTERED_FUNDS_PRIVATE_EQUITY_INV_EMPLOYEE_BENEFIT_RETIREMENT_RELATED_ACCOUNTS_THRIFT" hidden="1">"c25417"</definedName>
    <definedName name="IQ_INV_IN_UNREGISTERED_FUNDS_PRIVATE_EQUITY_INV_PERSONAL_TRUST_AGENCY_INV_MANAGEMENT_ACCOUNTS_THRIFT" hidden="1">"c25401"</definedName>
    <definedName name="IQ_INV_MANAGEMENT_INV_ADVISORY_AGENCY_ACCOUNTS_GROSS_LOSSES_MANAGED_ACCOUNTS_THRIFT" hidden="1">"c25463"</definedName>
    <definedName name="IQ_INV_MANAGEMENT_INV_ADVISORY_AGENCY_ACCOUNTS_GROSS_LOSSES_NONMANAGED_ACCOUNTS_THRIFT" hidden="1">"c25468"</definedName>
    <definedName name="IQ_INV_MANAGEMENT_INV_ADVISORY_AGENCY_ACCOUNTS_MANAGED_ASSETS_THRIFT" hidden="1">"c25353"</definedName>
    <definedName name="IQ_INV_MANAGEMENT_INV_ADVISORY_AGENCY_ACCOUNTS_NONMANAGED_ASSETS_THRIFT" hidden="1">"c25374"</definedName>
    <definedName name="IQ_INV_MANAGEMENT_INV_ADVISORY_AGENCY_ACCOUNTS_NUMBER_MANAGED_ACCOUNTS_THRIFT" hidden="1">"c25364"</definedName>
    <definedName name="IQ_INV_MANAGEMENT_INV_ADVISORY_AGENCY_ACCOUNTS_NUMBER_NONMANAGED_ACCOUNTS_THRIFT" hidden="1">"c25386"</definedName>
    <definedName name="IQ_INV_MANAGEMENT_INV_ADVISORY_AGENCY_ACCOUNTS_RECOVERIES_THRIFT" hidden="1">"c25473"</definedName>
    <definedName name="IQ_INV_METHOD" hidden="1">"c621"</definedName>
    <definedName name="IQ_INV_MGMT_ADVISORY_AGENCY_ACCOUNTS_INC_THRIFT" hidden="1">"c24806"</definedName>
    <definedName name="IQ_INV_NONCONTROLLING_INTERESTS_IN_SUBS_T1_THRIFT" hidden="1">"c25022"</definedName>
    <definedName name="IQ_INV_REL_ID" hidden="1">"c15220"</definedName>
    <definedName name="IQ_INV_REL_NAME" hidden="1">"c15219"</definedName>
    <definedName name="IQ_INV_SEC_TOTAL_ASSETS_THRIFT" hidden="1">"c25697"</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CM"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CM"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RA_KEOGH_ACCOUNTS_GREATER_THAN_100000_INCLUDED_IN_TIME_DEPOSITS_THRIFT" hidden="1">"c25004"</definedName>
    <definedName name="IQ_IRA_KEOGH_ACCOUNTS_THRIFT" hidden="1">"c24994"</definedName>
    <definedName name="IQ_IRAS_HSAS_SIMILAR_ACCOUNTS_MANAGED_ASSETS_THRIFT" hidden="1">"c25351"</definedName>
    <definedName name="IQ_IRAS_HSAS_SIMILAR_ACCOUNTS_NONMANAGED_ASSETS_THRIFT" hidden="1">"c25372"</definedName>
    <definedName name="IQ_IRAS_HSAS_SIMILAR_ACCOUNTS_NUMBER_MANAGED_ACCOUNTS_THRIFT" hidden="1">"c25362"</definedName>
    <definedName name="IQ_IRAS_HSAS_SIMILAR_ACCOUNTS_NUMBER_NONMANAGED_ACCOUNTS_THRIFT" hidden="1">"c25384"</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FNMA_FHLMC_GNMA_THRIFT" hidden="1">"c24833"</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ISSUES_IN_DEFAULT_PRINCIPAL_AMT_OUTSTANDING_THRIFT" hidden="1">"c25442"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KEY_PERSON_LIFE_INSURANCE_THRIFT" hidden="1">"c24885"</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 hidden="1">"c645"</definedName>
    <definedName name="IQ_LAND_LOANS_IN_PROCESS_FORECLOSURE_THRIFT" hidden="1">"c25309"</definedName>
    <definedName name="IQ_LAND_LOANS_TOTAL_LOANS_THRIFT" hidden="1">"c25747"</definedName>
    <definedName name="IQ_LAND_MINERAL_RIGHTS_TO_PPE_GROSS_COAL" hidden="1">"c15949"</definedName>
    <definedName name="IQ_LAND_MINERAL_RIGHTS_TO_PPE_NET_COAL" hidden="1">"c15950"</definedName>
    <definedName name="IQ_LAND_PML_ADJUSTED_NCOS_TOTAL_THRIFT" hidden="1">"c25208"</definedName>
    <definedName name="IQ_LAND_PML_GVA_CHARGE_OFFS_THRIFT" hidden="1">"c25123"</definedName>
    <definedName name="IQ_LAND_PML_GVA_RECOVERIES_THRIFT" hidden="1">"c25154"</definedName>
    <definedName name="IQ_LAND_PML_SVA_PROVISIONS_TRANSFERS_FROM_GVA_TOTAL_THRIFT" hidden="1">"c25177"</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Q" hidden="1">500</definedName>
    <definedName name="IQ_LEAD_UNDERWRITER" hidden="1">"c8957"</definedName>
    <definedName name="IQ_LEASE_EXPENSE" hidden="1">"c16039"</definedName>
    <definedName name="IQ_LEASE_FIN_REC_INCL_EXCD_10_LL_FFIEC" hidden="1">"c27206"</definedName>
    <definedName name="IQ_LEASE_FIN_REC_LOSS_SHARING_DUE_30_89_FFIEC" hidden="1">"c27089"</definedName>
    <definedName name="IQ_LEASE_FIN_REC_LOSS_SHARING_DUE_90_FFIEC" hidden="1">"c27129"</definedName>
    <definedName name="IQ_LEASE_FIN_REC_LOSS_SHARING_NON_ACCRUAL_FFIEC" hidden="1">"c27169"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CEIVABLES_THRIFT" hidden="1">"c24857"</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EXP_THRIFT" hidden="1">"c24789"</definedName>
    <definedName name="IQ_LEGAL_FEES_FFIEC" hidden="1">"c13052"</definedName>
    <definedName name="IQ_LEGAL_SETTLE" hidden="1">"c647"</definedName>
    <definedName name="IQ_LEGAL_SETTLE_BNK" hidden="1">"c648"</definedName>
    <definedName name="IQ_LEGAL_SETTLE_BR" hidden="1">"c649"</definedName>
    <definedName name="IQ_LEGAL_SETTLE_CM"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TTERS_CREDIT_THRIFT" hidden="1">"c25612"</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_LIQUID_ASSETS_THRIFT" hidden="1">"c25626"</definedName>
    <definedName name="IQ_LIQUID_ASSETS_NONCORE_FUNDING_FFIEC" hidden="1">"c13339"</definedName>
    <definedName name="IQ_LIQUID_ASSETS_TOTAL_ASSETS_THRIFT" hidden="1">"c25696"</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L_ALLOWANCE_GROSS_LOANS_THRIFT" hidden="1">"c25637"</definedName>
    <definedName name="IQ_LL_ALLOWANCE_NET_LOANS_LOSSES_THRIFT" hidden="1">"c25642"</definedName>
    <definedName name="IQ_LL_ALLOWANCE_NONACCRUAL_ASSETS_THRIFT" hidden="1">"c25638"</definedName>
    <definedName name="IQ_LL_GUARANTEED_US_GOVT_EXCL_LOSS_SHARING_DUE_30_89_FFIEC" hidden="1">"c27068"</definedName>
    <definedName name="IQ_LL_GUARANTEED_US_GOVT_EXCL_LOSS_SHARING_DUE_90_FFIEC" hidden="1">"c27108"</definedName>
    <definedName name="IQ_LL_GUARANTEED_US_GOVT_EXCL_LOSS_SHARING_NON_ACCRUAL_FFIEC" hidden="1">"c27148"</definedName>
    <definedName name="IQ_LL_LOSS_SHARING_DUE_30_89_FFIEC" hidden="1">"c27090"</definedName>
    <definedName name="IQ_LL_LOSS_SHARING_DUE_90_FFIEC" hidden="1">"c27130"</definedName>
    <definedName name="IQ_LL_LOSS_SHARING_NON_ACCRUAL_FFIEC" hidden="1">"c27170"</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ALLOWANCE_PAST_DUE_NONACCRUAL_LOANS_THRIFT" hidden="1">"c25643"</definedName>
    <definedName name="IQ_LOAN_LEASE_RECEIV" hidden="1">"c657"</definedName>
    <definedName name="IQ_LOAN_LOSS" hidden="1">"c1386"</definedName>
    <definedName name="IQ_LOAN_LOSS_ALLOW_FDIC" hidden="1">"c6326"</definedName>
    <definedName name="IQ_LOAN_LOSS_ALLOWANCE_GROSS_LOANS_THRIFT" hidden="1">"c25736"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RECOVERIES_AVG_LOANS_THRIFT" hidden="1">"c25644"</definedName>
    <definedName name="IQ_LOAN_SERVICE_REV" hidden="1">"c658"</definedName>
    <definedName name="IQ_LOAN_SERVICING_FEES_THRIFT" hidden="1">"c24790"</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CM"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_INST_BANKS_EXCD_10_LL_FFIEC" hidden="1">"c27203"</definedName>
    <definedName name="IQ_LOANS_DEP_INST_BANKS_EXCD_10_RSTRC_DUE_30_89_FFIEC" hidden="1">"c27101"</definedName>
    <definedName name="IQ_LOANS_DEP_INST_BANKS_EXCD_10_RSTRC_DUE_90_FFIEC" hidden="1">"c27141"</definedName>
    <definedName name="IQ_LOANS_DEP_INST_BANKS_EXCD_10_RSTRC_NON_ACCRUAL_FFIEC" hidden="1">"c27181"</definedName>
    <definedName name="IQ_LOANS_DEP_INST_BANKS_EXCD_10_RSTRC_TERMS_FFIEC" hidden="1">"c27032"</definedName>
    <definedName name="IQ_LOANS_DEP_INST_BANKS_LOSS_SHARING_DUE_30_89_FFIEC" hidden="1">"c27086"</definedName>
    <definedName name="IQ_LOANS_DEP_INST_BANKS_LOSS_SHARING_DUE_90_FFIEC" hidden="1">"c27126"</definedName>
    <definedName name="IQ_LOANS_DEP_INST_BANKS_LOSS_SHARING_NON_ACCRUAL_FFIEC" hidden="1">"c27166"</definedName>
    <definedName name="IQ_LOANS_DEP_LL_REC_DOM_FFIEC" hidden="1">"c25855"</definedName>
    <definedName name="IQ_LOANS_DEP_LL_REC_FFIEC" hidden="1">"c25851"</definedName>
    <definedName name="IQ_LOANS_DEP_OTHER_LL_REC_DOM_FFIEC" hidden="1">"c25854"</definedName>
    <definedName name="IQ_LOANS_DEP_OTHER_LL_REC_FFIEC" hidden="1">"c25850"</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EXCD_10_RSTRC_DUE_30_89_FFIEC" hidden="1">"c27102"</definedName>
    <definedName name="IQ_LOANS_FINANCE_AGRICULTURAL_PROD_EXCD_10_RSTRC_DUE_90_FFIEC" hidden="1">"c27142"</definedName>
    <definedName name="IQ_LOANS_FINANCE_AGRICULTURAL_PROD_EXCD_10_RSTRC_NON_ACCRUAL_FFIEC" hidden="1">"c27182"</definedName>
    <definedName name="IQ_LOANS_FINANCE_AGRICULTURAL_PROD_EXCD_10_RSTRC_TERMS_FFIEC" hidden="1">"c27033"</definedName>
    <definedName name="IQ_LOANS_FINANCE_AGRICULTURAL_PROD_LL_REC_DOM_FFIEC" hidden="1">"c12909"</definedName>
    <definedName name="IQ_LOANS_FINANCE_AGRICULTURAL_PROD_LOSS_SHARING_DUE_30_89_FFIEC" hidden="1">"c27080"</definedName>
    <definedName name="IQ_LOANS_FINANCE_AGRICULTURAL_PROD_LOSS_SHARING_DUE_90_FFIEC" hidden="1">"c27120"</definedName>
    <definedName name="IQ_LOANS_FINANCE_AGRICULTURAL_PROD_LOSS_SHARING_FFIEC" hidden="1">"c27197"</definedName>
    <definedName name="IQ_LOANS_FINANCE_AGRICULTURAL_PROD_LOSS_SHARING_NON_ACCRUAL_FFIEC" hidden="1">"c27160"</definedName>
    <definedName name="IQ_LOANS_FINANCE_AGRICULTURAL_PROD_QUARTERLY_AVG_FFIEC" hidden="1">"c27063"</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GOVT_OFFICIAL_EXCD_10_LL_FFIEC" hidden="1">"c27204"</definedName>
    <definedName name="IQ_LOANS_FOREIGN_GOVT_OFFICIAL_EXCD_10_RSTRC_DUE_30_89_FFIEC" hidden="1">"c27106"</definedName>
    <definedName name="IQ_LOANS_FOREIGN_GOVT_OFFICIAL_EXCD_10_RSTRC_DUE_90_FFIEC" hidden="1">"c27146"</definedName>
    <definedName name="IQ_LOANS_FOREIGN_GOVT_OFFICIAL_EXCD_10_RSTRC_NON_ACCRUAL_FFIEC" hidden="1">"c27186"</definedName>
    <definedName name="IQ_LOANS_FOREIGN_GOVT_OFFICIAL_EXCD_10_RSTRC_TERMS_FFIEC" hidden="1">"c27037"</definedName>
    <definedName name="IQ_LOANS_FOREIGN_GOVT_OFFICIAL_INST_LOSS_SHARING_DUE_30_89_FFIEC" hidden="1">"c27087"</definedName>
    <definedName name="IQ_LOANS_FOREIGN_GOVT_OFFICIAL_INST_LOSS_SHARING_DUE_90_FFIEC" hidden="1">"c27127"</definedName>
    <definedName name="IQ_LOANS_FOREIGN_GOVT_OFFICIAL_INST_LOSS_SHARING_NON_ACCRUAL_FFIEC" hidden="1">"c27167"</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INDIVIDUALS_GROSS_LOANS_THRIFT" hidden="1">"c25733"</definedName>
    <definedName name="IQ_LOANS_INDIVIDUALS_RISK_BASED_CAPITAL_THRIFT" hidden="1">"c25718"</definedName>
    <definedName name="IQ_LOANS_LEASES_AMOUNTS_NETTED_THRIFT" hidden="1">"c25498"</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DUE_30_89_THRIFT" hidden="1">"c25257"</definedName>
    <definedName name="IQ_LOANS_LEASES_HFS_DUE_90_THRIFT" hidden="1">"c25278"</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HFS_NON_ACCRUAL_THRIFT" hidden="1">"c25299"</definedName>
    <definedName name="IQ_LOANS_LEASES_LEVEL_1_FFIEC" hidden="1">"c13217"</definedName>
    <definedName name="IQ_LOANS_LEASES_LEVEL_1_THRIFT" hidden="1">"c25494"</definedName>
    <definedName name="IQ_LOANS_LEASES_LEVEL_2_FFIEC" hidden="1">"c13225"</definedName>
    <definedName name="IQ_LOANS_LEASES_LEVEL_2_THRIFT" hidden="1">"c25495"</definedName>
    <definedName name="IQ_LOANS_LEASES_LEVEL_3_FFIEC" hidden="1">"c13233"</definedName>
    <definedName name="IQ_LOANS_LEASES_LEVEL_3_THRIFT" hidden="1">"c25496"</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EASES_REPORTED_WHOLLY_PARTIALLY_GUARANT_US_GOVT_AGENCY_SPONS_ENTITY_DUE_30_89_THRIFT" hidden="1">"c25258"</definedName>
    <definedName name="IQ_LOANS_LEASES_REPORTED_WHOLLY_PARTIALLY_GUARANT_US_GOVT_AGENCY_SPONS_ENTITY_DUE_90_THRIFT" hidden="1">"c25279"</definedName>
    <definedName name="IQ_LOANS_LEASES_REPORTED_WHOLLY_PARTIALLY_GUARANT_US_GOVT_AGENCY_SPONS_ENTITY_NON_ACCRUAL_THRIFT" hidden="1">"c25300"</definedName>
    <definedName name="IQ_LOANS_LEASES_TOTAL_AFTER_NETTING_THRIFT" hidden="1">"c25499"</definedName>
    <definedName name="IQ_LOANS_LEASES_TOTAL_BEFORE_NETTING_THRIFT" hidden="1">"c25497"</definedName>
    <definedName name="IQ_LOANS_LOC_ASSETS_TOT_FFIEC" hidden="1">"c13441"</definedName>
    <definedName name="IQ_LOANS_NOT_SECURED_RE_FDIC" hidden="1">"c6381"</definedName>
    <definedName name="IQ_LOANS_PAST_DUE" hidden="1">"c667"</definedName>
    <definedName name="IQ_LOANS_PURCHASE_CARRY_LL_REC_DOM_FFIEC" hidden="1">"c25856"</definedName>
    <definedName name="IQ_LOANS_PURCHASE_CARRY_LL_REC_FFIEC" hidden="1">"c25852"</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FARMLAND_DOM_LOANS_EXCD_10_RSTRC_DUE_30_89_FFIEC" hidden="1">"c27100"</definedName>
    <definedName name="IQ_LOANS_SEC_FARMLAND_DOM_LOANS_EXCD_10_RSTRC_DUE_90_FFIEC" hidden="1">"c27140"</definedName>
    <definedName name="IQ_LOANS_SEC_FARMLAND_DOM_LOANS_EXCD_10_RSTRC_NON_ACCRUAL_FFIEC" hidden="1">"c27180"</definedName>
    <definedName name="IQ_LOANS_SEC_FARMLAND_DOM_LOANS_EXCD_10_RSTRC_TERMS_FFIEC" hidden="1">"c27031"</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_100000_THROUGH_250000_THRIFT" hidden="1">"c24968"</definedName>
    <definedName name="IQ_LOANS_SECURED_FARM_250000_THROUGH_500000_THRIFT" hidden="1">"c24970"</definedName>
    <definedName name="IQ_LOANS_SECURED_FARM_LESS_THAN_EQUAL_100000_THRIFT" hidden="1">"c24966"</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SERVICED_OTHERS_THRIFT" hidden="1">"c24935"</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RECOGNIZED_OCI_FFIEC" hidden="1">"c25847"</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M" hidden="1">"c676"</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M"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CM"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CM"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OTHER_PROF_SERVICES_THRIFT" hidden="1">"c24788"</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ALL_OTHER_COMM_AFS_FFIEC" hidden="1">"c27004"</definedName>
    <definedName name="IQ_MBS_COMM_OTHER_PASS_THROUGH_AFS_AMORT_COST_FFIEC" hidden="1">"c27020"</definedName>
    <definedName name="IQ_MBS_COMM_OTHER_PASS_THROUGH_AFS_FFIEC" hidden="1">"c27002"</definedName>
    <definedName name="IQ_MBS_COMM_OTHER_PASS_THROUGH_HTM_FAIR_VAL_FFIEC" hidden="1">"c27016"</definedName>
    <definedName name="IQ_MBS_COMM_OTHER_PASS_THROUGH_HTM_FFIEC" hidden="1">"c26998"</definedName>
    <definedName name="IQ_MBS_COMM_PASS_THROUGH_ISSUED_FNMA_AFS_AMORT_COST_FFIEC" hidden="1">"c27019"</definedName>
    <definedName name="IQ_MBS_COMM_PASS_THROUGH_ISSUED_FNMA_AFS_FFIEC" hidden="1">"c27001"</definedName>
    <definedName name="IQ_MBS_COMM_PASS_THROUGH_ISSUED_FNMA_HTM_FAIR_VAL_FFIEC" hidden="1">"c27015"</definedName>
    <definedName name="IQ_MBS_COMM_PASS_THROUGH_ISSUED_FNMA_HTM_FFIEC" hidden="1">"c26997"</definedName>
    <definedName name="IQ_MBS_INVEST_SECURITIES_FFIEC" hidden="1">"c13460"</definedName>
    <definedName name="IQ_MBS_OTHER_COMM_AFS_AMORT_COST_FFIEC" hidden="1">"c27022"</definedName>
    <definedName name="IQ_MBS_OTHER_COMM_HTM_FAIR_VAL_FFIEC" hidden="1">"c27018"</definedName>
    <definedName name="IQ_MBS_OTHER_COMM_HTM_FFIEC" hidden="1">"c27000"</definedName>
    <definedName name="IQ_MBS_OTHER_COMM_ISSUED_FNMA_AFS_AMORT_COST_FFIEC" hidden="1">"c27021"</definedName>
    <definedName name="IQ_MBS_OTHER_COMM_ISSUED_FNMA_AFS_FFIEC" hidden="1">"c27003"</definedName>
    <definedName name="IQ_MBS_OTHER_COMM_ISSUED_FNMA_HTM_FAIR_VAL_FFIEC" hidden="1">"c27017"</definedName>
    <definedName name="IQ_MBS_OTHER_COMM_ISSUED_FNMA_HTM_FFIEC" hidden="1">"c26999"</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MO_LOANS_SOLD_WITH_RECOURSE_120_DAYS_LESS_THRIFT" hidden="1">"c25337"</definedName>
    <definedName name="IQ_MEMO_LOANS_SOLD_WITH_RECOURSE_GREATER_THAN_120_DAYS_THRIFT" hidden="1">"c25338"</definedName>
    <definedName name="IQ_MEMO_REFINANCING_LOANS_THRIFT" hidden="1">"c25336"</definedName>
    <definedName name="IQ_MERGER" hidden="1">"c713"</definedName>
    <definedName name="IQ_MERGER_BNK" hidden="1">"c714"</definedName>
    <definedName name="IQ_MERGER_BR" hidden="1">"c715"</definedName>
    <definedName name="IQ_MERGER_CM"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CM"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ETRIC_NAME" hidden="1">"c18017"</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IMUM_RENTAL" hidden="1">"c26970"</definedName>
    <definedName name="IQ_MINORITY_INT_AVG_ASSETS_FFIEC" hidden="1">"c13367"</definedName>
    <definedName name="IQ_MINORITY_INT_AVG_ASSETS_THRIFT" hidden="1">"c25660"</definedName>
    <definedName name="IQ_MINORITY_INT_BS_FFIEC" hidden="1">"c12874"</definedName>
    <definedName name="IQ_MINORITY_INT_FFIEC" hidden="1">"c13031"</definedName>
    <definedName name="IQ_MINORITY_INT_REDEEM" hidden="1">"c25787"</definedName>
    <definedName name="IQ_MINORITY_INT_REDEEM_TOT" hidden="1">"c25789"</definedName>
    <definedName name="IQ_MINORITY_INT_THRIFT" hidden="1">"c24926"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M" hidden="1">"c729"</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ISCELLANEOUS_ASSETS_ALL_OTHER_ACCOUNTS_THRIFT" hidden="1">"c25437"</definedName>
    <definedName name="IQ_MISCELLANEOUS_ASSETS_EMPLOYEE_BENEFIT_RETIREMENT_RELATED_ACCOUNTS_THRIFT" hidden="1">"c25421"</definedName>
    <definedName name="IQ_MISCELLANEOUS_ASSETS_PERSONAL_TRUST_AGENCY_INV_MANAGEMENT_ACCOUNTS_THRIFT" hidden="1">"c25405"</definedName>
    <definedName name="IQ_MKT_RISK" hidden="1">"c26991"</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MDA_SAVINGS_TOTAL_DEPOSITS_THRIFT" hidden="1">"c25778"</definedName>
    <definedName name="IQ_MOBILE_HOME_LOANS_THRIFT" hidden="1">"c24863"</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ARKET_DEPOSIT_ACCOUNTS_THRIFT" hidden="1">"c24999"</definedName>
    <definedName name="IQ_MONEY_MKT_DEPOSITS_TOTAL_DEPOSITS" hidden="1">"c15720"</definedName>
    <definedName name="IQ_MONEY_MKT_SAVINGS_ACCT_DEPOSITS_TOTAL_DEPOSITS" hidden="1">"c15722"</definedName>
    <definedName name="IQ_MONEY_SUPPLY_M1" hidden="1">"c20881"</definedName>
    <definedName name="IQ_MONEY_SUPPLY_M2" hidden="1">"c20882"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ASSET_BACKED_SEC_ELIGIBLE_20_PCT_RISK_WEIGHT_THRIFT" hidden="1">"c25057"</definedName>
    <definedName name="IQ_MORTGAGE_ASSET_BACKED_SEC_ELIGIBLE_50_PCT_RISK_WEIGHT_THRIFT" hidden="1">"c25066"</definedName>
    <definedName name="IQ_MORTGAGE_BACKED_SEC_ADJUSTED_NCOS_THRIFT" hidden="1">"c25198"</definedName>
    <definedName name="IQ_MORTGAGE_BACKED_SEC_GVA_CHARGE_OFFS_THRIFT" hidden="1">"c25113"</definedName>
    <definedName name="IQ_MORTGAGE_BACKED_SEC_GVA_RECOVERIES_THRIFT" hidden="1">"c25144"</definedName>
    <definedName name="IQ_MORTGAGE_BACKED_SEC_INV_SEC_THRIFT" hidden="1">"c25673"</definedName>
    <definedName name="IQ_MORTGAGE_BACKED_SEC_SVA_PROVISIONS_TRANSFERS_FROM_GVA_THRIFT" hidden="1">"c25167"</definedName>
    <definedName name="IQ_MORTGAGE_BACKED_SECURITIES_FDIC" hidden="1">"c6402"</definedName>
    <definedName name="IQ_MORTGAGE_BACKED_SECURITIES_QUARTERLY_AVG_FFIEC" hidden="1">"c27061"</definedName>
    <definedName name="IQ_MORTGAGE_DEBT_UNDER_CAPITAL_LEASES_FFIEC" hidden="1">"c15276"</definedName>
    <definedName name="IQ_MORTGAGE_LOAN_SERVICING_FEES_THRIFT" hidden="1">"c24766"</definedName>
    <definedName name="IQ_MORTGAGE_LOANS_ADJUSTED_NCOS_TOTAL_THRIFT" hidden="1">"c25199"</definedName>
    <definedName name="IQ_MORTGAGE_LOANS_CASH_REPAYMENT_PRINCIPAL_THRIFT" hidden="1">"c25334"</definedName>
    <definedName name="IQ_MORTGAGE_LOANS_DEBITS_LESS_CREDITS_OTHER_THAN_REPAYMENT_PRINCIPAL_THRIFT" hidden="1">"c25335"</definedName>
    <definedName name="IQ_MORTGAGE_LOANS_FORECLOSED_DURING_QUARTER_TOTAL_THRIFT" hidden="1">"c25236"</definedName>
    <definedName name="IQ_MORTGAGE_LOANS_GROSS_LOANS_THRIFT" hidden="1">"c25721"</definedName>
    <definedName name="IQ_MORTGAGE_LOANS_GVA_RECOVERIES_TOTAL_THRIFT" hidden="1">"c25145"</definedName>
    <definedName name="IQ_MORTGAGE_LOANS_PARTICIPATIONS_PURCHASED_FROM_ENTITIES_OTHER_THAN_FEDERALLY_INSURED_DEPOSITORY_INSTITUTIONS_THEIR_SUBSIDIARIES_THRIFT" hidden="1">"c25326"</definedName>
    <definedName name="IQ_MORTGAGE_LOANS_PARTICIPATIONS_PURCHASED_SECURED_1_4_DWELLING_UNITS_THRIFT" hidden="1">"c25325"</definedName>
    <definedName name="IQ_MORTGAGE_LOANS_PARTICIPATIONS_PURCHASED_SECURED_HOME_EQUITY_JUNIOR_LIENS_THRIFT" hidden="1">"c25327"</definedName>
    <definedName name="IQ_MORTGAGE_LOANS_PARTICIPATIONS_PURCHASED_SECURED_MULTIFAMILY_5_MORE_DWELLING_UNITS_THRIFT" hidden="1">"c25328"</definedName>
    <definedName name="IQ_MORTGAGE_LOANS_PARTICIPATIONS_PURCHASED_SECURED_NONRES_THRIFT" hidden="1">"c25329"</definedName>
    <definedName name="IQ_MORTGAGE_LOANS_PARTICIPATIONS_SOLD_SECURED_1_4_DWELLING_UNITS_THRIFT" hidden="1">"c25330"</definedName>
    <definedName name="IQ_MORTGAGE_LOANS_PARTICIPATIONS_SOLD_SECURED_HOME_EQUITY_JUNIOR_LIENS_THRIFT" hidden="1">"c25331"</definedName>
    <definedName name="IQ_MORTGAGE_LOANS_PARTICIPATIONS_SOLD_SECURED_MULTIFAMILY_5_MORE_DWELLING_UNITS_THRIFT" hidden="1">"c25332"</definedName>
    <definedName name="IQ_MORTGAGE_LOANS_PARTICIPATIONS_SOLD_SECURED_NONRES_THRIFT" hidden="1">"c25333"</definedName>
    <definedName name="IQ_MORTGAGE_LOANS_RISK_BASED_CAPITAL_THRIFT" hidden="1">"c25706"</definedName>
    <definedName name="IQ_MORTGAGE_LOANS_SECURED_NON_RES_PROPERTY_100000_THROUGH_250000_THRIFT" hidden="1">"c24954"</definedName>
    <definedName name="IQ_MORTGAGE_LOANS_SECURED_NON_RES_PROPERTY_250000_THROUGH_1000000_THRIFT" hidden="1">"c24956"</definedName>
    <definedName name="IQ_MORTGAGE_LOANS_SECURED_NON_RES_PROPERTY_LESS_THAN_EQUAL_100000_THRIFT" hidden="1">"c24952"</definedName>
    <definedName name="IQ_MORTGAGE_LOANS_SVA_PROVISIONS_TRANSFERS_FROM_GVA_TOTAL_THRIFT" hidden="1">"c25168"</definedName>
    <definedName name="IQ_MORTGAGE_LOANS_TOTAL_GVA_CHARGE_OFFS_THRIFT" hidden="1">"c25114"</definedName>
    <definedName name="IQ_MORTGAGE_LOANS_TOTAL_LOANS_THRIFT" hidden="1">"c25740"</definedName>
    <definedName name="IQ_MORTGAGE_SERV_RIGHTS" hidden="1">"c2242"</definedName>
    <definedName name="IQ_MORTGAGE_SERVICING_ASSETS_FFIEC" hidden="1">"c12838"</definedName>
    <definedName name="IQ_MORTGAGE_SERVICING_FDIC" hidden="1">"c6335"</definedName>
    <definedName name="IQ_MORTGAGE_SERVICING_RIGHTS_AMOUNTS_NETTED_THRIFT" hidden="1">"c25504"</definedName>
    <definedName name="IQ_MORTGAGE_SERVICING_RIGHTS_LEVEL_1_THRIFT" hidden="1">"c25500"</definedName>
    <definedName name="IQ_MORTGAGE_SERVICING_RIGHTS_LEVEL_2_THRIFT" hidden="1">"c25501"</definedName>
    <definedName name="IQ_MORTGAGE_SERVICING_RIGHTS_LEVEL_3_THRIFT" hidden="1">"c25502"</definedName>
    <definedName name="IQ_MORTGAGE_SERVICING_RIGHTS_TOTAL_AFTER_NETTING_THRIFT" hidden="1">"c25505"</definedName>
    <definedName name="IQ_MORTGAGE_SERVICING_RIGHTS_TOTAL_BEFORE_NETTING_THRIFT" hidden="1">"c25503"</definedName>
    <definedName name="IQ_MTM_ADJ" hidden="1">"c16000"</definedName>
    <definedName name="IQ_MULTI_RES_PROPERTIES_TRADING_DOM_FFIEC" hidden="1">"c12930"</definedName>
    <definedName name="IQ_MULTIFAM_5_LOANS_TOT_LOANS_FFIEC" hidden="1">"c13869"</definedName>
    <definedName name="IQ_MULTIFAM_DOM_LOSS_SHARING_FFIEC" hidden="1">"c27210"</definedName>
    <definedName name="IQ_MULTIFAMILY_5_MORE_DWELLING_UNITS_CONSTRUCTION_MORTGAGE_LOANS_ADJUSTED_NCOS_TOTAL_THRIFT" hidden="1">"c25201"</definedName>
    <definedName name="IQ_MULTIFAMILY_5_MORE_DWELLING_UNITS_CONSTRUCTION_MORTGAGE_LOANS_GVA_CHARGE_OFFS_THRIFT" hidden="1">"c25116"</definedName>
    <definedName name="IQ_MULTIFAMILY_5_MORE_DWELLING_UNITS_CONSTRUCTION_MORTGAGE_LOANS_GVA_RECOVERIES_THRIFT" hidden="1">"c25147"</definedName>
    <definedName name="IQ_MULTIFAMILY_5_MORE_DWELLING_UNITS_CONSTRUCTION_MORTGAGE_LOANS_SVA_PROVISIONS_TRANSFERS_FROM_GVA_TOTAL_THRIFT" hidden="1">"c25170"</definedName>
    <definedName name="IQ_MULTIFAMILY_5_MORE_DWELLING_UNITS_IN_PROCESS_FORECLOSURE_THRIFT" hidden="1">"c25307"</definedName>
    <definedName name="IQ_MULTIFAMILY_5_MORE_DWELLING_UNITS_PML_ADJUSTED_NCOS_TOTAL_THRIFT" hidden="1">"c25206"</definedName>
    <definedName name="IQ_MULTIFAMILY_5_MORE_DWELLING_UNITS_PML_GVA_CHARGE_OFFS_THRIFT" hidden="1">"c25121"</definedName>
    <definedName name="IQ_MULTIFAMILY_5_MORE_DWELLING_UNITS_PML_GVA_RECOVERIES_THRIFT" hidden="1">"c25152"</definedName>
    <definedName name="IQ_MULTIFAMILY_5_MORE_DWELLING_UNITS_PML_SVA_PROVISIONS_TRANSFERS_FROM_GVA_TOTAL_THRIFT" hidden="1">"c25175"</definedName>
    <definedName name="IQ_MULTIFAMILY_5_MORE_LOANS_TOTAL_LOANS_THRIFT" hidden="1">"c25745"</definedName>
    <definedName name="IQ_MULTIFAMILY_LOANS_GROSS_LOANS_FFIEC" hidden="1">"c13404"</definedName>
    <definedName name="IQ_MULTIFAMILY_LOANS_GROSS_LOANS_THRIFT" hidden="1">"c25729"</definedName>
    <definedName name="IQ_MULTIFAMILY_LOANS_RISK_BASED_CAPITAL_THRIFT" hidden="1">"c25714"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NICIPAL_SEC_INV_SEC_THRIFT" hidden="1">"c25672"</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NET_SALES" hidden="1">"c20423"</definedName>
    <definedName name="IQ_MUTUAL_FUND_REDEMPTIONS" hidden="1">"c20422"</definedName>
    <definedName name="IQ_MUTUAL_FUND_SALES" hidden="1">"c20421"</definedName>
    <definedName name="IQ_MUTUAL_FUNDS_EQUITY_ALL_OTHER_ACCOUNTS_THRIFT" hidden="1">"c25428"</definedName>
    <definedName name="IQ_MUTUAL_FUNDS_EQUITY_EMPLOYEE_BENEFIT_RETIREMENT_RELATED_ACCOUNTS_THRIFT" hidden="1">"c25412"</definedName>
    <definedName name="IQ_MUTUAL_FUNDS_EQUITY_PERSONAL_TRUST_AGENCY_INV_MANAGEMENT_ACCOUNTS_THRIFT" hidden="1">"c25396"</definedName>
    <definedName name="IQ_MUTUAL_FUNDS_MONEY_MARKET_ALL_OTHER_ACCOUNTS_THRIFT" hidden="1">"c25427"</definedName>
    <definedName name="IQ_MUTUAL_FUNDS_MONEY_MARKET_EMPLOYEE_BENEFIT_RETIREMENT_RELATED_ACCOUNTS_THRIFT" hidden="1">"c25411"</definedName>
    <definedName name="IQ_MUTUAL_FUNDS_MONEY_MARKET_PERSONAL_TRUST_AGENCY_INV_MANAGEMENT_ACCOUNTS_THRIFT" hidden="1">"c25395"</definedName>
    <definedName name="IQ_MUTUAL_FUNDS_OTHER_ALL_OTHER_ACCOUNTS_THRIFT" hidden="1">"c25429"</definedName>
    <definedName name="IQ_MUTUAL_FUNDS_OTHER_EMPLOYEE_BENEFIT_RETIREMENT_RELATED_ACCOUNTS_THRIFT" hidden="1">"c25413"</definedName>
    <definedName name="IQ_MUTUAL_FUNDS_OTHER_PERSONAL_TRUST_AGENCY_INV_MANAGEMENT_ACCOUNTS_THRIFT" hidden="1">"c25397"</definedName>
    <definedName name="IQ_NAMES_REVISION_DATE_" hidden="1">40735.645474537</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RE" hidden="1">"c16011"</definedName>
    <definedName name="IQ_NAV_STDDEV_EST" hidden="1">"c1756"</definedName>
    <definedName name="IQ_NAV_STDDEV_EST_THOM" hidden="1">"c5603"</definedName>
    <definedName name="IQ_NCLS_CLOSED_END_1_4_FAM_LOANS_TOT_LOANS_FFIEC" hidden="1">"c13891"</definedName>
    <definedName name="IQ_NCLS_CLOSED_END_1_4_FAMILY_LOANS_TOTAL_LOANS_THRIFT" hidden="1">"c25769"</definedName>
    <definedName name="IQ_NCLS_COMM_IND_LOANS_TOT_LOANS_FFIEC" hidden="1">"c13898"</definedName>
    <definedName name="IQ_NCLS_COMM_LOANS_TOTAL_LOANS_THRIFT" hidden="1">"c25775"</definedName>
    <definedName name="IQ_NCLS_COMM_RE_FARM_LOANS_TOT_LOANS_FFIEC" hidden="1">"c13897"</definedName>
    <definedName name="IQ_NCLS_COMM_RE_FARM_LOANS_TOTAL_LOANS_THRIFT" hidden="1">"c25771"</definedName>
    <definedName name="IQ_NCLS_COMM_RE_NONFARM_NONRES_TOT_LOANS_FFIEC" hidden="1">"c13896"</definedName>
    <definedName name="IQ_NCLS_COMM_RE_NONFARM_NONRESIDENTIAL_TOTAL_LOANS_THRIFT" hidden="1">"c25773"</definedName>
    <definedName name="IQ_NCLS_CONST_LAND_DEV_LOANS_TOT_LOANS_FFIEC" hidden="1">"c13890"</definedName>
    <definedName name="IQ_NCLS_CONSTRUCTION_LAND_DEVELOPMENT_LOANS_TOTAL_LOANS_THRIFT" hidden="1">"c25767"</definedName>
    <definedName name="IQ_NCLS_CONSUMER_LOANS_TOT_LOANS_FFIEC" hidden="1">"c13899"</definedName>
    <definedName name="IQ_NCLS_CONSUMER_LOANS_TOTAL_LOANS_THRIFT" hidden="1">"c25776"</definedName>
    <definedName name="IQ_NCLS_FARM_LOANS_TOT_LOANS_FFIEC" hidden="1">"c13895"</definedName>
    <definedName name="IQ_NCLS_HOME_EQUITY_LOANS_TOT_LOANS_FFIEC" hidden="1">"c13892"</definedName>
    <definedName name="IQ_NCLS_LAND_LOANS_TOTAL_LOANS_THRIFT" hidden="1">"c25772"</definedName>
    <definedName name="IQ_NCLS_MULTIFAM_5_LOANS_TOT_LOANS_FFIEC" hidden="1">"c13894"</definedName>
    <definedName name="IQ_NCLS_MULTIFAMILY_5_MORE_LOANS_TOTAL_LOANS_THRIFT" hidden="1">"c25770"</definedName>
    <definedName name="IQ_NCLS_TOT_1_4_FAM_LOANS_TOT_LOANS_FFIEC" hidden="1">"c13893"</definedName>
    <definedName name="IQ_NCLS_TOT_LEASES_TOT_LOANS_FFIEC" hidden="1">"c13900"</definedName>
    <definedName name="IQ_NCLS_TOT_LOANS_TOT_LOANS_FFIEC" hidden="1">"c13901"</definedName>
    <definedName name="IQ_NCLS_TOTAL_1_4_FAMILY_LOANS_TOTAL_LOANS_THRIFT" hidden="1">"c25768"</definedName>
    <definedName name="IQ_NCLS_TOTAL_LOANS_TOTAL_LOANS_THRIFT" hidden="1">"c25765"</definedName>
    <definedName name="IQ_NCLS_TOTAL_MORTGAGE_LOANS_TOTAL_LOANS_THRIFT" hidden="1">"c25766"</definedName>
    <definedName name="IQ_NCLS_TOTAL_NON_RE_LOANS_TOTAL_LOANS_THRIFT" hidden="1">"c25774"</definedName>
    <definedName name="IQ_NCOS_CLOSED_END_1_4_FAM_LOANS_TOT_LOANS_FFIEC" hidden="1">"c13879"</definedName>
    <definedName name="IQ_NCOS_CLOSED_END_1_4_FAMILY_LOANS_TOTAL_LOANS_THRIFT" hidden="1">"c25757"</definedName>
    <definedName name="IQ_NCOS_COMM_IND_LOANS_TOT_LOANS_FFIEC" hidden="1">"c13886"</definedName>
    <definedName name="IQ_NCOS_COMM_LOANS_TOTAL_LOANS_THRIFT" hidden="1">"c25763"</definedName>
    <definedName name="IQ_NCOS_COMM_RE_FARM_LOANS_TOT_LOANS_FFIEC" hidden="1">"c13885"</definedName>
    <definedName name="IQ_NCOS_COMM_RE_FARM_LOANS_TOTAL_LOANS_THRIFT" hidden="1">"c25759"</definedName>
    <definedName name="IQ_NCOS_COMM_RE_NONFARM_NONRES_TOT_LOANS_FFIEC" hidden="1">"c13884"</definedName>
    <definedName name="IQ_NCOS_COMM_RE_NONFARM_NONRESIDENTIAL_TOTAL_LOANS_THRIFT" hidden="1">"c25761"</definedName>
    <definedName name="IQ_NCOS_CONST_LAND_DEV_LOANS_TOT_LOANS_FFIEC" hidden="1">"c13878"</definedName>
    <definedName name="IQ_NCOS_CONSTRUCTION_LAND_DEVELOPMENT_LOANS_TOTAL_LOANS_THRIFT" hidden="1">"c25755"</definedName>
    <definedName name="IQ_NCOS_CONSUMER_LOANS_TOT_LOANS_FFIEC" hidden="1">"c13887"</definedName>
    <definedName name="IQ_NCOS_CONSUMER_LOANS_TOTAL_LOANS_THRIFT" hidden="1">"c25764"</definedName>
    <definedName name="IQ_NCOS_FARM_LOANS_TOT_LOANS_FFIEC" hidden="1">"c13883"</definedName>
    <definedName name="IQ_NCOS_HOME_EQUITY_LOANS_TOT_LOANS_FFIEC" hidden="1">"c13880"</definedName>
    <definedName name="IQ_NCOS_LAND_LOANS_TOTAL_LOANS_THRIFT" hidden="1">"c25760"</definedName>
    <definedName name="IQ_NCOS_MULTIFAM_5_LOANS_TOT_LOANS_FFIEC" hidden="1">"c13882"</definedName>
    <definedName name="IQ_NCOS_MULTIFAMILY_5_MORE_LOANS_TOTAL_LOANS_THRIFT" hidden="1">"c25758"</definedName>
    <definedName name="IQ_NCOS_TOT_1_4_FAM_LOANS_TOT_LOANS_FFIEC" hidden="1">"c13881"</definedName>
    <definedName name="IQ_NCOS_TOT_LEASES_TOT_LOANS_FFIEC" hidden="1">"c13888"</definedName>
    <definedName name="IQ_NCOS_TOT_LOANS_TOT_LOANS_FFIEC" hidden="1">"c13889"</definedName>
    <definedName name="IQ_NCOS_TOTAL_1_4_FAMILY_LOANS_TOTAL_LOANS_THRIFT" hidden="1">"c25756"</definedName>
    <definedName name="IQ_NCOS_TOTAL_LOANS_TOTAL_LOANS_THRIFT" hidden="1">"c25753"</definedName>
    <definedName name="IQ_NCOS_TOTAL_MORTGAGE_LOANS_TOTAL_LOANS_THRIFT" hidden="1">"c25754"</definedName>
    <definedName name="IQ_NCOS_TOTAL_NON_RE_LOANS_TOTAL_LOANS_THRIFT" hidden="1">"c25762"</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CM"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FED_FUNDS_PURCHASED_TOTAL_ASSETS_THRIFT" hidden="1">"c25704"</definedName>
    <definedName name="IQ_NET_FIDUCIARY_RELATED_SERVICES_INC_THRIFT" hidden="1">"c24815"</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AFS_SEC_THRIFT" hidden="1">"c24770"</definedName>
    <definedName name="IQ_NET_GAIN_SALE_LOANS_HELD_INV_THRIFT" hidden="1">"c24774"</definedName>
    <definedName name="IQ_NET_GAIN_SALE_LOANS_LEASES_HFS_THRIFT" hidden="1">"c24771"</definedName>
    <definedName name="IQ_NET_GAIN_SALE_OTHER_ASSETS_HELD_INV_THRIFT" hidden="1">"c24775"</definedName>
    <definedName name="IQ_NET_GAIN_SALE_OTHER_ASSETS_HFS_THRIFT" hidden="1">"c24772"</definedName>
    <definedName name="IQ_NET_GAIN_SALE_PREMISES_FIXED_ASSETS_EXP_FFIEC" hidden="1">"c15372"</definedName>
    <definedName name="IQ_NET_GAIN_SALE_PREMISES_FIXED_ASSETS_INC_FFIEC" hidden="1">"c15369"</definedName>
    <definedName name="IQ_NET_GAIN_SALE_SEC_HTM_THRIFT" hidden="1">"c24773"</definedName>
    <definedName name="IQ_NET_GAINS_FIN_ASSETS_LIABILITIES_FV_THRIFT" hidden="1">"c24776"</definedName>
    <definedName name="IQ_NET_IMPAIR_LOSS_FFIEC" hidden="1">"c25848"</definedName>
    <definedName name="IQ_NET_INC" hidden="1">"c1394"</definedName>
    <definedName name="IQ_NET_INC_BEFORE" hidden="1">"c1368"</definedName>
    <definedName name="IQ_NET_INC_CF" hidden="1">"c1397"</definedName>
    <definedName name="IQ_NET_INC_MARGIN" hidden="1">"c1398"</definedName>
    <definedName name="IQ_NET_INCOME_AVG_ASSETS_THRIFT" hidden="1">"c25661"</definedName>
    <definedName name="IQ_NET_INCOME_FDIC" hidden="1">"c6587"</definedName>
    <definedName name="IQ_NET_INCOME_HOMEBUILDING_SALES" hidden="1">"c15818"</definedName>
    <definedName name="IQ_NET_INCOME_LH_FFIEC" hidden="1">"c13110"</definedName>
    <definedName name="IQ_NET_INCOME_LOCOM_ADJUST_THRIFT" hidden="1">"c24779"</definedName>
    <definedName name="IQ_NET_INCOME_LOSS_ATTRIBUTABLE_SAVINGS_ASSOCIATION_THRIFT" hidden="1">"c25009"</definedName>
    <definedName name="IQ_NET_INCOME_PC_FFIEC" hidden="1">"c13103"</definedName>
    <definedName name="IQ_NET_INCOME_REPOSSESS_ASSETS_THRIFT" hidden="1">"c24778"</definedName>
    <definedName name="IQ_NET_INCOME_SALE_ASSETS_HFS_AFS_SEC_THRIFT" hidden="1">"c24769"</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CM" hidden="1">"c765"</definedName>
    <definedName name="IQ_NET_INT_INC_FIN" hidden="1">"c766"</definedName>
    <definedName name="IQ_NET_INT_INC_TOTAL_REV" hidden="1">"c767"</definedName>
    <definedName name="IQ_NET_INT_INCOME_AFTER_PROVISION_THRIFT" hidden="1">"c25871"</definedName>
    <definedName name="IQ_NET_INT_INCOME_AVG_ASSET" hidden="1">"c15706"</definedName>
    <definedName name="IQ_NET_INT_INCOME_AVG_ASSETS_THRIFT" hidden="1">"c25649"</definedName>
    <definedName name="IQ_NET_INT_INCOME_AVG_EARNING_ASSETS_THRIFT" hidden="1">"c25668"</definedName>
    <definedName name="IQ_NET_INT_INCOME_FFIEC" hidden="1">"c13001"</definedName>
    <definedName name="IQ_NET_INT_INCOME_FTE_FFIEC" hidden="1">"c13036"</definedName>
    <definedName name="IQ_NET_INT_INCOME_THRIFT" hidden="1">"c24765"</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_LOSSES_AVG_LOANS_THRIFT" hidden="1">"c25635"</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CORE_DEPOSITS_THRIFT" hidden="1">"c25628"</definedName>
    <definedName name="IQ_NET_LOANS_DEPOSITS_FFIEC" hidden="1">"c13340"</definedName>
    <definedName name="IQ_NET_LOANS_EQUITY_FFIEC" hidden="1">"c13347"</definedName>
    <definedName name="IQ_NET_LOANS_EQUITY_THRIFT" hidden="1">"c25632"</definedName>
    <definedName name="IQ_NET_LOANS_LEASES_CORE_DEPOSITS_FDIC" hidden="1">"c6743"</definedName>
    <definedName name="IQ_NET_LOANS_LEASES_DEPOSITS_FDIC" hidden="1">"c6742"</definedName>
    <definedName name="IQ_NET_LOANS_LEASES_LETTERS_CREDIT_TOTAL_ASSETS_THRIFT" hidden="1">"c25698"</definedName>
    <definedName name="IQ_NET_LOANS_LEASES_TOTAL_ASSETS_THRIFT" hidden="1">"c25694"</definedName>
    <definedName name="IQ_NET_LOANS_TOTAL_DEPOSITS" hidden="1">"c779"</definedName>
    <definedName name="IQ_NET_LOANS_TOTAL_DEPOSITS_THRIFT" hidden="1">"c25627"</definedName>
    <definedName name="IQ_NET_LOSSES" hidden="1">"c15873"</definedName>
    <definedName name="IQ_NET_LOSSES_FIDUCIARY_RELATED_SERVICES_THRIFT" hidden="1">"c24813"</definedName>
    <definedName name="IQ_NET_NEW_CLIENT_ASSETS" hidden="1">"c20430"</definedName>
    <definedName name="IQ_NET_NONCORE_FUNDING_DEPENDENCE_SHORT_TERM_THRIFT" hidden="1">"c25624"</definedName>
    <definedName name="IQ_NET_NONCORE_FUNDING_DEPENDENCE_THRIFT" hidden="1">"c25623"</definedName>
    <definedName name="IQ_NET_NONINTEREST_INC_EXP_INTERNATIONAL_OPS_FFIEC" hidden="1">"c15387"</definedName>
    <definedName name="IQ_NET_OCCUPANCY_EXP_ADJUSTED_OPERATING_INCOME_THRIFT" hidden="1">"c25686"</definedName>
    <definedName name="IQ_NET_OPERATING_INCOME_ASSETS_FDIC" hidden="1">"c6729"</definedName>
    <definedName name="IQ_NET_PC_WRITTEN" hidden="1">"c1027"</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PROVISION_LOSS_GVA_THRIFT" hidden="1">"c25092"</definedName>
    <definedName name="IQ_NET_PROVISION_LOSS_SVA_THRIFT" hidden="1">"c25100"</definedName>
    <definedName name="IQ_NET_PROVISION_LOSS_TVA_THRIFT" hidden="1">"c25107"</definedName>
    <definedName name="IQ_NET_RENTAL_EXP" hidden="1">"c26983"</definedName>
    <definedName name="IQ_NET_RENTAL_EXP_FN" hidden="1">"c780"</definedName>
    <definedName name="IQ_NET_RENTAL_EXP_SUPPLE" hidden="1">"c26984"</definedName>
    <definedName name="IQ_NET_SECURITIZATION_INC_FOREIGN_FFIEC" hidden="1">"c15379"</definedName>
    <definedName name="IQ_NET_SECURITIZATION_INCOME_FDIC" hidden="1">"c6669"</definedName>
    <definedName name="IQ_NET_SERVICING_FEES_ADJUSTED_OPERATING_INCOME_THRIFT" hidden="1">"c25690"</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BASIS_ACCOUNTING_ADJUSTMENTS_SAVINGS_ASSOCIATION_THRIFT" hidden="1">"c25015"</definedName>
    <definedName name="IQ_NEW_DEPOSITS_RECEIVED_LESS_DEPOSITS_WITHDRAWN_THRIFT" hidden="1">"c25343"</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ANK_NONCONTROLLING_INT_THRIFT" hidden="1">"c24798"</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COMPANY" hidden="1">"c25786"</definedName>
    <definedName name="IQ_NI_EST" hidden="1">"c1716"</definedName>
    <definedName name="IQ_NI_EST_THOM" hidden="1">"c5126"</definedName>
    <definedName name="IQ_NI_FFIEC" hidden="1">"c13034"</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N_CONTROLLING_INTERESTS_FFIEC" hidden="1">"c15366"</definedName>
    <definedName name="IQ_NI_NONCONTROLLING_INT_THRIFT" hidden="1">"c24799"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TDDEV_EST_THOM" hidden="1">"c5131"</definedName>
    <definedName name="IQ_NI_SUBTOTAL_AP" hidden="1">"c8983"</definedName>
    <definedName name="IQ_NI_THRIFT" hidden="1">"c24800"</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OUNTERPARTY_RISK" hidden="1">"c26990"</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MAND_DEPOSITS_THRIFT" hidden="1">"c25007"</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FTER_PROVISION_THRIFT" hidden="1">"c25872"</definedName>
    <definedName name="IQ_NON_INT_EXP_AVG_ASSETS_FFIEC" hidden="1">"c18878"</definedName>
    <definedName name="IQ_NON_INT_EXP_AVG_ASSETS_THRIFT" hidden="1">"c25784"</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_THRIFT" hidden="1">"c24793"</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DJUSTED_OPERATING_INCOME_THRIFT" hidden="1">"c25688"</definedName>
    <definedName name="IQ_NON_INT_INCOME_AVG_ASSET" hidden="1">"c15707"</definedName>
    <definedName name="IQ_NON_INT_INCOME_AVG_ASSETS_THRIFT" hidden="1">"c25650"</definedName>
    <definedName name="IQ_NON_INT_INCOME_FFIEC" hidden="1">"c13017"</definedName>
    <definedName name="IQ_NON_INT_INCOME_THRIFT" hidden="1">"c24781"</definedName>
    <definedName name="IQ_NON_INTEREST_BEARING_DEPOSITS_ALL_OTHER_ACCOUNTS_THRIFT" hidden="1">"c25423"</definedName>
    <definedName name="IQ_NON_INTEREST_BEARING_DEPOSITS_EMPLOYEE_BENEFIT_RETIREMENT_RELATED_ACCOUNTS_THRIFT" hidden="1">"c25407"</definedName>
    <definedName name="IQ_NON_INTEREST_BEARING_DEPOSITS_PERSONAL_TRUST_AGENCY_INV_MANAGEMENT_ACCOUNTS_THRIFT" hidden="1">"c25391"</definedName>
    <definedName name="IQ_NON_INTEREST_EXP" hidden="1">"c1400"</definedName>
    <definedName name="IQ_NON_INTEREST_INC" hidden="1">"c1401"</definedName>
    <definedName name="IQ_NON_MORTGAGE_AGRICULTURE_FARMERS_COMM_LOANS_100000_THROUGH_250000_THRIFT" hidden="1">"c24974"</definedName>
    <definedName name="IQ_NON_MORTGAGE_AGRICULTURE_FARMERS_COMM_LOANS_250000_THROUGH_500000_THRIFT" hidden="1">"c24976"</definedName>
    <definedName name="IQ_NON_MORTGAGE_AGRICULTURE_FARMERS_COMM_LOANS_LESS_THAN_EQUAL_100000_THRIFT" hidden="1">"c24972"</definedName>
    <definedName name="IQ_NON_MORTGAGE_LOANS_ADJUSTED_NCOS_TOTAL_TOTAL_THRIFT" hidden="1">"c25209"</definedName>
    <definedName name="IQ_NON_MORTGAGE_LOANS_GVA_CHARGE_OFFS_TOTAL_THRIFT" hidden="1">"c25124"</definedName>
    <definedName name="IQ_NON_MORTGAGE_LOANS_GVA_RECOVERIES_TOTAL_THRIFT" hidden="1">"c25155"</definedName>
    <definedName name="IQ_NON_MORTGAGE_LOANS_SVA_PROVISIONS_TRANSFERS_FROM_GVA_TOTAL_TOTAL_THRIFT" hidden="1">"c25178"</definedName>
    <definedName name="IQ_NON_MORTGAGE_NON_AGRICULTURE_COMM_LOANS_100000_THROUGH_250000_THRIFT" hidden="1">"c24961"</definedName>
    <definedName name="IQ_NON_MORTGAGE_NON_AGRICULTURE_COMM_LOANS_250000_THROUGH_1000000_THRIFT" hidden="1">"c24963"</definedName>
    <definedName name="IQ_NON_MORTGAGE_NON_AGRICULTURE_COMM_LOANS_LESS_THAN_EQUAL_100000_THRIFT" hidden="1">"c24959"</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ORE_FUNDING_TOTAL_ASSETS_THRIFT" hidden="1">"c25700"</definedName>
    <definedName name="IQ_NONCUMULATIVE_PREF_THRIFT" hidden="1">"c24916"</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DOM_LOSS_SHARING_FFIEC" hidden="1">"c27211"</definedName>
    <definedName name="IQ_NONFARM_NONRES_GROSS_LOANS_FFIEC" hidden="1">"c13405"</definedName>
    <definedName name="IQ_NONFARM_NONRES_LL_REC_DOM_FFIEC" hidden="1">"c13626"</definedName>
    <definedName name="IQ_NONFARM_NONRES_LOANS_GROSS_LOANS_THRIFT" hidden="1">"c25730"</definedName>
    <definedName name="IQ_NONFARM_NONRES_LOANS_RISK_BASED_CAPITAL_THRIFT" hidden="1">"c25715"</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_QUARTER_SECURITIZATION_CLOSED_END_1_4_MORTGAGE_LOANS_FFIEC" hidden="1">"c27053"</definedName>
    <definedName name="IQ_NONINTEREST_INC_QUARTER_SECURITIZATION_OPEN_END_1_4_MORTGAGE_LOANS_FFIEC" hidden="1">"c27054"</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RES_PROPERTY_CONSTRUCTION_MORTGAGE_LOANS_GVA_CHARGE_OFFS_THRIFT" hidden="1">"c25117"</definedName>
    <definedName name="IQ_NONRES_PROPERTY_CONSTRUCTION_MORTGAGE_LOANS_GVA_RECOVERIES_THRIFT" hidden="1">"c25148"</definedName>
    <definedName name="IQ_NONRES_PROPERTY_DWELLING_UNITS_CONSTRUCTION_MORTGAGE_LOANS_ADJUSTED_NCOS_TOTAL_THRIFT" hidden="1">"c25202"</definedName>
    <definedName name="IQ_NONRES_PROPERTY_DWELLING_UNITS_CONSTRUCTION_MORTGAGE_LOANS_SVA_PROVISIONS_TRANSFERS_FROM_GVA_TOTAL_THRIFT" hidden="1">"c25171"</definedName>
    <definedName name="IQ_NONRES_PROPERTY_EXCEPT_LAND_IN_PROCESS_FORECLOSURE_THRIFT" hidden="1">"c25308"</definedName>
    <definedName name="IQ_NONRES_PROPERTY_EXCEPT_LAND_PML_ADJUSTED_NCOS_TOTAL_THRIFT" hidden="1">"c25207"</definedName>
    <definedName name="IQ_NONRES_PROPERTY_EXCEPT_LAND_PML_GVA_CHARGE_OFFS_THRIFT" hidden="1">"c25122"</definedName>
    <definedName name="IQ_NONRES_PROPERTY_EXCEPT_LAND_PML_GVA_RECOVERIES_THRIFT" hidden="1">"c25153"</definedName>
    <definedName name="IQ_NONRES_PROPERTY_EXCEPT_LAND_PML_SVA_PROVISIONS_TRANSFERS_FROM_GVA_TOTAL_THRIFT" hidden="1">"c25176"</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OBLIGATIONS_FDIC_INC_COVERED_ASSETS_ELIGIBLE_0_PCT_RISK_WEIGHT_THRIFT" hidden="1">"c25053"</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ATMS" hidden="1">"c26995"</definedName>
    <definedName name="IQ_NUMBER_CELL_SITES" hidden="1">"c15762"</definedName>
    <definedName name="IQ_NUMBER_DAYS" hidden="1">"c1904"</definedName>
    <definedName name="IQ_NUMBER_DEPOSIT_ACCOUNTS_EXCLUDING_RETIREMENT_ACCOUNTS_GREATER_THAN_250000_THRIFT" hidden="1">"c24989"</definedName>
    <definedName name="IQ_NUMBER_DEPOSIT_ACCOUNTS_EXCLUDING_RETIREMENT_ACCOUNTS_LESS_THAN_250000_THRIFT" hidden="1">"c24988"</definedName>
    <definedName name="IQ_NUMBER_DEPOSIT_ACCOUNTS_THRIFT" hidden="1">"c24987"</definedName>
    <definedName name="IQ_NUMBER_DEPOSITS_LESS_THAN_100K_FDIC" hidden="1">"c6495"</definedName>
    <definedName name="IQ_NUMBER_DEPOSITS_MORE_THAN_100K_FDIC" hidden="1">"c6493"</definedName>
    <definedName name="IQ_NUMBER_FIDUCIARY_MANAGED_ACCOUNTS_THRIFT" hidden="1">"c25439"</definedName>
    <definedName name="IQ_NUMBER_FTE_EMPLOYEES_THRIFT" hidden="1">"c24929"</definedName>
    <definedName name="IQ_NUMBER_ISSUES_IN_DEFAULT_THRIFT" hidden="1">"c25443"</definedName>
    <definedName name="IQ_NUMBER_LOANS_SECURED_FARM_100000_THROUGH_250000_THRIFT" hidden="1">"c24969"</definedName>
    <definedName name="IQ_NUMBER_LOANS_SECURED_FARM_250000_THROUGH_500000_THRIFT" hidden="1">"c24971"</definedName>
    <definedName name="IQ_NUMBER_LOANS_SECURED_FARM_LESS_THAN_EQUAL_100000_THRIFT" hidden="1">"c24967"</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MORTGAGE_LOANS_SECURED_NON_RES_PROPERTY_100000_THROUGH_250000_THRIFT" hidden="1">"c24955"</definedName>
    <definedName name="IQ_NUMBER_MORTGAGE_LOANS_SECURED_NON_RES_PROPERTY_250000_THROUGH_1000000_THRIFT" hidden="1">"c24957"</definedName>
    <definedName name="IQ_NUMBER_MORTGAGE_LOANS_SECURED_NON_RES_PROPERTY_LESS_THAN_EQUAL_100000_THRIFT" hidden="1">"c24953"</definedName>
    <definedName name="IQ_NUMBER_MORTGAGE_LOANS_SECURED_NON_RES_PROPERTY_THRIFT" hidden="1">"c24958"</definedName>
    <definedName name="IQ_NUMBER_NON_MORTGAGE_AGRICULTURE_FARMERS_COMM_LOANS_100000_THROUGH_250000_THRIFT" hidden="1">"c24975"</definedName>
    <definedName name="IQ_NUMBER_NON_MORTGAGE_AGRICULTURE_FARMERS_COMM_LOANS_250000_THROUGH_500000_THRIFT" hidden="1">"c24977"</definedName>
    <definedName name="IQ_NUMBER_NON_MORTGAGE_AGRICULTURE_FARMERS_COMM_LOANS_LESS_THAN_EQUAL_100000_THRIFT" hidden="1">"c24973"</definedName>
    <definedName name="IQ_NUMBER_NON_MORTGAGE_LOANS_EXCEPT_CREDIT_CARD_LOANS_THRIFT" hidden="1">"c24965"</definedName>
    <definedName name="IQ_NUMBER_NON_MORTGAGE_NON_AGRICULTURE_COMM_LOANS_100000_THROUGH_250000_THRIFT" hidden="1">"c24962"</definedName>
    <definedName name="IQ_NUMBER_NON_MORTGAGE_NON_AGRICULTURE_COMM_LOANS_250000_THROUGH_1000000_THRIFT" hidden="1">"c24964"</definedName>
    <definedName name="IQ_NUMBER_NON_MORTGAGE_NON_AGRICULTURE_COMM_LOANS_LESS_THAN_EQUAL_100000_THRIFT" hidden="1">"c24960"</definedName>
    <definedName name="IQ_NUMBER_NONINTEREST_BEARING_TRANSACTION_ACCOUNTS_MORE_THAN_250000_THRIFT" hidden="1">"c25583"</definedName>
    <definedName name="IQ_NUMBER_RETIREMENT_DEPOSIT_ACCOUNTS_GREATER_THAN_250000_THRIFT" hidden="1">"c24993"</definedName>
    <definedName name="IQ_NUMBER_RETIREMENT_DEPOSIT_ACCOUNTS_LESS_THAN_250000_THRIFT" hidden="1">"c24992"</definedName>
    <definedName name="IQ_NUMBER_SHAREHOLDERS" hidden="1">"c1967"</definedName>
    <definedName name="IQ_NUMBER_SHAREHOLDERS_CLASSA" hidden="1">"c1968"</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AVG_ASSETS_THRIFT" hidden="1">"c25663"</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FFICE_OCCUPANCY_EQUIP_EXP_THRIFT" hidden="1">"c24787"</definedName>
    <definedName name="IQ_OFFICE_PREMISES_EQUIPMENT_THRIFT" hidden="1">"c24882"</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_END_LINES_CREDIT_THRIFT" hidden="1">"c25608"</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CM" hidden="1">"c850"</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AL_RISK" hidden="1">"c26992"</definedName>
    <definedName name="IQ_OPERATIONS_EXP" hidden="1">"c855"</definedName>
    <definedName name="IQ_OPT_DIV_YLD_HIGH" hidden="1">"c18022"</definedName>
    <definedName name="IQ_OPT_DIV_YLD_LOW" hidden="1">"c18021"</definedName>
    <definedName name="IQ_OPT_FAIR_VALUE_HIGH" hidden="1">"c18030"</definedName>
    <definedName name="IQ_OPT_FAIR_VALUE_LOW" hidden="1">"c18029"</definedName>
    <definedName name="IQ_OPT_FORFEITURE_HIGH" hidden="1">"c18028"</definedName>
    <definedName name="IQ_OPT_FORFEITURE_LOW" hidden="1">"c18027"</definedName>
    <definedName name="IQ_OPT_LIFE_HIGH" hidden="1">"c18026"</definedName>
    <definedName name="IQ_OPT_LIFE_LOW" hidden="1">"c18025"</definedName>
    <definedName name="IQ_OPT_MODEL" hidden="1">"c18018"</definedName>
    <definedName name="IQ_OPT_RISK_FREE_HIGH" hidden="1">"c18020"</definedName>
    <definedName name="IQ_OPT_RISK_FREE_LOW" hidden="1">"c18019"</definedName>
    <definedName name="IQ_OPT_TOTAL_AGG_INT_VALUE_EXER" hidden="1">"c18441"</definedName>
    <definedName name="IQ_OPT_TOTAL_AGG_INT_VALUE_OUT" hidden="1">"c18437"</definedName>
    <definedName name="IQ_OPT_TOTAL_NUM_EXER" hidden="1">"c18439"</definedName>
    <definedName name="IQ_OPT_TOTAL_NUM_OUT" hidden="1">"c18435"</definedName>
    <definedName name="IQ_OPT_TOTAL_PLAN_NAME" hidden="1">"c18467"</definedName>
    <definedName name="IQ_OPT_TOTAL_PRICE_HIGH" hidden="1">"c18432"</definedName>
    <definedName name="IQ_OPT_TOTAL_PRICE_LOW" hidden="1">"c18431"</definedName>
    <definedName name="IQ_OPT_TOTAL_PRICE_RANGE" hidden="1">"c18433"</definedName>
    <definedName name="IQ_OPT_TOTAL_WTD_LIFE_EXER" hidden="1">"c18440"</definedName>
    <definedName name="IQ_OPT_TOTAL_WTD_LIFE_OUT" hidden="1">"c18436"</definedName>
    <definedName name="IQ_OPT_TOTAL_WTD_PRICE_EXER" hidden="1">"c18438"</definedName>
    <definedName name="IQ_OPT_TOTAL_WTD_PRICE_OUT" hidden="1">"c18434"</definedName>
    <definedName name="IQ_OPT_TRANCHE_AGG_INT_VALUE_EXER" hidden="1">"c18430"</definedName>
    <definedName name="IQ_OPT_TRANCHE_AGG_INT_VALUE_OUT" hidden="1">"c18426"</definedName>
    <definedName name="IQ_OPT_TRANCHE_CLASS_NAME" hidden="1">"c18419"</definedName>
    <definedName name="IQ_OPT_TRANCHE_NUM_EXER" hidden="1">"c18428"</definedName>
    <definedName name="IQ_OPT_TRANCHE_NUM_OUT" hidden="1">"c18424"</definedName>
    <definedName name="IQ_OPT_TRANCHE_PLAN_NAME" hidden="1">"c18418"</definedName>
    <definedName name="IQ_OPT_TRANCHE_PLAN_RANK" hidden="1">"c18466"</definedName>
    <definedName name="IQ_OPT_TRANCHE_PRICE_HIGH" hidden="1">"c18421"</definedName>
    <definedName name="IQ_OPT_TRANCHE_PRICE_LOW" hidden="1">"c18420"</definedName>
    <definedName name="IQ_OPT_TRANCHE_PRICE_RANGE" hidden="1">"c18422"</definedName>
    <definedName name="IQ_OPT_TRANCHE_WTD_LIFE_EXER" hidden="1">"c18429"</definedName>
    <definedName name="IQ_OPT_TRANCHE_WTD_LIFE_OUT" hidden="1">"c18425"</definedName>
    <definedName name="IQ_OPT_TRANCHE_WTD_PRICE_EXER" hidden="1">"c18427"</definedName>
    <definedName name="IQ_OPT_TRANCHE_WTD_PRICE_OUT" hidden="1">"c18423"</definedName>
    <definedName name="IQ_OPT_VOL_HIGH" hidden="1">"c18024"</definedName>
    <definedName name="IQ_OPT_VOL_LOW" hidden="1">"c18023"</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CCRUED_INT_PAYABLE_THRIFT" hidden="1">"c24908"</definedName>
    <definedName name="IQ_OTHER_ADDITIONS_ADJUSTED_ASSETS_THRIFT" hidden="1">"c25037"</definedName>
    <definedName name="IQ_OTHER_ADDITIONS_T1_FFIEC" hidden="1">"c13142"</definedName>
    <definedName name="IQ_OTHER_ADDITIONS_T1_THRIFT" hidden="1">"c25028"</definedName>
    <definedName name="IQ_OTHER_ADDITIONS_T2_FFIEC" hidden="1">"c13148"</definedName>
    <definedName name="IQ_OTHER_ADDITIONS_T2_THRIFT" hidden="1">"c25044"</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DJUSTMENTS_SAVINGS_ASSOCIATION_THRIFT" hidden="1">"c25018"</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OCI_THRIFT" hidden="1">"c24923"</definedName>
    <definedName name="IQ_OTHER_ASSET_LOSS_SHARING_FFIEC" hidden="1">"c27215"</definedName>
    <definedName name="IQ_OTHER_ASSETS" hidden="1">"c860"</definedName>
    <definedName name="IQ_OTHER_ASSETS_ADJUSTED_NCOS_TOTAL_THRIFT" hidden="1">"c25227"</definedName>
    <definedName name="IQ_OTHER_ASSETS_BNK" hidden="1">"c861"</definedName>
    <definedName name="IQ_OTHER_ASSETS_BR" hidden="1">"c862"</definedName>
    <definedName name="IQ_OTHER_ASSETS_CM" hidden="1">"c862"</definedName>
    <definedName name="IQ_OTHER_ASSETS_FDIC" hidden="1">"c6338"</definedName>
    <definedName name="IQ_OTHER_ASSETS_FFIEC" hidden="1">"c12848"</definedName>
    <definedName name="IQ_OTHER_ASSETS_FIN" hidden="1">"c863"</definedName>
    <definedName name="IQ_OTHER_ASSETS_GVA_CHARGE_OFFS_THRIFT" hidden="1">"c25142"</definedName>
    <definedName name="IQ_OTHER_ASSETS_GVA_RECOVERIES_THRIFT" hidden="1">"c25165"</definedName>
    <definedName name="IQ_OTHER_ASSETS_GVA_THRIFT" hidden="1">"c24893"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SVA_PROVISIONS_TRANSFERS_FROM_GVA_TOTAL_THRIFT" hidden="1">"c25196"</definedName>
    <definedName name="IQ_OTHER_ASSETS_THRIFT" hidden="1">"c24892"</definedName>
    <definedName name="IQ_OTHER_ASSETS_TOTAL_FFIEC" hidden="1">"c12841"</definedName>
    <definedName name="IQ_OTHER_ASSETS_UTI" hidden="1">"c866"</definedName>
    <definedName name="IQ_OTHER_BALANCE_CHANGES_OTHER_MORTGAGE_BACKED_SEC_THRIFT" hidden="1">"c25316"</definedName>
    <definedName name="IQ_OTHER_BALANCE_CHANGES_PASS_THROUGH_MORTGAGE_BACKED_SEC_THRIFT" hidden="1">"c25313"</definedName>
    <definedName name="IQ_OTHER_BANK_OWNED_LIFE_INSURANCE_THRIFT" hidden="1">"c24886"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BORROWINGS_AMOUNTS_NETTED_THRIFT" hidden="1">"c25546"</definedName>
    <definedName name="IQ_OTHER_BORROWINGS_LESS_THAN_1_YR_TOTAL_ASSETS_THRIFT" hidden="1">"c25705"</definedName>
    <definedName name="IQ_OTHER_BORROWINGS_LEVEL_1_THRIFT" hidden="1">"c25542"</definedName>
    <definedName name="IQ_OTHER_BORROWINGS_LEVEL_2_THRIFT" hidden="1">"c25543"</definedName>
    <definedName name="IQ_OTHER_BORROWINGS_LEVEL_3_THRIFT" hidden="1">"c25544"</definedName>
    <definedName name="IQ_OTHER_BORROWINGS_THRIFT" hidden="1">"c24904"</definedName>
    <definedName name="IQ_OTHER_BORROWINGS_TOTAL_AFTER_NETTING_THRIFT" hidden="1">"c25547"</definedName>
    <definedName name="IQ_OTHER_BORROWINGS_TOTAL_BEFORE_NETTING_THRIFT" hidden="1">"c25545"</definedName>
    <definedName name="IQ_OTHER_BROKERED_TIME_DEPOSITS_THRIFT" hidden="1">"c25006"</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M_MBS_TRADING_DOM_FFIEC" hidden="1">"c27013"</definedName>
    <definedName name="IQ_OTHER_COMM_MBS_TRADING_FFIEC" hidden="1">"c27006"</definedName>
    <definedName name="IQ_OTHER_COMMON_PREFERRED_STOCKS_ALL_OTHER_ACCOUNTS_THRIFT" hidden="1">"c25434"</definedName>
    <definedName name="IQ_OTHER_COMMON_PREFERRED_STOCKS_EMPLOYEE_BENEFIT_RETIREMENT_RELATED_ACCOUNTS_THRIFT" hidden="1">"c25418"</definedName>
    <definedName name="IQ_OTHER_COMMON_PREFERRED_STOCKS_PERSONAL_TRUST_AGENCY_INV_MANAGEMENT_ACCOUNTS_THRIFT" hidden="1">"c25402"</definedName>
    <definedName name="IQ_OTHER_COMPREHENSIVE_INCOME_FDIC" hidden="1">"c6503"</definedName>
    <definedName name="IQ_OTHER_COMPREHENSIVE_INCOME_FFIEC" hidden="1">"c12970"</definedName>
    <definedName name="IQ_OTHER_COMPREHENSIVE_INCOME_SAVINGS_ASSOCIATION_THRIFT" hidden="1">"c25016"</definedName>
    <definedName name="IQ_OTHER_CONST_LAND_DEVELOP_LOANS_DOM_RSTRC_TERMS_FFIEC" hidden="1">"c27024"</definedName>
    <definedName name="IQ_OTHER_CONST_LOANS_DOM_LOSS_SHARING_FFIEC" hidden="1">"c27189"</definedName>
    <definedName name="IQ_OTHER_CONST_LOANS_RSTRC_DUE_30_89_FFIEC" hidden="1">"c27092"</definedName>
    <definedName name="IQ_OTHER_CONST_LOANS_RSTRC_DUE_90_FFIEC" hidden="1">"c27132"</definedName>
    <definedName name="IQ_OTHER_CONST_LOANS_RSTRC_DUE_NON_ACCRUAL_FFIEC" hidden="1">"c27172"</definedName>
    <definedName name="IQ_OTHER_CONST_LOANS_SEC_RE_DOM_LOSS_SHARING_DUE_30_89_FFIEC" hidden="1">"c27072"</definedName>
    <definedName name="IQ_OTHER_CONST_LOANS_SEC_RE_DOM_LOSS_SHARING_DUE_90_FFIEC" hidden="1">"c27112"</definedName>
    <definedName name="IQ_OTHER_CONST_LOANS_SEC_RE_DOM_LOSS_SHARING_DUE_NON_ACCRUAL_FFIEC" hidden="1">"c27152"</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GROSS_LOANS_THRIFT" hidden="1">"c25728"</definedName>
    <definedName name="IQ_OTHER_CONSTRUCTION_LOANS_NON_ACCRUAL_FFIEC" hidden="1">"c13312"</definedName>
    <definedName name="IQ_OTHER_CONSTRUCTION_LOANS_RISK_BASED_CAPITAL_THRIFT" hidden="1">"c25713"</definedName>
    <definedName name="IQ_OTHER_CONSTRUCTION_LOANS_UNUSED_FFIEC" hidden="1">"c13245"</definedName>
    <definedName name="IQ_OTHER_CONSTRUCTION_RISK_BASED_FFIEC" hidden="1">"c13424"</definedName>
    <definedName name="IQ_OTHER_CONSUMER_EXCL_AUTO_LL_REC_FFIEC" hidden="1">"c27363"</definedName>
    <definedName name="IQ_OTHER_CONSUMER_INC_LEASE_RECEIVABLES_THRIFT" hidden="1">"c24865"</definedName>
    <definedName name="IQ_OTHER_CONSUMER_LL_REC_FFIEC" hidden="1">"c12891"</definedName>
    <definedName name="IQ_OTHER_CONSUMER_LOANS_EXCD_10_RSTRC_DUE_30_89_FFIEC" hidden="1">"c27105"</definedName>
    <definedName name="IQ_OTHER_CONSUMER_LOANS_EXCD_10_RSTRC_DUE_90_FFIEC" hidden="1">"c27145"</definedName>
    <definedName name="IQ_OTHER_CONSUMER_LOANS_EXCD_10_RSTRC_NON_ACCRUAL_FFIEC" hidden="1">"c27185"</definedName>
    <definedName name="IQ_OTHER_CONSUMER_LOANS_EXCL_AUTO_DUE_30_89_FFIEC" hidden="1">"c27355"</definedName>
    <definedName name="IQ_OTHER_CONSUMER_LOANS_EXCL_AUTO_DUE_90_FFIEC" hidden="1">"c27356"</definedName>
    <definedName name="IQ_OTHER_CONSUMER_LOANS_EXCL_AUTO_NON_ACCRUAL_FFIEC" hidden="1">"c27357"</definedName>
    <definedName name="IQ_OTHER_CONSUMER_LOANS_EXCL_AUTO_TRADING_DOM_FFIEC" hidden="1">"c27365"</definedName>
    <definedName name="IQ_OTHER_CONSUMER_LOANS_EXCL_AUTO_TRADING_FFIEC" hidden="1">"c27364"</definedName>
    <definedName name="IQ_OTHER_CONSUMER_LOANS_FAIR_VAL_DOM_FFIEC" hidden="1">"c27044"</definedName>
    <definedName name="IQ_OTHER_CONSUMER_LOANS_FAIR_VAL_FFIEC" hidden="1">"c27040"</definedName>
    <definedName name="IQ_OTHER_CONSUMER_LOANS_FFIEC" hidden="1">"c12824"</definedName>
    <definedName name="IQ_OTHER_CONSUMER_LOANS_LOSS_SHARING_DUE_30_89_FFIEC" hidden="1">"c27084"</definedName>
    <definedName name="IQ_OTHER_CONSUMER_LOANS_LOSS_SHARING_DUE_90_FFIEC" hidden="1">"c27124"</definedName>
    <definedName name="IQ_OTHER_CONSUMER_LOANS_LOSS_SHARING_FFIEC" hidden="1">"c27201"</definedName>
    <definedName name="IQ_OTHER_CONSUMER_LOANS_LOSS_SHARING_NON_ACCRUAL_FFIEC" hidden="1">"c27164"</definedName>
    <definedName name="IQ_OTHER_CONSUMER_LOANS_QUARTERLY_AVG_FFIEC" hidden="1">"c27067"</definedName>
    <definedName name="IQ_OTHER_CONSUMER_LOANS_RSTRC_TERMS_FFIEC" hidden="1">"c27036"</definedName>
    <definedName name="IQ_OTHER_CONSUMER_LOANS_TRADING_DOM_FFIEC" hidden="1">"c12935"</definedName>
    <definedName name="IQ_OTHER_CONSUMER_LOANS_UNPAID_PRIN_FAIR_VAL_DOM_FFIEC" hidden="1">"c27046"</definedName>
    <definedName name="IQ_OTHER_CONSUMER_LOANS_UNPAID_PRIN_FAIR_VAL_FFIEC" hidden="1">"c27042"</definedName>
    <definedName name="IQ_OTHER_CONSUMER_LOANS_UNPAID_PRIN_FAIR_VAL_TRADING_DOM_FFIEC" hidden="1">"c27050"</definedName>
    <definedName name="IQ_OTHER_CONSUMER_LOANS_UNPAID_PRIN_FAIR_VAL_TRADING_FFIEC" hidden="1">"c27048"</definedName>
    <definedName name="IQ_OTHER_CONTINGENT_LIABILITIES_THRIFT" hidden="1">"c25621"</definedName>
    <definedName name="IQ_OTHER_CREDIT_CARD_LINES_UNUSED_FFIEC" hidden="1">"c25863"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ADJUSTED_ASSETS_THRIFT" hidden="1">"c25034"</definedName>
    <definedName name="IQ_OTHER_DEDUCTIONS_LEVERAGE_RATIO_FFIEC" hidden="1">"c13158"</definedName>
    <definedName name="IQ_OTHER_DEDUCTIONS_T1_THRIFT" hidden="1">"c25025"</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LIGIBLE_0_PCT_RISK_WEIGHT_THRIFT" hidden="1">"c25054"</definedName>
    <definedName name="IQ_OTHER_ELIGIBLE_20_PCT_RISK_WEIGHT_THRIFT" hidden="1">"c25061"</definedName>
    <definedName name="IQ_OTHER_ELIGIBLE_50_PCT_RISK_WEIGHT_THRIFT" hidden="1">"c25068"</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ONENTS_THRIFT" hidden="1">"c24924"</definedName>
    <definedName name="IQ_OTHER_EQUITY_CAPITAL_COMPS_FFIEC" hidden="1">"c12880"</definedName>
    <definedName name="IQ_OTHER_EQUITY_CM" hidden="1">"c888"</definedName>
    <definedName name="IQ_OTHER_EQUITY_FFIEC" hidden="1">"c12879"</definedName>
    <definedName name="IQ_OTHER_EQUITY_FIN" hidden="1">"c889"</definedName>
    <definedName name="IQ_OTHER_EQUITY_INS" hidden="1">"c890"</definedName>
    <definedName name="IQ_OTHER_EQUITY_INSTRUMENTS_T2_THRIFT" hidden="1">"c25042"</definedName>
    <definedName name="IQ_OTHER_EQUITY_INV_NOT_CARRIED_FV_THRIFT" hidden="1">"c24881"</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EES_CHARGES_THRIFT" hidden="1">"c24768"</definedName>
    <definedName name="IQ_OTHER_FIDUCIARY_ACCOUNTS_INC_THRIFT" hidden="1">"c24808"</definedName>
    <definedName name="IQ_OTHER_FIDUCIARY_ACCOUNTS_MANAGED_ASSETS_THRIFT" hidden="1">"c25355"</definedName>
    <definedName name="IQ_OTHER_FIDUCIARY_ACCOUNTS_NONMANAGED_ASSETS_THRIFT" hidden="1">"c25376"</definedName>
    <definedName name="IQ_OTHER_FIDUCIARY_ACCOUNTS_NUMBER_MANAGED_ACCOUNTS_THRIFT" hidden="1">"c25366"</definedName>
    <definedName name="IQ_OTHER_FIDUCIARY_ACCOUNTS_NUMBER_NONMANAGED_ACCOUNTS_THRIFT" hidden="1">"c25388"</definedName>
    <definedName name="IQ_OTHER_FIDUCIARY_ACCOUNTS_RELATED_SERVICES_GROSS_LOSSES_MANAGED_ACCOUNTS_THRIFT" hidden="1">"c25464"</definedName>
    <definedName name="IQ_OTHER_FIDUCIARY_ACCOUNTS_RELATED_SERVICES_GROSS_LOSSES_NONMANAGED_ACCOUNTS_THRIFT" hidden="1">"c25469"</definedName>
    <definedName name="IQ_OTHER_FIDUCIARY_ACCOUNTS_RELATED_SERVICES_RECOVERIES_THRIFT" hidden="1">"c25474"</definedName>
    <definedName name="IQ_OTHER_FIDUCIARY_RELATED_SERVICES_INC_THRIFT" hidden="1">"c24810"</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ARNING_DEPOSITS_THRIFT" hidden="1">"c24820"</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_SEC_INV_SEC_THRIFT" hidden="1">"c25675"</definedName>
    <definedName name="IQ_OTHER_INV_SEC_THRIFT" hidden="1">"c24826"</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DEFERRED_INCOME_THRIFT" hidden="1">"c24912"</definedName>
    <definedName name="IQ_OTHER_LIABILITIES_FDIC" hidden="1">"c6347"</definedName>
    <definedName name="IQ_OTHER_LIABILITIES_FFIEC" hidden="1">"c12872"</definedName>
    <definedName name="IQ_OTHER_LIABILITIES_THRIFT" hidden="1">"c24905"</definedName>
    <definedName name="IQ_OTHER_LIABILITIES_TOTAL_FFIEC" hidden="1">"c12869"</definedName>
    <definedName name="IQ_OTHER_LINES_CREDIT_THRIFT" hidden="1">"c25611"</definedName>
    <definedName name="IQ_OTHER_LL_LOSS_SHARING_FFIEC" hidden="1">"c27202"</definedName>
    <definedName name="IQ_OTHER_LL_REC_FFIEC" hidden="1">"c12894"</definedName>
    <definedName name="IQ_OTHER_LOANS" hidden="1">"c945"</definedName>
    <definedName name="IQ_OTHER_LOANS_ALL_OTHER_LEASES_RSTRC_DUE_30_89_FFIEC" hidden="1">"c27358"</definedName>
    <definedName name="IQ_OTHER_LOANS_ALL_OTHER_LEASES_RSTRC_DUE_90_FFIEC" hidden="1">"c27359"</definedName>
    <definedName name="IQ_OTHER_LOANS_ALL_OTHER_LEASES_RSTRC_NON_ACCRUAL_FFIEC" hidden="1">"c27360"</definedName>
    <definedName name="IQ_OTHER_LOANS_CHARGE_OFFS_FDIC" hidden="1">"c6601"</definedName>
    <definedName name="IQ_OTHER_LOANS_DUE_30_89_FFIEC" hidden="1">"c13275"</definedName>
    <definedName name="IQ_OTHER_LOANS_DUE_90_FFIEC" hidden="1">"c13301"</definedName>
    <definedName name="IQ_OTHER_LOANS_EXCD_10_LL_FFIEC" hidden="1">"c27205"</definedName>
    <definedName name="IQ_OTHER_LOANS_EXCD_10_RSTRC_DUE_30_89_FFIEC" hidden="1">"c27107"</definedName>
    <definedName name="IQ_OTHER_LOANS_EXCD_10_RSTRC_DUE_90_FFIEC" hidden="1">"c27147"</definedName>
    <definedName name="IQ_OTHER_LOANS_EXCD_10_RSTRC_NON_ACCRUAL_FFIEC" hidden="1">"c27187"</definedName>
    <definedName name="IQ_OTHER_LOANS_EXCD_10_RSTRC_TERMS_FFIEC" hidden="1">"c27038"</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EXCL_AUTO_CHARGE_OFFS_FFIEC" hidden="1">"c27361"</definedName>
    <definedName name="IQ_OTHER_LOANS_INDIVIDUALS_EXCL_AUTO_RECOV_FFIEC" hidden="1">"c27362"</definedName>
    <definedName name="IQ_OTHER_LOANS_INDIVIDUALS_NON_ACCRUAL_FFIEC" hidden="1">"c13325"</definedName>
    <definedName name="IQ_OTHER_LOANS_INDIVIDUALS_RECOV_FFIEC" hidden="1">"c13203"</definedName>
    <definedName name="IQ_OTHER_LOANS_LEASES_FDIC" hidden="1">"c6322"</definedName>
    <definedName name="IQ_OTHER_LOANS_LEASES_GROSS_LOANS_THRIFT" hidden="1">"c25735"</definedName>
    <definedName name="IQ_OTHER_LOANS_LEASES_RISK_BASED_CAPITAL_THRIFT" hidden="1">"c25720"</definedName>
    <definedName name="IQ_OTHER_LOANS_LL_REC_DOM_FFIEC" hidden="1">"c12914"</definedName>
    <definedName name="IQ_OTHER_LOANS_LOSS_SHARING_DUE_30_89_FFIEC" hidden="1">"c27088"</definedName>
    <definedName name="IQ_OTHER_LOANS_LOSS_SHARING_DUE_90_FFIEC" hidden="1">"c27128"</definedName>
    <definedName name="IQ_OTHER_LOANS_LOSS_SHARING_NON_ACCRUAL_FFIEC" hidden="1">"c27168"</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EXCLUDING_BONDS_THRIFT" hidden="1">"c24832"</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HRIFT" hidden="1">"c24835"</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_NINT_INCOME_THRIFT" hidden="1">"c24780"</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HRIFT" hidden="1">"c24792"</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ADJUSTED_OPERATING_INCOME_THRIFT" hidden="1">"c25691"</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NOTES_BONDS_ALL_OTHER_ACCOUNTS_THRIFT" hidden="1">"c25432"</definedName>
    <definedName name="IQ_OTHER_NOTES_BONDS_EMPLOYEE_BENEFIT_RETIREMENT_RELATED_ACCOUNTS_THRIFT" hidden="1">"c25416"</definedName>
    <definedName name="IQ_OTHER_NOTES_BONDS_PERSONAL_TRUST_AGENCY_INV_MANAGEMENT_ACCOUNTS_THRIFT" hidden="1">"c25400"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ERATING_EXPENSES_ADJUSTED_OPERATING_INCOME_THRIFT" hidden="1">"c25687"</definedName>
    <definedName name="IQ_OTHER_OPERATING_EXPENSES_AVG_ASSETS_THRIFT" hidden="1">"c25664"</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"c24739"</definedName>
    <definedName name="IQ_OTHER_PASS_THROUGH_THRIFT" hidden="1">"c24831"</definedName>
    <definedName name="IQ_OTHER_PC_WRITTEN" hidden="1">"c1006"</definedName>
    <definedName name="IQ_OTHER_PML_SECURED_FIRST_LIEN_1_4_DWELLING_UNITS_DUE_30_89_THRIFT" hidden="1">"c25242"</definedName>
    <definedName name="IQ_OTHER_PML_SECURED_FIRST_LIEN_1_4_DWELLING_UNITS_DUE_90_THRIFT" hidden="1">"c25263"</definedName>
    <definedName name="IQ_OTHER_PML_SECURED_FIRST_LIEN_1_4_DWELLING_UNITS_NON_ACCRUAL_THRIFT" hidden="1">"c25284"</definedName>
    <definedName name="IQ_OTHER_PML_SECURED_JUNIOR_LIEN_1_4_DWELLING_UNITS_DUE_30_89_THRIFT" hidden="1">"c25243"</definedName>
    <definedName name="IQ_OTHER_PML_SECURED_JUNIOR_LIEN_1_4_DWELLING_UNITS_DUE_90_THRIFT" hidden="1">"c25264"</definedName>
    <definedName name="IQ_OTHER_PML_SECURED_JUNIOR_LIEN_1_4_DWELLING_UNITS_NON_ACCRUAL_THRIFT" hidden="1">"c25285"</definedName>
    <definedName name="IQ_OTHER_PROP" hidden="1">"c8764"</definedName>
    <definedName name="IQ_OTHER_PROP_OPERATING_EXPENSE" hidden="1">"c16043"</definedName>
    <definedName name="IQ_OTHER_PROP_OPERATING_REVENUE" hidden="1">"c16027"</definedName>
    <definedName name="IQ_OTHER_RE_FOREIGN_LOSS_SHARING_FFIEC" hidden="1">"c27212"</definedName>
    <definedName name="IQ_OTHER_RE_LOSS_SHARING_FFIEC" hidden="1">"c27213"</definedName>
    <definedName name="IQ_OTHER_RE_OWNED_FDIC" hidden="1">"c6330"</definedName>
    <definedName name="IQ_OTHER_REAL_ESTATE" hidden="1">"c1007"</definedName>
    <definedName name="IQ_OTHER_RECEIV" hidden="1">"c1008"</definedName>
    <definedName name="IQ_OTHER_RECEIV_INS" hidden="1">"c1009"</definedName>
    <definedName name="IQ_OTHER_RENTAL" hidden="1">"c26971"</definedName>
    <definedName name="IQ_OTHER_REPOSSESSED_ASSETS_ADJUSTED_NCOS_TOTAL_THRIFT" hidden="1">"c25224"</definedName>
    <definedName name="IQ_OTHER_REPOSSESSED_ASSETS_GVA_CHARGE_OFFS_THRIFT" hidden="1">"c25139"</definedName>
    <definedName name="IQ_OTHER_REPOSSESSED_ASSETS_SVA_PROVISIONS_TRANSFERS_FROM_GVA_TOTAL_THRIFT" hidden="1">"c25193"</definedName>
    <definedName name="IQ_OTHER_RES_MBS_ISSUED_FNMA_GNMA_TRADING_DOM_FFIEC" hidden="1">"c27351"</definedName>
    <definedName name="IQ_OTHER_RES_MBS_ISSUED_FNMA_GNMA_TRADING_FFIEC" hidden="1">"c27347"</definedName>
    <definedName name="IQ_OTHER_RES_MBS_TRADING_DOM_FFIEC" hidden="1">"c27352"</definedName>
    <definedName name="IQ_OTHER_RES_MBS_TRADING_FFIEC" hidden="1">"c27348"</definedName>
    <definedName name="IQ_OTHER_RESIDUAL_INTERESTS_THRIFT" hidden="1">"c24940"</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ISKS" hidden="1">"c26993"</definedName>
    <definedName name="IQ_OTHER_ROOMS" hidden="1">"c8788"</definedName>
    <definedName name="IQ_OTHER_SAVINGS_DEPOSITS_FDIC" hidden="1">"c6554"</definedName>
    <definedName name="IQ_OTHER_SAVINGS_DEPOSITS_NON_TRANS_ACCTS_FFIEC" hidden="1">"c15331"</definedName>
    <definedName name="IQ_OTHER_SEC_QUARTERLY_AVG_FFIEC" hidden="1">"c27062"</definedName>
    <definedName name="IQ_OTHER_SECURITIES_QUARTERLY_AVG_FFIEC" hidden="1">"c15472"</definedName>
    <definedName name="IQ_OTHER_SERVICE_CHARGES_COMM_FEE_DOM_FFIEC" hidden="1">"c25822"</definedName>
    <definedName name="IQ_OTHER_SHORT_TERM_OBLIGATIONS_ALL_OTHER_ACCOUNTS_THRIFT" hidden="1">"c25431"</definedName>
    <definedName name="IQ_OTHER_SHORT_TERM_OBLIGATIONS_EMPLOYEE_BENEFIT_RETIREMENT_RELATED_ACCOUNTS_THRIFT" hidden="1">"c25415"</definedName>
    <definedName name="IQ_OTHER_SHORT_TERM_OBLIGATIONS_PERSONAL_TRUST_AGENCY_INV_MANAGEMENT_ACCOUNTS_THRIFT" hidden="1">"c25399"</definedName>
    <definedName name="IQ_OTHER_SQ_FT" hidden="1">"c8780"</definedName>
    <definedName name="IQ_OTHER_STRIKE_PRICE_GRANTED" hidden="1">"c2692"</definedName>
    <definedName name="IQ_OTHER_TAX_EQUIVALENT_ADJUSTMENTS_FFIEC" hidden="1">"c13855"</definedName>
    <definedName name="IQ_OTHER_TEMP_IMPAIR_LOSS_HTM_AFS_FFIEC" hidden="1">"c25845"</definedName>
    <definedName name="IQ_OTHER_TIME_DEPOSITS_THRIFT" hidden="1">"c25569"</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ALANCE_CONTRACTUAL_PURCHASED_CREDIT_IMPAIRED_LOANS_THRIFT" hidden="1">"c25237"</definedName>
    <definedName name="IQ_OUTSTANDING_BS_DATE" hidden="1">"c2128"</definedName>
    <definedName name="IQ_OUTSTANDING_CHECKS_DRAWN_AGAINST_FHLBS_FEDERAL_RESERVE_BANKS_THRIFT" hidden="1">"c25571"</definedName>
    <definedName name="IQ_OUTSTANDING_COMMITMENTS_LOANS_CLOSED_LOANS_IN_PROCESS_MORTGAGE_CONSTRUCTION_LOANS_THRIFT" hidden="1">"c25591"</definedName>
    <definedName name="IQ_OUTSTANDING_COMMITMENTS_LOANS_CLOSED_LOANS_IN_PROCESS_NON_MORTGAGE_LOANS_THRIFT" hidden="1">"c25593"</definedName>
    <definedName name="IQ_OUTSTANDING_COMMITMENTS_LOANS_CLOSED_LOANS_IN_PROCESS_OTHER_MORTGAGE_LOANS_THRIFT" hidden="1">"c25592"</definedName>
    <definedName name="IQ_OUTSTANDING_COMMITMENTS_ORIGINATE_MORTGAGE_LOANS_SECURED_1_4_DWELLING_UNITS_THRIFT" hidden="1">"c25595"</definedName>
    <definedName name="IQ_OUTSTANDING_COMMITMENTS_ORIGINATE_MORTGAGE_LOANS_SECURED_ALL_OTHER_RE_THRIFT" hidden="1">"c25597"</definedName>
    <definedName name="IQ_OUTSTANDING_COMMITMENTS_ORIGINATE_MORTGAGE_LOANS_SECURED_MULTIFAMILY_5_MORE_DWELLING_UNITS_THRIFT" hidden="1">"c25596"</definedName>
    <definedName name="IQ_OUTSTANDING_COMMITMENTS_ORIGINATE_MORTGAGE_LOANS_SECURED_RE_THRIFT" hidden="1">"c25594"</definedName>
    <definedName name="IQ_OUTSTANDING_COMMITMENTS_ORIGINATE_NON_MORTGAGE_LOANS_THRIFT" hidden="1">"c25598"</definedName>
    <definedName name="IQ_OUTSTANDING_COMMITMENTS_PURCHASE_INV_SEC_THRIFT" hidden="1">"c25603"</definedName>
    <definedName name="IQ_OUTSTANDING_COMMITMENTS_PURCHASE_LOANS_THRIFT" hidden="1">"c25599"</definedName>
    <definedName name="IQ_OUTSTANDING_COMMITMENTS_PURCHASE_MORTGAGE_BACKED_SEC_THRIFT" hidden="1">"c25601"</definedName>
    <definedName name="IQ_OUTSTANDING_COMMITMENTS_SELL_INV_SEC_THRIFT" hidden="1">"c25604"</definedName>
    <definedName name="IQ_OUTSTANDING_COMMITMENTS_SELL_LOANS_THRIFT" hidden="1">"c25600"</definedName>
    <definedName name="IQ_OUTSTANDING_COMMITMENTS_SELL_MORTGAGE_BACKED_SEC_THRIFT" hidden="1">"c25602"</definedName>
    <definedName name="IQ_OUTSTANDING_COMMITMENTS_UNDISBURSED_BALANCE_LOANS_CLOSED_THRIFT" hidden="1">"c25590"</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DJUSTED_OPERATING_INCOME_THRIFT" hidden="1">"c25684"</definedName>
    <definedName name="IQ_OVERHEAD_EXP_AVG_ASSETS_FFIEC" hidden="1">"c13361"</definedName>
    <definedName name="IQ_OVERHEAD_EXP_AVG_ASSETS_THRIFT" hidden="1">"c25652"</definedName>
    <definedName name="IQ_OVERHEAD_EXP_REV_FFIEC" hidden="1">"c13494"</definedName>
    <definedName name="IQ_OVERHEAD_EXP_REVENUES_THRIFT" hidden="1">"c25683"</definedName>
    <definedName name="IQ_OVERHEAD_LESS_NON_INT_INCOME_ADJUSTED_OPERATING_INCOME_THRIFT" hidden="1">"c25692"</definedName>
    <definedName name="IQ_OVERHEAD_LESS_NON_INT_INCOME_AVG_ASSETS_THRIFT" hidden="1">"c25665"</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S_THROUGH_MBS_THRIFT" hidden="1">"c24829"</definedName>
    <definedName name="IQ_PASSBOOK_ACCOUNTS_INC_NONDEMAND_ESCROWS_THRIFT" hidden="1">"c25000"</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ST_DUE_LOANS_GROSS_LOANS_THRIFT" hidden="1">"c25737"</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ASSETS_TEST_THRIFT" hidden="1">"c25587"</definedName>
    <definedName name="IQ_PERCENT_CHANGE_EST_5YR_GROWTH_RATE_12MONTHS" hidden="1">"c1852"</definedName>
    <definedName name="IQ_PERCENT_CHANGE_EST_5YR_GROWTH_RATE_12MONTHS_THOM" hidden="1">"c5269"</definedName>
    <definedName name="IQ_PERCENT_CHANGE_EST_5YR_GROWTH_RATE_18MONTHS" hidden="1">"c1853"</definedName>
    <definedName name="IQ_PERCENT_CHANGE_EST_5YR_GROWTH_RATE_18MONTHS_THOM" hidden="1">"c5270"</definedName>
    <definedName name="IQ_PERCENT_CHANGE_EST_5YR_GROWTH_RATE_3MONTHS" hidden="1">"c1849"</definedName>
    <definedName name="IQ_PERCENT_CHANGE_EST_5YR_GROWTH_RATE_3MONTHS_THOM" hidden="1">"c5266"</definedName>
    <definedName name="IQ_PERCENT_CHANGE_EST_5YR_GROWTH_RATE_6MONTHS" hidden="1">"c1850"</definedName>
    <definedName name="IQ_PERCENT_CHANGE_EST_5YR_GROWTH_RATE_6MONTHS_THOM" hidden="1">"c5267"</definedName>
    <definedName name="IQ_PERCENT_CHANGE_EST_5YR_GROWTH_RATE_9MONTHS" hidden="1">"c1851"</definedName>
    <definedName name="IQ_PERCENT_CHANGE_EST_5YR_GROWTH_RATE_9MONTHS_THOM" hidden="1">"c5268"</definedName>
    <definedName name="IQ_PERCENT_CHANGE_EST_5YR_GROWTH_RATE_DAY" hidden="1">"c1846"</definedName>
    <definedName name="IQ_PERCENT_CHANGE_EST_5YR_GROWTH_RATE_DAY_THOM" hidden="1">"c5264"</definedName>
    <definedName name="IQ_PERCENT_CHANGE_EST_5YR_GROWTH_RATE_MONTH" hidden="1">"c1848"</definedName>
    <definedName name="IQ_PERCENT_CHANGE_EST_5YR_GROWTH_RATE_MONTH_THOM" hidden="1">"c5265"</definedName>
    <definedName name="IQ_PERCENT_CHANGE_EST_5YR_GROWTH_RATE_WEEK" hidden="1">"c1847"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THOM" hidden="1">"c5227"</definedName>
    <definedName name="IQ_PERCENT_CHANGE_EST_EBITDA_18MONTHS" hidden="1">"c1805"</definedName>
    <definedName name="IQ_PERCENT_CHANGE_EST_EBITDA_18MONTHS_THOM" hidden="1">"c5228"</definedName>
    <definedName name="IQ_PERCENT_CHANGE_EST_EBITDA_3MONTHS" hidden="1">"c1801"</definedName>
    <definedName name="IQ_PERCENT_CHANGE_EST_EBITDA_3MONTHS_THOM" hidden="1">"c5224"</definedName>
    <definedName name="IQ_PERCENT_CHANGE_EST_EBITDA_6MONTHS" hidden="1">"c1802"</definedName>
    <definedName name="IQ_PERCENT_CHANGE_EST_EBITDA_6MONTHS_THOM" hidden="1">"c5225"</definedName>
    <definedName name="IQ_PERCENT_CHANGE_EST_EBITDA_9MONTHS" hidden="1">"c1803"</definedName>
    <definedName name="IQ_PERCENT_CHANGE_EST_EBITDA_9MONTHS_THOM" hidden="1">"c5226"</definedName>
    <definedName name="IQ_PERCENT_CHANGE_EST_EBITDA_DAY" hidden="1">"c1798"</definedName>
    <definedName name="IQ_PERCENT_CHANGE_EST_EBITDA_DAY_THOM" hidden="1">"c5222"</definedName>
    <definedName name="IQ_PERCENT_CHANGE_EST_EBITDA_MONTH" hidden="1">"c1800"</definedName>
    <definedName name="IQ_PERCENT_CHANGE_EST_EBITDA_MONTH_THOM" hidden="1">"c5223"</definedName>
    <definedName name="IQ_PERCENT_CHANGE_EST_EBITDA_WEEK" hidden="1">"c1799"</definedName>
    <definedName name="IQ_PERCENT_CHANGE_EST_EBITDA_WEEK_THOM" hidden="1">"c5271"</definedName>
    <definedName name="IQ_PERCENT_CHANGE_EST_EPS_12MONTHS" hidden="1">"c1788"</definedName>
    <definedName name="IQ_PERCENT_CHANGE_EST_EPS_12MONTHS_THOM" hidden="1">"c5212"</definedName>
    <definedName name="IQ_PERCENT_CHANGE_EST_EPS_18MONTHS" hidden="1">"c1789"</definedName>
    <definedName name="IQ_PERCENT_CHANGE_EST_EPS_18MONTHS_THOM" hidden="1">"c5213"</definedName>
    <definedName name="IQ_PERCENT_CHANGE_EST_EPS_3MONTHS" hidden="1">"c1785"</definedName>
    <definedName name="IQ_PERCENT_CHANGE_EST_EPS_3MONTHS_THOM" hidden="1">"c5209"</definedName>
    <definedName name="IQ_PERCENT_CHANGE_EST_EPS_6MONTHS" hidden="1">"c1786"</definedName>
    <definedName name="IQ_PERCENT_CHANGE_EST_EPS_6MONTHS_THOM" hidden="1">"c5210"</definedName>
    <definedName name="IQ_PERCENT_CHANGE_EST_EPS_9MONTHS" hidden="1">"c1787"</definedName>
    <definedName name="IQ_PERCENT_CHANGE_EST_EPS_9MONTHS_THOM" hidden="1">"c5211"</definedName>
    <definedName name="IQ_PERCENT_CHANGE_EST_EPS_DAY" hidden="1">"c1782"</definedName>
    <definedName name="IQ_PERCENT_CHANGE_EST_EPS_DAY_THOM" hidden="1">"c5206"</definedName>
    <definedName name="IQ_PERCENT_CHANGE_EST_EPS_MONTH" hidden="1">"c1784"</definedName>
    <definedName name="IQ_PERCENT_CHANGE_EST_EPS_MONTH_THOM" hidden="1">"c5208"</definedName>
    <definedName name="IQ_PERCENT_CHANGE_EST_EPS_WEEK" hidden="1">"c1783"</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THOM" hidden="1">"c5262"</definedName>
    <definedName name="IQ_PERCENT_CHANGE_EST_PRICE_TARGET_18MONTHS" hidden="1">"c1845"</definedName>
    <definedName name="IQ_PERCENT_CHANGE_EST_PRICE_TARGET_18MONTHS_THOM" hidden="1">"c5263"</definedName>
    <definedName name="IQ_PERCENT_CHANGE_EST_PRICE_TARGET_3MONTHS" hidden="1">"c1841"</definedName>
    <definedName name="IQ_PERCENT_CHANGE_EST_PRICE_TARGET_3MONTHS_THOM" hidden="1">"c5259"</definedName>
    <definedName name="IQ_PERCENT_CHANGE_EST_PRICE_TARGET_6MONTHS" hidden="1">"c1842"</definedName>
    <definedName name="IQ_PERCENT_CHANGE_EST_PRICE_TARGET_6MONTHS_THOM" hidden="1">"c5260"</definedName>
    <definedName name="IQ_PERCENT_CHANGE_EST_PRICE_TARGET_9MONTHS" hidden="1">"c1843"</definedName>
    <definedName name="IQ_PERCENT_CHANGE_EST_PRICE_TARGET_9MONTHS_THOM" hidden="1">"c5261"</definedName>
    <definedName name="IQ_PERCENT_CHANGE_EST_PRICE_TARGET_DAY" hidden="1">"c1838"</definedName>
    <definedName name="IQ_PERCENT_CHANGE_EST_PRICE_TARGET_DAY_THOM" hidden="1">"c5257"</definedName>
    <definedName name="IQ_PERCENT_CHANGE_EST_PRICE_TARGET_MONTH" hidden="1">"c1840"</definedName>
    <definedName name="IQ_PERCENT_CHANGE_EST_PRICE_TARGET_MONTH_THOM" hidden="1">"c5258"</definedName>
    <definedName name="IQ_PERCENT_CHANGE_EST_PRICE_TARGET_WEEK" hidden="1">"c1839"</definedName>
    <definedName name="IQ_PERCENT_CHANGE_EST_PRICE_TARGET_WEEK_THOM" hidden="1">"c5276"</definedName>
    <definedName name="IQ_PERCENT_CHANGE_EST_RECO_12MONTHS" hidden="1">"c1836"</definedName>
    <definedName name="IQ_PERCENT_CHANGE_EST_RECO_12MONTHS_THOM" hidden="1">"c5255"</definedName>
    <definedName name="IQ_PERCENT_CHANGE_EST_RECO_18MONTHS" hidden="1">"c1837"</definedName>
    <definedName name="IQ_PERCENT_CHANGE_EST_RECO_18MONTHS_THOM" hidden="1">"c5256"</definedName>
    <definedName name="IQ_PERCENT_CHANGE_EST_RECO_3MONTHS" hidden="1">"c1833"</definedName>
    <definedName name="IQ_PERCENT_CHANGE_EST_RECO_3MONTHS_THOM" hidden="1">"c5252"</definedName>
    <definedName name="IQ_PERCENT_CHANGE_EST_RECO_6MONTHS" hidden="1">"c1834"</definedName>
    <definedName name="IQ_PERCENT_CHANGE_EST_RECO_6MONTHS_THOM" hidden="1">"c5253"</definedName>
    <definedName name="IQ_PERCENT_CHANGE_EST_RECO_9MONTHS" hidden="1">"c1835"</definedName>
    <definedName name="IQ_PERCENT_CHANGE_EST_RECO_9MONTHS_THOM" hidden="1">"c5254"</definedName>
    <definedName name="IQ_PERCENT_CHANGE_EST_RECO_DAY" hidden="1">"c1830"</definedName>
    <definedName name="IQ_PERCENT_CHANGE_EST_RECO_DAY_THOM" hidden="1">"c5250"</definedName>
    <definedName name="IQ_PERCENT_CHANGE_EST_RECO_MONTH" hidden="1">"c1832"</definedName>
    <definedName name="IQ_PERCENT_CHANGE_EST_RECO_MONTH_THOM" hidden="1">"c5251"</definedName>
    <definedName name="IQ_PERCENT_CHANGE_EST_RECO_WEEK" hidden="1">"c1831"</definedName>
    <definedName name="IQ_PERCENT_CHANGE_EST_RECO_WEEK_THOM" hidden="1">"c5275"</definedName>
    <definedName name="IQ_PERCENT_CHANGE_EST_REV_12MONTHS" hidden="1">"c1796"</definedName>
    <definedName name="IQ_PERCENT_CHANGE_EST_REV_12MONTHS_THOM" hidden="1">"c5220"</definedName>
    <definedName name="IQ_PERCENT_CHANGE_EST_REV_18MONTHS" hidden="1">"c1797"</definedName>
    <definedName name="IQ_PERCENT_CHANGE_EST_REV_18MONTHS_THOM" hidden="1">"c5221"</definedName>
    <definedName name="IQ_PERCENT_CHANGE_EST_REV_3MONTHS" hidden="1">"c1793"</definedName>
    <definedName name="IQ_PERCENT_CHANGE_EST_REV_3MONTHS_THOM" hidden="1">"c5217"</definedName>
    <definedName name="IQ_PERCENT_CHANGE_EST_REV_6MONTHS" hidden="1">"c1794"</definedName>
    <definedName name="IQ_PERCENT_CHANGE_EST_REV_6MONTHS_THOM" hidden="1">"c5218"</definedName>
    <definedName name="IQ_PERCENT_CHANGE_EST_REV_9MONTHS" hidden="1">"c1795"</definedName>
    <definedName name="IQ_PERCENT_CHANGE_EST_REV_9MONTHS_THOM" hidden="1">"c5219"</definedName>
    <definedName name="IQ_PERCENT_CHANGE_EST_REV_DAY" hidden="1">"c1790"</definedName>
    <definedName name="IQ_PERCENT_CHANGE_EST_REV_DAY_THOM" hidden="1">"c5214"</definedName>
    <definedName name="IQ_PERCENT_CHANGE_EST_REV_MONTH" hidden="1">"c1792"</definedName>
    <definedName name="IQ_PERCENT_CHANGE_EST_REV_MONTH_THOM" hidden="1">"c5216"</definedName>
    <definedName name="IQ_PERCENT_CHANGE_EST_REV_WEEK" hidden="1">"c1791"</definedName>
    <definedName name="IQ_PERCENT_CHANGE_EST_REV_WEEK_THOM" hidden="1">"c5215"</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DATE_THRIFT" hidden="1">"c25897"</definedName>
    <definedName name="IQ_PERIODLENGTH_AP" hidden="1">"c11746"</definedName>
    <definedName name="IQ_PERIODLENGTH_CF" hidden="1">"c1502"</definedName>
    <definedName name="IQ_PERIODLENGTH_IS" hidden="1">"c1503"</definedName>
    <definedName name="IQ_PERMANENT_1_4_DWELLING_UNITS_ALL_OTHER_SECURED_FIRST_LIENS_THRIFT" hidden="1">"c24844"</definedName>
    <definedName name="IQ_PERMANENT_1_4_DWELLING_UNITS_ALL_OTHER_SECURED_JUNIOR_LIENS_THRIFT" hidden="1">"c24845"</definedName>
    <definedName name="IQ_PERMANENT_1_4_DWELLING_UNITS_REVOLVING_OPEN_END_LOANS_THRIFT" hidden="1">"c24843"</definedName>
    <definedName name="IQ_PERMANENT_LAND_THRIFT" hidden="1">"c24848"</definedName>
    <definedName name="IQ_PERMANENT_LOANS_SECURED_1_4_DWELLING_UNITS_FORECLOSED_DURING_QUARTER_THRIFT" hidden="1">"c25232"</definedName>
    <definedName name="IQ_PERMANENT_LOANS_SECURED_LAND_FORECLOSED_DURING_QUARTER_THRIFT" hidden="1">"c25235"</definedName>
    <definedName name="IQ_PERMANENT_LOANS_SECURED_MULTIFAMILY_5_MORE_DWELLING_UNITS_FORECLOSED_DURING_QUARTER_THRIFT" hidden="1">"c25233"</definedName>
    <definedName name="IQ_PERMANENT_LOANS_SECURED_NONRES_EXCEPT_LAND_FORECLOSED_DURING_QUARTER_THRIFT" hidden="1">"c25234"</definedName>
    <definedName name="IQ_PERMANENT_MORTGAGE_LOANS_THRIFT" hidden="1">"c24842"</definedName>
    <definedName name="IQ_PERMANENT_MULTIFAMILY_5_MORE_DWELLING_UNITS_THRIFT" hidden="1">"c24846"</definedName>
    <definedName name="IQ_PERMANENT_NONRES_PROPERTY_EXCEPT_LAND_THRIFT" hidden="1">"c24847"</definedName>
    <definedName name="IQ_PERPETUAL_PREF_STOCK_THRIFT" hidden="1">"c24914"</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AL_TRUST_AGENCY_ACCOUNTS_GROSS_LOSSES_MANAGED_ACCOUNTS_THRIFT" hidden="1">"c25461"</definedName>
    <definedName name="IQ_PERSONAL_TRUST_AGENCY_ACCOUNTS_GROSS_LOSSES_NONMANAGED_ACCOUNTS_THRIFT" hidden="1">"c25466"</definedName>
    <definedName name="IQ_PERSONAL_TRUST_AGENCY_ACCOUNTS_INC_THRIFT" hidden="1">"c24801"</definedName>
    <definedName name="IQ_PERSONAL_TRUST_AGENCY_ACCOUNTS_MANAGED_ASSETS_THRIFT" hidden="1">"c25347"</definedName>
    <definedName name="IQ_PERSONAL_TRUST_AGENCY_ACCOUNTS_NONMANAGED_ASSETS_THRIFT" hidden="1">"c25368"</definedName>
    <definedName name="IQ_PERSONAL_TRUST_AGENCY_ACCOUNTS_NUMBER_MANAGED_ACCOUNTS_THRIFT" hidden="1">"c25358"</definedName>
    <definedName name="IQ_PERSONAL_TRUST_AGENCY_ACCOUNTS_NUMBER_NONMANAGED_ACCOUNTS_THRIFT" hidden="1">"c25380"</definedName>
    <definedName name="IQ_PERSONAL_TRUST_AGENCY_ACCOUNTS_RECOVERIES_THRIFT" hidden="1">"c25471"</definedName>
    <definedName name="IQ_PERSONNEL_EXP_ADJUSTED_OPERATING_INCOME_THRIFT" hidden="1">"c25685"</definedName>
    <definedName name="IQ_PERSONNEL_EXP_AVG_ASSETS_FFIEC" hidden="1">"c13371"</definedName>
    <definedName name="IQ_PERSONNEL_EXP_AVG_ASSETS_THRIFT" hidden="1">"c25662"</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LOANS_THRIFT" hidden="1">"c24936"</definedName>
    <definedName name="IQ_PLEDGED_SEC_INVEST_SECURITIES_FFIEC" hidden="1">"c13467"</definedName>
    <definedName name="IQ_PLEDGED_SECURITIES_FDIC" hidden="1">"c6401"</definedName>
    <definedName name="IQ_PLEDGED_SECURITIES_FFIEC" hidden="1">"c24743"</definedName>
    <definedName name="IQ_PLEDGED_TRADING_ASSETS_THRIFT" hidden="1">"c24937"</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L_SECURED_LAND_DUE_30_89_THRIFT" hidden="1">"c25246"</definedName>
    <definedName name="IQ_PML_SECURED_LAND_DUE_90_THRIFT" hidden="1">"c25267"</definedName>
    <definedName name="IQ_PML_SECURED_LAND_NON_ACCRUAL_THRIFT" hidden="1">"c25288"</definedName>
    <definedName name="IQ_PML_SECURED_MULTIFAMILY_5_MORE_DWELLING_UNITS_DUE_30_89_THRIFT" hidden="1">"c25244"</definedName>
    <definedName name="IQ_PML_SECURED_MULTIFAMILY_5_MORE_DWELLING_UNITS_DUE_90_THRIFT" hidden="1">"c25265"</definedName>
    <definedName name="IQ_PML_SECURED_MULTIFAMILY_5_MORE_DWELLING_UNITS_NON_ACCRUAL_THRIFT" hidden="1">"c25286"</definedName>
    <definedName name="IQ_PML_SECURED_NONRES_PROPERTY_EXCEPT_LAND_DUE_30_89_THRIFT" hidden="1">"c25245"</definedName>
    <definedName name="IQ_PML_SECURED_NONRES_PROPERTY_EXCEPT_LAND_DUE_90_THRIFT" hidden="1">"c25266"</definedName>
    <definedName name="IQ_PML_SECURED_NONRES_PROPERTY_EXCEPT_LAND_NON_ACCRUAL_THRIFT" hidden="1">"c25287"</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DEPOSITS_THRIFT" hidden="1">"c24996"</definedName>
    <definedName name="IQ_PREFERRED_FDIC" hidden="1">"c6349"</definedName>
    <definedName name="IQ_PREFERRED_LIST" hidden="1">"c13506"</definedName>
    <definedName name="IQ_PREFERRED_STOCK_DIVIDENDS_DECLARED_SAVINGS_ASSOCIATION_THRIFT" hidden="1">"c25010"</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DATE" hidden="1">"c1069"</definedName>
    <definedName name="IQ_PRICING_DATE" hidden="1">"c1613"</definedName>
    <definedName name="IQ_PRIMARY_EPS_TYPE" hidden="1">"c4498"</definedName>
    <definedName name="IQ_PRIMARY_INDUSTRY" hidden="1">"c1070"</definedName>
    <definedName name="IQ_PRIMARY_SIC_CODE" hidden="1">"c16218"</definedName>
    <definedName name="IQ_PRIMARY_SIC_INDUSTRY" hidden="1">"c16217"</definedName>
    <definedName name="IQ_PRINCIPAL_AMT" hidden="1">"c2157"</definedName>
    <definedName name="IQ_PRIOR_PERIOD_ADJUSTMENTS_SAVINGS_ASSOCIATION_THRIFT" hidden="1">"c25017"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AVG_LOANS_THRIFT" hidden="1">"c25639"</definedName>
    <definedName name="IQ_PROVISION_LL_FFIEC" hidden="1">"c13019"</definedName>
    <definedName name="IQ_PROVISION_LL_INT_BEARING_ASSETS_THRIFT" hidden="1">"c24783"</definedName>
    <definedName name="IQ_PROVISION_LL_NET_LOSSES_THRIFT" hidden="1">"c25640"</definedName>
    <definedName name="IQ_PROVISION_LL_NON_INT_BEARING_ASSETS_THRIFT" hidden="1">"c24784"</definedName>
    <definedName name="IQ_PROVISION_LOAN_LL_AVG_ASSETS_THRIFT" hidden="1">"c25785"</definedName>
    <definedName name="IQ_PROVISION_LOAN_LOSS_AVG_ASSETS_FFIEC" hidden="1">"c18879"</definedName>
    <definedName name="IQ_PROVISION_LOAN_LOSSES_AVG_ASSETS_THRIFT" hidden="1">"c25653"</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ES_OTHER_MORTGAGE_BACKED_SEC_THRIFT" hidden="1">"c25314"</definedName>
    <definedName name="IQ_PURCHASES_PASS_THROUGH_MORTGAGE_BACKED_SEC_THRIFT" hidden="1">"c25311"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MULTIFAMILY_RES_MORTGAGE_LOANS_ELIGIBLE_50_PCT_RISK_WEIGHT_THRIFT" hidden="1">"c25065"</definedName>
    <definedName name="IQ_QUALIFYING_SINGLE_FAMILY_RES_MORTGAGE_LOANS_ELIGIBLE_50_PCT_RISK_WEIGHT_THRIFT" hidden="1">"c25064"</definedName>
    <definedName name="IQ_QUALIFYING_SUB_DEBT_REDEEM_PREF_T2_FFIEC" hidden="1">"c13144"</definedName>
    <definedName name="IQ_QUALIFYING_SUB_DEBT_REDEEMABLE_PREFERRED_T2_THRIFT" hidden="1">"c25041"</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DWELLING_UNITS_REPOSSESSED_ASSETS_ADJUSTED_NCOS_TOTAL_THRIFT" hidden="1">"c25220"</definedName>
    <definedName name="IQ_RE_1_4_DWELLING_UNITS_REPOSSESSED_ASSETS_GVA_CHARGE_OFFS_THRIFT" hidden="1">"c25135"</definedName>
    <definedName name="IQ_RE_1_4_DWELLING_UNITS_REPOSSESSED_ASSETS_SVA_PROVISIONS_TRANSFERS_FROM_GVA_TOTAL_THRIFT" hidden="1">"c25189"</definedName>
    <definedName name="IQ_RE_1_4_RISK_BASED_FFIEC" hidden="1">"c13418"</definedName>
    <definedName name="IQ_RE_ACQ_SATISFACTION_DEBTS_FFIEC" hidden="1">"c12832"</definedName>
    <definedName name="IQ_RE_ALL_OTHER_ACCOUNTS_THRIFT" hidden="1">"c25436"</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CONSTRUCTION_REPOSSESSED_ASSETS_ADJUSTED_NCOS_TOTAL_THRIFT" hidden="1">"c25219"</definedName>
    <definedName name="IQ_RE_CONSTRUCTION_REPOSSESSED_ASSETS_GVA_CHARGE_OFFS_THRIFT" hidden="1">"c25134"</definedName>
    <definedName name="IQ_RE_CONSTRUCTION_REPOSSESSED_ASSETS_SVA_PROVISIONS_TRANSFERS_FROM_GVA_TOTAL_THRIFT" hidden="1">"c25188"</definedName>
    <definedName name="IQ_RE_DEPR_AMORT" hidden="1">"c8750"</definedName>
    <definedName name="IQ_RE_DEPRECIATION" hidden="1">"c16045"</definedName>
    <definedName name="IQ_RE_EMPLOYEE_BENEFIT_RETIREMENT_RELATED_ACCOUNTS_THRIFT" hidden="1">"c25420"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HELD_INV_ADJUSTED_NCOS_THRIFT" hidden="1">"c25225"</definedName>
    <definedName name="IQ_RE_HELD_INV_GVA_CHARGE_OFFS_THRIFT" hidden="1">"c25140"</definedName>
    <definedName name="IQ_RE_HELD_INV_SVA_PROVISIONS_TRANSFERS_FROM_GVA_THRIFT" hidden="1">"c25194"</definedName>
    <definedName name="IQ_RE_HELD_INV_THRIFT" hidden="1">"c24878"</definedName>
    <definedName name="IQ_RE_INVEST_FDIC" hidden="1">"c6331"</definedName>
    <definedName name="IQ_RE_LAND_REPOSSESSED_ASSETS_ADJUSTED_NCOS_TOTAL_THRIFT" hidden="1">"c25223"</definedName>
    <definedName name="IQ_RE_LAND_REPOSSESSED_ASSETS_GVA_CHARGE_OFFS_THRIFT" hidden="1">"c25138"</definedName>
    <definedName name="IQ_RE_LAND_REPOSSESSED_ASSETS_SVA_PROVISIONS_TRANSFERS_FROM_GVA_TOTAL_THRIFT" hidden="1">"c25192"</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DUE_30_89_FFIEC" hidden="1">"c25826"</definedName>
    <definedName name="IQ_RE_LOANS_DUE_90_FFIEC" hidden="1">"c25827"</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LOANS_NON_ACCRUAL_FFIEC" hidden="1">"c25828"</definedName>
    <definedName name="IQ_RE_LOANS_SECURED_1_4_FAMILY_GROSS_LOANS_THRIFT" hidden="1">"c25722"</definedName>
    <definedName name="IQ_RE_LOANS_SECURED_1_4_FAMILY_RISK_BASED_CAPITAL_THRIFT" hidden="1">"c25707"</definedName>
    <definedName name="IQ_RE_LOANS_SECURED_LAND_GROSS_LOANS_THRIFT" hidden="1">"c25731"</definedName>
    <definedName name="IQ_RE_LOANS_SECURED_LAND_RISK_BASED_CAPITAL_THRIFT" hidden="1">"c25716"</definedName>
    <definedName name="IQ_RE_MAINT_CAPEX" hidden="1">"c8755"</definedName>
    <definedName name="IQ_RE_MINORITY_INTEREST" hidden="1">"c8752"</definedName>
    <definedName name="IQ_RE_MORTGAGES_ALL_OTHER_ACCOUNTS_THRIFT" hidden="1">"c25435"</definedName>
    <definedName name="IQ_RE_MORTGAGES_EMPLOYEE_BENEFIT_RETIREMENT_RELATED_ACCOUNTS_THRIFT" hidden="1">"c25419"</definedName>
    <definedName name="IQ_RE_MORTGAGES_PERSONAL_TRUST_AGENCY_INV_MANAGEMENT_ACCOUNTS_THRIFT" hidden="1">"c25403"</definedName>
    <definedName name="IQ_RE_MULTIFAMILY_5_MORE_DWELLING_UNITS_REPOSSESSED_ASSETS_ADJUSTED_NCOS_TOTAL_THRIFT" hidden="1">"c25221"</definedName>
    <definedName name="IQ_RE_MULTIFAMILY_5_MORE_DWELLING_UNITS_REPOSSESSED_ASSETS_GVA_CHARGE_OFFS_THRIFT" hidden="1">"c25136"</definedName>
    <definedName name="IQ_RE_MULTIFAMILY_5_MORE_DWELLING_UNITS_REPOSSESSED_ASSETS_SVA_PROVISIONS_TRANSFERS_FROM_GVA_TOTAL_THRIFT" hidden="1">"c25190"</definedName>
    <definedName name="IQ_RE_NET_INCOME" hidden="1">"c8749"</definedName>
    <definedName name="IQ_RE_NOI" hidden="1">"c8864"</definedName>
    <definedName name="IQ_RE_NOI_GROWTH_SAME_PROP" hidden="1">"c8866"</definedName>
    <definedName name="IQ_RE_NOI_SAME_PROP" hidden="1">"c8865"</definedName>
    <definedName name="IQ_RE_NONRES_EXCEPT_LAND_REPOSSESSED_ASSETS_ADJUSTED_NCOS_TOTAL_THRIFT" hidden="1">"c25222"</definedName>
    <definedName name="IQ_RE_NONRES_EXCEPT_LAND_REPOSSESSED_ASSETS_GVA_CHARGE_OFFS_THRIFT" hidden="1">"c25137"</definedName>
    <definedName name="IQ_RE_NONRES_EXCEPT_LAND_REPOSSESSED_ASSETS_SVA_PROVISIONS_TRANSFERS_FROM_GVA_TOTAL_THRIFT" hidden="1">"c25191"</definedName>
    <definedName name="IQ_RE_OTHER_ITEMS" hidden="1">"c8753"</definedName>
    <definedName name="IQ_RE_PERSONAL_TRUST_AGENCY_INV_MANAGEMENT_ACCOUNTS_THRIFT" hidden="1">"c25404"</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BOOKED_GNMA_LOANS_REPURCHASED_ELIGIBLE_REPURCHASE_DUE_30_89_THRIFT" hidden="1">"c25260"</definedName>
    <definedName name="IQ_REBOOKED_GNMA_LOANS_REPURCHASED_ELIGIBLE_REPURCHASE_DUE_90_THRIFT" hidden="1">"c25281"</definedName>
    <definedName name="IQ_REBOOKED_GNMA_LOANS_REPURCHASED_ELIGIBLE_REPURCHASE_NON_ACCRUAL_THRIFT" hidden="1">"c25302"</definedName>
    <definedName name="IQ_REBOOKED_GNMA_REPUR_GUARANTEED_US_EXCL_LOSS_SHARING_DUE_30_89_FFIEC" hidden="1">"c27070"</definedName>
    <definedName name="IQ_REBOOKED_GNMA_REPUR_GUARANTEED_US_EXCL_LOSS_SHARING_DUE_90_FFIEC" hidden="1">"c27110"</definedName>
    <definedName name="IQ_REBOOKED_GNMA_REPUR_GUARANTEED_US_EXCL_LOSS_SHARING_NON_ACCRUAL_FFIEC" hidden="1">"c27150"</definedName>
    <definedName name="IQ_RECENT_FUNDS" hidden="1">"c18908"</definedName>
    <definedName name="IQ_RECENT_FUNDS_ID" hidden="1">"c18909"</definedName>
    <definedName name="IQ_RECIPROCAL_BROKERED_DEPOSITS_THRIFT" hidden="1">"c24997"</definedName>
    <definedName name="IQ_RECORDED_INV_PURCHASED_CREDIT_IMPAIRED_LOANS_THRIFT" hidden="1">"c25238"</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GVA_THRIFT" hidden="1">"c25094"</definedName>
    <definedName name="IQ_RECOVERIES_HOME_EQUITY_LINES_FDIC" hidden="1">"c6705"</definedName>
    <definedName name="IQ_RECOVERIES_OTHER_CONSUMER_LOANS_FDIC" hidden="1">"c6703"</definedName>
    <definedName name="IQ_RECOVERIES_OTHER_LOANS_FDIC" hidden="1">"c6706"</definedName>
    <definedName name="IQ_RECOVERIES_TVA_THRIFT" hidden="1">"c25108"</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OSSESS_1_4_DWELLING_UNITS_RE_THRIFT" hidden="1">"c24871"</definedName>
    <definedName name="IQ_REPOSSESS_ASSETS_THRIFT" hidden="1">"c24869"</definedName>
    <definedName name="IQ_REPOSSESS_CONSTRUCTION_RE_THRIFT" hidden="1">"c24870"</definedName>
    <definedName name="IQ_REPOSSESS_GVA_THRIFT" hidden="1">"c24877"</definedName>
    <definedName name="IQ_REPOSSESS_LAND_THRIFT" hidden="1">"c24874"</definedName>
    <definedName name="IQ_REPOSSESS_MULTIFAMILY_5_MORE_DWELLING_UNITS_RE_THRIFT" hidden="1">"c24872"</definedName>
    <definedName name="IQ_REPOSSESS_NONRES_EXCEPT_LAND_RE_THRIFT" hidden="1">"c24873"</definedName>
    <definedName name="IQ_REPOSSESS_OTHER_ASSETS_THRIFT" hidden="1">"c24876"</definedName>
    <definedName name="IQ_REPOSSESS_US_GOVT_GUARANTEED_INSURED_RE_OWNED_THRIFT" hidden="1">"c24875"</definedName>
    <definedName name="IQ_REPOSSESSED_ASSETS_TOTAL_ADJUSTED_NCOS_TOTAL_THRIFT" hidden="1">"c25218"</definedName>
    <definedName name="IQ_REPOSSESSED_ASSETS_TOTAL_GVA_CHARGE_OFFS_THRIFT" hidden="1">"c25133"</definedName>
    <definedName name="IQ_REPOSSESSED_ASSETS_TOTAL_SVA_PROVISIONS_TRANSFERS_FROM_GVA_TOTAL_THRIFT" hidden="1">"c25187"</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_MBS_PASS_THROUGH_ISSUED_FNMA_GNMA_TRADING_DOM_FFIEC" hidden="1">"c27350"</definedName>
    <definedName name="IQ_RES_MBS_TRADING_DOM_FFIEC" hidden="1">"c27349"</definedName>
    <definedName name="IQ_RES_MBS_TRADING_FFIEC" hidden="1">"c27345"</definedName>
    <definedName name="IQ_RES_PASS_THROUGH_FNMA_GNMA_TRADING_FFIEC" hidden="1">"c27346"</definedName>
    <definedName name="IQ_RESEARCH_DEV" hidden="1">"c1419"</definedName>
    <definedName name="IQ_RESIDENTIAL_LOANS" hidden="1">"c1102"</definedName>
    <definedName name="IQ_RESIDENTIAL_MORT_LOANS" hidden="1">"c1102"</definedName>
    <definedName name="IQ_RESIDUAL_INTERESTS_INT_ONLY_STRIPS_THRIFT" hidden="1">"c24939"</definedName>
    <definedName name="IQ_RESIDUAL_INTERESTS_THRIFT" hidden="1">"c24938"</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 hidden="1">"c26985"</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"c9903"</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EQUITY_THRIFT" hidden="1">"c25633"</definedName>
    <definedName name="IQ_RETAINED_EARNINGS_FFIEC" hidden="1">"c12878"</definedName>
    <definedName name="IQ_RETAINED_EARNINGS_THRIFT" hidden="1">"c24919"</definedName>
    <definedName name="IQ_RETIREMENT_DEFINED_BENEFIT_INC_THRIFT" hidden="1">"c24803"</definedName>
    <definedName name="IQ_RETIREMENT_DEFINED_CONT_INC_THRIFT" hidden="1">"c24802"</definedName>
    <definedName name="IQ_RETIREMENT_DEPOSITS_LESS_THAN_250000_THRIFT" hidden="1">"c24990"</definedName>
    <definedName name="IQ_RETIREMENT_DEPOSITS_WITH_BALANCES_GREATER_THAN_250000_THRIFT" hidden="1">"c24991"</definedName>
    <definedName name="IQ_RETIREMENT_OTHER_RETIREMENT_ACCOUNTS_INC_THRIFT" hidden="1">"c24804"</definedName>
    <definedName name="IQ_RETIREMENT_RELATED_EMPLOYEE_BENEFIT_ACCOUNTS_GROSS_LOSSES_MANAGED_ACCOUNTS_THRIFT" hidden="1">"c25462"</definedName>
    <definedName name="IQ_RETIREMENT_RELATED_EMPLOYEE_BENEFIT_ACCOUNTS_GROSS_LOSSES_NONMANAGED_ACCOUNTS_THRIFT" hidden="1">"c25467"</definedName>
    <definedName name="IQ_RETIREMENT_RELATED_EMPLOYEE_BENEFIT_ACCOUNTS_RECOVERIES_THRIFT" hidden="1">"c25472"</definedName>
    <definedName name="IQ_RETIREMENT_RELATED_TRUST_AGENCY_ACCOUNTS_EMPLOYEE_BENEFIT_DEFINED_BENEFIT_MANAGED_ASSETS_THRIFT" hidden="1">"c25349"</definedName>
    <definedName name="IQ_RETIREMENT_RELATED_TRUST_AGENCY_ACCOUNTS_EMPLOYEE_BENEFIT_DEFINED_BENEFIT_NONMANAGED_ASSETS_THRIFT" hidden="1">"c25370"</definedName>
    <definedName name="IQ_RETIREMENT_RELATED_TRUST_AGENCY_ACCOUNTS_EMPLOYEE_BENEFIT_DEFINED_BENEFIT_NUMBER_MANAGED_ACCOUNTS_THRIFT" hidden="1">"c25360"</definedName>
    <definedName name="IQ_RETIREMENT_RELATED_TRUST_AGENCY_ACCOUNTS_EMPLOYEE_BENEFIT_DEFINED_BENEFIT_NUMBER_NONMANAGED_ACCOUNTS_THRIFT" hidden="1">"c25382"</definedName>
    <definedName name="IQ_RETIREMENT_RELATED_TRUST_AGENCY_ACCOUNTS_EMPLOYEE_BENEFIT_DEFINED_CONTRIBUTION_MANAGED_ASSETS_THRIFT" hidden="1">"c25348"</definedName>
    <definedName name="IQ_RETIREMENT_RELATED_TRUST_AGENCY_ACCOUNTS_EMPLOYEE_BENEFIT_DEFINED_CONTRIBUTION_NONMANAGED_ASSETS_THRIFT" hidden="1">"c25369"</definedName>
    <definedName name="IQ_RETIREMENT_RELATED_TRUST_AGENCY_ACCOUNTS_EMPLOYEE_BENEFIT_DEFINED_CONTRIBUTION_NUMBER_MANAGED_ACCOUNTS_THRIFT" hidden="1">"c25359"</definedName>
    <definedName name="IQ_RETIREMENT_RELATED_TRUST_AGENCY_ACCOUNTS_EMPLOYEE_BENEFIT_DEFINED_CONTRIBUTION_NUMBER_NONMANAGED_ACCOUNTS_THRIFT" hidden="1">"c25381"</definedName>
    <definedName name="IQ_RETIREMENT_RELATED_TRUST_AGENCY_ACCOUNTS_EMPLOYEE_BENEFIT_OTHER_MANAGED_ASSETS_THRIFT" hidden="1">"c25350"</definedName>
    <definedName name="IQ_RETIREMENT_RELATED_TRUST_AGENCY_ACCOUNTS_EMPLOYEE_BENEFIT_OTHER_NONMANAGED_ASSETS_THRIFT" hidden="1">"c25371"</definedName>
    <definedName name="IQ_RETIREMENT_RELATED_TRUST_AGENCY_ACCOUNTS_EMPLOYEE_BENEFIT_OTHER_NUMBER_MANAGED_ACCOUNTS_THRIFT" hidden="1">"c25361"</definedName>
    <definedName name="IQ_RETIREMENT_RELATED_TRUST_AGENCY_ACCOUNTS_EMPLOYEE_BENEFIT_OTHER_NUMBER_NONMANAGED_ACCOUNTS_THRIFT" hidden="1">"c25383"</definedName>
    <definedName name="IQ_RETURN_ASSETS" hidden="1">"c1113"</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ACT_OR_EST" hidden="1">"c2214"</definedName>
    <definedName name="IQ_REVENUE_ACT_OR_EST_CIQ" hidden="1">"c5059"</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BEFORE_LL_THRIFT" hidden="1">"c24782"</definedName>
    <definedName name="IQ_REVENUE_COMMERCIAL" hidden="1">"c2881"</definedName>
    <definedName name="IQ_REVENUE_DIGITAL_CABLE" hidden="1">"c2876"</definedName>
    <definedName name="IQ_REVENUE_EST" hidden="1">"c1126"</definedName>
    <definedName name="IQ_REVENUE_EST_CIQ" hidden="1">"c3616"</definedName>
    <definedName name="IQ_REVENUE_EST_REUT" hidden="1">"c3634"</definedName>
    <definedName name="IQ_REVENUE_EST_THOM" hidden="1">"c3652"</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39734.3457291667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GROSS_LOANS_THRIFT" hidden="1">"c25723"</definedName>
    <definedName name="IQ_REVOLVING_LOANS_RISK_BASED_CAPITAL_THRIFT" hidden="1">"c25708"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OPEN_END_PML_SECURED_1_4_DWELLING_UNITS_DUE_30_89_THRIFT" hidden="1">"c25241"</definedName>
    <definedName name="IQ_REVOLVING_OPEN_END_PML_SECURED_1_4_DWELLING_UNITS_DUE_90_THRIFT" hidden="1">"c25262"</definedName>
    <definedName name="IQ_REVOLVING_OPEN_END_PML_SECURED_1_4_DWELLING_UNITS_NON_ACCRUAL_THRIFT" hidden="1">"c25283"</definedName>
    <definedName name="IQ_REVOLVING_OPEN_LOANS_SEC_1_4_DOM_LOSS_SHARING_FFIEC" hidden="1">"c27191"</definedName>
    <definedName name="IQ_REVOLVING_OPEN_LOANS_SEC_1_4_EXTD_LOC_DOM_LOSS_SHARING_DUE_30_89_FFIEC" hidden="1">"c27074"</definedName>
    <definedName name="IQ_REVOLVING_OPEN_LOANS_SEC_1_4_EXTD_LOC_DOM_LOSS_SHARING_DUE_90_FFIEC" hidden="1">"c27114"</definedName>
    <definedName name="IQ_REVOLVING_OPEN_LOANS_SEC_1_4_EXTD_LOC_DOM_LOSS_SHARING_NON_ACCRUAL_FFIEC" hidden="1">"c27154"</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BEFORE_EXCESS_ALLOWANCE_LL_LOSSES_THRIFT" hidden="1">"c25077"</definedName>
    <definedName name="IQ_RISK_WEIGHTED_ASSETS_FDIC" hidden="1">"c6370"</definedName>
    <definedName name="IQ_RISK_WEIGHTED_ASSETS_LOW_LEVEL_RECOURSE_RESIDUAL_INTERESTS_THRIFT" hidden="1">"c25075"</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EMPLOYEE_BENEFITS_THRIFT" hidden="1">"c24786"</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CEEDS_RENTAL_ASSETS" hidden="1">"c26974"</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COMM_NON_MORTGAGE_LOANS_THRIFT" hidden="1">"c25340"</definedName>
    <definedName name="IQ_SALES_CONSUMER_NON_MORTGAGE_LOANS_THRIFT" hidden="1">"c25342"</definedName>
    <definedName name="IQ_SALES_MARKETING" hidden="1">"c2240"</definedName>
    <definedName name="IQ_SALES_OTHER_MORTGAGE_BACKED_SEC_THRIFT" hidden="1">"c25315"</definedName>
    <definedName name="IQ_SALES_PASS_THROUGH_MORTGAGE_BACKED_SEC_THRIFT" hidden="1">"c25312"</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ASSOCIATION_EQUITY_CAPITAL_BEGINNING_BALANCE_FROM_PRIOR_QTR_THRIFT" hidden="1">"c25008"</definedName>
    <definedName name="IQ_SAVINGS_ASSOCIATION_EQUITY_CAPITAL_ENDING_BALANCE_THRIFT" hidden="1">"c25019"</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1_4_DOM_LOANS_RSTRC_DUE_30_89_FFIEC" hidden="1">"c27093"</definedName>
    <definedName name="IQ_SEC_1_4_DOM_LOANS_RSTRC_DUE_90_FFIEC" hidden="1">"c27133"</definedName>
    <definedName name="IQ_SEC_1_4_DOM_LOANS_RSTRC_DUE_NON_ACCRUAL_FFIEC" hidden="1">"c27173"</definedName>
    <definedName name="IQ_SEC_BACKED_NON_MORTGAGE_LOANS_THRIFT" hidden="1">"c24825"</definedName>
    <definedName name="IQ_SEC_BACKED_US_GOVT_ELIGIBLE_0_PCT_RISK_WEIGHT_THRIFT" hidden="1">"c25052"</definedName>
    <definedName name="IQ_SEC_BORROWED_OFF_BS_FFIEC" hidden="1">"c13127"</definedName>
    <definedName name="IQ_SEC_FARMLAND_DOM_CHARGE_OFFS_FFIEC" hidden="1">"c13167"</definedName>
    <definedName name="IQ_SEC_FARMLAND_DOM_LOSS_SHARING_DUE_30_89_FFIEC" hidden="1">"c27073"</definedName>
    <definedName name="IQ_SEC_FARMLAND_DOM_LOSS_SHARING_DUE_90_FFIEC" hidden="1">"c27113"</definedName>
    <definedName name="IQ_SEC_FARMLAND_DOM_LOSS_SHARING_FFIEC" hidden="1">"c27190"</definedName>
    <definedName name="IQ_SEC_FARMLAND_DOM_LOSS_SHARING_NON_ACCRUAL_FFIEC" hidden="1">"c27153"</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LOANS_LOSS_SHARING_DUE_90_FFIEC" hidden="1">"c27117"</definedName>
    <definedName name="IQ_SEC_MULTIFAM_DOM_LOANS_RSTRC_DUE_30_89_FFIEC" hidden="1">"c27094"</definedName>
    <definedName name="IQ_SEC_MULTIFAM_DOM_LOANS_RSTRC_DUE_90_FFIEC" hidden="1">"c27134"</definedName>
    <definedName name="IQ_SEC_MULTIFAM_DOM_LOANS_RSTRC_NON_ACCRUAL_FFIEC" hidden="1">"c27174"</definedName>
    <definedName name="IQ_SEC_MULTIFAM_DOM_LOANS_RSTRC_TERMS_FFIEC" hidden="1">"c27025"</definedName>
    <definedName name="IQ_SEC_MULTIFAM_DOM_LOSS_SHARING_DUE_30_89_FFIEC" hidden="1">"c27077"</definedName>
    <definedName name="IQ_SEC_MULTIFAM_DOM_LOSS_SHARING_FFIEC" hidden="1">"c27194"</definedName>
    <definedName name="IQ_SEC_MULTIFAM_DOM_LOSS_SHARING_NON_ACCRUAL_FFIEC" hidden="1">"c27157"</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OM_LOSS_SHARING_DUE_30_89_FFIEC" hidden="1">"c27079"</definedName>
    <definedName name="IQ_SEC_OTHER_NONFARM_NONRES_DOM_LOSS_SHARING_DUE_90_FFIEC" hidden="1">"c27119"</definedName>
    <definedName name="IQ_SEC_OTHER_NONFARM_NONRES_DOM_LOSS_SHARING_FFIEC" hidden="1">"c27196"</definedName>
    <definedName name="IQ_SEC_OTHER_NONFARM_NONRES_DOM_RSTRC_TERMS_FFIEC" hidden="1">"c27027"</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THER_NONFARM_NONRES_RSTRC_DUE_30_89_FFIEC" hidden="1">"c27096"</definedName>
    <definedName name="IQ_SEC_OTHER_NONFARM_NONRES_RSTRC_DUE_90_FFIEC" hidden="1">"c27136"</definedName>
    <definedName name="IQ_SEC_OTHER_NONFARM_NONRES_RSTRC_NON_ACCRUAL_FFIEC" hidden="1">"c27176"</definedName>
    <definedName name="IQ_SEC_OWNER_NONFARM_NONRES_CHARGE_OFFS_FFIEC" hidden="1">"c13172"</definedName>
    <definedName name="IQ_SEC_OWNER_NONFARM_NONRES_DOM_RSTRC_TERMS_FFIEC" hidden="1">"c27026"</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OWNER_NONFARM_NONRES_RSTRC_DUE_30_89_FFIEC" hidden="1">"c27095"</definedName>
    <definedName name="IQ_SEC_OWNER_NONFARM_NONRES_RSTRC_DUE_90_FFIEC" hidden="1">"c27135"</definedName>
    <definedName name="IQ_SEC_OWNER_NONFARM_NONRES_RSTRC_NON_ACCRUAL_FFIEC" hidden="1">"c27159"</definedName>
    <definedName name="IQ_SEC_OWNER_NONFARM_NONRES_RSTRUC_NON_ACCRUAL_FFIEC" hidden="1">"c27175"</definedName>
    <definedName name="IQ_SEC_OWNER_OCCUPIED_NONFARM_NONRES_DOM_LOSS_SHARING_DUE_30_89_FFIEC" hidden="1">"c27078"</definedName>
    <definedName name="IQ_SEC_OWNER_OCCUPIED_NONFARM_NONRES_DOM_LOSS_SHARING_DUE_90_FFIEC" hidden="1">"c27118"</definedName>
    <definedName name="IQ_SEC_OWNER_OCCUPIED_NONFARM_NONRES_DOM_LOSS_SHARING_FFIEC" hidden="1">"c27195"</definedName>
    <definedName name="IQ_SEC_OWNER_OCCUPIED_NONFARM_NONRES_DOM_LOSS_SHARING_NON_ACCRUAL_FFIEC" hidden="1">"c27158"</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RISK_WEIGHTED_100_PCT_MORE_UNDER_RATINGS_THRIFT" hidden="1">"c25071"</definedName>
    <definedName name="IQ_SEC_SOLD_REPURCHASE_FFIEC" hidden="1">"c12857"</definedName>
    <definedName name="IQ_SEC_SOLD_UNDER_AGREEMENTS_REPURCHASE_THRIFT" hidden="1">"c25574"</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COMMERCIAL_LOANS_THRIFT" hidden="1">"c24854"</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FED_FUNDS_PURCHASED_TOTAL_ASSETS_THRIFT" hidden="1">"c25703"</definedName>
    <definedName name="IQ_SECURED_FEDERAL_FUNDS_PURCHASED_THRIFT" hidden="1">"c25573"</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FEATURES" hidden="1">"c17681"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PARATE_LIFE_INSURANCE_ASSET_FFIEC" hidden="1">"c27009"</definedName>
    <definedName name="IQ_SERV_CHARGE_DEPOSITS" hidden="1">"c1157"</definedName>
    <definedName name="IQ_SERVICE_CHARGES_COMM_FEE_DOM_FFIEC" hidden="1">"c25821"</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ASSETS_MORTGAGE_LOANS_THRIFT" hidden="1">"c24888"</definedName>
    <definedName name="IQ_SERVICING_ASSETS_NON_MORTGAGE_LOANS_THRIFT" hidden="1">"c24889"</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_SHORT_TERM_NONCORE_FUNDING_THRIFT" hidden="1">"c25625"</definedName>
    <definedName name="IQ_SHORT_TERM_INV_TOTAL_ASSETS_THRIFT" hidden="1">"c25695"</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ETTERS_CREDIT_THRIFT" hidden="1">"c25614"</definedName>
    <definedName name="IQ_STANDBY_LOC_FHLB_BANK_BEHALF_OFF_BS_FFIEC" hidden="1">"c15412"</definedName>
    <definedName name="IQ_STATE" hidden="1">"c1200"</definedName>
    <definedName name="IQ_STATE_COUNTY_MUNICIPAL_OBLIGATIONS_ALL_OTHER_ACCOUNTS_THRIFT" hidden="1">"c25426"</definedName>
    <definedName name="IQ_STATE_COUNTY_MUNICIPAL_OBLIGATIONS_EMPLOYEE_BENEFIT_RETIREMENT_RELATED_ACCOUNTS_THRIFT" hidden="1">"c25410"</definedName>
    <definedName name="IQ_STATE_COUNTY_MUNICIPAL_OBLIGATIONS_PERSONAL_TRUST_AGENCY_INV_MANAGEMENT_ACCOUNTS_THRIFT" hidden="1">"c25394"</definedName>
    <definedName name="IQ_STATE_LOCAL_OTHER_INC_TAXES_THRIFT" hidden="1">"c24817"</definedName>
    <definedName name="IQ_STATE_LOCAL_REVENUE_BONDS_ELIGIBLE_50_PCT_RISK_WEIGHT_THRIFT" hidden="1">"c25067"</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_MUNI_OBLIGATIONS_THRIFT" hidden="1">"c24824"</definedName>
    <definedName name="IQ_STATE_OF_INC" hidden="1">"c18104"</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ISSUED_SAVINGS_ASSOCIATION_THRIFT" hidden="1">"c25012"</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OCK_RETIRED_SAVINGS_ASSOCIATION_THRIFT" hidden="1">"c25013"</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ENTURES_THRIFT" hidden="1">"c24902"</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ORDINATED_DEBENTURES_AMOUNTS_NETTED_THRIFT" hidden="1">"c25540"</definedName>
    <definedName name="IQ_SUBORDINATED_DEBENTURES_LEVEL_1_THRIFT" hidden="1">"c25536"</definedName>
    <definedName name="IQ_SUBORDINATED_DEBENTURES_LEVEL_2_THRIFT" hidden="1">"c25537"</definedName>
    <definedName name="IQ_SUBORDINATED_DEBENTURES_LEVEL_3_THRIFT" hidden="1">"c25538"</definedName>
    <definedName name="IQ_SUBORDINATED_DEBENTURES_TOTAL_AFTER_NETTING_THRIFT" hidden="1">"c25541"</definedName>
    <definedName name="IQ_SUBORDINATED_DEBENTURES_TOTAL_BEFORE_NETTING_THRIFT" hidden="1">"c25539"</definedName>
    <definedName name="IQ_SUBORDINATED_DEBENTURES_WITH_REMAINING_MATURITY_ONE_YEAR_LESS_THRIFT" hidden="1">"c25577"</definedName>
    <definedName name="IQ_SUBORDINATED_DEBENTURES_WITH_REMAINING_MATURITY_OVER_ONE_YEAR_THRIFT" hidden="1">"c25578"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ASSETS_THRIFT" hidden="1">"c25088"</definedName>
    <definedName name="IQ_TANGIBLE_COMMON_EQUITY_FFIEC" hidden="1">"c13914"</definedName>
    <definedName name="IQ_TANGIBLE_COMMON_EQUITY_THRIFT" hidden="1">"c25086"</definedName>
    <definedName name="IQ_TANGIBLE_EQUITY_ASSETS_FFIEC" hidden="1">"c13346"</definedName>
    <definedName name="IQ_TANGIBLE_EQUITY_FFIEC" hidden="1">"c13915"</definedName>
    <definedName name="IQ_TANGIBLE_EQUITY_RATIO_THRIFT" hidden="1">"c25084"</definedName>
    <definedName name="IQ_TANGIBLE_EQUITY_THRIFT" hidden="1">"c25087"</definedName>
    <definedName name="IQ_TANGIBLE_TIER_1_LEVERAGE_FFIEC" hidden="1">"c13345"</definedName>
    <definedName name="IQ_TANGIBLE_TIER_1_LEVERAGE_RATIO_THRIFT" hidden="1">"c25631"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CAPITAL_RATIO_THRIFT" hidden="1">"c25081"</definedName>
    <definedName name="IQ_TIER_1_CAPITAL_REQUIREMENT_ADJUSTED_ASSETS_THRIFT" hidden="1">"c25039"</definedName>
    <definedName name="IQ_TIER_1_CAPITAL_T1_THRIFT" hidden="1">"c25029"</definedName>
    <definedName name="IQ_TIER_1_LEVERAGE_RATIO_FFIEC" hidden="1">"c13160"</definedName>
    <definedName name="IQ_TIER_1_RISK_BASED_CAPITAL_RATIO_FDIC" hidden="1">"c6746"</definedName>
    <definedName name="IQ_TIER_1_RISK_BASED_CAPITAL_RATIO_FFIEC" hidden="1">"c13161"</definedName>
    <definedName name="IQ_TIER_1_RISK_BASED_CAPITAL_RATIO_THRIFT" hidden="1">"c25083"</definedName>
    <definedName name="IQ_TIER_2_CAPITAL_FFIEC" hidden="1">"c13149"</definedName>
    <definedName name="IQ_TIER_2_CAPITAL_T2_THRIFT" hidden="1">"c25045"</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HREE_CAPITAL" hidden="1">"c26994"</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100000_MORE_TOTAL_ASSETS_THRIFT" hidden="1">"c25701"</definedName>
    <definedName name="IQ_TIME_DEPOSITS_100000_THROUGH_250000_THRIFT" hidden="1">"c25002"</definedName>
    <definedName name="IQ_TIME_DEPOSITS_GREATER_100000_TOTAL_DEPOSITS_THRIFT" hidden="1">"c25779"</definedName>
    <definedName name="IQ_TIME_DEPOSITS_GREATER_THAN_250000_THRIFT" hidden="1">"c25003"</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HRIFT" hidden="1">"c25001"</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1_4_FAMILY_LOANS_TOTAL_LOANS_THRIFT" hidden="1">"c25741"</definedName>
    <definedName name="IQ_TOTAL_ALLOWABLE_EXCLUSIONS_THRIFT" hidden="1">"c25567"</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_CAPTIVE_INSURANCE_SUBSIDIARIES_FFIEC" hidden="1">"c27216"</definedName>
    <definedName name="IQ_TOTAL_ASSET_CAPTIVE_REINSUR_SUBSIDIARIES_FFIEC" hidden="1">"c27217"</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ADJUSTED_ASSETS_THRIFT" hidden="1">"c25030"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MANAGED_PROP_MUTUAL_FUNDS_ANNUITIES_THRIFT" hidden="1">"c24941"</definedName>
    <definedName name="IQ_TOTAL_ASSETS_MEASURED_FV_RECURRING_BASIS_AMOUNTS_NETTED_THRIFT" hidden="1">"c25522"</definedName>
    <definedName name="IQ_TOTAL_ASSETS_MEASURED_FV_RECURRING_BASIS_LEVEL_1_THRIFT" hidden="1">"c25518"</definedName>
    <definedName name="IQ_TOTAL_ASSETS_MEASURED_FV_RECURRING_BASIS_LEVEL_2_THRIFT" hidden="1">"c25519"</definedName>
    <definedName name="IQ_TOTAL_ASSETS_MEASURED_FV_RECURRING_BASIS_LEVEL_3_THRIFT" hidden="1">"c25520"</definedName>
    <definedName name="IQ_TOTAL_ASSETS_MEASURED_FV_RECURRING_BASIS_TOTAL_AFTER_NETTING_THRIFT" hidden="1">"c25523"</definedName>
    <definedName name="IQ_TOTAL_ASSETS_MEASURED_FV_RECURRING_BASIS_TOTAL_BEFORE_NETTING_THRIFT" hidden="1">"c25521"</definedName>
    <definedName name="IQ_TOTAL_ASSETS_PC_FFIEC" hidden="1">"c13099"</definedName>
    <definedName name="IQ_TOTAL_ASSETS_SUBTOTAL_AP" hidden="1">"c8985"</definedName>
    <definedName name="IQ_TOTAL_ASSETS_THRIFT" hidden="1">"c24894"</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ORROWINGS_THRIFT" hidden="1">"c24899"</definedName>
    <definedName name="IQ_TOTAL_BROKER_ORIGINATED_DEPOSITS_FULLY_INSURED_THRIFT" hidden="1">"c24978"</definedName>
    <definedName name="IQ_TOTAL_BROKER_ORIGINATED_DEPOSITS_OTHER_THRIFT" hidden="1">"c24981"</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EPOSITS_INV_SEC_THRIFT" hidden="1">"c24828"</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HRIFT" hidden="1">"c25085"</definedName>
    <definedName name="IQ_TOTAL_COMMON_EQUITY_TOTAL_ASSETS_FFIEC" hidden="1">"c13864"</definedName>
    <definedName name="IQ_TOTAL_COMMON_EQUITY_TOTAL_ASSETS_THRIFT" hidden="1">"c25739"</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AILY_AVERAGE_ALLOWABLE_EXCLUSIONS_THRIFT" hidden="1">"c25580"</definedName>
    <definedName name="IQ_TOTAL_DAILY_AVERAGE_FOREIGN_DEPOSITS_THRIFT" hidden="1">"c25581"</definedName>
    <definedName name="IQ_TOTAL_DAILY_AVERAGE_GROSS_DEPOSIT_LIABILITIES_BEFORE_EXCLUSIONS_THRIFT" hidden="1">"c25579"</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EPOSITS_THRIFT" hidden="1">"c24984"</definedName>
    <definedName name="IQ_TOTAL_DIV_PAID_CF" hidden="1">"c1266"</definedName>
    <definedName name="IQ_TOTAL_DIVIDEND_INCOME_THRIFT" hidden="1">"c24756"</definedName>
    <definedName name="IQ_TOTAL_EARNING_ASSETS_QUARTERLY_AVG_FFIEC" hidden="1">"c25823"</definedName>
    <definedName name="IQ_TOTAL_ELIGIBLE_0_PCT_RISK_WEIGHT_THRIFT" hidden="1">"c25050"</definedName>
    <definedName name="IQ_TOTAL_ELIGIBLE_100_PCT_RISK_WEIGHT_THRIFT" hidden="1">"c25070"</definedName>
    <definedName name="IQ_TOTAL_ELIGIBLE_20_PCT_RISK_WEIGHT_THRIFT" hidden="1">"c25056"</definedName>
    <definedName name="IQ_TOTAL_ELIGIBLE_50_PCT_RISK_WEIGHT_THRIFT" hidden="1">"c25063"</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INC_MINORITY_INT_THRIFT" hidden="1">"c24927"</definedName>
    <definedName name="IQ_TOTAL_EQUITY_CAPITAL_T1_FFIEC" hidden="1">"c13130"</definedName>
    <definedName name="IQ_TOTAL_EQUITY_CAPITAL_T1_THRIFT" hidden="1">"c25021"</definedName>
    <definedName name="IQ_TOTAL_EQUITY_CAPITAL_THRIFT" hidden="1">"c24925"</definedName>
    <definedName name="IQ_TOTAL_EQUITY_FFIEC" hidden="1">"c12881"</definedName>
    <definedName name="IQ_TOTAL_EQUITY_INCL_MINORITY_INTEREST_FFIEC" hidden="1">"c15278"</definedName>
    <definedName name="IQ_TOTAL_EQUITY_INV_NOT_CARRIED_FV_THRIFT" hidden="1">"c24879"</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EQUITY_TOTAL_ASSETS_THRIFT" hidden="1">"c25738"</definedName>
    <definedName name="IQ_TOTAL_FIDUCIARY_ACCOUNTS_MANAGED_ASSETS_THRIFT" hidden="1">"c25346"</definedName>
    <definedName name="IQ_TOTAL_FIDUCIARY_ACCOUNTS_NONMANAGED_ASSETS_THRIFT" hidden="1">"c25367"</definedName>
    <definedName name="IQ_TOTAL_FIDUCIARY_ACCOUNTS_NUMBER_MANAGED_ACCOUNTS_THRIFT" hidden="1">"c25357"</definedName>
    <definedName name="IQ_TOTAL_FIDUCIARY_ACCOUNTS_NUMBER_NONMANAGED_ACCOUNTS_THRIFT" hidden="1">"c25379"</definedName>
    <definedName name="IQ_TOTAL_FOREIGN_DEPOSITS_FFIEC" hidden="1">"c15348"</definedName>
    <definedName name="IQ_TOTAL_FOREIGN_DEPOSITS_INCLUDED_IN_TOTAL_ALLOWABLE_EXCLUSIONS_THRIFT" hidden="1">"c25568"</definedName>
    <definedName name="IQ_TOTAL_FOREIGN_LOANS_QUARTERLY_AVG_FFIEC" hidden="1">"c15482"</definedName>
    <definedName name="IQ_TOTAL_GROSS_DEPOSIT_LIABILITIES_BEFORE_EXCLUSIONS_THRIFT" hidden="1">"c25566"</definedName>
    <definedName name="IQ_TOTAL_GROSS_FIDUCIARY_RELATED_SERVICES_INC_THRIFT" hidden="1">"c24811"</definedName>
    <definedName name="IQ_TOTAL_GROSS_LOSSES_MANAGED_ACCOUNTS_THRIFT" hidden="1">"c25465"</definedName>
    <definedName name="IQ_TOTAL_GROSS_LOSSES_NONMANAGED_ACCOUNTS_THRIFT" hidden="1">"c25470"</definedName>
    <definedName name="IQ_TOTAL_IBF_ASSETS_CONSOL_BANK_FFIEC" hidden="1">"c15299"</definedName>
    <definedName name="IQ_TOTAL_IBF_LIABILITIES_FFIEC" hidden="1">"c15302"</definedName>
    <definedName name="IQ_TOTAL_IBF_LL_REC_FFIEC" hidden="1">"c15297"</definedName>
    <definedName name="IQ_TOTAL_INT_EXP_THRIFT" hidden="1">"c24764"</definedName>
    <definedName name="IQ_TOTAL_INT_EXPENSE_FFIEC" hidden="1">"c13000"</definedName>
    <definedName name="IQ_TOTAL_INT_INCOME_FFIEC" hidden="1">"c12989"</definedName>
    <definedName name="IQ_TOTAL_INT_INCOME_THRIFT" hidden="1">"c24753"</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EASES_TOTAL_LOANS_THRIFT" hidden="1">"c25751"</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EQUITY_THRIFT" hidden="1">"c24928"</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IABILITIES_MEASURED_FV_RECURRING_BASIS_AMOUNTS_NETTED_THRIFT" hidden="1">"c25564"</definedName>
    <definedName name="IQ_TOTAL_LIABILITIES_MEASURED_FV_RECURRING_BASIS_LEVEL_1_THRIFT" hidden="1">"c25560"</definedName>
    <definedName name="IQ_TOTAL_LIABILITIES_MEASURED_FV_RECURRING_BASIS_LEVEL_2_THRIFT" hidden="1">"c25561"</definedName>
    <definedName name="IQ_TOTAL_LIABILITIES_MEASURED_FV_RECURRING_BASIS_LEVEL_3_THRIFT" hidden="1">"c25562"</definedName>
    <definedName name="IQ_TOTAL_LIABILITIES_MEASURED_FV_RECURRING_BASIS_TOTAL_AFTER_NETTING_THRIFT" hidden="1">"c25565"</definedName>
    <definedName name="IQ_TOTAL_LIABILITIES_MEASURED_FV_RECURRING_BASIS_TOTAL_BEFORE_NETTING_THRIFT" hidden="1">"c25563"</definedName>
    <definedName name="IQ_TOTAL_LIABILITIES_THRIFT" hidden="1">"c24913"</definedName>
    <definedName name="IQ_TOTAL_LL_DOMESTIC_QUARTERLY_AVG_FFIEC" hidden="1">"c25825"</definedName>
    <definedName name="IQ_TOTAL_LL_FOREIGN_QUARTERLY_AVG_FFIEC" hidden="1">"c25824"</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IN_PROCESS_FORECLOSURE_THRIFT" hidden="1">"c25310"</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MANAGED_ASSETS_ALL_OTHER_ACCOUNTS_THRIFT" hidden="1">"c25422"</definedName>
    <definedName name="IQ_TOTAL_MANAGED_ASSETS_EMPLOYEE_BENEFIT_RETIREMENT_RELATED_ACCOUNTS_THRIFT" hidden="1">"c25406"</definedName>
    <definedName name="IQ_TOTAL_MANAGED_ASSETS_PERSONAL_TRUST_AGENCY_INV_MANAGEMENT_ACCOUNTS_THRIFT" hidden="1">"c25390"</definedName>
    <definedName name="IQ_TOTAL_MBS_THRIFT" hidden="1">"c24837"</definedName>
    <definedName name="IQ_TOTAL_MORTGAGE_LOANS_THRIFT" hidden="1">"c24852"</definedName>
    <definedName name="IQ_TOTAL_MORTGAGE_NON_MORTGAGE_LOANS_DUE_30_89_THRIFT" hidden="1">"c25255"</definedName>
    <definedName name="IQ_TOTAL_MORTGAGE_NON_MORTGAGE_LOANS_DUE_90_THRIFT" hidden="1">"c25276"</definedName>
    <definedName name="IQ_TOTAL_MORTGAGE_NON_MORTGAGE_LOANS_NON_ACCRUAL_THRIFT" hidden="1">"c25297"</definedName>
    <definedName name="IQ_TOTAL_NON_MORTGAGE_LOANS_THRIFT" hidden="1">"c24868"</definedName>
    <definedName name="IQ_TOTAL_NON_RE_LOANS_TOTAL_LOANS_THRIFT" hidden="1">"c25752"</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ASSETS_THRIFT" hidden="1">"c24883"</definedName>
    <definedName name="IQ_TOTAL_OTHER_OPER" hidden="1">"c1289"</definedName>
    <definedName name="IQ_TOTAL_OTHER_TEMP_IMPAIR_LOSS_FFIEC" hidden="1">"c25846"</definedName>
    <definedName name="IQ_TOTAL_OTHER_UNUSED_FFIEC" hidden="1">"c25858"</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AMT_ASSETS_COVERED_RECOURSE_OBLIGATIONS_DIRECT_CREDIT_SUBSTITUTES_THRIFT" hidden="1">"c25615"</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COVERIES_THRIFT" hidden="1">"c25475"</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EVENUE_THRIFT" hidden="1">"c24785"</definedName>
    <definedName name="IQ_TOTAL_RISK_BASED_CAPITAL_FFIEC" hidden="1">"c13153"</definedName>
    <definedName name="IQ_TOTAL_RISK_BASED_CAPITAL_RATIO_FDIC" hidden="1">"c6747"</definedName>
    <definedName name="IQ_TOTAL_RISK_BASED_CAPITAL_RATIO_FFIEC" hidden="1">"c13162"</definedName>
    <definedName name="IQ_TOTAL_RISK_BASED_CAPITAL_RATIO_THRIFT" hidden="1">"c25082"</definedName>
    <definedName name="IQ_TOTAL_RISK_BASED_CAPITAL_REQUIREMENT_THRIFT" hidden="1">"c25080"</definedName>
    <definedName name="IQ_TOTAL_RISK_BASED_CAPITAL_THRIFT" hidden="1">"c25049"</definedName>
    <definedName name="IQ_TOTAL_RISK_WEIGHTED_ASSETS_FFIEC" hidden="1">"c13858"</definedName>
    <definedName name="IQ_TOTAL_RISK_WEIGHTED_ASSETS_THRIFT" hidden="1">"c25079"</definedName>
    <definedName name="IQ_TOTAL_ROOMS" hidden="1">"c8789"</definedName>
    <definedName name="IQ_TOTAL_SECURITIES_FDIC" hidden="1">"c6306"</definedName>
    <definedName name="IQ_TOTAL_SPECIAL" hidden="1">"c1618"</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DEPOSITS_TOTAL_DEPOSITS_THRIFT" hidden="1">"c25780"</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MAIN_MONETARY_VALUE" hidden="1">"c18099"</definedName>
    <definedName name="IQ_TR_REMAIN_NUMBER_SHARES" hidden="1">"c18101"</definedName>
    <definedName name="IQ_TR_REMAIN_PCT_SHARES" hidden="1">"c18100"</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HELF_CLOSED_DATE" hidden="1">"c18031"</definedName>
    <definedName name="IQ_TR_SHELF_EXP_EXPIRATION_DATE" hidden="1">"c18102"</definedName>
    <definedName name="IQ_TR_SHELF_EXPIRED_DATE" hidden="1">"c18103"</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DING_SEC_AMOUNTS_NETTED_THRIFT" hidden="1">"c25486"</definedName>
    <definedName name="IQ_TRADING_SEC_LEVEL_1_THRIFT" hidden="1">"c25482"</definedName>
    <definedName name="IQ_TRADING_SEC_LEVEL_2_THRIFT" hidden="1">"c25483"</definedName>
    <definedName name="IQ_TRADING_SEC_LEVEL_3_THRIFT" hidden="1">"c25484"</definedName>
    <definedName name="IQ_TRADING_SEC_TOTAL_AFTER_NETTING_THRIFT" hidden="1">"c25487"</definedName>
    <definedName name="IQ_TRADING_SEC_TOTAL_BEFORE_NETTING_THRIFT" hidden="1">"c25485"</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ACCOUNTS_INC_DEMAND_DEPOSITS_THRIFT" hidden="1">"c24998"</definedName>
    <definedName name="IQ_TRANSACTION_ACCOUNTS_TOTAL_DEPOSITS_THRIFT" hidden="1">"c25777"</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ANSFER_AGENT_REGISTRAR_PAYING_AGENT_OTHER_CORPORATE_AGENCY_NUMBER_ISSUES_THRIFT" hidden="1">"c25444"</definedName>
    <definedName name="IQ_TRANSFERS_GVA_THRIFT" hidden="1">"c25093"</definedName>
    <definedName name="IQ_TRANSFERS_SVA_THRIFT" hidden="1">"c25101"</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OUBLED_DEBT_RESTRUCTURED_DUE_30_89_THRIFT" hidden="1">"c25256"</definedName>
    <definedName name="IQ_TROUBLED_DEBT_RESTRUCTURED_DUE_90_THRIFT" hidden="1">"c25277"</definedName>
    <definedName name="IQ_TROUBLED_DEBT_RESTRUCTURED_NON_ACCRUAL_THRIFT" hidden="1">"c25298"</definedName>
    <definedName name="IQ_TROUBLED_DEBT_RESTRUCTURED_THRIFT" hidden="1">"c25230"</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MORTIZED_YIELD_ADJUSTMENTS_THRIFT" hidden="1">"c24898"</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NSURED_DEPOSITS_THRIFT" hidden="1">"c24995"</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ALIZED_GAINS_AFS_EQUITY_SEC_T2_THRIFT" hidden="1">"c25040"</definedName>
    <definedName name="IQ_UNRECOG_TAX_BENEFIT_BEG_PERIOD" hidden="1">"c15732"</definedName>
    <definedName name="IQ_UNRECOG_TAX_BENEFIT_END_PERIOD" hidden="1">"c15740"</definedName>
    <definedName name="IQ_UNRECOG_TAX_BENEFIT_OTHER_ADJ" hidden="1">"c15739"</definedName>
    <definedName name="IQ_UNSECURED_COMMERCIAL_LOANS_THRIFT" hidden="1">"c24855"</definedName>
    <definedName name="IQ_UNSECURED_COMMITMENTS_COMMERCIAL_RE_UNUSED_FFIEC" hidden="1">"c13246"</definedName>
    <definedName name="IQ_UNSECURED_DEBT" hidden="1">"c2548"</definedName>
    <definedName name="IQ_UNSECURED_DEBT_PCT" hidden="1">"c2549"</definedName>
    <definedName name="IQ_UNSECURED_FEDERAL_FUNDS_PURCHASED_THRIFT" hidden="1">"c25572"</definedName>
    <definedName name="IQ_UNSECURED_OTHER_BORROWINGS_WITH_REMAINING_MATURITY_ONE_YEAR_LESS_THRIFT" hidden="1">"c25575"</definedName>
    <definedName name="IQ_UNSECURED_OTHER_BORROWINGS_WITH_REMAINING_MATURITY_OVER_ONE_YEAR_THRIFT" hidden="1">"c25576"</definedName>
    <definedName name="IQ_UNUSED_LINES_CREDIT_COMM_LINES_THRIFT" hidden="1">"c25607"</definedName>
    <definedName name="IQ_UNUSED_LINES_CREDIT_REVOLVING_OPEN_END_LOANS_1_4_DWELLING_UNITS_THRIFT" hidden="1">"c25606"</definedName>
    <definedName name="IQ_UNUSED_LINES_CREDIT_THRIFT" hidden="1">"c25605"</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AGENCY_SPONSORED_ENTERPRISE_SEC_THRIFT" hidden="1">"c24822"</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AGENCY_SPONSORED_ENTERPRISE_SEC_INV_SEC_THRIFT" hidden="1">"c25671"</definedName>
    <definedName name="IQ_US_GOVT_NON_TRANS_ACCTS_FFIEC" hidden="1">"c15323"</definedName>
    <definedName name="IQ_US_GOVT_STATE_POLI_SUBD_IN_US_FOREIGN_DEP_FFIEC" hidden="1">"c15346"</definedName>
    <definedName name="IQ_US_GOVT_TRANS_ACCTS_FFIEC" hidden="1">"c15315"</definedName>
    <definedName name="IQ_US_GUARANTEED_PORTION_LL_EXCL_REBOOKED_GNMA_EXCL_LOSS_SHARING_DUE_30_89_FFIEC" hidden="1">"c27069"</definedName>
    <definedName name="IQ_US_GUARANTEED_PORTION_LL_EXCL_REBOOKED_GNMA_EXCL_LOSS_SHARING_DUE_90_FFIEC" hidden="1">"c27109"</definedName>
    <definedName name="IQ_US_GUARANTEED_PORTION_LL_EXCL_REBOOKED_GNMA_EXCL_LOSS_SHARING_NON_ACCRUAL_FFIEC" hidden="1">"c27149"</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_TREASURY_US_GOVT_AGENCY_OBLIGATIONS_ALL_OTHER_ACCOUNTS_THRIFT" hidden="1">"c25425"</definedName>
    <definedName name="IQ_US_TREASURY_US_GOVT_AGENCY_OBLIGATIONS_EMPLOYEE_BENEFIT_RETIREMENT_RELATED_ACCOUNTS_THRIFT" hidden="1">"c25409"</definedName>
    <definedName name="IQ_US_TREASURY_US_GOVT_AGENCY_OBLIGATIONS_PERSONAL_TRUST_AGENCY_INV_MANAGEMENT_ACCOUNTS_THRIFT" hidden="1">"c25393"</definedName>
    <definedName name="IQ_UST_SEC_GOVT_AGENCY_CORP_QUARTERLY_AVG_FFIEC" hidden="1">"c15469"</definedName>
    <definedName name="IQ_UST_SEC_GOVT_AGENCY_EXCL_MBS_QUARTERLY_AVG_FFIEC" hidden="1">"c27060"</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_EXP_DATE" hidden="1">"c27334"</definedName>
    <definedName name="IQ_WAR_TOTAL_AGG_INT_VALUE_EXER" hidden="1">"c18465"</definedName>
    <definedName name="IQ_WAR_TOTAL_AGG_INT_VALUE_OUT" hidden="1">"c18461"</definedName>
    <definedName name="IQ_WAR_TOTAL_NUM_EXER" hidden="1">"c18463"</definedName>
    <definedName name="IQ_WAR_TOTAL_NUM_OUT" hidden="1">"c18459"</definedName>
    <definedName name="IQ_WAR_TOTAL_PLAN_NAME" hidden="1">"c18469"</definedName>
    <definedName name="IQ_WAR_TOTAL_PRICE_HIGH" hidden="1">"c18456"</definedName>
    <definedName name="IQ_WAR_TOTAL_PRICE_LOW" hidden="1">"c18455"</definedName>
    <definedName name="IQ_WAR_TOTAL_PRICE_RANGE" hidden="1">"c18457"</definedName>
    <definedName name="IQ_WAR_TOTAL_WTD_LIFE_EXER" hidden="1">"c18464"</definedName>
    <definedName name="IQ_WAR_TOTAL_WTD_LIFE_OUT" hidden="1">"c18460"</definedName>
    <definedName name="IQ_WAR_TOTAL_WTD_PRICE_EXER" hidden="1">"c18462"</definedName>
    <definedName name="IQ_WAR_TOTAL_WTD_PRICE_OUT" hidden="1">"c18458"</definedName>
    <definedName name="IQ_WAR_TRANCHE_AGG_INT_VALUE_EXER" hidden="1">"c18454"</definedName>
    <definedName name="IQ_WAR_TRANCHE_AGG_INT_VALUE_OUT" hidden="1">"c18450"</definedName>
    <definedName name="IQ_WAR_TRANCHE_CLASS_NAME" hidden="1">"c18443"</definedName>
    <definedName name="IQ_WAR_TRANCHE_NUM_EXER" hidden="1">"c18452"</definedName>
    <definedName name="IQ_WAR_TRANCHE_NUM_OUT" hidden="1">"c18448"</definedName>
    <definedName name="IQ_WAR_TRANCHE_PLAN_NAME" hidden="1">"c18442"</definedName>
    <definedName name="IQ_WAR_TRANCHE_PLAN_RANK" hidden="1">"c18468"</definedName>
    <definedName name="IQ_WAR_TRANCHE_PRICE_HIGH" hidden="1">"c18445"</definedName>
    <definedName name="IQ_WAR_TRANCHE_PRICE_LOW" hidden="1">"c18444"</definedName>
    <definedName name="IQ_WAR_TRANCHE_PRICE_RANGE" hidden="1">"c18446"</definedName>
    <definedName name="IQ_WAR_TRANCHE_WTD_LIFE_EXER" hidden="1">"c18453"</definedName>
    <definedName name="IQ_WAR_TRANCHE_WTD_LIFE_OUT" hidden="1">"c18449"</definedName>
    <definedName name="IQ_WAR_TRANCHE_WTD_PRICE_EXER" hidden="1">"c18451"</definedName>
    <definedName name="IQ_WAR_TRANCHE_WTD_PRICE_OUT" hidden="1">"c18447"</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LIST" hidden="1">"c17416"</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QShowHideColumns" hidden="1">"iQShowAnnual"</definedName>
    <definedName name="irc">#REF!</definedName>
    <definedName name="ire">#REF!</definedName>
    <definedName name="iRepType">1</definedName>
    <definedName name="irf">#REF!</definedName>
    <definedName name="irg">#REF!</definedName>
    <definedName name="Irkutsk">#REF!</definedName>
    <definedName name="irp">#REF!</definedName>
    <definedName name="is_active">#REF!</definedName>
    <definedName name="IS_print">#REF!</definedName>
    <definedName name="is_restricted">#REF!</definedName>
    <definedName name="is_restricted_ext">#REF!</definedName>
    <definedName name="is_restricted_over">#REF!</definedName>
    <definedName name="is_restricted_use_over">#REF!</definedName>
    <definedName name="is_week_of_next_release_date">#REF!</definedName>
    <definedName name="is1_">#REF!</definedName>
    <definedName name="is2_">#REF!</definedName>
    <definedName name="is3_">#REF!</definedName>
    <definedName name="is4_">#REF!</definedName>
    <definedName name="is5_">#REF!</definedName>
    <definedName name="isb">#REF!</definedName>
    <definedName name="isc">#REF!</definedName>
    <definedName name="IsColHidden" hidden="1">FALSE</definedName>
    <definedName name="ise">#REF!</definedName>
    <definedName name="isf">#REF!</definedName>
    <definedName name="isi">#REF!</definedName>
    <definedName name="ISIN">#REF!</definedName>
    <definedName name="IsInitialization">0</definedName>
    <definedName name="isl">#REF!</definedName>
    <definedName name="Isle_Maligne">#REF!</definedName>
    <definedName name="IsLTMColHidden" hidden="1">FALSE</definedName>
    <definedName name="iso_country_code">#REF!</definedName>
    <definedName name="iso_currency_code">#REF!</definedName>
    <definedName name="IssueData">#REF!</definedName>
    <definedName name="IssuePrice">[17]筹资!$E$24</definedName>
    <definedName name="ist">#REF!</definedName>
    <definedName name="Italy_w">#REF!</definedName>
    <definedName name="itc">#REF!</definedName>
    <definedName name="itc_g">#REF!</definedName>
    <definedName name="itc_is">#REF!</definedName>
    <definedName name="ITEMUNIT">#REF!</definedName>
    <definedName name="ItFX">#REF!</definedName>
    <definedName name="iueList">[45]GEMiner!#REF!</definedName>
    <definedName name="iva">#REF!</definedName>
    <definedName name="j">j</definedName>
    <definedName name="JAALCONS">#N/A</definedName>
    <definedName name="JAALPROD">#N/A</definedName>
    <definedName name="Japan">{"twx1",#N/A,FALSE,"twltm.xls";"twx2",#N/A,FALSE,"twltm.xls";"twx3",#N/A,FALSE,"twltm.xls"}</definedName>
    <definedName name="JapFX">#REF!</definedName>
    <definedName name="JB_ZONE">[46]Amzn!$A$4:$H$60</definedName>
    <definedName name="JDA_1">#REF!</definedName>
    <definedName name="JDA_2">#REF!</definedName>
    <definedName name="jen">{TRUE,TRUE,-1.25,-15.5,456.75,279.75,FALSE,FALSE,TRUE,TRUE,0,1,8,1,4,6,3,4,TRUE,TRUE,3,TRUE,1,TRUE,100,"Swvu.turnover.","ACwvu.turnover.",1,FALSE,FALSE,0.511811023622047,0.511811023622047,0.511811023622047,0.511811023622047,1,"","",FALSE,FALSE,FALSE,FALSE,1,#N/A,1,1,#DIV/0!,FALSE,"Rwvu.turnover.",#N/A,FALSE,FALSE}</definedName>
    <definedName name="JF_DATA">#REF!</definedName>
    <definedName name="jhiuh" localSheetId="2" hidden="1">{"'RCIM'!$E$128"}</definedName>
    <definedName name="jhiuh" localSheetId="1" hidden="1">{"'RCIM'!$E$128"}</definedName>
    <definedName name="jhiuh" hidden="1">{"'RCIM'!$E$128"}</definedName>
    <definedName name="Jiangxi">#REF!</definedName>
    <definedName name="Jilin">#REF!</definedName>
    <definedName name="JNPR_52_wk">#REF!</definedName>
    <definedName name="JNPR_bk_cap">#REF!</definedName>
    <definedName name="JNPR_bk_equity">#REF!</definedName>
    <definedName name="JNPR_bs_conv_debt">#REF!</definedName>
    <definedName name="JNPR_bs_min_int">#REF!</definedName>
    <definedName name="JNPR_bs_pref">#REF!</definedName>
    <definedName name="JNPR_cash">#REF!</definedName>
    <definedName name="JNPR_conv_debt_pr">#REF!</definedName>
    <definedName name="JNPR_conv_pref_pr">#REF!</definedName>
    <definedName name="JNPR_curr">#REF!</definedName>
    <definedName name="JNPR_dil_shares">#REF!</definedName>
    <definedName name="JNPR_eps00">#REF!</definedName>
    <definedName name="JNPR_eps98">#REF!</definedName>
    <definedName name="JNPR_eps99">#REF!</definedName>
    <definedName name="JNPR_equity_mcap">#REF!</definedName>
    <definedName name="JNPR_fin_date">#REF!</definedName>
    <definedName name="JNPR_hist_d">#REF!</definedName>
    <definedName name="JNPR_hst_a">#REF!</definedName>
    <definedName name="JNPR_hst_cogs">#REF!</definedName>
    <definedName name="JNPR_hst_ebit">#REF!</definedName>
    <definedName name="JNPR_hst_ebt">#REF!</definedName>
    <definedName name="JNPR_hst_eps">#REF!</definedName>
    <definedName name="JNPR_hst_inc_b_m">#REF!</definedName>
    <definedName name="JNPR_hst_r_d">#REF!</definedName>
    <definedName name="JNPR_hst_rev">#REF!</definedName>
    <definedName name="JNPR_hst_sg_a">#REF!</definedName>
    <definedName name="JNPR_lev_mcap">#REF!</definedName>
    <definedName name="JNPR_LQ_ni">#REF!</definedName>
    <definedName name="JNPR_LQ_rev">#REF!</definedName>
    <definedName name="JNPR_lt_debt">#REF!</definedName>
    <definedName name="JNPR_ltm_a">#REF!</definedName>
    <definedName name="JNPR_ltm_cap_ex">#REF!</definedName>
    <definedName name="JNPR_ltm_cogs">#REF!</definedName>
    <definedName name="JNPR_ltm_csh_int">#REF!</definedName>
    <definedName name="JNPR_ltm_d">#REF!</definedName>
    <definedName name="JNPR_ltm_ebit">#REF!</definedName>
    <definedName name="JNPR_ltm_ebt">#REF!</definedName>
    <definedName name="JNPR_ltm_inc_b_m">#REF!</definedName>
    <definedName name="JNPR_ltm_int">#REF!</definedName>
    <definedName name="JNPR_ltm_min_int">#REF!</definedName>
    <definedName name="JNPR_ltm_pref_div">#REF!</definedName>
    <definedName name="JNPR_ltm_r_d">#REF!</definedName>
    <definedName name="JNPR_ltm_rev">#REF!</definedName>
    <definedName name="JNPR_ltm_sg_a">#REF!</definedName>
    <definedName name="JNPR_ltm_shares">#REF!</definedName>
    <definedName name="JNPR_ltm_tax">#REF!</definedName>
    <definedName name="JNPR_ltm_tax_rate">#REF!</definedName>
    <definedName name="JNPR_name">#REF!</definedName>
    <definedName name="JNPR_o_debt_1">#REF!</definedName>
    <definedName name="JNPR_o_debt_2">#REF!</definedName>
    <definedName name="JNPR_o_debt_3">#REF!</definedName>
    <definedName name="JNPR_option_n">#REF!</definedName>
    <definedName name="JNPR_option_pr">#REF!</definedName>
    <definedName name="JNPR_pq_ni">#REF!</definedName>
    <definedName name="JNPR_pq_rev">#REF!</definedName>
    <definedName name="JNPR_pr">#REF!</definedName>
    <definedName name="JNPR_shares">#REF!</definedName>
    <definedName name="JNPR_ticker">#REF!</definedName>
    <definedName name="JNPR_total_dt">#REF!</definedName>
    <definedName name="JNPR_YQ_ni">#REF!</definedName>
    <definedName name="JNPR_YQ_rev">#REF!</definedName>
    <definedName name="joimnf" localSheetId="2" hidden="1">{"'RCIM'!$E$128"}</definedName>
    <definedName name="joimnf" localSheetId="1" hidden="1">{"'RCIM'!$E$128"}</definedName>
    <definedName name="joimnf" hidden="1">{"'RCIM'!$E$128"}</definedName>
    <definedName name="JPY_00S">#REF!</definedName>
    <definedName name="JPY_01D">#REF!</definedName>
    <definedName name="JPY_01J">#REF!</definedName>
    <definedName name="JPY_01M">#REF!</definedName>
    <definedName name="JPY_01S">#REF!</definedName>
    <definedName name="JPY_02D">#REF!</definedName>
    <definedName name="JPY_02J">#REF!</definedName>
    <definedName name="JPY_02M">#REF!</definedName>
    <definedName name="JPY_02S">#REF!</definedName>
    <definedName name="JPY_03D">#REF!</definedName>
    <definedName name="JPY_03J">#REF!</definedName>
    <definedName name="JPY_03M">#REF!</definedName>
    <definedName name="JPY_03S">#REF!</definedName>
    <definedName name="JPY_04D">#REF!</definedName>
    <definedName name="JPY_04J">#REF!</definedName>
    <definedName name="JPY_04M">#REF!</definedName>
    <definedName name="JPY_04S">#REF!</definedName>
    <definedName name="JPY_05D">#REF!</definedName>
    <definedName name="JPY_05J">#REF!</definedName>
    <definedName name="JPY_05M">#REF!</definedName>
    <definedName name="JPY_05S">#REF!</definedName>
    <definedName name="JPY_06D">#REF!</definedName>
    <definedName name="JPY_06J">#REF!</definedName>
    <definedName name="JPY_06M">#REF!</definedName>
    <definedName name="JPY_06S">#REF!</definedName>
    <definedName name="JPY_07D">#REF!</definedName>
    <definedName name="JPY_07J">#REF!</definedName>
    <definedName name="JPY_07M">#REF!</definedName>
    <definedName name="JPY_07S">#REF!</definedName>
    <definedName name="JPY_08D">#REF!</definedName>
    <definedName name="JPY_08J">#REF!</definedName>
    <definedName name="JPY_08M">#REF!</definedName>
    <definedName name="JPY_08S">#REF!</definedName>
    <definedName name="JPY_09D">#REF!</definedName>
    <definedName name="JPY_09J">#REF!</definedName>
    <definedName name="JPY_09M">#REF!</definedName>
    <definedName name="JPY_09S">#REF!</definedName>
    <definedName name="JPY_10D">#REF!</definedName>
    <definedName name="JPY_10J">#REF!</definedName>
    <definedName name="JPY_10M">#REF!</definedName>
    <definedName name="JPY_10S">#REF!</definedName>
    <definedName name="JPY_11D">#REF!</definedName>
    <definedName name="JPY_11J">#REF!</definedName>
    <definedName name="JPY_11M">#REF!</definedName>
    <definedName name="JPY_11S">#REF!</definedName>
    <definedName name="JPY_12D">#REF!</definedName>
    <definedName name="JPY_12J">#REF!</definedName>
    <definedName name="JPY_12M">#REF!</definedName>
    <definedName name="JPY_12S">#REF!</definedName>
    <definedName name="JPY_13D">#REF!</definedName>
    <definedName name="JPY_13J">#REF!</definedName>
    <definedName name="JPY_13M">#REF!</definedName>
    <definedName name="JPY_13S">#REF!</definedName>
    <definedName name="JPY_14D">#REF!</definedName>
    <definedName name="JPY_14J">#REF!</definedName>
    <definedName name="JPY_14M">#REF!</definedName>
    <definedName name="JPY_14S">#REF!</definedName>
    <definedName name="JPY_15D">#REF!</definedName>
    <definedName name="JPY_15J">#REF!</definedName>
    <definedName name="JPY_15M">#REF!</definedName>
    <definedName name="JPY_15S">#REF!</definedName>
    <definedName name="JPY_16D">#REF!</definedName>
    <definedName name="JPY_16J">#REF!</definedName>
    <definedName name="JPY_16M">#REF!</definedName>
    <definedName name="JPY_16S">#REF!</definedName>
    <definedName name="JPY_17D">#REF!</definedName>
    <definedName name="JPY_17J">#REF!</definedName>
    <definedName name="JPY_17M">#REF!</definedName>
    <definedName name="JPY_17S">#REF!</definedName>
    <definedName name="JPY_18D">#REF!</definedName>
    <definedName name="JPY_18J">#REF!</definedName>
    <definedName name="JPY_18M">#REF!</definedName>
    <definedName name="JPY_18S">#REF!</definedName>
    <definedName name="JPY_19D">#REF!</definedName>
    <definedName name="JPY_19J">#REF!</definedName>
    <definedName name="JPY_19M">#REF!</definedName>
    <definedName name="JPY_19S">#REF!</definedName>
    <definedName name="JPY_20D">#REF!</definedName>
    <definedName name="JPY_20J">#REF!</definedName>
    <definedName name="JPY_20M">#REF!</definedName>
    <definedName name="JPY_20S">#REF!</definedName>
    <definedName name="JPY_21D">#REF!</definedName>
    <definedName name="JPY_21J">#REF!</definedName>
    <definedName name="JPY_21M">#REF!</definedName>
    <definedName name="JPY_21S">#REF!</definedName>
    <definedName name="JPY_22D">#REF!</definedName>
    <definedName name="JPY_22J">#REF!</definedName>
    <definedName name="JPY_22M">#REF!</definedName>
    <definedName name="JPY_22S">#REF!</definedName>
    <definedName name="JPY_23D">#REF!</definedName>
    <definedName name="JPY_23J">#REF!</definedName>
    <definedName name="JPY_23M">#REF!</definedName>
    <definedName name="JPY_23S">#REF!</definedName>
    <definedName name="JPY_24D">#REF!</definedName>
    <definedName name="JPY_24J">#REF!</definedName>
    <definedName name="JPY_24M">#REF!</definedName>
    <definedName name="JPY_24S">#REF!</definedName>
    <definedName name="JPY_25D">#REF!</definedName>
    <definedName name="JPY_25J">#REF!</definedName>
    <definedName name="JPY_25M">#REF!</definedName>
    <definedName name="JPY_25S">#REF!</definedName>
    <definedName name="JPY_87D">#REF!</definedName>
    <definedName name="JPY_87J">#REF!</definedName>
    <definedName name="JPY_87M">#REF!</definedName>
    <definedName name="JPY_87S">#REF!</definedName>
    <definedName name="JPY_88D">#REF!</definedName>
    <definedName name="JPY_88J">#REF!</definedName>
    <definedName name="JPY_88M">#REF!</definedName>
    <definedName name="JPY_88S">#REF!</definedName>
    <definedName name="JPY_89D">#REF!</definedName>
    <definedName name="JPY_89J">#REF!</definedName>
    <definedName name="JPY_89M">#REF!</definedName>
    <definedName name="JPY_89S">#REF!</definedName>
    <definedName name="JPY_90D">#REF!</definedName>
    <definedName name="JPY_90J">#REF!</definedName>
    <definedName name="JPY_90M">#REF!</definedName>
    <definedName name="JPY_90S">#REF!</definedName>
    <definedName name="JPY_91D">#REF!</definedName>
    <definedName name="JPY_91J">#REF!</definedName>
    <definedName name="JPY_91M">#REF!</definedName>
    <definedName name="JPY_91S">#REF!</definedName>
    <definedName name="JPY_92D">#REF!</definedName>
    <definedName name="JPY_92J">#REF!</definedName>
    <definedName name="JPY_92M">#REF!</definedName>
    <definedName name="JPY_92S">#REF!</definedName>
    <definedName name="JPY_93D">#REF!</definedName>
    <definedName name="JPY_93J">#REF!</definedName>
    <definedName name="JPY_93M">#REF!</definedName>
    <definedName name="JPY_93S">#REF!</definedName>
    <definedName name="JPY_94D">#REF!</definedName>
    <definedName name="JPY_94J">#REF!</definedName>
    <definedName name="JPY_94M">#REF!</definedName>
    <definedName name="JPY_94S">#REF!</definedName>
    <definedName name="JPY_95D">#REF!</definedName>
    <definedName name="JPY_95J">#REF!</definedName>
    <definedName name="JPY_95M">#REF!</definedName>
    <definedName name="JPY_95S">#REF!</definedName>
    <definedName name="JPY_96D">#REF!</definedName>
    <definedName name="JPY_96J">#REF!</definedName>
    <definedName name="JPY_96M">#REF!</definedName>
    <definedName name="JPY_96S">#REF!</definedName>
    <definedName name="JPY_97D">#REF!</definedName>
    <definedName name="JPY_97J">#REF!</definedName>
    <definedName name="JPY_97M">#REF!</definedName>
    <definedName name="JPY_97S">#REF!</definedName>
    <definedName name="JPY_98D">#REF!</definedName>
    <definedName name="JPY_98J">#REF!</definedName>
    <definedName name="JPY_98M">#REF!</definedName>
    <definedName name="JPY_98S">#REF!</definedName>
    <definedName name="JPY_99D">#REF!</definedName>
    <definedName name="JPY_99J">#REF!</definedName>
    <definedName name="JPY_99M">#REF!</definedName>
    <definedName name="JPY_99S">#REF!</definedName>
    <definedName name="JPY_LT">#REF!</definedName>
    <definedName name="JS">"Jack Salzman - Tel: (212) 902-6751"</definedName>
    <definedName name="js_gzrgjqfq">[27]假设!#REF!</definedName>
    <definedName name="js_ipofxgb">[27]假设!#REF!</definedName>
    <definedName name="js_ipofxjg">[27]假设!#REF!</definedName>
    <definedName name="js_lr_rzzgb">[27]假设!#REF!</definedName>
    <definedName name="js_lxzczbhl">[27]假设!#REF!</definedName>
    <definedName name="js_qtcwfy">[27]假设!#REF!</definedName>
    <definedName name="js_yqzc">[27]假设!#REF!</definedName>
    <definedName name="js_zgb_ipozj">[27]假设!#REF!</definedName>
    <definedName name="js_zgb_sgzj">[27]假设!#REF!</definedName>
    <definedName name="just">{7}</definedName>
    <definedName name="Kd">#REF!</definedName>
    <definedName name="KEVA">#REF!</definedName>
    <definedName name="key_driv">#REF!</definedName>
    <definedName name="Kinlochleven">#REF!</definedName>
    <definedName name="KirkvineCapacity">#REF!</definedName>
    <definedName name="Kitimat">#REF!</definedName>
    <definedName name="KKK">#REF!</definedName>
    <definedName name="klklklkl">{#N/A,#N/A,FALSE,"Index";"Stmts_Qtrs",#N/A,FALSE,"Summary";"Stmts_24 mo",#N/A,FALSE,"Summary";"Summary_24",#N/A,FALSE,"Revenue";"Month_24",#N/A,FALSE,"Engineering";"Month_24",#N/A,FALSE,"Marketing";"Month_24",#N/A,FALSE,"G &amp; A";"Month_24",#N/A,FALSE,"Manufacturing"}</definedName>
    <definedName name="kr_nie">#REF!</definedName>
    <definedName name="Krasnoyarsk">#REF!</definedName>
    <definedName name="Kurri_Kurri">#REF!</definedName>
    <definedName name="kw" localSheetId="2" hidden="1">{"fdsup://Directions/FactSet Auditing Viewer?action=AUDIT_VALUE&amp;DB=129&amp;ID1=03783310&amp;VALUEID=02001&amp;SDATE=2009&amp;PERIODTYPE=ANN_STD&amp;window=popup_no_bar&amp;width=385&amp;height=120&amp;START_MAXIMIZED=FALSE&amp;creator=factset&amp;display_string=Audit"}</definedName>
    <definedName name="kw" localSheetId="1" hidden="1">{"fdsup://Directions/FactSet Auditing Viewer?action=AUDIT_VALUE&amp;DB=129&amp;ID1=03783310&amp;VALUEID=02001&amp;SDATE=2009&amp;PERIODTYPE=ANN_STD&amp;window=popup_no_bar&amp;width=385&amp;height=120&amp;START_MAXIMIZED=FALSE&amp;creator=factset&amp;display_string=Audit"}</definedName>
    <definedName name="kw" hidden="1">{"fdsup://Directions/FactSet Auditing Viewer?action=AUDIT_VALUE&amp;DB=129&amp;ID1=03783310&amp;VALUEID=02001&amp;SDATE=2009&amp;PERIODTYPE=ANN_STD&amp;window=popup_no_bar&amp;width=385&amp;height=120&amp;START_MAXIMIZED=FALSE&amp;creator=factset&amp;display_string=Audit"}</definedName>
    <definedName name="KwinanaCapacity">#REF!</definedName>
    <definedName name="L_ALL_000157.SZ">#REF!</definedName>
    <definedName name="L_ALL_001300.KS">#REF!</definedName>
    <definedName name="L_ALL_002008.SZ">#REF!</definedName>
    <definedName name="L_ALL_002050.SZ">#REF!</definedName>
    <definedName name="L_ALL_002179.SZ">#REF!</definedName>
    <definedName name="L_ALL_002518.SZ">#REF!</definedName>
    <definedName name="L_ALL_002527.SZ">#REF!</definedName>
    <definedName name="L_ALL_002747.SZ">#REF!</definedName>
    <definedName name="L_ALL_006400.KS">#REF!</definedName>
    <definedName name="L_ALL_009830.KS">#REF!</definedName>
    <definedName name="L_ALL_010950.KS">#REF!</definedName>
    <definedName name="L_ALL_011170.KS">#REF!</definedName>
    <definedName name="L_ALL_0347.HK">#REF!</definedName>
    <definedName name="L_ALL_0358.HK">#REF!</definedName>
    <definedName name="L_ALL_051910.KS">#REF!</definedName>
    <definedName name="L_ALL_0586.HK">#REF!</definedName>
    <definedName name="L_ALL_0658.HK">#REF!</definedName>
    <definedName name="L_ALL_0669.HK">#REF!</definedName>
    <definedName name="L_ALL_0750.HK">#REF!</definedName>
    <definedName name="L_ALL_078930.KS">#REF!</definedName>
    <definedName name="L_ALL_0956.HK">#REF!</definedName>
    <definedName name="L_ALL_096770.KS">#REF!</definedName>
    <definedName name="L_ALL_1157.HK">#REF!</definedName>
    <definedName name="L_ALL_1193.HK">#REF!</definedName>
    <definedName name="L_ALL_1208.HK">#REF!</definedName>
    <definedName name="L_ALL_1619.HK">#REF!</definedName>
    <definedName name="L_ALL_2208.HK">#REF!</definedName>
    <definedName name="L_ALL_2600.HK">#REF!</definedName>
    <definedName name="L_ALL_300012.SZ">#REF!</definedName>
    <definedName name="L_ALL_300024.SZ">#REF!</definedName>
    <definedName name="L_ALL_300124.SZ">#REF!</definedName>
    <definedName name="L_ALL_300450.SZ">#REF!</definedName>
    <definedName name="L_ALL_300747.SZ">#REF!</definedName>
    <definedName name="L_ALL_300750.SZ">#REF!</definedName>
    <definedName name="L_ALL_3800.HK">#REF!</definedName>
    <definedName name="L_ALL_3993.HK">#REF!</definedName>
    <definedName name="L_ALL_600019.SS">#REF!</definedName>
    <definedName name="L_ALL_600761.SS">#REF!</definedName>
    <definedName name="L_ALL_601012.SS">#REF!</definedName>
    <definedName name="L_ALL_603659.SS">#REF!</definedName>
    <definedName name="L_ALL_688686.SS">#REF!</definedName>
    <definedName name="L_ALL_AALI.JK">#REF!</definedName>
    <definedName name="L_ALL_CSIQ">#REF!</definedName>
    <definedName name="L_ALL_FRLD.SI">#REF!</definedName>
    <definedName name="L_ALL_HOLI">#REF!</definedName>
    <definedName name="L_ALL_JASO">#REF!</definedName>
    <definedName name="L_ALL_JKS">#REF!</definedName>
    <definedName name="L_ALL_KEYWORDS_TYPE_ScalarContributed_EQTY_200005264">#REF!,#REF!</definedName>
    <definedName name="L_ALL_KEYWORDS_TYPE_ScalarContributed_EQTY_200005566">#REF!,#REF!</definedName>
    <definedName name="L_ALL_KEYWORDS_TYPE_ScalarContributed_EQTY_200006225">#REF!,#REF!</definedName>
    <definedName name="L_ALL_KEYWORDS_TYPE_ScalarContributed_EQTY_200006858">#REF!,#REF!</definedName>
    <definedName name="L_ALL_KEYWORDS_TYPE_ScalarContributed_EQTY_200006887">#REF!,#REF!</definedName>
    <definedName name="L_ALL_KEYWORDS_TYPE_ScalarContributed_EQTY_200007026">#REF!,#REF!</definedName>
    <definedName name="L_ALL_KEYWORDS_TYPE_ScalarContributed_EQTY_200008494">#REF!,#REF!</definedName>
    <definedName name="L_ALL_KEYWORDS_TYPE_ScalarContributed_EQTY_200008521">#REF!,#REF!</definedName>
    <definedName name="L_ALL_KEYWORDS_TYPE_ScalarContributed_EQTY_200009581">#REF!,#REF!</definedName>
    <definedName name="L_ALL_KEYWORDS_TYPE_ScalarContributed_EQTY_200009654">#REF!,#REF!</definedName>
    <definedName name="L_ALL_KEYWORDS_TYPE_ScalarContributed_EQTY_200009655">#REF!,#REF!</definedName>
    <definedName name="L_ALL_KEYWORDS_TYPE_ScalarContributed_EQTY_200009737">#REF!,#REF!</definedName>
    <definedName name="L_ALL_KEYWORDS_TYPE_ScalarContributed_EQTY_200009791">#REF!,#REF!</definedName>
    <definedName name="L_ALL_KEYWORDS_TYPE_ScalarContributed_EQTY_200009867">#REF!,#REF!</definedName>
    <definedName name="L_ALL_KEYWORDS_TYPE_ScalarContributed_EQTY_200009998">#REF!,#REF!</definedName>
    <definedName name="L_ALL_KEYWORDS_TYPE_ScalarContributed_EQTY_200010001">#REF!,#REF!</definedName>
    <definedName name="L_ALL_KEYWORDS_TYPE_ScalarContributed_EQTY_200011150">#REF!,#REF!</definedName>
    <definedName name="L_ALL_KEYWORDS_TYPE_ScalarContributed_EQTY_200011151">#REF!,#REF!</definedName>
    <definedName name="L_ALL_KEYWORDS_TYPE_ScalarContributed_EQTY_200011619">#REF!,#REF!</definedName>
    <definedName name="L_ALL_KEYWORDS_TYPE_ScalarContributed_EQTY_200012041">#REF!,#REF!</definedName>
    <definedName name="L_ALL_KEYWORDS_TYPE_ScalarContributed_EQTY_200012053">#REF!,#REF!</definedName>
    <definedName name="L_ALL_KEYWORDS_TYPE_ScalarContributed_EQTY_200012667">#REF!,#REF!</definedName>
    <definedName name="L_ALL_KEYWORDS_TYPE_ScalarContributed_EQTY_200012890">#REF!,#REF!</definedName>
    <definedName name="L_ALL_KEYWORDS_TYPE_ScalarContributed_EQTY_200013301">#REF!,#REF!</definedName>
    <definedName name="L_ALL_KEYWORDS_TYPE_ScalarContributed_EQTY_200013639">#REF!,#REF!</definedName>
    <definedName name="L_ALL_KEYWORDS_TYPE_ScalarContributed_EQTY_200014649">#REF!,#REF!</definedName>
    <definedName name="L_ALL_KEYWORDS_TYPE_ScalarContributed_EQTY_200015601">#REF!,#REF!</definedName>
    <definedName name="L_ALL_KEYWORDS_TYPE_ScalarContributed_EQTY_200015873">#REF!,#REF!</definedName>
    <definedName name="L_ALL_KEYWORDS_TYPE_ScalarContributed_EQTY_200016577">#REF!,#REF!</definedName>
    <definedName name="L_ALL_KEYWORDS_TYPE_ScalarContributed_EQTY_200016618">#REF!,#REF!</definedName>
    <definedName name="L_ALL_KEYWORDS_TYPE_ScalarContributed_EQTY_200016905">#REF!,#REF!</definedName>
    <definedName name="L_ALL_KEYWORDS_TYPE_ScalarContributed_EQTY_200017327">#REF!,#REF!</definedName>
    <definedName name="L_ALL_KEYWORDS_TYPE_ScalarContributed_EQTY_200018275">#REF!,#REF!,#REF!</definedName>
    <definedName name="L_ALL_KEYWORDS_TYPE_ScalarContributed_EQTY_200018291">#REF!,#REF!</definedName>
    <definedName name="L_ALL_KEYWORDS_TYPE_ScalarContributed_EQTY_200018294">#REF!,#REF!</definedName>
    <definedName name="L_ALL_KEYWORDS_TYPE_ScalarContributed_EQTY_200019280">#REF!,#REF!</definedName>
    <definedName name="L_ALL_KEYWORDS_TYPE_ScalarContributed_ISSR_208001579">#REF!,#REF!</definedName>
    <definedName name="L_ALL_KEYWORDS_TYPE_ScalarContributed_ISSR_208002524">#REF!,#REF!</definedName>
    <definedName name="L_ALL_KEYWORDS_TYPE_ScalarContributed_ISSR_208007494">#REF!,#REF!</definedName>
    <definedName name="L_ALL_KEYWORDS_TYPE_ScalarContributed_ISSR_208007541">#REF!,#REF!</definedName>
    <definedName name="L_ALL_KEYWORDS_TYPE_ScalarContributed_ISSR_208008538">#REF!,#REF!</definedName>
    <definedName name="L_ALL_KEYWORDS_TYPE_ScalarContributed_ISSR_208008539">#REF!,#REF!</definedName>
    <definedName name="L_ALL_KEYWORDS_TYPE_ScalarContributed_ISSR_208009490">#REF!,#REF!</definedName>
    <definedName name="L_ALL_KEYWORDS_TYPE_ScalarContributed_ISSR_208010512">#REF!,#REF!</definedName>
    <definedName name="L_ALL_KEYWORDS_TYPE_Vector_EQTY_200005264">#REF!,#REF!,#REF!,#REF!,#REF!</definedName>
    <definedName name="L_ALL_KEYWORDS_TYPE_Vector_EQTY_200005566">#REF!,#REF!,#REF!,#REF!,#REF!</definedName>
    <definedName name="L_ALL_KEYWORDS_TYPE_Vector_EQTY_200006225">#REF!,#REF!,#REF!,#REF!,#REF!</definedName>
    <definedName name="L_ALL_KEYWORDS_TYPE_Vector_EQTY_200006858">#REF!,#REF!,#REF!,#REF!,#REF!</definedName>
    <definedName name="L_ALL_KEYWORDS_TYPE_Vector_EQTY_200006887">#REF!,#REF!,#REF!,#REF!,#REF!</definedName>
    <definedName name="L_ALL_KEYWORDS_TYPE_Vector_EQTY_200007026">#REF!,#REF!,#REF!,#REF!,#REF!</definedName>
    <definedName name="L_ALL_KEYWORDS_TYPE_Vector_EQTY_200007202">#REF!,#REF!,#REF!,#REF!,#REF!</definedName>
    <definedName name="L_ALL_KEYWORDS_TYPE_Vector_EQTY_200008494">#REF!,#REF!,#REF!,#REF!,#REF!</definedName>
    <definedName name="L_ALL_KEYWORDS_TYPE_Vector_EQTY_200008521">#REF!,#REF!,#REF!,#REF!,#REF!</definedName>
    <definedName name="L_ALL_KEYWORDS_TYPE_Vector_EQTY_200009581">#REF!,#REF!,#REF!,#REF!,#REF!</definedName>
    <definedName name="L_ALL_KEYWORDS_TYPE_Vector_EQTY_200009654">#REF!,#REF!,#REF!,#REF!,#REF!</definedName>
    <definedName name="L_ALL_KEYWORDS_TYPE_Vector_EQTY_200009655">#REF!,#REF!,#REF!,#REF!,#REF!</definedName>
    <definedName name="L_ALL_KEYWORDS_TYPE_Vector_EQTY_200009737">#REF!,#REF!,#REF!,#REF!,#REF!</definedName>
    <definedName name="L_ALL_KEYWORDS_TYPE_Vector_EQTY_200009791">#REF!,#REF!,#REF!,#REF!,#REF!</definedName>
    <definedName name="L_ALL_KEYWORDS_TYPE_Vector_EQTY_200009867">#REF!,#REF!,#REF!,#REF!,#REF!</definedName>
    <definedName name="L_ALL_KEYWORDS_TYPE_Vector_EQTY_200010001">#REF!,#REF!,#REF!,#REF!,#REF!,#REF!</definedName>
    <definedName name="L_ALL_KEYWORDS_TYPE_Vector_EQTY_200010839">#REF!,#REF!,#REF!,#REF!,#REF!</definedName>
    <definedName name="L_ALL_KEYWORDS_TYPE_Vector_EQTY_200011150">#REF!,#REF!,#REF!,#REF!,#REF!,#REF!</definedName>
    <definedName name="L_ALL_KEYWORDS_TYPE_Vector_EQTY_200011151">#REF!,#REF!,#REF!,#REF!,#REF!,#REF!</definedName>
    <definedName name="L_ALL_KEYWORDS_TYPE_Vector_EQTY_200012496">#REF!,#REF!,#REF!,#REF!,#REF!</definedName>
    <definedName name="L_ALL_KEYWORDS_TYPE_Vector_EQTY_200012554">#REF!,#REF!,#REF!,#REF!,#REF!</definedName>
    <definedName name="L_ALL_KEYWORDS_TYPE_Vector_EQTY_200012667">#REF!,#REF!,#REF!,#REF!,#REF!,#REF!</definedName>
    <definedName name="L_ALL_KEYWORDS_TYPE_Vector_EQTY_200015216">#REF!,#REF!,#REF!,#REF!,#REF!,#REF!</definedName>
    <definedName name="L_ALL_KEYWORDS_TYPE_Vector_EQTY_200015601">#REF!,#REF!,#REF!,#REF!,#REF!</definedName>
    <definedName name="L_ALL_KEYWORDS_TYPE_Vector_EQTY_200015873">#REF!,#REF!,#REF!,#REF!,#REF!</definedName>
    <definedName name="L_ALL_KEYWORDS_TYPE_Vector_EQTY_200016577">#REF!,#REF!,#REF!,#REF!,#REF!</definedName>
    <definedName name="L_ALL_KEYWORDS_TYPE_Vector_EQTY_200016618">#REF!,#REF!,#REF!,#REF!,#REF!</definedName>
    <definedName name="L_ALL_KEYWORDS_TYPE_Vector_EQTY_200016786">#REF!,#REF!,#REF!,#REF!,#REF!</definedName>
    <definedName name="L_ALL_KEYWORDS_TYPE_Vector_EQTY_200016787">#REF!,#REF!,#REF!,#REF!,#REF!</definedName>
    <definedName name="L_ALL_KEYWORDS_TYPE_Vector_EQTY_200018291">#REF!,#REF!,#REF!,#REF!,#REF!,#REF!</definedName>
    <definedName name="L_ALL_KEYWORDS_TYPE_Vector_EQTY_200018294">#REF!,#REF!,#REF!,#REF!,#REF!,#REF!</definedName>
    <definedName name="L_ALL_KEYWORDS_TYPE_Vector_EQTY_200019639">#REF!,#REF!,#REF!,#REF!,#REF!,#REF!</definedName>
    <definedName name="L_ALL_KEYWORDS_TYPE_Vector_ISSR_208001579">#REF!,#REF!,#REF!,#REF!,#REF!,#REF!,#REF!,#REF!,#REF!,#REF!,#REF!,#REF!,#REF!,#REF!</definedName>
    <definedName name="L_ALL_KEYWORDS_TYPE_Vector_ISSR_208008538">#REF!,#REF!,#REF!,#REF!,#REF!,#REF!,#REF!,#REF!,#REF!,#REF!,#REF!,#REF!,#REF!,#REF!,#REF!,#REF!,#REF!,#REF!,#REF!,#REF!</definedName>
    <definedName name="L_ALL_KEYWORDS_TYPE_Vector_ISSR_208008539">#REF!,#REF!,#REF!,#REF!,#REF!,#REF!,#REF!,#REF!,#REF!,#REF!,#REF!,#REF!,#REF!,#REF!,#REF!,#REF!,#REF!,#REF!,#REF!,#REF!</definedName>
    <definedName name="L_ALL_KEYWORDS_TYPE_Vector_ISSR_208014816">#REF!,#REF!,#REF!,#REF!,#REF!,#REF!,#REF!,#REF!,#REF!,#REF!,#REF!,#REF!</definedName>
    <definedName name="L_ALL_KEYWORDS_TYPE_Vector_ISSR_208016097">#REF!,#REF!,#REF!,#REF!,#REF!,#REF!,#REF!,#REF!,#REF!,#REF!,#REF!,#REF!,#REF!,#REF!,#REF!,#REF!,#REF!</definedName>
    <definedName name="L_ALL_KEYWORDS_TYPE_Vector_ISSR_208016100">#REF!,#REF!,#REF!,#REF!,#REF!,#REF!,#REF!,#REF!,#REF!,#REF!,#REF!,#REF!,#REF!,#REF!,#REF!,#REF!</definedName>
    <definedName name="L_ALL_KEYWORDS_TYPE_Vector_ISSR_208018230">#REF!,#REF!,#REF!,#REF!,#REF!,#REF!,#REF!,#REF!,#REF!,#REF!,#REF!,#REF!,#REF!,#REF!,#REF!</definedName>
    <definedName name="L_ALL_SECTION_KEYWORDS_EQTY_200013596_13K">#REF!</definedName>
    <definedName name="L_ALL_SECTION_KEYWORDS_ISSR_208001154_13A">#REF!,#REF!</definedName>
    <definedName name="L_ALL_SECTION_KEYWORDS_ISSR_208001154_13V">#REF!,#REF!</definedName>
    <definedName name="L_ALL_SECTION_KEYWORDS_ISSR_208001156_136E">#REF!,#REF!</definedName>
    <definedName name="L_ALL_SECTION_KEYWORDS_ISSR_208001156_13A">#REF!,#REF!</definedName>
    <definedName name="L_ALL_SECTION_KEYWORDS_ISSR_208001156_13V">#REF!,#REF!</definedName>
    <definedName name="L_ALL_SECTION_KEYWORDS_ISSR_208001501_136E">#REF!,#REF!</definedName>
    <definedName name="L_ALL_SECTION_KEYWORDS_ISSR_208001501_13A">#REF!,#REF!</definedName>
    <definedName name="L_ALL_SECTION_KEYWORDS_ISSR_208001501_13V">#REF!,#REF!</definedName>
    <definedName name="L_ALL_SECTION_KEYWORDS_ISSR_208001579_136E">#REF!,#REF!</definedName>
    <definedName name="L_ALL_SECTION_KEYWORDS_ISSR_208001579_13A">#REF!,#REF!</definedName>
    <definedName name="L_ALL_SECTION_KEYWORDS_ISSR_208001579_13V">#REF!,#REF!</definedName>
    <definedName name="L_ALL_SECTION_KEYWORDS_ISSR_208002524_13V">#REF!,#REF!</definedName>
    <definedName name="L_ALL_SECTION_KEYWORDS_ISSR_208007494_136E">#REF!,#REF!</definedName>
    <definedName name="L_ALL_SECTION_KEYWORDS_ISSR_208007494_13A">#REF!,#REF!</definedName>
    <definedName name="L_ALL_SECTION_KEYWORDS_ISSR_208007494_13V">#REF!,#REF!</definedName>
    <definedName name="L_ALL_SECTION_KEYWORDS_ISSR_208007541_13V">#REF!,#REF!</definedName>
    <definedName name="L_ALL_SECTION_KEYWORDS_ISSR_208009490_13V">#REF!,#REF!</definedName>
    <definedName name="L_ALL_SECTION_KEYWORDS_ISSR_208010512_1314">#REF!</definedName>
    <definedName name="L_ALL_SECTION_KEYWORDS_ISSR_208010512_1316S">#REF!,#REF!</definedName>
    <definedName name="L_ALL_SECTION_KEYWORDS_ISSR_208010512_1319">#REF!</definedName>
    <definedName name="L_ALL_SECTION_KEYWORDS_ISSR_208010512_131E">#REF!</definedName>
    <definedName name="L_ALL_SECTION_KEYWORDS_ISSR_208010512_13V">#REF!,#REF!</definedName>
    <definedName name="L_ALL_SECTION_KEYWORDS_ISSR_208014120_13168">#REF!</definedName>
    <definedName name="L_ALL_SECTION_KEYWORDS_ISSR_208014120_1316T">#REF!</definedName>
    <definedName name="L_ALL_SECTION_KEYWORDS_ISSR_208014120_1319">#REF!</definedName>
    <definedName name="L_ALL_SECTION_KEYWORDS_ISSR_208016097_13V">#REF!,#REF!</definedName>
    <definedName name="L_ALL_SECTION_KEYWORDS_ISSR_208016100_136E">#REF!,#REF!</definedName>
    <definedName name="L_ALL_SECTION_KEYWORDS_ISSR_208016100_13V">#REF!,#REF!</definedName>
    <definedName name="L_ALL_SECTION_KEYWORDS_ISSR_208018230_13V">#REF!,#REF!</definedName>
    <definedName name="L_ALL_SECTIONS_EQTY_200001447">#REF!,#REF!,#REF!,#REF!,#REF!,#REF!,#REF!,#REF!,#REF!,#REF!</definedName>
    <definedName name="L_ALL_SECTIONS_EQTY_200002809">#REF!,#REF!,#REF!,#REF!,#REF!,#REF!,#REF!,#REF!</definedName>
    <definedName name="L_ALL_SECTIONS_EQTY_200003565">#REF!,#REF!,#REF!,#REF!,#REF!,#REF!,#REF!,#REF!</definedName>
    <definedName name="L_ALL_SECTIONS_EQTY_200006225">#REF!,#REF!,#REF!,#REF!,#REF!,#REF!,#REF!,#REF!</definedName>
    <definedName name="L_ALL_SECTIONS_EQTY_200006858">#REF!,#REF!,#REF!,#REF!,#REF!,#REF!,#REF!,#REF!</definedName>
    <definedName name="L_ALL_SECTIONS_EQTY_200006887">#REF!,#REF!,#REF!,#REF!,#REF!,#REF!,#REF!,#REF!</definedName>
    <definedName name="L_ALL_SECTIONS_EQTY_200007202">#REF!,#REF!,#REF!,#REF!,#REF!,#REF!,#REF!,#REF!</definedName>
    <definedName name="L_ALL_SECTIONS_EQTY_200008521">#REF!,#REF!,#REF!,#REF!,#REF!,#REF!,#REF!,#REF!</definedName>
    <definedName name="L_ALL_SECTIONS_EQTY_200009581">#REF!,#REF!,#REF!,#REF!,#REF!,#REF!,#REF!,#REF!</definedName>
    <definedName name="L_ALL_SECTIONS_EQTY_200009654">#REF!,#REF!,#REF!,#REF!,#REF!,#REF!,#REF!,#REF!</definedName>
    <definedName name="L_ALL_SECTIONS_EQTY_200009655">#REF!,#REF!,#REF!,#REF!,#REF!,#REF!,#REF!,#REF!</definedName>
    <definedName name="L_ALL_SECTIONS_EQTY_200009867">#REF!,#REF!,#REF!,#REF!,#REF!,#REF!,#REF!,#REF!</definedName>
    <definedName name="L_ALL_SECTIONS_EQTY_200009998">#REF!,#REF!,#REF!,#REF!,#REF!,#REF!,#REF!,#REF!,#REF!</definedName>
    <definedName name="L_ALL_SECTIONS_EQTY_200010001">#REF!,#REF!,#REF!,#REF!,#REF!,#REF!,#REF!,#REF!,#REF!</definedName>
    <definedName name="L_ALL_SECTIONS_EQTY_200011150">#REF!,#REF!,#REF!,#REF!,#REF!,#REF!,#REF!,#REF!,#REF!</definedName>
    <definedName name="L_ALL_SECTIONS_EQTY_200011151">#REF!,#REF!,#REF!,#REF!,#REF!,#REF!,#REF!,#REF!,#REF!</definedName>
    <definedName name="L_ALL_SECTIONS_EQTY_200012667">#REF!,#REF!,#REF!,#REF!,#REF!,#REF!,#REF!,#REF!,#REF!</definedName>
    <definedName name="L_ALL_SECTIONS_EQTY_200012890">#REF!,#REF!,#REF!,#REF!,#REF!,#REF!,#REF!,#REF!,#REF!</definedName>
    <definedName name="L_ALL_SECTIONS_EQTY_200015873">#REF!,#REF!,#REF!,#REF!,#REF!,#REF!,#REF!,#REF!</definedName>
    <definedName name="L_ALL_SECTIONS_EQTY_200016577">#REF!,#REF!,#REF!,#REF!,#REF!,#REF!,#REF!,#REF!</definedName>
    <definedName name="L_ALL_SECTIONS_EQTY_200016618">#REF!,#REF!,#REF!,#REF!,#REF!,#REF!,#REF!,#REF!</definedName>
    <definedName name="L_ALL_SECTIONS_ISSR_208008538">#REF!,#REF!,#REF!,#REF!,#REF!,#REF!,#REF!,#REF!,#REF!,#REF!</definedName>
    <definedName name="L_ALL_SECTIONS_ISSR_208008539">#REF!,#REF!,#REF!,#REF!,#REF!,#REF!,#REF!,#REF!,#REF!,#REF!</definedName>
    <definedName name="L_ALL_SECTIONS_ISSR_208009120">#REF!,#REF!,#REF!,#REF!,#REF!,#REF!,#REF!,#REF!,#REF!,#REF!</definedName>
    <definedName name="L_ALL_SECTIONS_ISSR_208009639">#REF!,#REF!,#REF!,#REF!,#REF!,#REF!,#REF!,#REF!,#REF!</definedName>
    <definedName name="L_ALL_SECTIONS_ISSR_208009891">#REF!,#REF!,#REF!,#REF!,#REF!,#REF!,#REF!,#REF!,#REF!</definedName>
    <definedName name="L_ALL_SECTIONS_ISSR_208012783">#REF!,#REF!,#REF!,#REF!,#REF!,#REF!,#REF!,#REF!,#REF!</definedName>
    <definedName name="L_ALL_YGE">#REF!</definedName>
    <definedName name="L_CURRENCY_EQTY_200001447_PRI">#REF!</definedName>
    <definedName name="L_CURRENCY_EQTY_200001447_PUB">#REF!</definedName>
    <definedName name="L_CURRENCY_EQTY_200001447_REP">#REF!</definedName>
    <definedName name="L_CURRENCY_EQTY_200002809_PRI">#REF!</definedName>
    <definedName name="L_CURRENCY_EQTY_200002809_PUB">#REF!</definedName>
    <definedName name="L_CURRENCY_EQTY_200002809_REP">#REF!</definedName>
    <definedName name="L_CURRENCY_EQTY_200003565_PRI">#REF!</definedName>
    <definedName name="L_CURRENCY_EQTY_200003565_PUB">#REF!</definedName>
    <definedName name="L_CURRENCY_EQTY_200003565_REP">#REF!</definedName>
    <definedName name="L_CURRENCY_EQTY_200006225_PRI">#REF!</definedName>
    <definedName name="L_CURRENCY_EQTY_200006225_PUB">#REF!</definedName>
    <definedName name="L_CURRENCY_EQTY_200006225_REP">#REF!</definedName>
    <definedName name="L_CURRENCY_EQTY_200006858_PRI">#REF!</definedName>
    <definedName name="L_CURRENCY_EQTY_200006858_PUB">#REF!</definedName>
    <definedName name="L_CURRENCY_EQTY_200006858_REP">#REF!</definedName>
    <definedName name="L_CURRENCY_EQTY_200006887_PRI">#REF!</definedName>
    <definedName name="L_CURRENCY_EQTY_200006887_PUB">#REF!</definedName>
    <definedName name="L_CURRENCY_EQTY_200006887_REP">#REF!</definedName>
    <definedName name="L_CURRENCY_EQTY_200007202_PRI">#REF!</definedName>
    <definedName name="L_CURRENCY_EQTY_200007202_PUB">#REF!</definedName>
    <definedName name="L_CURRENCY_EQTY_200007202_REP">#REF!</definedName>
    <definedName name="L_CURRENCY_EQTY_200008521_PRI">#REF!</definedName>
    <definedName name="L_CURRENCY_EQTY_200008521_PUB">#REF!</definedName>
    <definedName name="L_CURRENCY_EQTY_200008521_REP">#REF!</definedName>
    <definedName name="L_CURRENCY_EQTY_200009581_PRI">#REF!</definedName>
    <definedName name="L_CURRENCY_EQTY_200009581_PUB">#REF!</definedName>
    <definedName name="L_CURRENCY_EQTY_200009581_REP">#REF!</definedName>
    <definedName name="L_CURRENCY_EQTY_200009654_PRI">#REF!</definedName>
    <definedName name="L_CURRENCY_EQTY_200009654_PUB">#REF!</definedName>
    <definedName name="L_CURRENCY_EQTY_200009654_REP">#REF!</definedName>
    <definedName name="L_CURRENCY_EQTY_200009655_PRI">#REF!</definedName>
    <definedName name="L_CURRENCY_EQTY_200009655_PUB">#REF!</definedName>
    <definedName name="L_CURRENCY_EQTY_200009655_REP">#REF!</definedName>
    <definedName name="L_CURRENCY_EQTY_200009867_PRI">#REF!</definedName>
    <definedName name="L_CURRENCY_EQTY_200009867_PUB">#REF!</definedName>
    <definedName name="L_CURRENCY_EQTY_200009867_REP">#REF!</definedName>
    <definedName name="L_CURRENCY_EQTY_200009998_PRI">#REF!</definedName>
    <definedName name="L_CURRENCY_EQTY_200009998_PUB">#REF!</definedName>
    <definedName name="L_CURRENCY_EQTY_200009998_REP">#REF!</definedName>
    <definedName name="L_CURRENCY_EQTY_200010001_PRI">#REF!</definedName>
    <definedName name="L_CURRENCY_EQTY_200010001_PUB">#REF!</definedName>
    <definedName name="L_CURRENCY_EQTY_200010001_REP">#REF!</definedName>
    <definedName name="L_CURRENCY_EQTY_200011619_PRI">#REF!</definedName>
    <definedName name="L_CURRENCY_EQTY_200011619_PUB">#REF!</definedName>
    <definedName name="L_CURRENCY_EQTY_200011619_REP">#REF!</definedName>
    <definedName name="L_CURRENCY_EQTY_200012041_PRI">#REF!</definedName>
    <definedName name="L_CURRENCY_EQTY_200012041_PUB">#REF!</definedName>
    <definedName name="L_CURRENCY_EQTY_200012041_REP">#REF!</definedName>
    <definedName name="L_CURRENCY_EQTY_200012053_PRI">#REF!</definedName>
    <definedName name="L_CURRENCY_EQTY_200012053_PUB">#REF!</definedName>
    <definedName name="L_CURRENCY_EQTY_200012053_REP">#REF!</definedName>
    <definedName name="L_CURRENCY_EQTY_200012667_PRI">#REF!</definedName>
    <definedName name="L_CURRENCY_EQTY_200012667_PUB">#REF!</definedName>
    <definedName name="L_CURRENCY_EQTY_200012667_REP">#REF!</definedName>
    <definedName name="L_CURRENCY_EQTY_200012890_PRI">#REF!</definedName>
    <definedName name="L_CURRENCY_EQTY_200012890_PUB">#REF!</definedName>
    <definedName name="L_CURRENCY_EQTY_200012890_REP">#REF!</definedName>
    <definedName name="L_CURRENCY_EQTY_200013301_PRI">#REF!</definedName>
    <definedName name="L_CURRENCY_EQTY_200013301_PUB">#REF!</definedName>
    <definedName name="L_CURRENCY_EQTY_200013301_REP">#REF!</definedName>
    <definedName name="L_CURRENCY_EQTY_200013639_PRI">#REF!</definedName>
    <definedName name="L_CURRENCY_EQTY_200013639_PUB">#REF!</definedName>
    <definedName name="L_CURRENCY_EQTY_200013639_REP">#REF!</definedName>
    <definedName name="L_CURRENCY_EQTY_200015601_PRI">#REF!</definedName>
    <definedName name="L_CURRENCY_EQTY_200015601_PUB">#REF!</definedName>
    <definedName name="L_CURRENCY_EQTY_200015601_REP">#REF!</definedName>
    <definedName name="L_CURRENCY_EQTY_200016577_PRI">#REF!</definedName>
    <definedName name="L_CURRENCY_EQTY_200016577_PUB">#REF!</definedName>
    <definedName name="L_CURRENCY_EQTY_200016577_REP">#REF!</definedName>
    <definedName name="L_CURRENCY_EQTY_200016618_PRI">#REF!</definedName>
    <definedName name="L_CURRENCY_EQTY_200016618_PUB">#REF!</definedName>
    <definedName name="L_CURRENCY_EQTY_200016618_REP">#REF!</definedName>
    <definedName name="L_CURRENCY_ISSR_208002283_REP">#REF!</definedName>
    <definedName name="L_CURRENCY_ISSR_208002314_REP">#REF!</definedName>
    <definedName name="L_CURRENCY_ISSR_208002770_REP">#REF!</definedName>
    <definedName name="L_CURRENCY_ISSR_208003285_REP">#REF!</definedName>
    <definedName name="L_CURRENCY_ISSR_208007438_REP">#REF!</definedName>
    <definedName name="L_CURRENCY_ISSR_208007439_REP">#REF!</definedName>
    <definedName name="L_CURRENCY_ISSR_208007614_REP">#REF!</definedName>
    <definedName name="L_CURRENCY_ISSR_208007718_REP">#REF!</definedName>
    <definedName name="L_CURRENCY_ISSR_208007721_REP">#REF!</definedName>
    <definedName name="L_CURRENCY_ISSR_208008849_REP">#REF!</definedName>
    <definedName name="L_CURRENCY_ISSR_208009114_REP">#REF!</definedName>
    <definedName name="L_CURRENCY_ISSR_208009120_REP">#REF!</definedName>
    <definedName name="L_CURRENCY_ISSR_208009639_REP">#REF!</definedName>
    <definedName name="L_CURRENCY_ISSR_208009891_REP">#REF!</definedName>
    <definedName name="L_CURRENCY_ISSR_208010226_REP">#REF!</definedName>
    <definedName name="L_CURRENCY_ISSR_208010545_REP">#REF!</definedName>
    <definedName name="L_CURRENCY_ISSR_208012475_REP">#REF!</definedName>
    <definedName name="L_CURRENCY_ISSR_208013601_REP">#REF!</definedName>
    <definedName name="L_CURRENCY_ISSR_208013633_REP">#REF!</definedName>
    <definedName name="L_PERIOD_2009_H2">#REF!</definedName>
    <definedName name="L_PERIOD_2010_H2">#REF!</definedName>
    <definedName name="L_PERIOD_2012_H1">#REF!</definedName>
    <definedName name="L_PERIOD_2012_H2">#REF!</definedName>
    <definedName name="LAALCONS">#N/A</definedName>
    <definedName name="LAALPROD">#N/A</definedName>
    <definedName name="lamp">lamp</definedName>
    <definedName name="Last_BS">[26]BS!$D$4</definedName>
    <definedName name="last_earnings_release_date">#REF!</definedName>
    <definedName name="Last_report">#REF!</definedName>
    <definedName name="last_reported_qtr">#REF!</definedName>
    <definedName name="last_reported_year">#REF!</definedName>
    <definedName name="Last_Update">#REF!</definedName>
    <definedName name="last93">[7]Curtrans!$Q$15</definedName>
    <definedName name="last94">[7]Curtrans!$Q$14</definedName>
    <definedName name="last95">[7]Curtrans!$Q$13</definedName>
    <definedName name="last96">[7]Curtrans!$Q$12</definedName>
    <definedName name="last97">[7]Curtrans!$Q$11</definedName>
    <definedName name="last98">[7]Curtrans!$Q$10</definedName>
    <definedName name="LastEndYear">2014</definedName>
    <definedName name="LastEstiDate">42264</definedName>
    <definedName name="LastEstNum">3</definedName>
    <definedName name="LastH">#REF!</definedName>
    <definedName name="LastHasNew">"否"</definedName>
    <definedName name="LastListUpdate">0</definedName>
    <definedName name="lastrep">#REF!</definedName>
    <definedName name="LastReportList">"2010;2011;2012;2013;2014"</definedName>
    <definedName name="LastStYear">2010</definedName>
    <definedName name="LastTransitionYear">0</definedName>
    <definedName name="LastWindCode">"300383.SZ"</definedName>
    <definedName name="Laterriere">#REF!</definedName>
    <definedName name="LatestPeriod">#REF!</definedName>
    <definedName name="LCI_5YRGROWTH">#REF!</definedName>
    <definedName name="LDebtFinancing">[17]筹资!$E$23</definedName>
    <definedName name="ldfd94">#REF!</definedName>
    <definedName name="Leverage">[20]NERD!$G$13:$N$13</definedName>
    <definedName name="lfdsh00">#REF!</definedName>
    <definedName name="lfdsh01">#REF!</definedName>
    <definedName name="lfdsh94">#REF!</definedName>
    <definedName name="lfdsh95">#REF!</definedName>
    <definedName name="lfdsh96">#REF!</definedName>
    <definedName name="lfdsh97">#REF!</definedName>
    <definedName name="lfdsh98">#REF!</definedName>
    <definedName name="lfdsh99">#REF!</definedName>
    <definedName name="lfdshr00">#REF!</definedName>
    <definedName name="lfdshr01">#REF!</definedName>
    <definedName name="LGrowth">#REF!</definedName>
    <definedName name="Liabilities_and_Stockholders__equity">#REF!</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an_Cheng">#REF!</definedName>
    <definedName name="Liberalization">#REF!</definedName>
    <definedName name="library">#REF!</definedName>
    <definedName name="library_ds">#REF!</definedName>
    <definedName name="library_name">#REF!</definedName>
    <definedName name="License_amort">#REF!</definedName>
    <definedName name="license_fee">#REF!</definedName>
    <definedName name="Light_Metals">#REF!</definedName>
    <definedName name="limcount">1</definedName>
    <definedName name="linetable">#REF!</definedName>
    <definedName name="Linking_Range_3">'[10]Drivers &amp; Metrics'!$I$6:$W$78</definedName>
    <definedName name="Linking_Range_5">[10]Model!$I$118:$W$157</definedName>
    <definedName name="Links">#REF!</definedName>
    <definedName name="lintexp94">#REF!</definedName>
    <definedName name="liquid">#REF!</definedName>
    <definedName name="Liquidity">[20]NERD!$G$11:$N$11</definedName>
    <definedName name="LiraDollar">#REF!</definedName>
    <definedName name="LireUS">#REF!</definedName>
    <definedName name="lisahuang">lisahuang</definedName>
    <definedName name="Lista">#REF!</definedName>
    <definedName name="LiveReqs">#REF!</definedName>
    <definedName name="llxcsh">#REF!</definedName>
    <definedName name="LM_depreciation">#REF!</definedName>
    <definedName name="LM_inflation_uplift">#REF!</definedName>
    <definedName name="LM_maintenance_capex">#REF!</definedName>
    <definedName name="lmds_capex">#REF!</definedName>
    <definedName name="LNG_OFF_AUS_00D">#REF!</definedName>
    <definedName name="LNG_OFF_AUS_00J">#REF!</definedName>
    <definedName name="LNG_OFF_AUS_00M">#REF!</definedName>
    <definedName name="LNG_OFF_AUS_00S">#REF!</definedName>
    <definedName name="LNG_OFF_AUS_01D">#REF!</definedName>
    <definedName name="LNG_OFF_AUS_01J">#REF!</definedName>
    <definedName name="LNG_OFF_AUS_01M">#REF!</definedName>
    <definedName name="LNG_OFF_AUS_01S">#REF!</definedName>
    <definedName name="LNG_OFF_AUS_02D">#REF!</definedName>
    <definedName name="LNG_OFF_AUS_02J">#REF!</definedName>
    <definedName name="LNG_OFF_AUS_02M">#REF!</definedName>
    <definedName name="LNG_OFF_AUS_02S">#REF!</definedName>
    <definedName name="LNG_OFF_AUS_03D">#REF!</definedName>
    <definedName name="LNG_OFF_AUS_03J">#REF!</definedName>
    <definedName name="LNG_OFF_AUS_03M">#REF!</definedName>
    <definedName name="LNG_OFF_AUS_03S">#REF!</definedName>
    <definedName name="LNG_OFF_AUS_04D">#REF!</definedName>
    <definedName name="LNG_OFF_AUS_04J">#REF!</definedName>
    <definedName name="LNG_OFF_AUS_04M">#REF!</definedName>
    <definedName name="LNG_OFF_AUS_04S">#REF!</definedName>
    <definedName name="LNG_OFF_AUS_05D">#REF!</definedName>
    <definedName name="LNG_OFF_AUS_05J">#REF!</definedName>
    <definedName name="LNG_OFF_AUS_05M">#REF!</definedName>
    <definedName name="LNG_OFF_AUS_05S">#REF!</definedName>
    <definedName name="LNG_OFF_AUS_06D">#REF!</definedName>
    <definedName name="LNG_OFF_AUS_06J">#REF!</definedName>
    <definedName name="LNG_OFF_AUS_06M">#REF!</definedName>
    <definedName name="LNG_OFF_AUS_06S">#REF!</definedName>
    <definedName name="LNG_OFF_AUS_07D">#REF!</definedName>
    <definedName name="LNG_OFF_AUS_07J">#REF!</definedName>
    <definedName name="LNG_OFF_AUS_07M">#REF!</definedName>
    <definedName name="LNG_OFF_AUS_07S">#REF!</definedName>
    <definedName name="LNG_OFF_AUS_08D">#REF!</definedName>
    <definedName name="LNG_OFF_AUS_08J">#REF!</definedName>
    <definedName name="LNG_OFF_AUS_08M">#REF!</definedName>
    <definedName name="LNG_OFF_AUS_08S">#REF!</definedName>
    <definedName name="LNG_OFF_AUS_09D">#REF!</definedName>
    <definedName name="LNG_OFF_AUS_09J">#REF!</definedName>
    <definedName name="LNG_OFF_AUS_09M">#REF!</definedName>
    <definedName name="LNG_OFF_AUS_09S">#REF!</definedName>
    <definedName name="LNG_OFF_AUS_10D">#REF!</definedName>
    <definedName name="LNG_OFF_AUS_10J">#REF!</definedName>
    <definedName name="LNG_OFF_AUS_10M">#REF!</definedName>
    <definedName name="LNG_OFF_AUS_10S">#REF!</definedName>
    <definedName name="LNG_OFF_AUS_11D">#REF!</definedName>
    <definedName name="LNG_OFF_AUS_11J">#REF!</definedName>
    <definedName name="LNG_OFF_AUS_11M">#REF!</definedName>
    <definedName name="LNG_OFF_AUS_11S">#REF!</definedName>
    <definedName name="LNG_OFF_AUS_12D">#REF!</definedName>
    <definedName name="LNG_OFF_AUS_12J">#REF!</definedName>
    <definedName name="LNG_OFF_AUS_12M">#REF!</definedName>
    <definedName name="LNG_OFF_AUS_12S">#REF!</definedName>
    <definedName name="LNG_OFF_AUS_13D">#REF!</definedName>
    <definedName name="LNG_OFF_AUS_13J">#REF!</definedName>
    <definedName name="LNG_OFF_AUS_13M">#REF!</definedName>
    <definedName name="LNG_OFF_AUS_13S">#REF!</definedName>
    <definedName name="LNG_OFF_AUS_14D">#REF!</definedName>
    <definedName name="LNG_OFF_AUS_14J">#REF!</definedName>
    <definedName name="LNG_OFF_AUS_14M">#REF!</definedName>
    <definedName name="LNG_OFF_AUS_14S">#REF!</definedName>
    <definedName name="LNG_OFF_AUS_15D">#REF!</definedName>
    <definedName name="LNG_OFF_AUS_15J">#REF!</definedName>
    <definedName name="LNG_OFF_AUS_15M">#REF!</definedName>
    <definedName name="LNG_OFF_AUS_15S">#REF!</definedName>
    <definedName name="LNG_OFF_AUS_16D">#REF!</definedName>
    <definedName name="LNG_OFF_AUS_16J">#REF!</definedName>
    <definedName name="LNG_OFF_AUS_16M">#REF!</definedName>
    <definedName name="LNG_OFF_AUS_16S">#REF!</definedName>
    <definedName name="LNG_OFF_AUS_17D">#REF!</definedName>
    <definedName name="LNG_OFF_AUS_17J">#REF!</definedName>
    <definedName name="LNG_OFF_AUS_17M">#REF!</definedName>
    <definedName name="LNG_OFF_AUS_17S">#REF!</definedName>
    <definedName name="LNG_OFF_AUS_18D">#REF!</definedName>
    <definedName name="LNG_OFF_AUS_18J">#REF!</definedName>
    <definedName name="LNG_OFF_AUS_18M">#REF!</definedName>
    <definedName name="LNG_OFF_AUS_18S">#REF!</definedName>
    <definedName name="LNG_OFF_AUS_19D">#REF!</definedName>
    <definedName name="LNG_OFF_AUS_19J">#REF!</definedName>
    <definedName name="LNG_OFF_AUS_19M">#REF!</definedName>
    <definedName name="LNG_OFF_AUS_19S">#REF!</definedName>
    <definedName name="LNG_OFF_AUS_20D">#REF!</definedName>
    <definedName name="LNG_OFF_AUS_20J">#REF!</definedName>
    <definedName name="LNG_OFF_AUS_20M">#REF!</definedName>
    <definedName name="LNG_OFF_AUS_20S">#REF!</definedName>
    <definedName name="LNG_OFF_AUS_21D">#REF!</definedName>
    <definedName name="LNG_OFF_AUS_21J">#REF!</definedName>
    <definedName name="LNG_OFF_AUS_21M">#REF!</definedName>
    <definedName name="LNG_OFF_AUS_21S">#REF!</definedName>
    <definedName name="LNG_OFF_AUS_22D">#REF!</definedName>
    <definedName name="LNG_OFF_AUS_22J">#REF!</definedName>
    <definedName name="LNG_OFF_AUS_22M">#REF!</definedName>
    <definedName name="LNG_OFF_AUS_22S">#REF!</definedName>
    <definedName name="LNG_OFF_AUS_23D">#REF!</definedName>
    <definedName name="LNG_OFF_AUS_23J">#REF!</definedName>
    <definedName name="LNG_OFF_AUS_23M">#REF!</definedName>
    <definedName name="LNG_OFF_AUS_23S">#REF!</definedName>
    <definedName name="LNG_OFF_AUS_24D">#REF!</definedName>
    <definedName name="LNG_OFF_AUS_24J">#REF!</definedName>
    <definedName name="LNG_OFF_AUS_24M">#REF!</definedName>
    <definedName name="LNG_OFF_AUS_24S">#REF!</definedName>
    <definedName name="LNG_OFF_AUS_25D">#REF!</definedName>
    <definedName name="LNG_OFF_AUS_25J">#REF!</definedName>
    <definedName name="LNG_OFF_AUS_25M">#REF!</definedName>
    <definedName name="LNG_OFF_AUS_25S">#REF!</definedName>
    <definedName name="LNG_OFF_AUS_87D">#REF!</definedName>
    <definedName name="LNG_OFF_AUS_87J">#REF!</definedName>
    <definedName name="LNG_OFF_AUS_87M">#REF!</definedName>
    <definedName name="LNG_OFF_AUS_87S">#REF!</definedName>
    <definedName name="LNG_OFF_AUS_88D">#REF!</definedName>
    <definedName name="LNG_OFF_AUS_88J">#REF!</definedName>
    <definedName name="LNG_OFF_AUS_88M">#REF!</definedName>
    <definedName name="LNG_OFF_AUS_88S">#REF!</definedName>
    <definedName name="LNG_OFF_AUS_89D">#REF!</definedName>
    <definedName name="LNG_OFF_AUS_89J">#REF!</definedName>
    <definedName name="LNG_OFF_AUS_89M">#REF!</definedName>
    <definedName name="LNG_OFF_AUS_89S">#REF!</definedName>
    <definedName name="LNG_OFF_AUS_90D">#REF!</definedName>
    <definedName name="LNG_OFF_AUS_90J">#REF!</definedName>
    <definedName name="LNG_OFF_AUS_90M">#REF!</definedName>
    <definedName name="LNG_OFF_AUS_90S">#REF!</definedName>
    <definedName name="LNG_OFF_AUS_91D">#REF!</definedName>
    <definedName name="LNG_OFF_AUS_91J">#REF!</definedName>
    <definedName name="LNG_OFF_AUS_91M">#REF!</definedName>
    <definedName name="LNG_OFF_AUS_91S">#REF!</definedName>
    <definedName name="LNG_OFF_AUS_92D">#REF!</definedName>
    <definedName name="LNG_OFF_AUS_92J">#REF!</definedName>
    <definedName name="LNG_OFF_AUS_92M">#REF!</definedName>
    <definedName name="LNG_OFF_AUS_92S">#REF!</definedName>
    <definedName name="LNG_OFF_AUS_93D">#REF!</definedName>
    <definedName name="LNG_OFF_AUS_93J">#REF!</definedName>
    <definedName name="LNG_OFF_AUS_93M">#REF!</definedName>
    <definedName name="LNG_OFF_AUS_93S">#REF!</definedName>
    <definedName name="LNG_OFF_AUS_94D">#REF!</definedName>
    <definedName name="LNG_OFF_AUS_94J">#REF!</definedName>
    <definedName name="LNG_OFF_AUS_94M">#REF!</definedName>
    <definedName name="LNG_OFF_AUS_94S">#REF!</definedName>
    <definedName name="LNG_OFF_AUS_95D">#REF!</definedName>
    <definedName name="LNG_OFF_AUS_95J">#REF!</definedName>
    <definedName name="LNG_OFF_AUS_95M">#REF!</definedName>
    <definedName name="LNG_OFF_AUS_95S">#REF!</definedName>
    <definedName name="LNG_OFF_AUS_96D">#REF!</definedName>
    <definedName name="LNG_OFF_AUS_96J">#REF!</definedName>
    <definedName name="LNG_OFF_AUS_96M">#REF!</definedName>
    <definedName name="LNG_OFF_AUS_96S">#REF!</definedName>
    <definedName name="LNG_OFF_AUS_97D">#REF!</definedName>
    <definedName name="LNG_OFF_AUS_97J">#REF!</definedName>
    <definedName name="LNG_OFF_AUS_97M">#REF!</definedName>
    <definedName name="LNG_OFF_AUS_97S">#REF!</definedName>
    <definedName name="LNG_OFF_AUS_98D">#REF!</definedName>
    <definedName name="LNG_OFF_AUS_98J">#REF!</definedName>
    <definedName name="LNG_OFF_AUS_98M">#REF!</definedName>
    <definedName name="LNG_OFF_AUS_98S">#REF!</definedName>
    <definedName name="LNG_OFF_AUS_99D">#REF!</definedName>
    <definedName name="LNG_OFF_AUS_99J">#REF!</definedName>
    <definedName name="LNG_OFF_AUS_99M">#REF!</definedName>
    <definedName name="LNG_OFF_AUS_99S">#REF!</definedName>
    <definedName name="LNG_OFF_AUS_LT">#REF!</definedName>
    <definedName name="LNG_OUT">#REF!</definedName>
    <definedName name="Loan_Loss_Provision_fore">#REF!</definedName>
    <definedName name="LOCAL">#REF!</definedName>
    <definedName name="local_costs">#REF!</definedName>
    <definedName name="local_gm">#REF!</definedName>
    <definedName name="local_gp">#REF!</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revs">#REF!</definedName>
    <definedName name="Location">#REF!</definedName>
    <definedName name="Lochaber">#REF!</definedName>
    <definedName name="LOE">#REF!</definedName>
    <definedName name="Long_term_creditors">#REF!</definedName>
    <definedName name="Long_term_debt">#REF!</definedName>
    <definedName name="LongBorrowRate">[17]筹资!$B$8</definedName>
    <definedName name="Longview">#REF!</definedName>
    <definedName name="LookupGartnerXrates">#REF!</definedName>
    <definedName name="loth00">#REF!</definedName>
    <definedName name="loth01">#REF!</definedName>
    <definedName name="loth94">#REF!</definedName>
    <definedName name="loth95">#REF!</definedName>
    <definedName name="loth96">#REF!</definedName>
    <definedName name="loth97">#REF!</definedName>
    <definedName name="loth98">#REF!</definedName>
    <definedName name="loth99">#REF!</definedName>
    <definedName name="lpfd94">#REF!</definedName>
    <definedName name="lpfd95">#REF!</definedName>
    <definedName name="lpfd96">#REF!</definedName>
    <definedName name="lpfd97">#REF!</definedName>
    <definedName name="lpfd98">#REF!</definedName>
    <definedName name="lpfd99">#REF!</definedName>
    <definedName name="LPG">#REF!</definedName>
    <definedName name="LPG_OFF_AUS_01D">#REF!</definedName>
    <definedName name="LPG_OFF_AUS_01J">#REF!</definedName>
    <definedName name="LPG_OFF_AUS_01M">#REF!</definedName>
    <definedName name="LPG_OFF_AUS_01S">#REF!</definedName>
    <definedName name="LPG_OFF_AUS_02D">#REF!</definedName>
    <definedName name="LPG_OFF_AUS_02J">#REF!</definedName>
    <definedName name="LPG_OFF_AUS_02M">#REF!</definedName>
    <definedName name="LPG_OFF_AUS_02S">#REF!</definedName>
    <definedName name="LPG_OFF_AUS_03D">#REF!</definedName>
    <definedName name="LPG_OFF_AUS_03J">#REF!</definedName>
    <definedName name="LPG_OFF_AUS_03M">#REF!</definedName>
    <definedName name="LPG_OFF_AUS_03S">#REF!</definedName>
    <definedName name="LPG_OFF_AUS_04D">#REF!</definedName>
    <definedName name="LPG_OFF_AUS_04J">#REF!</definedName>
    <definedName name="LPG_OFF_AUS_04M">#REF!</definedName>
    <definedName name="LPG_OFF_AUS_04S">#REF!</definedName>
    <definedName name="LPG_OFF_AUS_05D">#REF!</definedName>
    <definedName name="LPG_OFF_AUS_05J">#REF!</definedName>
    <definedName name="LPG_OFF_AUS_05M">#REF!</definedName>
    <definedName name="LPG_OFF_AUS_05S">#REF!</definedName>
    <definedName name="LPG_OFF_AUS_06D">#REF!</definedName>
    <definedName name="LPG_OFF_AUS_06J">#REF!</definedName>
    <definedName name="LPG_OFF_AUS_06M">#REF!</definedName>
    <definedName name="LPG_OFF_AUS_06S">#REF!</definedName>
    <definedName name="LPG_OFF_AUS_07D">#REF!</definedName>
    <definedName name="LPG_OFF_AUS_07J">#REF!</definedName>
    <definedName name="LPG_OFF_AUS_07M">#REF!</definedName>
    <definedName name="LPG_OFF_AUS_07S">#REF!</definedName>
    <definedName name="LPG_OFF_AUS_08D">#REF!</definedName>
    <definedName name="LPG_OFF_AUS_08J">#REF!</definedName>
    <definedName name="LPG_OFF_AUS_08M">#REF!</definedName>
    <definedName name="LPG_OFF_AUS_08S">#REF!</definedName>
    <definedName name="LPG_OFF_AUS_09D">#REF!</definedName>
    <definedName name="LPG_OFF_AUS_09J">#REF!</definedName>
    <definedName name="LPG_OFF_AUS_09M">#REF!</definedName>
    <definedName name="LPG_OFF_AUS_09S">#REF!</definedName>
    <definedName name="LPG_OFF_AUS_10D">#REF!</definedName>
    <definedName name="LPG_OFF_AUS_10J">#REF!</definedName>
    <definedName name="LPG_OFF_AUS_10M">#REF!</definedName>
    <definedName name="LPG_OFF_AUS_10S">#REF!</definedName>
    <definedName name="LPG_OFF_AUS_11D">#REF!</definedName>
    <definedName name="LPG_OFF_AUS_11J">#REF!</definedName>
    <definedName name="LPG_OFF_AUS_11M">#REF!</definedName>
    <definedName name="LPG_OFF_AUS_11S">#REF!</definedName>
    <definedName name="LPG_OFF_AUS_12D">#REF!</definedName>
    <definedName name="LPG_OFF_AUS_12J">#REF!</definedName>
    <definedName name="LPG_OFF_AUS_12M">#REF!</definedName>
    <definedName name="LPG_OFF_AUS_12S">#REF!</definedName>
    <definedName name="LPG_OFF_AUS_13D">#REF!</definedName>
    <definedName name="LPG_OFF_AUS_13J">#REF!</definedName>
    <definedName name="LPG_OFF_AUS_13M">#REF!</definedName>
    <definedName name="LPG_OFF_AUS_13S">#REF!</definedName>
    <definedName name="LPG_OFF_AUS_14D">#REF!</definedName>
    <definedName name="LPG_OFF_AUS_14J">#REF!</definedName>
    <definedName name="LPG_OFF_AUS_14M">#REF!</definedName>
    <definedName name="LPG_OFF_AUS_14S">#REF!</definedName>
    <definedName name="LPG_OFF_AUS_15D">#REF!</definedName>
    <definedName name="LPG_OFF_AUS_15J">#REF!</definedName>
    <definedName name="LPG_OFF_AUS_15M">#REF!</definedName>
    <definedName name="LPG_OFF_AUS_15S">#REF!</definedName>
    <definedName name="LPG_OFF_AUS_16D">#REF!</definedName>
    <definedName name="LPG_OFF_AUS_16J">#REF!</definedName>
    <definedName name="LPG_OFF_AUS_16M">#REF!</definedName>
    <definedName name="LPG_OFF_AUS_16S">#REF!</definedName>
    <definedName name="LPG_OFF_AUS_17D">#REF!</definedName>
    <definedName name="LPG_OFF_AUS_17J">#REF!</definedName>
    <definedName name="LPG_OFF_AUS_17M">#REF!</definedName>
    <definedName name="LPG_OFF_AUS_17S">#REF!</definedName>
    <definedName name="LPG_OFF_AUS_18D">#REF!</definedName>
    <definedName name="LPG_OFF_AUS_18J">#REF!</definedName>
    <definedName name="LPG_OFF_AUS_18M">#REF!</definedName>
    <definedName name="LPG_OFF_AUS_18S">#REF!</definedName>
    <definedName name="LPG_OFF_AUS_19D">#REF!</definedName>
    <definedName name="LPG_OFF_AUS_19J">#REF!</definedName>
    <definedName name="LPG_OFF_AUS_19M">#REF!</definedName>
    <definedName name="LPG_OFF_AUS_19S">#REF!</definedName>
    <definedName name="LPG_OFF_AUS_20D">#REF!</definedName>
    <definedName name="LPG_OFF_AUS_20J">#REF!</definedName>
    <definedName name="LPG_OFF_AUS_20M">#REF!</definedName>
    <definedName name="LPG_OFF_AUS_20S">#REF!</definedName>
    <definedName name="LPG_OFF_AUS_21D">#REF!</definedName>
    <definedName name="LPG_OFF_AUS_21J">#REF!</definedName>
    <definedName name="LPG_OFF_AUS_21M">#REF!</definedName>
    <definedName name="LPG_OFF_AUS_21S">#REF!</definedName>
    <definedName name="LPG_OFF_AUS_22D">#REF!</definedName>
    <definedName name="LPG_OFF_AUS_22J">#REF!</definedName>
    <definedName name="LPG_OFF_AUS_22M">#REF!</definedName>
    <definedName name="LPG_OFF_AUS_22S">#REF!</definedName>
    <definedName name="LPG_OFF_AUS_23D">#REF!</definedName>
    <definedName name="LPG_OFF_AUS_23J">#REF!</definedName>
    <definedName name="LPG_OFF_AUS_23M">#REF!</definedName>
    <definedName name="LPG_OFF_AUS_23S">#REF!</definedName>
    <definedName name="LPG_OFF_AUS_24D">#REF!</definedName>
    <definedName name="LPG_OFF_AUS_24J">#REF!</definedName>
    <definedName name="LPG_OFF_AUS_24M">#REF!</definedName>
    <definedName name="LPG_OFF_AUS_24S">#REF!</definedName>
    <definedName name="LPG_OFF_AUS_25D">#REF!</definedName>
    <definedName name="LPG_OFF_AUS_25J">#REF!</definedName>
    <definedName name="LPG_OFF_AUS_25M">#REF!</definedName>
    <definedName name="LPG_OFF_AUS_25S">#REF!</definedName>
    <definedName name="LPG_OFF_AUS_87D">#REF!</definedName>
    <definedName name="LPG_OFF_AUS_87J">#REF!</definedName>
    <definedName name="LPG_OFF_AUS_87M">#REF!</definedName>
    <definedName name="LPG_OFF_AUS_87S">#REF!</definedName>
    <definedName name="LPG_OFF_AUS_88D">#REF!</definedName>
    <definedName name="LPG_OFF_AUS_88J">#REF!</definedName>
    <definedName name="LPG_OFF_AUS_88M">#REF!</definedName>
    <definedName name="LPG_OFF_AUS_88S">#REF!</definedName>
    <definedName name="LPG_OFF_AUS_89D">#REF!</definedName>
    <definedName name="LPG_OFF_AUS_89J">#REF!</definedName>
    <definedName name="LPG_OFF_AUS_89M">#REF!</definedName>
    <definedName name="LPG_OFF_AUS_89S">#REF!</definedName>
    <definedName name="LPG_OFF_AUS_90D">#REF!</definedName>
    <definedName name="LPG_OFF_AUS_90J">#REF!</definedName>
    <definedName name="LPG_OFF_AUS_90M">#REF!</definedName>
    <definedName name="LPG_OFF_AUS_90S">#REF!</definedName>
    <definedName name="LPG_OFF_AUS_91D">#REF!</definedName>
    <definedName name="LPG_OFF_AUS_91J">#REF!</definedName>
    <definedName name="LPG_OFF_AUS_91M">#REF!</definedName>
    <definedName name="LPG_OFF_AUS_91S">#REF!</definedName>
    <definedName name="LPG_OFF_AUS_92D">#REF!</definedName>
    <definedName name="LPG_OFF_AUS_92J">#REF!</definedName>
    <definedName name="LPG_OFF_AUS_92M">#REF!</definedName>
    <definedName name="LPG_OFF_AUS_92S">#REF!</definedName>
    <definedName name="LPG_OFF_AUS_93D">#REF!</definedName>
    <definedName name="LPG_OFF_AUS_93J">#REF!</definedName>
    <definedName name="LPG_OFF_AUS_93M">#REF!</definedName>
    <definedName name="LPG_OFF_AUS_93S">#REF!</definedName>
    <definedName name="LPG_OFF_AUS_94D">#REF!</definedName>
    <definedName name="LPG_OFF_AUS_94J">#REF!</definedName>
    <definedName name="LPG_OFF_AUS_94M">#REF!</definedName>
    <definedName name="LPG_OFF_AUS_94S">#REF!</definedName>
    <definedName name="LPG_OFF_AUS_95D">#REF!</definedName>
    <definedName name="LPG_OFF_AUS_95J">#REF!</definedName>
    <definedName name="LPG_OFF_AUS_95M">#REF!</definedName>
    <definedName name="LPG_OFF_AUS_95S">#REF!</definedName>
    <definedName name="LPG_OFF_AUS_96D">#REF!</definedName>
    <definedName name="LPG_OFF_AUS_96J">#REF!</definedName>
    <definedName name="LPG_OFF_AUS_96M">#REF!</definedName>
    <definedName name="LPG_OFF_AUS_96S">#REF!</definedName>
    <definedName name="LPG_OFF_AUS_97D">#REF!</definedName>
    <definedName name="LPG_OFF_AUS_97J">#REF!</definedName>
    <definedName name="LPG_OFF_AUS_97M">#REF!</definedName>
    <definedName name="LPG_OFF_AUS_97S">#REF!</definedName>
    <definedName name="LPG_OFF_AUS_98D">#REF!</definedName>
    <definedName name="LPG_OFF_AUS_98J">#REF!</definedName>
    <definedName name="LPG_OFF_AUS_98M">#REF!</definedName>
    <definedName name="LPG_OFF_AUS_98S">#REF!</definedName>
    <definedName name="LPG_OFF_AUS_99D">#REF!</definedName>
    <definedName name="LPG_OFF_AUS_99J">#REF!</definedName>
    <definedName name="LPG_OFF_AUS_99M">#REF!</definedName>
    <definedName name="LPG_OFF_AUS_99S">#REF!</definedName>
    <definedName name="LPG_OFF_AUS_LT">#REF!</definedName>
    <definedName name="LPG_ON_AUS_00D">#REF!</definedName>
    <definedName name="LPG_ON_AUS_00J">#REF!</definedName>
    <definedName name="LPG_ON_AUS_00M">#REF!</definedName>
    <definedName name="LPG_ON_AUS_00S">#REF!</definedName>
    <definedName name="LPG_ON_AUS_01D">#REF!</definedName>
    <definedName name="LPG_ON_AUS_01J">#REF!</definedName>
    <definedName name="LPG_ON_AUS_01M">#REF!</definedName>
    <definedName name="LPG_ON_AUS_01S">#REF!</definedName>
    <definedName name="LPG_ON_AUS_02D">#REF!</definedName>
    <definedName name="LPG_ON_AUS_02J">#REF!</definedName>
    <definedName name="LPG_ON_AUS_02M">#REF!</definedName>
    <definedName name="LPG_ON_AUS_02S">#REF!</definedName>
    <definedName name="LPG_ON_AUS_03D">#REF!</definedName>
    <definedName name="LPG_ON_AUS_03J">#REF!</definedName>
    <definedName name="LPG_ON_AUS_03M">#REF!</definedName>
    <definedName name="LPG_ON_AUS_03S">#REF!</definedName>
    <definedName name="LPG_ON_AUS_04D">#REF!</definedName>
    <definedName name="LPG_ON_AUS_04J">#REF!</definedName>
    <definedName name="LPG_ON_AUS_04M">#REF!</definedName>
    <definedName name="LPG_ON_AUS_04S">#REF!</definedName>
    <definedName name="LPG_ON_AUS_05D">#REF!</definedName>
    <definedName name="LPG_ON_AUS_05J">#REF!</definedName>
    <definedName name="LPG_ON_AUS_05M">#REF!</definedName>
    <definedName name="LPG_ON_AUS_05S">#REF!</definedName>
    <definedName name="LPG_ON_AUS_06D">#REF!</definedName>
    <definedName name="LPG_ON_AUS_06J">#REF!</definedName>
    <definedName name="LPG_ON_AUS_06M">#REF!</definedName>
    <definedName name="LPG_ON_AUS_06S">#REF!</definedName>
    <definedName name="LPG_ON_AUS_07D">#REF!</definedName>
    <definedName name="LPG_ON_AUS_07J">#REF!</definedName>
    <definedName name="LPG_ON_AUS_07M">#REF!</definedName>
    <definedName name="LPG_ON_AUS_07S">#REF!</definedName>
    <definedName name="LPG_ON_AUS_08D">#REF!</definedName>
    <definedName name="LPG_ON_AUS_08J">#REF!</definedName>
    <definedName name="LPG_ON_AUS_08M">#REF!</definedName>
    <definedName name="LPG_ON_AUS_08S">#REF!</definedName>
    <definedName name="LPG_ON_AUS_09D">#REF!</definedName>
    <definedName name="LPG_ON_AUS_09J">#REF!</definedName>
    <definedName name="LPG_ON_AUS_09M">#REF!</definedName>
    <definedName name="LPG_ON_AUS_09S">#REF!</definedName>
    <definedName name="LPG_ON_AUS_10D">#REF!</definedName>
    <definedName name="LPG_ON_AUS_10J">#REF!</definedName>
    <definedName name="LPG_ON_AUS_10M">#REF!</definedName>
    <definedName name="LPG_ON_AUS_10S">#REF!</definedName>
    <definedName name="LPG_ON_AUS_11D">#REF!</definedName>
    <definedName name="LPG_ON_AUS_11J">#REF!</definedName>
    <definedName name="LPG_ON_AUS_11M">#REF!</definedName>
    <definedName name="LPG_ON_AUS_11S">#REF!</definedName>
    <definedName name="LPG_ON_AUS_12D">#REF!</definedName>
    <definedName name="LPG_ON_AUS_12J">#REF!</definedName>
    <definedName name="LPG_ON_AUS_12M">#REF!</definedName>
    <definedName name="LPG_ON_AUS_12S">#REF!</definedName>
    <definedName name="LPG_ON_AUS_13D">#REF!</definedName>
    <definedName name="LPG_ON_AUS_13J">#REF!</definedName>
    <definedName name="LPG_ON_AUS_13M">#REF!</definedName>
    <definedName name="LPG_ON_AUS_13S">#REF!</definedName>
    <definedName name="LPG_ON_AUS_14D">#REF!</definedName>
    <definedName name="LPG_ON_AUS_14J">#REF!</definedName>
    <definedName name="LPG_ON_AUS_14M">#REF!</definedName>
    <definedName name="LPG_ON_AUS_14S">#REF!</definedName>
    <definedName name="LPG_ON_AUS_15D">#REF!</definedName>
    <definedName name="LPG_ON_AUS_15J">#REF!</definedName>
    <definedName name="LPG_ON_AUS_15M">#REF!</definedName>
    <definedName name="LPG_ON_AUS_15S">#REF!</definedName>
    <definedName name="LPG_ON_AUS_16D">#REF!</definedName>
    <definedName name="LPG_ON_AUS_16J">#REF!</definedName>
    <definedName name="LPG_ON_AUS_16M">#REF!</definedName>
    <definedName name="LPG_ON_AUS_16S">#REF!</definedName>
    <definedName name="LPG_ON_AUS_17D">#REF!</definedName>
    <definedName name="LPG_ON_AUS_17J">#REF!</definedName>
    <definedName name="LPG_ON_AUS_17M">#REF!</definedName>
    <definedName name="LPG_ON_AUS_17S">#REF!</definedName>
    <definedName name="LPG_ON_AUS_18D">#REF!</definedName>
    <definedName name="LPG_ON_AUS_18J">#REF!</definedName>
    <definedName name="LPG_ON_AUS_18M">#REF!</definedName>
    <definedName name="LPG_ON_AUS_18S">#REF!</definedName>
    <definedName name="LPG_ON_AUS_19D">#REF!</definedName>
    <definedName name="LPG_ON_AUS_19J">#REF!</definedName>
    <definedName name="LPG_ON_AUS_19M">#REF!</definedName>
    <definedName name="LPG_ON_AUS_19S">#REF!</definedName>
    <definedName name="LPG_ON_AUS_20D">#REF!</definedName>
    <definedName name="LPG_ON_AUS_20J">#REF!</definedName>
    <definedName name="LPG_ON_AUS_20M">#REF!</definedName>
    <definedName name="LPG_ON_AUS_20S">#REF!</definedName>
    <definedName name="LPG_ON_AUS_21D">#REF!</definedName>
    <definedName name="LPG_ON_AUS_21J">#REF!</definedName>
    <definedName name="LPG_ON_AUS_21M">#REF!</definedName>
    <definedName name="LPG_ON_AUS_21S">#REF!</definedName>
    <definedName name="LPG_ON_AUS_22D">#REF!</definedName>
    <definedName name="LPG_ON_AUS_22J">#REF!</definedName>
    <definedName name="LPG_ON_AUS_22M">#REF!</definedName>
    <definedName name="LPG_ON_AUS_22S">#REF!</definedName>
    <definedName name="LPG_ON_AUS_23D">#REF!</definedName>
    <definedName name="LPG_ON_AUS_23J">#REF!</definedName>
    <definedName name="LPG_ON_AUS_23M">#REF!</definedName>
    <definedName name="LPG_ON_AUS_23S">#REF!</definedName>
    <definedName name="LPG_ON_AUS_24D">#REF!</definedName>
    <definedName name="LPG_ON_AUS_24J">#REF!</definedName>
    <definedName name="LPG_ON_AUS_24M">#REF!</definedName>
    <definedName name="LPG_ON_AUS_24S">#REF!</definedName>
    <definedName name="LPG_ON_AUS_25D">#REF!</definedName>
    <definedName name="LPG_ON_AUS_25J">#REF!</definedName>
    <definedName name="LPG_ON_AUS_25M">#REF!</definedName>
    <definedName name="LPG_ON_AUS_25S">#REF!</definedName>
    <definedName name="LPG_ON_AUS_87D">#REF!</definedName>
    <definedName name="LPG_ON_AUS_87J">#REF!</definedName>
    <definedName name="LPG_ON_AUS_87M">#REF!</definedName>
    <definedName name="LPG_ON_AUS_87S">#REF!</definedName>
    <definedName name="LPG_ON_AUS_88D">#REF!</definedName>
    <definedName name="LPG_ON_AUS_88J">#REF!</definedName>
    <definedName name="LPG_ON_AUS_88M">#REF!</definedName>
    <definedName name="LPG_ON_AUS_88S">#REF!</definedName>
    <definedName name="LPG_ON_AUS_89D">#REF!</definedName>
    <definedName name="LPG_ON_AUS_89J">#REF!</definedName>
    <definedName name="LPG_ON_AUS_89M">#REF!</definedName>
    <definedName name="LPG_ON_AUS_89S">#REF!</definedName>
    <definedName name="LPG_ON_AUS_90D">#REF!</definedName>
    <definedName name="LPG_ON_AUS_90J">#REF!</definedName>
    <definedName name="LPG_ON_AUS_90M">#REF!</definedName>
    <definedName name="LPG_ON_AUS_90S">#REF!</definedName>
    <definedName name="LPG_ON_AUS_91D">#REF!</definedName>
    <definedName name="LPG_ON_AUS_91J">#REF!</definedName>
    <definedName name="LPG_ON_AUS_91M">#REF!</definedName>
    <definedName name="LPG_ON_AUS_91S">#REF!</definedName>
    <definedName name="LPG_ON_AUS_92D">#REF!</definedName>
    <definedName name="LPG_ON_AUS_92J">#REF!</definedName>
    <definedName name="LPG_ON_AUS_92M">#REF!</definedName>
    <definedName name="LPG_ON_AUS_92S">#REF!</definedName>
    <definedName name="LPG_ON_AUS_93D">#REF!</definedName>
    <definedName name="LPG_ON_AUS_93J">#REF!</definedName>
    <definedName name="LPG_ON_AUS_93M">#REF!</definedName>
    <definedName name="LPG_ON_AUS_93S">#REF!</definedName>
    <definedName name="LPG_ON_AUS_94D">#REF!</definedName>
    <definedName name="LPG_ON_AUS_94J">#REF!</definedName>
    <definedName name="LPG_ON_AUS_94M">#REF!</definedName>
    <definedName name="LPG_ON_AUS_94S">#REF!</definedName>
    <definedName name="LPG_ON_AUS_95D">#REF!</definedName>
    <definedName name="LPG_ON_AUS_95J">#REF!</definedName>
    <definedName name="LPG_ON_AUS_95M">#REF!</definedName>
    <definedName name="LPG_ON_AUS_95S">#REF!</definedName>
    <definedName name="LPG_ON_AUS_96D">#REF!</definedName>
    <definedName name="LPG_ON_AUS_96J">#REF!</definedName>
    <definedName name="LPG_ON_AUS_96M">#REF!</definedName>
    <definedName name="LPG_ON_AUS_96S">#REF!</definedName>
    <definedName name="LPG_ON_AUS_97D">#REF!</definedName>
    <definedName name="LPG_ON_AUS_97J">#REF!</definedName>
    <definedName name="LPG_ON_AUS_97M">#REF!</definedName>
    <definedName name="LPG_ON_AUS_97S">#REF!</definedName>
    <definedName name="LPG_ON_AUS_98D">#REF!</definedName>
    <definedName name="LPG_ON_AUS_98J">#REF!</definedName>
    <definedName name="LPG_ON_AUS_98M">#REF!</definedName>
    <definedName name="LPG_ON_AUS_98S">#REF!</definedName>
    <definedName name="LPG_ON_AUS_99D">#REF!</definedName>
    <definedName name="LPG_ON_AUS_99J">#REF!</definedName>
    <definedName name="LPG_ON_AUS_99M">#REF!</definedName>
    <definedName name="LPG_ON_AUS_99S">#REF!</definedName>
    <definedName name="LPG_ON_AUS_LT">#REF!</definedName>
    <definedName name="LPG_OUT">#REF!</definedName>
    <definedName name="lshr00">#REF!</definedName>
    <definedName name="lshr01">#REF!</definedName>
    <definedName name="lshr94">#REF!</definedName>
    <definedName name="lshr95">#REF!</definedName>
    <definedName name="lshr96">#REF!</definedName>
    <definedName name="lshr97">#REF!</definedName>
    <definedName name="lshr98">#REF!</definedName>
    <definedName name="lshr99">#REF!</definedName>
    <definedName name="Lt_debt">#REF!</definedName>
    <definedName name="LT_debt_growth_fore">#REF!</definedName>
    <definedName name="LT_EPS">#REF!</definedName>
    <definedName name="LT_int_bearing_assets">#REF!</definedName>
    <definedName name="LT_INV">#REF!</definedName>
    <definedName name="ltax94">#REF!</definedName>
    <definedName name="ltd">#REF!</definedName>
    <definedName name="LTEL_AdjustedEV">#REF!</definedName>
    <definedName name="LTEL_AssociatesMinorities">#REF!</definedName>
    <definedName name="LTEL_UnleveredFCF">#REF!</definedName>
    <definedName name="LTG">#REF!</definedName>
    <definedName name="LTL">#REF!</definedName>
    <definedName name="LTL_CAP">#REF!</definedName>
    <definedName name="LTL_DEBT">#REF!</definedName>
    <definedName name="LTL_TAX">#REF!</definedName>
    <definedName name="LU_10q_div">#REF!</definedName>
    <definedName name="LU_10q_shares">#REF!</definedName>
    <definedName name="lu_5_yr_est">#REF!</definedName>
    <definedName name="lu_52_wk">#REF!</definedName>
    <definedName name="LU_bk_cap">#REF!</definedName>
    <definedName name="LU_bk_equity">#REF!</definedName>
    <definedName name="LU_bs_conv_debt">#REF!</definedName>
    <definedName name="LU_bs_min_int">#REF!</definedName>
    <definedName name="LU_bs_pref">#REF!</definedName>
    <definedName name="LU_cash">#REF!</definedName>
    <definedName name="LU_code">#REF!</definedName>
    <definedName name="LU_conv_debt_pr">#REF!</definedName>
    <definedName name="LU_conv_pref_pr">#REF!</definedName>
    <definedName name="lu_curr">#REF!</definedName>
    <definedName name="LU_dil_shares">#REF!</definedName>
    <definedName name="lu_eps00">#REF!</definedName>
    <definedName name="lu_eps98">#REF!</definedName>
    <definedName name="lu_eps99">#REF!</definedName>
    <definedName name="LU_equity_mcap">#REF!</definedName>
    <definedName name="LU_fin_date">#REF!</definedName>
    <definedName name="LU_hist_d">#REF!</definedName>
    <definedName name="LU_hst_a">#REF!</definedName>
    <definedName name="LU_hst_cogs">#REF!</definedName>
    <definedName name="LU_hst_ebit">#REF!</definedName>
    <definedName name="LU_hst_ebt">#REF!</definedName>
    <definedName name="LU_hst_eps">#REF!</definedName>
    <definedName name="LU_hst_inc_b_m">#REF!</definedName>
    <definedName name="LU_hst_r_d">#REF!</definedName>
    <definedName name="LU_hst_rev">#REF!</definedName>
    <definedName name="LU_hst_sg_a">#REF!</definedName>
    <definedName name="LU_lev_mcap">#REF!</definedName>
    <definedName name="LU_LQ_ni">#REF!</definedName>
    <definedName name="LU_LQ_rev">#REF!</definedName>
    <definedName name="LU_lt_debt">#REF!</definedName>
    <definedName name="LU_ltm_a">#REF!</definedName>
    <definedName name="LU_ltm_cap_ex">#REF!</definedName>
    <definedName name="LU_ltm_cogs">#REF!</definedName>
    <definedName name="LU_ltm_csh_int">#REF!</definedName>
    <definedName name="LU_ltm_d">#REF!</definedName>
    <definedName name="LU_ltm_ebit">#REF!</definedName>
    <definedName name="LU_ltm_ebt">#REF!</definedName>
    <definedName name="LU_ltm_inc_b_m">#REF!</definedName>
    <definedName name="LU_ltm_int">#REF!</definedName>
    <definedName name="LU_ltm_min_int">#REF!</definedName>
    <definedName name="LU_ltm_pref_div">#REF!</definedName>
    <definedName name="LU_ltm_r_d">#REF!</definedName>
    <definedName name="LU_ltm_rev">#REF!</definedName>
    <definedName name="LU_ltm_sg_a">#REF!</definedName>
    <definedName name="LU_ltm_shares">#REF!</definedName>
    <definedName name="LU_ltm_tax">#REF!</definedName>
    <definedName name="LU_ltm_tax_rate">#REF!</definedName>
    <definedName name="LU_name">#REF!</definedName>
    <definedName name="LU_o_debt_1">#REF!</definedName>
    <definedName name="LU_o_debt_2">#REF!</definedName>
    <definedName name="LU_o_debt_3">#REF!</definedName>
    <definedName name="LU_option_n">#REF!</definedName>
    <definedName name="LU_option_pr">#REF!</definedName>
    <definedName name="LU_PQ_ni">#REF!</definedName>
    <definedName name="LU_PQ_rev">#REF!</definedName>
    <definedName name="lu_pr">#REF!</definedName>
    <definedName name="LU_shares">#REF!</definedName>
    <definedName name="lu_ticker">#REF!</definedName>
    <definedName name="LU_total_dt">#REF!</definedName>
    <definedName name="LU_YQ_ni">#REF!</definedName>
    <definedName name="LU_YQ_rev">#REF!</definedName>
    <definedName name="lumens">#REF!</definedName>
    <definedName name="LUXOTTICA">#REF!</definedName>
    <definedName name="Luxury">#REF!</definedName>
    <definedName name="Lynemouth">#REF!</definedName>
    <definedName name="m">'[47]Stock Prices'!$D$6:$G$11</definedName>
    <definedName name="M.E.">#REF!</definedName>
    <definedName name="M_PlaceofPath" hidden="1">"\\SNYCEQT0100\HOME\DANDERS\COMPANY\IGT\IGT_VDF.xls"</definedName>
    <definedName name="M3..T3_">#N/A</definedName>
    <definedName name="Macau_annavge_subs">#REF!</definedName>
    <definedName name="Macau_costs">#REF!</definedName>
    <definedName name="Macau_ebitda">#REF!</definedName>
    <definedName name="Macau_ebitda_mgn">#REF!</definedName>
    <definedName name="Macau_revenues">#REF!</definedName>
    <definedName name="Macau_total_subs">#REF!</definedName>
    <definedName name="Macro1">#REF!</definedName>
    <definedName name="MACROS">#REF!</definedName>
    <definedName name="madgf_5_yr_est">#REF!</definedName>
    <definedName name="madgf_52_wk">#REF!</definedName>
    <definedName name="madgf_curr">#REF!</definedName>
    <definedName name="madgf_eps97">#REF!</definedName>
    <definedName name="madgf_eps98">#REF!</definedName>
    <definedName name="madgf_eps99">#REF!</definedName>
    <definedName name="madgf_pr">#REF!</definedName>
    <definedName name="madgf_ticker">#REF!</definedName>
    <definedName name="MainDialog.Auto_Open">#N/A</definedName>
    <definedName name="Maintenance_Capex">#REF!</definedName>
    <definedName name="Malaysia">'[21]HK rates'!$A$1:$J$38</definedName>
    <definedName name="Manager">#REF!</definedName>
    <definedName name="MANG_00D">#REF!</definedName>
    <definedName name="MANG_00J">#REF!</definedName>
    <definedName name="MANG_00M">#REF!</definedName>
    <definedName name="MANG_00S">#REF!</definedName>
    <definedName name="MANG_01D">#REF!</definedName>
    <definedName name="MANG_01J">#REF!</definedName>
    <definedName name="MANG_01M">#REF!</definedName>
    <definedName name="MANG_01S">#REF!</definedName>
    <definedName name="MANG_02D">#REF!</definedName>
    <definedName name="MANG_02J">#REF!</definedName>
    <definedName name="MANG_02M">#REF!</definedName>
    <definedName name="MANG_02S">#REF!</definedName>
    <definedName name="MANG_03D">#REF!</definedName>
    <definedName name="MANG_03J">#REF!</definedName>
    <definedName name="MANG_03M">#REF!</definedName>
    <definedName name="MANG_03S">#REF!</definedName>
    <definedName name="MANG_04D">#REF!</definedName>
    <definedName name="MANG_04J">#REF!</definedName>
    <definedName name="MANG_04M">#REF!</definedName>
    <definedName name="MANG_04S">#REF!</definedName>
    <definedName name="MANG_05D">#REF!</definedName>
    <definedName name="MANG_05J">#REF!</definedName>
    <definedName name="MANG_05M">#REF!</definedName>
    <definedName name="MANG_05S">#REF!</definedName>
    <definedName name="MANG_06D">#REF!</definedName>
    <definedName name="MANG_06J">#REF!</definedName>
    <definedName name="MANG_06M">#REF!</definedName>
    <definedName name="MANG_06S">#REF!</definedName>
    <definedName name="MANG_07D">#REF!</definedName>
    <definedName name="MANG_07J">#REF!</definedName>
    <definedName name="MANG_07M">#REF!</definedName>
    <definedName name="MANG_07S">#REF!</definedName>
    <definedName name="MANG_08D">#REF!</definedName>
    <definedName name="MANG_08J">#REF!</definedName>
    <definedName name="MANG_08M">#REF!</definedName>
    <definedName name="MANG_08S">#REF!</definedName>
    <definedName name="MANG_09D">#REF!</definedName>
    <definedName name="MANG_09J">#REF!</definedName>
    <definedName name="MANG_09M">#REF!</definedName>
    <definedName name="MANG_09S">#REF!</definedName>
    <definedName name="MANG_10D">#REF!</definedName>
    <definedName name="MANG_10J">#REF!</definedName>
    <definedName name="MANG_10M">#REF!</definedName>
    <definedName name="MANG_10S">#REF!</definedName>
    <definedName name="MANG_11D">#REF!</definedName>
    <definedName name="MANG_11J">#REF!</definedName>
    <definedName name="MANG_11M">#REF!</definedName>
    <definedName name="MANG_11S">#REF!</definedName>
    <definedName name="MANG_12D">#REF!</definedName>
    <definedName name="MANG_12J">#REF!</definedName>
    <definedName name="MANG_12M">#REF!</definedName>
    <definedName name="MANG_12S">#REF!</definedName>
    <definedName name="MANG_13D">#REF!</definedName>
    <definedName name="MANG_13J">#REF!</definedName>
    <definedName name="MANG_13M">#REF!</definedName>
    <definedName name="MANG_13S">#REF!</definedName>
    <definedName name="MANG_14D">#REF!</definedName>
    <definedName name="MANG_14J">#REF!</definedName>
    <definedName name="MANG_14M">#REF!</definedName>
    <definedName name="MANG_14S">#REF!</definedName>
    <definedName name="MANG_15D">#REF!</definedName>
    <definedName name="MANG_15J">#REF!</definedName>
    <definedName name="MANG_15M">#REF!</definedName>
    <definedName name="MANG_15S">#REF!</definedName>
    <definedName name="MANG_16D">#REF!</definedName>
    <definedName name="MANG_16J">#REF!</definedName>
    <definedName name="MANG_16M">#REF!</definedName>
    <definedName name="MANG_16S">#REF!</definedName>
    <definedName name="MANG_17D">#REF!</definedName>
    <definedName name="MANG_17J">#REF!</definedName>
    <definedName name="MANG_17M">#REF!</definedName>
    <definedName name="MANG_17S">#REF!</definedName>
    <definedName name="MANG_18D">#REF!</definedName>
    <definedName name="MANG_18J">#REF!</definedName>
    <definedName name="MANG_18M">#REF!</definedName>
    <definedName name="MANG_18S">#REF!</definedName>
    <definedName name="MANG_19D">#REF!</definedName>
    <definedName name="MANG_19J">#REF!</definedName>
    <definedName name="MANG_19M">#REF!</definedName>
    <definedName name="MANG_19S">#REF!</definedName>
    <definedName name="MANG_20D">#REF!</definedName>
    <definedName name="MANG_20J">#REF!</definedName>
    <definedName name="MANG_20M">#REF!</definedName>
    <definedName name="MANG_20S">#REF!</definedName>
    <definedName name="MANG_21D">#REF!</definedName>
    <definedName name="MANG_21J">#REF!</definedName>
    <definedName name="MANG_21M">#REF!</definedName>
    <definedName name="MANG_21S">#REF!</definedName>
    <definedName name="MANG_22D">#REF!</definedName>
    <definedName name="MANG_22J">#REF!</definedName>
    <definedName name="MANG_22M">#REF!</definedName>
    <definedName name="MANG_22S">#REF!</definedName>
    <definedName name="MANG_23D">#REF!</definedName>
    <definedName name="MANG_23J">#REF!</definedName>
    <definedName name="MANG_23M">#REF!</definedName>
    <definedName name="MANG_23S">#REF!</definedName>
    <definedName name="MANG_24D">#REF!</definedName>
    <definedName name="MANG_24J">#REF!</definedName>
    <definedName name="MANG_24M">#REF!</definedName>
    <definedName name="MANG_24S">#REF!</definedName>
    <definedName name="MANG_25D">#REF!</definedName>
    <definedName name="MANG_25J">#REF!</definedName>
    <definedName name="MANG_25M">#REF!</definedName>
    <definedName name="MANG_25S">#REF!</definedName>
    <definedName name="MANG_87D">#REF!</definedName>
    <definedName name="MANG_87J">#REF!</definedName>
    <definedName name="MANG_87M">#REF!</definedName>
    <definedName name="MANG_87S">#REF!</definedName>
    <definedName name="MANG_88D">#REF!</definedName>
    <definedName name="MANG_88J">#REF!</definedName>
    <definedName name="MANG_88M">#REF!</definedName>
    <definedName name="MANG_88S">#REF!</definedName>
    <definedName name="MANG_89D">#REF!</definedName>
    <definedName name="MANG_89J">#REF!</definedName>
    <definedName name="MANG_89M">#REF!</definedName>
    <definedName name="MANG_89S">#REF!</definedName>
    <definedName name="MANG_90D">#REF!</definedName>
    <definedName name="MANG_90J">#REF!</definedName>
    <definedName name="MANG_90M">#REF!</definedName>
    <definedName name="MANG_90S">#REF!</definedName>
    <definedName name="MANG_91D">#REF!</definedName>
    <definedName name="MANG_91J">#REF!</definedName>
    <definedName name="MANG_91M">#REF!</definedName>
    <definedName name="MANG_91S">#REF!</definedName>
    <definedName name="MANG_92D">#REF!</definedName>
    <definedName name="MANG_92J">#REF!</definedName>
    <definedName name="MANG_92M">#REF!</definedName>
    <definedName name="MANG_92S">#REF!</definedName>
    <definedName name="MANG_93D">#REF!</definedName>
    <definedName name="MANG_93J">#REF!</definedName>
    <definedName name="MANG_93M">#REF!</definedName>
    <definedName name="MANG_93S">#REF!</definedName>
    <definedName name="MANG_94D">#REF!</definedName>
    <definedName name="MANG_94J">#REF!</definedName>
    <definedName name="MANG_94M">#REF!</definedName>
    <definedName name="MANG_94S">#REF!</definedName>
    <definedName name="MANG_95D">#REF!</definedName>
    <definedName name="MANG_95J">#REF!</definedName>
    <definedName name="MANG_95M">#REF!</definedName>
    <definedName name="MANG_95S">#REF!</definedName>
    <definedName name="MANG_96D">#REF!</definedName>
    <definedName name="MANG_96J">#REF!</definedName>
    <definedName name="MANG_96M">#REF!</definedName>
    <definedName name="MANG_96S">#REF!</definedName>
    <definedName name="MANG_97D">#REF!</definedName>
    <definedName name="MANG_97J">#REF!</definedName>
    <definedName name="MANG_97M">#REF!</definedName>
    <definedName name="MANG_97S">#REF!</definedName>
    <definedName name="MANG_98D">#REF!</definedName>
    <definedName name="MANG_98J">#REF!</definedName>
    <definedName name="MANG_98M">#REF!</definedName>
    <definedName name="MANG_98S">#REF!</definedName>
    <definedName name="MANG_99D">#REF!</definedName>
    <definedName name="MANG_99J">#REF!</definedName>
    <definedName name="MANG_99M">#REF!</definedName>
    <definedName name="MANG_99S">#REF!</definedName>
    <definedName name="MANG_LT">#REF!</definedName>
    <definedName name="Margin">[24]ISBSCF!$A$105:$AE$154</definedName>
    <definedName name="Margin_ebitda_switch">#REF!</definedName>
    <definedName name="Margin_ebitda_trans">#REF!</definedName>
    <definedName name="Margin_ebitda_wireless">#REF!</definedName>
    <definedName name="Margin_net_switch">#REF!</definedName>
    <definedName name="Margin_net_trans">#REF!</definedName>
    <definedName name="Margin_net_wireless">#REF!</definedName>
    <definedName name="Margin_r_d_switch">#REF!</definedName>
    <definedName name="Margin_r_d_trans">#REF!</definedName>
    <definedName name="Margin_r_d_wireless">#REF!</definedName>
    <definedName name="MarginalNPV10">#REF!</definedName>
    <definedName name="MarginalNPV12">#REF!</definedName>
    <definedName name="Margins_net_trans">#REF!</definedName>
    <definedName name="Margins_net_wireless">#REF!</definedName>
    <definedName name="Market_Cap">#REF!</definedName>
    <definedName name="Market_Capitalisation">#REF!</definedName>
    <definedName name="Market_capitalization">#REF!</definedName>
    <definedName name="MarketCapRs">#REF!</definedName>
    <definedName name="MarketCapUSD">#REF!</definedName>
    <definedName name="MarketCapWonBn">#REF!</definedName>
    <definedName name="Marketing___Admin._costs">#REF!</definedName>
    <definedName name="markval">#REF!</definedName>
    <definedName name="Master_Input_Sheet_LQ_rev">#REF!</definedName>
    <definedName name="Master_Input_Sheet_PQ_rev">#REF!</definedName>
    <definedName name="Master_Input_Sheet_YQ_rev">#REF!</definedName>
    <definedName name="Master_RNK_index">#REF!</definedName>
    <definedName name="mat1q95eps">#REF!</definedName>
    <definedName name="mat1q96eps">#REF!</definedName>
    <definedName name="mat1q97eps">#REF!</definedName>
    <definedName name="mat2q95eps">#REF!</definedName>
    <definedName name="mat2q96eps">#REF!</definedName>
    <definedName name="mat2q97eps">#REF!</definedName>
    <definedName name="mat3q95eps">#REF!</definedName>
    <definedName name="mat3q96eps">#REF!</definedName>
    <definedName name="mat3q97eps">#REF!</definedName>
    <definedName name="mat4q95eps">#REF!</definedName>
    <definedName name="mat4q96eps">#REF!</definedName>
    <definedName name="mat4q97eps">#REF!</definedName>
    <definedName name="mat5YEARROE">#REF!</definedName>
    <definedName name="mat5YREPS">#REF!</definedName>
    <definedName name="mat95bookvalshare">#REF!</definedName>
    <definedName name="mat95casheps">#REF!</definedName>
    <definedName name="mat95roe">#REF!</definedName>
    <definedName name="mat96bookvalshare">#REF!</definedName>
    <definedName name="mat96casheps">#REF!</definedName>
    <definedName name="mat96roe">#REF!</definedName>
    <definedName name="mat97bookvalshare">#REF!</definedName>
    <definedName name="mat97casheps">#REF!</definedName>
    <definedName name="mat97roe">#REF!</definedName>
    <definedName name="matcomments">#REF!</definedName>
    <definedName name="matNORMORE">#REF!</definedName>
    <definedName name="matNORMROE">#REF!</definedName>
    <definedName name="MATRIX">#REF!</definedName>
    <definedName name="matROE">#REF!</definedName>
    <definedName name="Mattel__Inc.">#REF!</definedName>
    <definedName name="MaturityCorpModDuration_bonds_0">#REF!</definedName>
    <definedName name="MaturityCorpModDuration_bonds_1">#REF!</definedName>
    <definedName name="MaturityCorpModDuration_bonds_2">#REF!</definedName>
    <definedName name="MaturityCorpModDuration_bonds_3">#REF!</definedName>
    <definedName name="MaturityCorpModDuration_bonds_4">#REF!</definedName>
    <definedName name="MCap">#REF!</definedName>
    <definedName name="MCCRKEVA">#REF!</definedName>
    <definedName name="mcfd93">#REF!</definedName>
    <definedName name="mcfd94">#REF!</definedName>
    <definedName name="mci_growth">#REF!</definedName>
    <definedName name="mci_tab">#REF!</definedName>
    <definedName name="mci_tracker">#REF!</definedName>
    <definedName name="mcx">#REF!</definedName>
    <definedName name="MDCE">#REF!</definedName>
    <definedName name="MDUMMY_10q_div">#REF!</definedName>
    <definedName name="MDUMMY_10q_shares">#REF!</definedName>
    <definedName name="MDUMMY_5_yr_est">#REF!</definedName>
    <definedName name="MDUMMY_beta">#REF!</definedName>
    <definedName name="MDUMMY_bk_cap">#REF!</definedName>
    <definedName name="MDUMMY_bk_equity">#REF!</definedName>
    <definedName name="MDUMMY_bs_conv_debt">#REF!</definedName>
    <definedName name="MDUMMY_bs_min_int">#REF!</definedName>
    <definedName name="MDUMMY_bs_pref">#REF!</definedName>
    <definedName name="MDUMMY_cash">#REF!</definedName>
    <definedName name="MDUMMY_code">#REF!</definedName>
    <definedName name="MDUMMY_conv_debt_pr">#REF!</definedName>
    <definedName name="MDUMMY_conv_pref_pr">#REF!</definedName>
    <definedName name="MDUMMY_curr">#REF!</definedName>
    <definedName name="MDUMMY_dil_shares">#REF!</definedName>
    <definedName name="MDUMMY_EBITDA95_res">#REF!</definedName>
    <definedName name="MDUMMY_EBITDA96_res">#REF!</definedName>
    <definedName name="MDUMMY_eps00">#REF!</definedName>
    <definedName name="MDUMMY_eps97">#REF!</definedName>
    <definedName name="MDUMMY_eps98">#REF!</definedName>
    <definedName name="MDUMMY_eps99">#REF!</definedName>
    <definedName name="MDUMMY_equity_mcap">#REF!</definedName>
    <definedName name="MDUMMY_hist_d">#REF!</definedName>
    <definedName name="MDUMMY_hst_a">#REF!</definedName>
    <definedName name="MDUMMY_hst_ebt">#REF!</definedName>
    <definedName name="MDUMMY_hst_eps">#REF!</definedName>
    <definedName name="MDUMMY_hst_r_d">#REF!</definedName>
    <definedName name="MDUMMY_lev_mcap">#REF!</definedName>
    <definedName name="MDUMMY_lt_debt">#REF!</definedName>
    <definedName name="MDUMMY_ltm_a">#REF!</definedName>
    <definedName name="MDUMMY_ltm_cap_ex">#REF!</definedName>
    <definedName name="MDUMMY_ltm_csh_int">#REF!</definedName>
    <definedName name="MDUMMY_ltm_d">#REF!</definedName>
    <definedName name="MDUMMY_ltm_ebt">#REF!</definedName>
    <definedName name="MDUMMY_ltm_eps">#REF!</definedName>
    <definedName name="MDUMMY_ltm_inc_b_m">#REF!</definedName>
    <definedName name="MDUMMY_ltm_int">#REF!</definedName>
    <definedName name="MDUMMY_ltm_min_int">#REF!</definedName>
    <definedName name="MDUMMY_ltm_pref_div">#REF!</definedName>
    <definedName name="MDUMMY_ltm_r_d">#REF!</definedName>
    <definedName name="MDUMMY_ltm_tax">#REF!</definedName>
    <definedName name="MDUMMY_ltm_tax_rate">#REF!</definedName>
    <definedName name="MDUMMY_name">#REF!</definedName>
    <definedName name="MDUMMY_o_debt_1">#REF!</definedName>
    <definedName name="MDUMMY_o_debt_2">#REF!</definedName>
    <definedName name="MDUMMY_o_debt_3">#REF!</definedName>
    <definedName name="MDUMMY_option_n">#REF!</definedName>
    <definedName name="MDUMMY_option_pr">#REF!</definedName>
    <definedName name="MDUMMY_pr">#REF!</definedName>
    <definedName name="MDUMMY_shares">#REF!</definedName>
    <definedName name="MDUMMY_ticker">#REF!</definedName>
    <definedName name="MDUMMY_total_dt">#REF!</definedName>
    <definedName name="Mead">#REF!</definedName>
    <definedName name="Mem">#REF!</definedName>
    <definedName name="MemFree">#REF!</definedName>
    <definedName name="MemTotal">#REF!</definedName>
    <definedName name="MENU">#REF!</definedName>
    <definedName name="METRIC_PRICE_TARGET">[48]Valuation!$E$138</definedName>
    <definedName name="metric1">#REF!</definedName>
    <definedName name="metrics2">#REF!</definedName>
    <definedName name="metrics3">#REF!</definedName>
    <definedName name="Mettur">#REF!</definedName>
    <definedName name="MetturCapacity">#REF!</definedName>
    <definedName name="MFG">#REF!</definedName>
    <definedName name="mfnx">#REF!</definedName>
    <definedName name="mfnx_g">#REF!</definedName>
    <definedName name="mfnx_is">#REF!</definedName>
    <definedName name="mfpoerjf" localSheetId="2" hidden="1">{"'RCIM'!$E$128"}</definedName>
    <definedName name="mfpoerjf" localSheetId="1" hidden="1">{"'RCIM'!$E$128"}</definedName>
    <definedName name="mfpoerjf" hidden="1">{"'RCIM'!$E$128"}</definedName>
    <definedName name="MG_00S">#REF!</definedName>
    <definedName name="MG_01D">#REF!</definedName>
    <definedName name="MG_01J">#REF!</definedName>
    <definedName name="MG_01M">#REF!</definedName>
    <definedName name="MG_01S">#REF!</definedName>
    <definedName name="MG_02D">#REF!</definedName>
    <definedName name="MG_02J">#REF!</definedName>
    <definedName name="MG_02M">#REF!</definedName>
    <definedName name="MG_02S">#REF!</definedName>
    <definedName name="MG_03D">#REF!</definedName>
    <definedName name="MG_03J">#REF!</definedName>
    <definedName name="MG_03M">#REF!</definedName>
    <definedName name="MG_03S">#REF!</definedName>
    <definedName name="MG_04D">#REF!</definedName>
    <definedName name="MG_04J">#REF!</definedName>
    <definedName name="MG_04M">#REF!</definedName>
    <definedName name="MG_04S">#REF!</definedName>
    <definedName name="MG_05D">#REF!</definedName>
    <definedName name="MG_05J">#REF!</definedName>
    <definedName name="MG_05M">#REF!</definedName>
    <definedName name="MG_05S">#REF!</definedName>
    <definedName name="MG_06D">#REF!</definedName>
    <definedName name="MG_06J">#REF!</definedName>
    <definedName name="MG_06M">#REF!</definedName>
    <definedName name="MG_06S">#REF!</definedName>
    <definedName name="MG_07D">#REF!</definedName>
    <definedName name="MG_07J">#REF!</definedName>
    <definedName name="MG_07M">#REF!</definedName>
    <definedName name="MG_07S">#REF!</definedName>
    <definedName name="MG_08D">#REF!</definedName>
    <definedName name="MG_08J">#REF!</definedName>
    <definedName name="MG_08M">#REF!</definedName>
    <definedName name="MG_08S">#REF!</definedName>
    <definedName name="MG_09D">#REF!</definedName>
    <definedName name="MG_09J">#REF!</definedName>
    <definedName name="MG_09M">#REF!</definedName>
    <definedName name="MG_09S">#REF!</definedName>
    <definedName name="MG_10D">#REF!</definedName>
    <definedName name="MG_10J">#REF!</definedName>
    <definedName name="MG_10M">#REF!</definedName>
    <definedName name="MG_10S">#REF!</definedName>
    <definedName name="MG_11D">#REF!</definedName>
    <definedName name="MG_11J">#REF!</definedName>
    <definedName name="MG_11M">#REF!</definedName>
    <definedName name="MG_11S">#REF!</definedName>
    <definedName name="MG_12D">#REF!</definedName>
    <definedName name="MG_12J">#REF!</definedName>
    <definedName name="MG_12M">#REF!</definedName>
    <definedName name="MG_12S">#REF!</definedName>
    <definedName name="MG_13D">#REF!</definedName>
    <definedName name="MG_13J">#REF!</definedName>
    <definedName name="MG_13M">#REF!</definedName>
    <definedName name="MG_13S">#REF!</definedName>
    <definedName name="MG_14D">#REF!</definedName>
    <definedName name="MG_14J">#REF!</definedName>
    <definedName name="MG_14M">#REF!</definedName>
    <definedName name="MG_14S">#REF!</definedName>
    <definedName name="MG_15D">#REF!</definedName>
    <definedName name="MG_15J">#REF!</definedName>
    <definedName name="MG_15M">#REF!</definedName>
    <definedName name="MG_15S">#REF!</definedName>
    <definedName name="MG_16D">#REF!</definedName>
    <definedName name="MG_16J">#REF!</definedName>
    <definedName name="MG_16M">#REF!</definedName>
    <definedName name="MG_16S">#REF!</definedName>
    <definedName name="MG_17D">#REF!</definedName>
    <definedName name="MG_17J">#REF!</definedName>
    <definedName name="MG_17M">#REF!</definedName>
    <definedName name="MG_17S">#REF!</definedName>
    <definedName name="MG_18D">#REF!</definedName>
    <definedName name="MG_18J">#REF!</definedName>
    <definedName name="MG_18M">#REF!</definedName>
    <definedName name="MG_18S">#REF!</definedName>
    <definedName name="MG_19D">#REF!</definedName>
    <definedName name="MG_19J">#REF!</definedName>
    <definedName name="MG_19M">#REF!</definedName>
    <definedName name="MG_19S">#REF!</definedName>
    <definedName name="MG_20D">#REF!</definedName>
    <definedName name="MG_20J">#REF!</definedName>
    <definedName name="MG_20M">#REF!</definedName>
    <definedName name="MG_20S">#REF!</definedName>
    <definedName name="MG_21D">#REF!</definedName>
    <definedName name="MG_21J">#REF!</definedName>
    <definedName name="MG_21M">#REF!</definedName>
    <definedName name="MG_21S">#REF!</definedName>
    <definedName name="MG_22D">#REF!</definedName>
    <definedName name="MG_22J">#REF!</definedName>
    <definedName name="MG_22M">#REF!</definedName>
    <definedName name="MG_22S">#REF!</definedName>
    <definedName name="MG_23D">#REF!</definedName>
    <definedName name="MG_23J">#REF!</definedName>
    <definedName name="MG_23M">#REF!</definedName>
    <definedName name="MG_23S">#REF!</definedName>
    <definedName name="MG_24D">#REF!</definedName>
    <definedName name="MG_24J">#REF!</definedName>
    <definedName name="MG_24M">#REF!</definedName>
    <definedName name="MG_24S">#REF!</definedName>
    <definedName name="MG_25D">#REF!</definedName>
    <definedName name="MG_25J">#REF!</definedName>
    <definedName name="MG_25M">#REF!</definedName>
    <definedName name="MG_25S">#REF!</definedName>
    <definedName name="MG_87D">#REF!</definedName>
    <definedName name="MG_87J">#REF!</definedName>
    <definedName name="MG_87M">#REF!</definedName>
    <definedName name="MG_87S">#REF!</definedName>
    <definedName name="MG_88D">#REF!</definedName>
    <definedName name="MG_88J">#REF!</definedName>
    <definedName name="MG_88M">#REF!</definedName>
    <definedName name="MG_88S">#REF!</definedName>
    <definedName name="MG_89D">#REF!</definedName>
    <definedName name="MG_89J">#REF!</definedName>
    <definedName name="MG_89M">#REF!</definedName>
    <definedName name="MG_89S">#REF!</definedName>
    <definedName name="MG_90D">#REF!</definedName>
    <definedName name="MG_90J">#REF!</definedName>
    <definedName name="MG_90M">#REF!</definedName>
    <definedName name="MG_90S">#REF!</definedName>
    <definedName name="MG_91D">#REF!</definedName>
    <definedName name="MG_91J">#REF!</definedName>
    <definedName name="MG_91M">#REF!</definedName>
    <definedName name="MG_91S">#REF!</definedName>
    <definedName name="MG_92D">#REF!</definedName>
    <definedName name="MG_92J">#REF!</definedName>
    <definedName name="MG_92M">#REF!</definedName>
    <definedName name="MG_92S">#REF!</definedName>
    <definedName name="MG_93D">#REF!</definedName>
    <definedName name="MG_93J">#REF!</definedName>
    <definedName name="MG_93M">#REF!</definedName>
    <definedName name="MG_93S">#REF!</definedName>
    <definedName name="MG_94D">#REF!</definedName>
    <definedName name="MG_94J">#REF!</definedName>
    <definedName name="MG_94M">#REF!</definedName>
    <definedName name="MG_94S">#REF!</definedName>
    <definedName name="MG_95D">#REF!</definedName>
    <definedName name="MG_95J">#REF!</definedName>
    <definedName name="MG_95M">#REF!</definedName>
    <definedName name="MG_95S">#REF!</definedName>
    <definedName name="MG_96D">#REF!</definedName>
    <definedName name="MG_96J">#REF!</definedName>
    <definedName name="MG_96M">#REF!</definedName>
    <definedName name="MG_96S">#REF!</definedName>
    <definedName name="MG_97D">#REF!</definedName>
    <definedName name="MG_97J">#REF!</definedName>
    <definedName name="MG_97M">#REF!</definedName>
    <definedName name="MG_97S">#REF!</definedName>
    <definedName name="MG_98D">#REF!</definedName>
    <definedName name="MG_98J">#REF!</definedName>
    <definedName name="MG_98M">#REF!</definedName>
    <definedName name="MG_98S">#REF!</definedName>
    <definedName name="MG_99D">#REF!</definedName>
    <definedName name="MG_99J">#REF!</definedName>
    <definedName name="MG_99M">#REF!</definedName>
    <definedName name="MG_99S">#REF!</definedName>
    <definedName name="MG_LT">#REF!</definedName>
    <definedName name="mgmt">#REF!</definedName>
    <definedName name="MGN">#REF!</definedName>
    <definedName name="MI.2000">#REF!</definedName>
    <definedName name="MI.2001">#REF!</definedName>
    <definedName name="MI.99">#REF!</definedName>
    <definedName name="Midland">'[21]HK rates'!$A$1:$L$50</definedName>
    <definedName name="mil">1000000</definedName>
    <definedName name="MIN_INT">#REF!</definedName>
    <definedName name="MinCashBalance">[17]筹资!$B$9</definedName>
    <definedName name="minimum_license_fee_3G">#REF!</definedName>
    <definedName name="Minorities_MV">#REF!</definedName>
    <definedName name="Minorities2">#REF!</definedName>
    <definedName name="Minorities3">#REF!</definedName>
    <definedName name="MinorityG">#REF!</definedName>
    <definedName name="MinorityS">#REF!</definedName>
    <definedName name="misc">1</definedName>
    <definedName name="misc2">1</definedName>
    <definedName name="MKT_CAP">#REF!</definedName>
    <definedName name="mktsh_1Q0">#REF!</definedName>
    <definedName name="mktsh_1Q00">#REF!</definedName>
    <definedName name="mktsh_1Q01">#REF!</definedName>
    <definedName name="mktsh_1Q02">#REF!</definedName>
    <definedName name="mktsh_1Q03">#REF!</definedName>
    <definedName name="mktsh_1Q04">#REF!</definedName>
    <definedName name="mktsh_1Q05">#REF!</definedName>
    <definedName name="mktsh_1Q06">#REF!</definedName>
    <definedName name="mktsh_1Q07">#REF!</definedName>
    <definedName name="mktsh_1Q98">#REF!</definedName>
    <definedName name="mktsh_1Q99">#REF!</definedName>
    <definedName name="mktsh_2Q00">#REF!</definedName>
    <definedName name="mktsh_2Q01">#REF!</definedName>
    <definedName name="mktsh_2Q02">#REF!</definedName>
    <definedName name="mktsh_2Q03">#REF!</definedName>
    <definedName name="mktsh_2Q04">#REF!</definedName>
    <definedName name="mktsh_2Q05">#REF!</definedName>
    <definedName name="mktsh_2Q06">#REF!</definedName>
    <definedName name="mktsh_2Q07">#REF!</definedName>
    <definedName name="mktsh_2Q98">#REF!</definedName>
    <definedName name="mktsh_2Q99">#REF!</definedName>
    <definedName name="mktsh_3Q00">#REF!</definedName>
    <definedName name="mktsh_3Q01">#REF!</definedName>
    <definedName name="mktsh_3Q02">#REF!</definedName>
    <definedName name="mktsh_3Q03">#REF!</definedName>
    <definedName name="mktsh_3Q04">#REF!</definedName>
    <definedName name="mktsh_3Q05">#REF!</definedName>
    <definedName name="mktsh_3Q06">#REF!</definedName>
    <definedName name="mktsh_3Q07">#REF!</definedName>
    <definedName name="mktsh_3Q98">#REF!</definedName>
    <definedName name="mktsh_3Q99">#REF!</definedName>
    <definedName name="mktsh_4Q00">#REF!</definedName>
    <definedName name="mktsh_4Q01">#REF!</definedName>
    <definedName name="mktsh_4Q02">#REF!</definedName>
    <definedName name="mktsh_4Q03">#REF!</definedName>
    <definedName name="mktsh_4Q04">#REF!</definedName>
    <definedName name="mktsh_4Q05">#REF!</definedName>
    <definedName name="mktsh_4Q06">#REF!</definedName>
    <definedName name="mktsh_4Q07">#REF!</definedName>
    <definedName name="mktsh_4Q98">#REF!</definedName>
    <definedName name="ML_1c3d1n6n">#REF!</definedName>
    <definedName name="ML_1e1k9n5y">#REF!</definedName>
    <definedName name="ML_1h4n3h8h">#REF!</definedName>
    <definedName name="ML_1q9i2k7i">#REF!</definedName>
    <definedName name="ML_1t5s6u1f">#REF!</definedName>
    <definedName name="ML_1y7a6c1t">#REF!,#REF!,#REF!,#REF!,#REF!</definedName>
    <definedName name="ML_2m9t4m5q">#REF!</definedName>
    <definedName name="ML_2v6s9i5c">#REF!</definedName>
    <definedName name="ML_2x1b8j5c">#REF!</definedName>
    <definedName name="ML_2x8r4a2e">#REF!</definedName>
    <definedName name="ML_3b5m6a3d">#REF!</definedName>
    <definedName name="ML_3h2n3p4v">#REF!</definedName>
    <definedName name="ML_3p2b9c6w">#REF!</definedName>
    <definedName name="ML_3r4u7k1k">#REF!</definedName>
    <definedName name="ML_3t6y8n6e">#REF!</definedName>
    <definedName name="ML_3x8m5t8j">#REF!</definedName>
    <definedName name="ML_3y1j4m2m">#REF!</definedName>
    <definedName name="ML_4b5r5k9y">#REF!</definedName>
    <definedName name="ML_4n6t1k1h">#REF!</definedName>
    <definedName name="ML_4r3t2p9g">#REF!</definedName>
    <definedName name="ML_5h6q3g8u">#REF!</definedName>
    <definedName name="ML_5k1g6v5e">#REF!</definedName>
    <definedName name="ML_6f9i2b5e">#REF!</definedName>
    <definedName name="ML_6j4v6x5i">#REF!</definedName>
    <definedName name="ML_6k9c9p4d">#REF!</definedName>
    <definedName name="ML_6m3p7m9h">#REF!</definedName>
    <definedName name="ML_6m6i9t6k">#REF!</definedName>
    <definedName name="ML_6n6c2h1d">#REF!</definedName>
    <definedName name="ML_6p3m8v1n">#REF!</definedName>
    <definedName name="ML_6u1b6h4m">#REF!</definedName>
    <definedName name="ML_6u4t7r7e">#REF!</definedName>
    <definedName name="ML_6w6m7b7r">#REF!</definedName>
    <definedName name="ML_6y9f7y3n">#REF!</definedName>
    <definedName name="ML_7b3x8f2f">#REF!</definedName>
    <definedName name="ML_7e1g7x4r">#REF!</definedName>
    <definedName name="ML_7g4k9d6i">#REF!</definedName>
    <definedName name="ML_7m3b4p7p">#REF!</definedName>
    <definedName name="ML_7w3j1h9t">#REF!</definedName>
    <definedName name="ML_8a8m2p9x">#REF!</definedName>
    <definedName name="ML_8b4s3j4n">#REF!</definedName>
    <definedName name="ML_8h7g4d4d">#REF!</definedName>
    <definedName name="ML_9c9p6w6g">#REF!</definedName>
    <definedName name="ML_9g2r1i7c">#REF!</definedName>
    <definedName name="ML_9g3r6t7h">#REF!</definedName>
    <definedName name="ML_9h6h8h8e">#REF!</definedName>
    <definedName name="ML_9h6p7r7t">#REF!</definedName>
    <definedName name="ML_Table_1">#REF!</definedName>
    <definedName name="ML_Table_2">#REF!</definedName>
    <definedName name="ML_Table_3">#REF!</definedName>
    <definedName name="ML_Table_4">#REF!</definedName>
    <definedName name="ML_Table_5">#REF!</definedName>
    <definedName name="ML_Table_6">#REF!</definedName>
    <definedName name="ML_Table_7">#REF!</definedName>
    <definedName name="ML_Table_8">#REF!</definedName>
    <definedName name="mmboe101_00">#REF!</definedName>
    <definedName name="mmboe101_01">#REF!</definedName>
    <definedName name="mmboe101_93">#REF!</definedName>
    <definedName name="mmboe101_94">#REF!</definedName>
    <definedName name="mmboe101_95">#REF!</definedName>
    <definedName name="mmboe101_96">#REF!</definedName>
    <definedName name="mmboe101_97">#REF!</definedName>
    <definedName name="mmboe101_98">#REF!</definedName>
    <definedName name="mmboe101_99">#REF!</definedName>
    <definedName name="mmboe61_93">#REF!</definedName>
    <definedName name="mmboe61_94">#REF!</definedName>
    <definedName name="mmmmm">{#N/A,#N/A,FALSE,"Cover";#N/A,#N/A,FALSE,"LUMI";#N/A,#N/A,FALSE,"COMD";#N/A,#N/A,FALSE,"Valuation";#N/A,#N/A,FALSE,"Assumptions";#N/A,#N/A,FALSE,"Pooling";#N/A,#N/A,FALSE,"BalanceSheet"}</definedName>
    <definedName name="mngadcst">#REF!</definedName>
    <definedName name="mngadmls">#REF!</definedName>
    <definedName name="model">#REF!</definedName>
    <definedName name="model_case">[38]DCF!$I$190</definedName>
    <definedName name="Module_ASP">#REF!</definedName>
    <definedName name="Module_gross_margin">#REF!</definedName>
    <definedName name="monitor">#REF!</definedName>
    <definedName name="MonitorCol">1</definedName>
    <definedName name="MonitorRow">1</definedName>
    <definedName name="Month">OFFSET(#REF!,120,0,COUNT(#REF!),1)</definedName>
    <definedName name="Monthlies_title">#N/A</definedName>
    <definedName name="monthly_mou">#REF!</definedName>
    <definedName name="monthly1">#REF!</definedName>
    <definedName name="monthly2">#REF!</definedName>
    <definedName name="MOT_10q_div">#REF!</definedName>
    <definedName name="MOT_10q_shares">#REF!</definedName>
    <definedName name="mot_5_yr_est">#REF!</definedName>
    <definedName name="mot_52_wk">#REF!</definedName>
    <definedName name="MOT_bk_cap">#REF!</definedName>
    <definedName name="MOT_bk_equity">#REF!</definedName>
    <definedName name="MOT_bs_conv_debt">#REF!</definedName>
    <definedName name="MOT_bs_min_int">#REF!</definedName>
    <definedName name="MOT_bs_pref">#REF!</definedName>
    <definedName name="MOT_cash">#REF!</definedName>
    <definedName name="MOT_code">#REF!</definedName>
    <definedName name="MOT_conv_debt_pr">#REF!</definedName>
    <definedName name="MOT_conv_pref_pr">#REF!</definedName>
    <definedName name="mot_curr">#REF!</definedName>
    <definedName name="MOT_dil_shares">#REF!</definedName>
    <definedName name="mot_eps00">#REF!</definedName>
    <definedName name="mot_eps98">#REF!</definedName>
    <definedName name="mot_eps99">#REF!</definedName>
    <definedName name="MOT_equity_mcap">#REF!</definedName>
    <definedName name="MOT_fin_date">#REF!</definedName>
    <definedName name="MOT_hist_d">#REF!</definedName>
    <definedName name="MOT_hst_a">#REF!</definedName>
    <definedName name="MOT_hst_cogs">#REF!</definedName>
    <definedName name="MOT_hst_ebit">#REF!</definedName>
    <definedName name="MOT_hst_ebt">#REF!</definedName>
    <definedName name="MOT_hst_eps">#REF!</definedName>
    <definedName name="MOT_hst_inc_b_m">#REF!</definedName>
    <definedName name="MOT_hst_r_d">#REF!</definedName>
    <definedName name="MOT_hst_rev">#REF!</definedName>
    <definedName name="MOT_hst_sg_a">#REF!</definedName>
    <definedName name="MOT_lev_mcap">#REF!</definedName>
    <definedName name="MOT_LQ_ni">#REF!</definedName>
    <definedName name="MOT_LQ_rev">#REF!</definedName>
    <definedName name="MOT_lt_debt">#REF!</definedName>
    <definedName name="MOT_ltm_a">#REF!</definedName>
    <definedName name="MOT_ltm_cap_ex">#REF!</definedName>
    <definedName name="MOT_ltm_cogs">#REF!</definedName>
    <definedName name="MOT_ltm_csh_int">#REF!</definedName>
    <definedName name="MOT_ltm_d">#REF!</definedName>
    <definedName name="MOT_ltm_ebit">#REF!</definedName>
    <definedName name="MOT_ltm_ebt">#REF!</definedName>
    <definedName name="MOT_ltm_inc_b_m">#REF!</definedName>
    <definedName name="MOT_ltm_int">#REF!</definedName>
    <definedName name="MOT_ltm_min_int">#REF!</definedName>
    <definedName name="MOT_ltm_pref_div">#REF!</definedName>
    <definedName name="MOT_ltm_r_d">#REF!</definedName>
    <definedName name="MOT_ltm_rev">#REF!</definedName>
    <definedName name="MOT_ltm_sg_a">#REF!</definedName>
    <definedName name="MOT_ltm_shares">#REF!</definedName>
    <definedName name="MOT_ltm_tax">#REF!</definedName>
    <definedName name="MOT_ltm_tax_rate">#REF!</definedName>
    <definedName name="MOT_name">#REF!</definedName>
    <definedName name="MOT_o_debt_1">#REF!</definedName>
    <definedName name="MOT_o_debt_2">#REF!</definedName>
    <definedName name="MOT_o_debt_3">#REF!</definedName>
    <definedName name="MOT_option_n">#REF!</definedName>
    <definedName name="MOT_option_pr">#REF!</definedName>
    <definedName name="MOT_PQ_ni">#REF!</definedName>
    <definedName name="MOT_PQ_rev">#REF!</definedName>
    <definedName name="mot_pr">#REF!</definedName>
    <definedName name="MOT_shares">#REF!</definedName>
    <definedName name="mot_ticker">#REF!</definedName>
    <definedName name="MOT_total_dt">#REF!</definedName>
    <definedName name="MOT_YQ_ni">#REF!</definedName>
    <definedName name="MOT_YQ_rev">#REF!</definedName>
    <definedName name="MotimCapacity">#REF!</definedName>
    <definedName name="Mount_Holly">#REF!</definedName>
    <definedName name="MoveTo">#REF!</definedName>
    <definedName name="Moy">#REF!</definedName>
    <definedName name="Mozal">#REF!</definedName>
    <definedName name="MOZALOWN_02">#REF!</definedName>
    <definedName name="MOZALOWN_03">#REF!</definedName>
    <definedName name="MOZALOWN_04">#REF!</definedName>
    <definedName name="MOZALOWN_05">#REF!</definedName>
    <definedName name="MOZALOWN_06">#REF!</definedName>
    <definedName name="mrcall">#REF!</definedName>
    <definedName name="mrccfboe">#REF!</definedName>
    <definedName name="mrccsh">#REF!</definedName>
    <definedName name="mrcniboe">#REF!</definedName>
    <definedName name="MSTAR_AssociatesMinorities">#REF!</definedName>
    <definedName name="mt">#REF!</definedName>
    <definedName name="mul">#REF!</definedName>
    <definedName name="MuriBiharCapacity">#REF!</definedName>
    <definedName name="MV_CBs">#REF!</definedName>
    <definedName name="MV_LT_Debt">#REF!</definedName>
    <definedName name="MV_Prefshs">#REF!</definedName>
    <definedName name="MV_ST_Debt">#REF!</definedName>
    <definedName name="mvropemld" localSheetId="2" hidden="1">{"'RCIM'!$E$128"}</definedName>
    <definedName name="mvropemld" localSheetId="1" hidden="1">{"'RCIM'!$E$128"}</definedName>
    <definedName name="mvropemld" hidden="1">{"'RCIM'!$E$128"}</definedName>
    <definedName name="my_asean">#REF!</definedName>
    <definedName name="my_asean5">#REF!</definedName>
    <definedName name="my_asia">#REF!</definedName>
    <definedName name="mynameis">mynameis</definedName>
    <definedName name="MYTDVOL">14</definedName>
    <definedName name="N.A.">#REF!</definedName>
    <definedName name="N3_">#N/A</definedName>
    <definedName name="NAALCONS">#N/A</definedName>
    <definedName name="NAALPROD">#N/A</definedName>
    <definedName name="NalStarch">#REF!</definedName>
    <definedName name="Name">Name</definedName>
    <definedName name="NameRange">#REF!</definedName>
    <definedName name="nas">#REF!</definedName>
    <definedName name="NAV">#REF!</definedName>
    <definedName name="nbd">#REF!</definedName>
    <definedName name="NBMULT">#REF!</definedName>
    <definedName name="nbn">#REF!</definedName>
    <definedName name="Nbr_of_employees__avg">#REF!</definedName>
    <definedName name="Nbr_of_employees__Y_E">#REF!</definedName>
    <definedName name="Nbr_of_employees_comp_units_Y_E">#REF!</definedName>
    <definedName name="NBV_per_share">#REF!</definedName>
    <definedName name="ncowe" localSheetId="2" hidden="1">{"'RCIM'!$E$128"}</definedName>
    <definedName name="ncowe" localSheetId="1" hidden="1">{"'RCIM'!$E$128"}</definedName>
    <definedName name="ncowe" hidden="1">{"'RCIM'!$E$128"}</definedName>
    <definedName name="ND_EQ">#REF!</definedName>
    <definedName name="nDataAnalysis" hidden="1">0</definedName>
    <definedName name="ndsj_cqdtfytx">[27]年度数据!#REF!</definedName>
    <definedName name="ndsj_czhdxjl">[27]年度数据!#REF!</definedName>
    <definedName name="ndsj_gdzczj">[27]年度数据!#REF!</definedName>
    <definedName name="ndsj_jyhdxjl">[27]年度数据!#REF!</definedName>
    <definedName name="ndsj_tzhdxjl">[27]年度数据!#REF!</definedName>
    <definedName name="ndsj_wxzctx">[27]年度数据!#REF!</definedName>
    <definedName name="Needle_Coke">#REF!</definedName>
    <definedName name="Net_adj_for_capitalized_expenses">#REF!</definedName>
    <definedName name="Net_cash">#REF!</definedName>
    <definedName name="Net_cash_flow_from_operations">#REF!</definedName>
    <definedName name="Net_debt_to_debt_plus_equity">#REF!</definedName>
    <definedName name="Net_debt_to_equity">#REF!</definedName>
    <definedName name="Net_financial_expense">#REF!</definedName>
    <definedName name="Net_income__loss">'[4]P&amp;L'!$B$62:$AH$62</definedName>
    <definedName name="Net_income_fore">#REF!</definedName>
    <definedName name="Net_income_growth_avg">#REF!</definedName>
    <definedName name="Net_income2">#REF!</definedName>
    <definedName name="NET_INT">#REF!</definedName>
    <definedName name="Net_interest_charge">#REF!</definedName>
    <definedName name="Net_Interest_Paid">#REF!</definedName>
    <definedName name="net_license_fee">#REF!</definedName>
    <definedName name="Net_margin">#REF!</definedName>
    <definedName name="Net_margin_fore">#REF!</definedName>
    <definedName name="Net_non_recurring_items">#REF!</definedName>
    <definedName name="Net_Operating_Profit">#REF!</definedName>
    <definedName name="Net_PPE_growth_fore">#REF!</definedName>
    <definedName name="Net_Profit">#REF!</definedName>
    <definedName name="net_profit_98">#REF!</definedName>
    <definedName name="Net_Profit_After_Tax">#REF!</definedName>
    <definedName name="Net_Profit_growth_1997">#REF!</definedName>
    <definedName name="Net_Profit_growth_97">#REF!</definedName>
    <definedName name="net_profit_postabs_pretelstra">#REF!</definedName>
    <definedName name="net_profit_pretelstra">#REF!</definedName>
    <definedName name="net_profit00">#REF!</definedName>
    <definedName name="net_profit98">#REF!</definedName>
    <definedName name="net_profit99">#REF!</definedName>
    <definedName name="Net_sales">#REF!</definedName>
    <definedName name="Net_sales_DCF">#REF!</definedName>
    <definedName name="Net_sales_fore">#REF!</definedName>
    <definedName name="Net_sales_growth_fore">#REF!</definedName>
    <definedName name="Net_Turnover">#REF!</definedName>
    <definedName name="Net_working_capital_turns">#REF!</definedName>
    <definedName name="NetDebt">#REF!</definedName>
    <definedName name="NetDebt_02">#REF!</definedName>
    <definedName name="NetDebt_95">#REF!</definedName>
    <definedName name="NetDebt_96">#REF!</definedName>
    <definedName name="NetDebt_Consol_Ind">#REF!</definedName>
    <definedName name="netdebt98">'[14]Consolidated Financials'!$H$269</definedName>
    <definedName name="netdebt99">'[14]Consolidated Financials'!$M$269</definedName>
    <definedName name="Netinc">#REF!</definedName>
    <definedName name="NetincG">#REF!</definedName>
    <definedName name="NetIncome">#REF!</definedName>
    <definedName name="NetIncome_00">#REF!</definedName>
    <definedName name="NetIncome_01">#REF!</definedName>
    <definedName name="NetIncome_02">#REF!</definedName>
    <definedName name="NetIncome_03">#REF!</definedName>
    <definedName name="NetIncome_04">#REF!</definedName>
    <definedName name="NetIncome_05">#REF!</definedName>
    <definedName name="NetIncome_06">#REF!</definedName>
    <definedName name="NetIncome_07">#REF!</definedName>
    <definedName name="NetIncome_08">#REF!</definedName>
    <definedName name="NetIncome_96">#REF!</definedName>
    <definedName name="NetIncome_97">#REF!</definedName>
    <definedName name="NetIncome_98">#REF!</definedName>
    <definedName name="NetIncome_99">#REF!</definedName>
    <definedName name="NetIncometocommon">#REF!</definedName>
    <definedName name="NetincS">#REF!</definedName>
    <definedName name="NetinterestMargin">[20]NERD!$G$15:$N$15</definedName>
    <definedName name="NetProfit_00">#REF!</definedName>
    <definedName name="NetProfit_01">#REF!</definedName>
    <definedName name="NetProfit_92">#REF!</definedName>
    <definedName name="NetProfit_93">#REF!</definedName>
    <definedName name="NetProfit_94">#REF!</definedName>
    <definedName name="NetProfit_95">#REF!</definedName>
    <definedName name="NetProfit_96">#REF!</definedName>
    <definedName name="NetProfit_97">#REF!</definedName>
    <definedName name="NetProfit_98">#REF!</definedName>
    <definedName name="NetProfit_99">#REF!</definedName>
    <definedName name="netsal92">#REF!</definedName>
    <definedName name="netsal95a">#REF!</definedName>
    <definedName name="NetWC_turns_fore">#REF!</definedName>
    <definedName name="network_capex">#REF!</definedName>
    <definedName name="network_depreciation">#REF!</definedName>
    <definedName name="New">{"twx1",#N/A,FALSE,"twltm.xls";"twx2",#N/A,FALSE,"twltm.xls";"twx3",#N/A,FALSE,"twltm.xls"}</definedName>
    <definedName name="new_chart_index">#REF!</definedName>
    <definedName name="new_chart_range">#REF!</definedName>
    <definedName name="new_debt_raised">#REF!</definedName>
    <definedName name="New_Madrid">#REF!</definedName>
    <definedName name="Newer">{"'Segment'!$A$1:$J$45"}</definedName>
    <definedName name="newlib_ds">#REF!</definedName>
    <definedName name="newlib_sedol">#REF!</definedName>
    <definedName name="newprintMacro1">#N/A</definedName>
    <definedName name="NEWSHRCAPITAL">#REF!</definedName>
    <definedName name="newstuff">newstuff</definedName>
    <definedName name="next_earnings_release_date">#REF!</definedName>
    <definedName name="next_results_type">#REF!</definedName>
    <definedName name="ng" localSheetId="2" hidden="1">{"Refining 1",#N/A,FALSE,"Detailed cost - crude";"Refining 2",#N/A,FALSE,"Detailed cost - crude"}</definedName>
    <definedName name="ng" localSheetId="1" hidden="1">{"Refining 1",#N/A,FALSE,"Detailed cost - crude";"Refining 2",#N/A,FALSE,"Detailed cost - crude"}</definedName>
    <definedName name="ng" hidden="1">{"Refining 1",#N/A,FALSE,"Detailed cost - crude";"Refining 2",#N/A,FALSE,"Detailed cost - crude"}</definedName>
    <definedName name="ni.01">#REF!</definedName>
    <definedName name="NI_00M">#REF!</definedName>
    <definedName name="NI_00S">#REF!</definedName>
    <definedName name="NI_01D">#REF!</definedName>
    <definedName name="NI_01J">#REF!</definedName>
    <definedName name="NI_01M">#REF!</definedName>
    <definedName name="NI_01S">#REF!</definedName>
    <definedName name="NI_02D">#REF!</definedName>
    <definedName name="NI_02J">#REF!</definedName>
    <definedName name="NI_02M">#REF!</definedName>
    <definedName name="NI_02S">#REF!</definedName>
    <definedName name="NI_03D">#REF!</definedName>
    <definedName name="NI_03J">#REF!</definedName>
    <definedName name="NI_03M">#REF!</definedName>
    <definedName name="NI_03S">#REF!</definedName>
    <definedName name="NI_04D">#REF!</definedName>
    <definedName name="NI_04J">#REF!</definedName>
    <definedName name="NI_04M">#REF!</definedName>
    <definedName name="NI_04S">#REF!</definedName>
    <definedName name="NI_05D">#REF!</definedName>
    <definedName name="NI_05J">#REF!</definedName>
    <definedName name="NI_05M">#REF!</definedName>
    <definedName name="NI_05S">#REF!</definedName>
    <definedName name="NI_06D">#REF!</definedName>
    <definedName name="NI_06J">#REF!</definedName>
    <definedName name="NI_06M">#REF!</definedName>
    <definedName name="NI_06S">#REF!</definedName>
    <definedName name="NI_07D">#REF!</definedName>
    <definedName name="NI_07J">#REF!</definedName>
    <definedName name="NI_07M">#REF!</definedName>
    <definedName name="NI_07S">#REF!</definedName>
    <definedName name="NI_08D">#REF!</definedName>
    <definedName name="NI_08J">#REF!</definedName>
    <definedName name="NI_08M">#REF!</definedName>
    <definedName name="NI_08S">#REF!</definedName>
    <definedName name="NI_09D">#REF!</definedName>
    <definedName name="NI_09J">#REF!</definedName>
    <definedName name="NI_09M">#REF!</definedName>
    <definedName name="NI_09S">#REF!</definedName>
    <definedName name="NI_10D">#REF!</definedName>
    <definedName name="NI_10J">#REF!</definedName>
    <definedName name="NI_10M">#REF!</definedName>
    <definedName name="NI_10S">#REF!</definedName>
    <definedName name="NI_11D">#REF!</definedName>
    <definedName name="NI_11J">#REF!</definedName>
    <definedName name="NI_11M">#REF!</definedName>
    <definedName name="NI_11S">#REF!</definedName>
    <definedName name="NI_12D">#REF!</definedName>
    <definedName name="NI_12J">#REF!</definedName>
    <definedName name="NI_12M">#REF!</definedName>
    <definedName name="NI_12S">#REF!</definedName>
    <definedName name="NI_13D">#REF!</definedName>
    <definedName name="NI_13J">#REF!</definedName>
    <definedName name="NI_13M">#REF!</definedName>
    <definedName name="NI_13S">#REF!</definedName>
    <definedName name="NI_14D">#REF!</definedName>
    <definedName name="NI_14J">#REF!</definedName>
    <definedName name="NI_14M">#REF!</definedName>
    <definedName name="NI_14S">#REF!</definedName>
    <definedName name="NI_15D">#REF!</definedName>
    <definedName name="NI_15J">#REF!</definedName>
    <definedName name="NI_15M">#REF!</definedName>
    <definedName name="NI_15S">#REF!</definedName>
    <definedName name="NI_16D">#REF!</definedName>
    <definedName name="NI_16J">#REF!</definedName>
    <definedName name="NI_16M">#REF!</definedName>
    <definedName name="NI_16S">#REF!</definedName>
    <definedName name="NI_17D">#REF!</definedName>
    <definedName name="NI_17J">#REF!</definedName>
    <definedName name="NI_17M">#REF!</definedName>
    <definedName name="NI_17S">#REF!</definedName>
    <definedName name="NI_18D">#REF!</definedName>
    <definedName name="NI_18J">#REF!</definedName>
    <definedName name="NI_18M">#REF!</definedName>
    <definedName name="NI_18S">#REF!</definedName>
    <definedName name="NI_19D">#REF!</definedName>
    <definedName name="NI_19J">#REF!</definedName>
    <definedName name="NI_19M">#REF!</definedName>
    <definedName name="NI_19S">#REF!</definedName>
    <definedName name="NI_20D">#REF!</definedName>
    <definedName name="NI_20J">#REF!</definedName>
    <definedName name="NI_20M">#REF!</definedName>
    <definedName name="NI_20S">#REF!</definedName>
    <definedName name="NI_21D">#REF!</definedName>
    <definedName name="NI_21J">#REF!</definedName>
    <definedName name="NI_21M">#REF!</definedName>
    <definedName name="NI_21S">#REF!</definedName>
    <definedName name="NI_22D">#REF!</definedName>
    <definedName name="NI_22J">#REF!</definedName>
    <definedName name="NI_22M">#REF!</definedName>
    <definedName name="NI_22S">#REF!</definedName>
    <definedName name="NI_23D">#REF!</definedName>
    <definedName name="NI_23J">#REF!</definedName>
    <definedName name="NI_23M">#REF!</definedName>
    <definedName name="NI_23S">#REF!</definedName>
    <definedName name="NI_24D">#REF!</definedName>
    <definedName name="NI_24J">#REF!</definedName>
    <definedName name="NI_24M">#REF!</definedName>
    <definedName name="NI_24S">#REF!</definedName>
    <definedName name="NI_25D">#REF!</definedName>
    <definedName name="NI_25J">#REF!</definedName>
    <definedName name="NI_25M">#REF!</definedName>
    <definedName name="NI_25S">#REF!</definedName>
    <definedName name="NI_87D">#REF!</definedName>
    <definedName name="NI_87J">#REF!</definedName>
    <definedName name="NI_87M">#REF!</definedName>
    <definedName name="NI_87S">#REF!</definedName>
    <definedName name="NI_88D">#REF!</definedName>
    <definedName name="NI_88J">#REF!</definedName>
    <definedName name="NI_88M">#REF!</definedName>
    <definedName name="NI_88S">#REF!</definedName>
    <definedName name="NI_89D">#REF!</definedName>
    <definedName name="NI_89J">#REF!</definedName>
    <definedName name="NI_89M">#REF!</definedName>
    <definedName name="NI_89S">#REF!</definedName>
    <definedName name="NI_90D">#REF!</definedName>
    <definedName name="NI_90J">#REF!</definedName>
    <definedName name="NI_90M">#REF!</definedName>
    <definedName name="NI_90S">#REF!</definedName>
    <definedName name="NI_91D">#REF!</definedName>
    <definedName name="NI_91J">#REF!</definedName>
    <definedName name="NI_91M">#REF!</definedName>
    <definedName name="NI_91S">#REF!</definedName>
    <definedName name="NI_92D">#REF!</definedName>
    <definedName name="NI_92J">#REF!</definedName>
    <definedName name="NI_92M">#REF!</definedName>
    <definedName name="NI_92S">#REF!</definedName>
    <definedName name="NI_93D">#REF!</definedName>
    <definedName name="NI_93J">#REF!</definedName>
    <definedName name="NI_93M">#REF!</definedName>
    <definedName name="NI_93S">#REF!</definedName>
    <definedName name="NI_94D">#REF!</definedName>
    <definedName name="NI_94J">#REF!</definedName>
    <definedName name="NI_94M">#REF!</definedName>
    <definedName name="NI_94S">#REF!</definedName>
    <definedName name="NI_95D">#REF!</definedName>
    <definedName name="NI_95J">#REF!</definedName>
    <definedName name="NI_95M">#REF!</definedName>
    <definedName name="NI_95S">#REF!</definedName>
    <definedName name="NI_96D">#REF!</definedName>
    <definedName name="NI_96J">#REF!</definedName>
    <definedName name="NI_96M">#REF!</definedName>
    <definedName name="NI_96S">#REF!</definedName>
    <definedName name="NI_97D">#REF!</definedName>
    <definedName name="NI_97J">#REF!</definedName>
    <definedName name="NI_97M">#REF!</definedName>
    <definedName name="NI_97S">#REF!</definedName>
    <definedName name="NI_98D">#REF!</definedName>
    <definedName name="NI_98J">#REF!</definedName>
    <definedName name="NI_98M">#REF!</definedName>
    <definedName name="NI_98S">#REF!</definedName>
    <definedName name="NI_99D">#REF!</definedName>
    <definedName name="NI_99J">#REF!</definedName>
    <definedName name="NI_99M">#REF!</definedName>
    <definedName name="NI_99S">#REF!</definedName>
    <definedName name="NI_LT">#REF!</definedName>
    <definedName name="NikolayevCapacity">#REF!</definedName>
    <definedName name="nio_96">#REF!</definedName>
    <definedName name="nio_97">#REF!</definedName>
    <definedName name="nio_98">#REF!</definedName>
    <definedName name="NLG_01D">#REF!</definedName>
    <definedName name="NLG_01J">#REF!</definedName>
    <definedName name="NLG_01M">#REF!</definedName>
    <definedName name="NLG_01S">#REF!</definedName>
    <definedName name="NLG_02D">#REF!</definedName>
    <definedName name="NLG_02J">#REF!</definedName>
    <definedName name="NLG_02M">#REF!</definedName>
    <definedName name="NLG_02S">#REF!</definedName>
    <definedName name="NLG_03D">#REF!</definedName>
    <definedName name="NLG_03J">#REF!</definedName>
    <definedName name="NLG_03M">#REF!</definedName>
    <definedName name="NLG_03S">#REF!</definedName>
    <definedName name="NLG_04D">#REF!</definedName>
    <definedName name="NLG_04J">#REF!</definedName>
    <definedName name="NLG_04M">#REF!</definedName>
    <definedName name="NLG_04S">#REF!</definedName>
    <definedName name="NLG_05D">#REF!</definedName>
    <definedName name="NLG_05J">#REF!</definedName>
    <definedName name="NLG_05M">#REF!</definedName>
    <definedName name="NLG_05S">#REF!</definedName>
    <definedName name="NLG_06D">#REF!</definedName>
    <definedName name="NLG_06J">#REF!</definedName>
    <definedName name="NLG_06M">#REF!</definedName>
    <definedName name="NLG_06S">#REF!</definedName>
    <definedName name="NLG_07D">#REF!</definedName>
    <definedName name="NLG_07J">#REF!</definedName>
    <definedName name="NLG_07M">#REF!</definedName>
    <definedName name="NLG_07S">#REF!</definedName>
    <definedName name="NLG_08D">#REF!</definedName>
    <definedName name="NLG_08J">#REF!</definedName>
    <definedName name="NLG_08M">#REF!</definedName>
    <definedName name="NLG_08S">#REF!</definedName>
    <definedName name="NLG_09D">#REF!</definedName>
    <definedName name="NLG_09J">#REF!</definedName>
    <definedName name="NLG_09M">#REF!</definedName>
    <definedName name="NLG_09S">#REF!</definedName>
    <definedName name="NLG_10D">#REF!</definedName>
    <definedName name="NLG_10J">#REF!</definedName>
    <definedName name="NLG_10M">#REF!</definedName>
    <definedName name="NLG_10S">#REF!</definedName>
    <definedName name="NLG_11D">#REF!</definedName>
    <definedName name="NLG_11J">#REF!</definedName>
    <definedName name="NLG_11M">#REF!</definedName>
    <definedName name="NLG_11S">#REF!</definedName>
    <definedName name="NLG_12D">#REF!</definedName>
    <definedName name="NLG_12J">#REF!</definedName>
    <definedName name="NLG_12M">#REF!</definedName>
    <definedName name="NLG_12S">#REF!</definedName>
    <definedName name="NLG_13D">#REF!</definedName>
    <definedName name="NLG_13J">#REF!</definedName>
    <definedName name="NLG_13M">#REF!</definedName>
    <definedName name="NLG_13S">#REF!</definedName>
    <definedName name="NLG_14D">#REF!</definedName>
    <definedName name="NLG_14J">#REF!</definedName>
    <definedName name="NLG_14M">#REF!</definedName>
    <definedName name="NLG_14S">#REF!</definedName>
    <definedName name="NLG_15D">#REF!</definedName>
    <definedName name="NLG_15J">#REF!</definedName>
    <definedName name="NLG_15M">#REF!</definedName>
    <definedName name="NLG_15S">#REF!</definedName>
    <definedName name="NLG_16D">#REF!</definedName>
    <definedName name="NLG_16J">#REF!</definedName>
    <definedName name="NLG_16M">#REF!</definedName>
    <definedName name="NLG_16S">#REF!</definedName>
    <definedName name="NLG_17D">#REF!</definedName>
    <definedName name="NLG_17J">#REF!</definedName>
    <definedName name="NLG_17M">#REF!</definedName>
    <definedName name="NLG_17S">#REF!</definedName>
    <definedName name="NLG_18D">#REF!</definedName>
    <definedName name="NLG_18J">#REF!</definedName>
    <definedName name="NLG_18M">#REF!</definedName>
    <definedName name="NLG_18S">#REF!</definedName>
    <definedName name="NLG_19D">#REF!</definedName>
    <definedName name="NLG_19J">#REF!</definedName>
    <definedName name="NLG_19M">#REF!</definedName>
    <definedName name="NLG_19S">#REF!</definedName>
    <definedName name="NLG_20D">#REF!</definedName>
    <definedName name="NLG_20J">#REF!</definedName>
    <definedName name="NLG_20M">#REF!</definedName>
    <definedName name="NLG_20S">#REF!</definedName>
    <definedName name="NLG_21D">#REF!</definedName>
    <definedName name="NLG_21J">#REF!</definedName>
    <definedName name="NLG_21M">#REF!</definedName>
    <definedName name="NLG_21S">#REF!</definedName>
    <definedName name="NLG_22D">#REF!</definedName>
    <definedName name="NLG_22J">#REF!</definedName>
    <definedName name="NLG_22M">#REF!</definedName>
    <definedName name="NLG_22S">#REF!</definedName>
    <definedName name="NLG_23D">#REF!</definedName>
    <definedName name="NLG_23J">#REF!</definedName>
    <definedName name="NLG_23M">#REF!</definedName>
    <definedName name="NLG_23S">#REF!</definedName>
    <definedName name="NLG_24D">#REF!</definedName>
    <definedName name="NLG_24J">#REF!</definedName>
    <definedName name="NLG_24M">#REF!</definedName>
    <definedName name="NLG_24S">#REF!</definedName>
    <definedName name="NLG_25D">#REF!</definedName>
    <definedName name="NLG_25J">#REF!</definedName>
    <definedName name="NLG_25M">#REF!</definedName>
    <definedName name="NLG_25S">#REF!</definedName>
    <definedName name="NLG_87D">#REF!</definedName>
    <definedName name="NLG_87J">#REF!</definedName>
    <definedName name="NLG_87M">#REF!</definedName>
    <definedName name="NLG_87S">#REF!</definedName>
    <definedName name="NLG_88D">#REF!</definedName>
    <definedName name="NLG_88J">#REF!</definedName>
    <definedName name="NLG_88M">#REF!</definedName>
    <definedName name="NLG_88S">#REF!</definedName>
    <definedName name="NLG_89D">#REF!</definedName>
    <definedName name="NLG_89J">#REF!</definedName>
    <definedName name="NLG_89M">#REF!</definedName>
    <definedName name="NLG_89S">#REF!</definedName>
    <definedName name="NLG_90D">#REF!</definedName>
    <definedName name="NLG_90J">#REF!</definedName>
    <definedName name="NLG_90M">#REF!</definedName>
    <definedName name="NLG_90S">#REF!</definedName>
    <definedName name="NLG_91D">#REF!</definedName>
    <definedName name="NLG_91J">#REF!</definedName>
    <definedName name="NLG_91M">#REF!</definedName>
    <definedName name="NLG_91S">#REF!</definedName>
    <definedName name="NLG_92D">#REF!</definedName>
    <definedName name="NLG_92J">#REF!</definedName>
    <definedName name="NLG_92M">#REF!</definedName>
    <definedName name="NLG_92S">#REF!</definedName>
    <definedName name="NLG_93D">#REF!</definedName>
    <definedName name="NLG_93J">#REF!</definedName>
    <definedName name="NLG_93M">#REF!</definedName>
    <definedName name="NLG_93S">#REF!</definedName>
    <definedName name="NLG_94D">#REF!</definedName>
    <definedName name="NLG_94J">#REF!</definedName>
    <definedName name="NLG_94M">#REF!</definedName>
    <definedName name="NLG_94S">#REF!</definedName>
    <definedName name="NLG_95D">#REF!</definedName>
    <definedName name="NLG_95J">#REF!</definedName>
    <definedName name="NLG_95M">#REF!</definedName>
    <definedName name="NLG_95S">#REF!</definedName>
    <definedName name="NLG_96D">#REF!</definedName>
    <definedName name="NLG_96J">#REF!</definedName>
    <definedName name="NLG_96M">#REF!</definedName>
    <definedName name="NLG_96S">#REF!</definedName>
    <definedName name="NLG_97D">#REF!</definedName>
    <definedName name="NLG_97J">#REF!</definedName>
    <definedName name="NLG_97M">#REF!</definedName>
    <definedName name="NLG_97S">#REF!</definedName>
    <definedName name="NLG_98D">#REF!</definedName>
    <definedName name="NLG_98J">#REF!</definedName>
    <definedName name="NLG_98M">#REF!</definedName>
    <definedName name="NLG_98S">#REF!</definedName>
    <definedName name="NLG_99D">#REF!</definedName>
    <definedName name="NLG_99J">#REF!</definedName>
    <definedName name="NLG_99M">#REF!</definedName>
    <definedName name="NLG_99S">#REF!</definedName>
    <definedName name="NLG_LT">#REF!</definedName>
    <definedName name="nmnmm">{#N/A,#N/A,FALSE,"Index";"Stmts_Qtrs",#N/A,FALSE,"Summary";"Stmts_24 mo",#N/A,FALSE,"Summary";"Summary_24",#N/A,FALSE,"Revenue";"Month_24",#N/A,FALSE,"Engineering";"Month_24",#N/A,FALSE,"Marketing";"Month_24",#N/A,FALSE,"G &amp; A";"Month_24",#N/A,FALSE,"Manufacturing"}</definedName>
    <definedName name="nmS2_AdjX">[27]单公司Beta!$D$6</definedName>
    <definedName name="nmS2_Beta">[27]单公司Beta!$B$12</definedName>
    <definedName name="nmS2_BookD">[27]单公司Beta!$D$22</definedName>
    <definedName name="nmS2_BookE">[27]单公司Beta!$E$22</definedName>
    <definedName name="nmS2_ChooseData1" localSheetId="2">OFFSET(nmS2_HisQuoteStart,0,5,nmS2_PointCount,1)</definedName>
    <definedName name="nmS2_ChooseData1">OFFSET(nmS2_HisQuoteStart,0,5,nmS2_PointCount,1)</definedName>
    <definedName name="nmS2_ChooseData2" localSheetId="2">OFFSET(nmS2_HisQuoteStart,0,6,nmS2_PointCount,1)</definedName>
    <definedName name="nmS2_ChooseData2">OFFSET(nmS2_HisQuoteStart,0,6,nmS2_PointCount,1)</definedName>
    <definedName name="nmS2_ChooseDate" localSheetId="2">OFFSET(nmS2_HisQuoteStart,0,0,nmS2_PointCount,1)</definedName>
    <definedName name="nmS2_ChooseDate">OFFSET(nmS2_HisQuoteStart,0,0,nmS2_PointCount,1)</definedName>
    <definedName name="nmS2_EndDate">[27]单公司Beta!$B$8</definedName>
    <definedName name="nmS2_HisQuoteStart">[27]单公司Beta!$A$43</definedName>
    <definedName name="nmS2_MarketD">[27]单公司Beta!$D$26</definedName>
    <definedName name="nmS2_MarketE">[27]单公司Beta!$E$26</definedName>
    <definedName name="nmS2_PointCount">[27]单公司Beta!$B$18</definedName>
    <definedName name="nmS2_TaxRate">[27]单公司Beta!$D$7</definedName>
    <definedName name="nmS2_ULBetaBV">[27]单公司Beta!$B$13</definedName>
    <definedName name="nmS2_ULBetaCustom">[27]单公司Beta!$B$15</definedName>
    <definedName name="nmS2_ULBetaMV">[27]单公司Beta!$B$14</definedName>
    <definedName name="nmS6_IndexMatrix">[49]Cache!$D$1:$E$16</definedName>
    <definedName name="nmS6_IndexName">[49]Cache!$D$1:$D$16</definedName>
    <definedName name="NN_10q_div">#REF!</definedName>
    <definedName name="NN_10q_shares">#REF!</definedName>
    <definedName name="nn_5_yr_est">#REF!</definedName>
    <definedName name="nn_52_wk">#REF!</definedName>
    <definedName name="NN_bk_cap">#REF!</definedName>
    <definedName name="NN_bk_equity">#REF!</definedName>
    <definedName name="NN_bs_conv_debt">#REF!</definedName>
    <definedName name="NN_bs_min_int">#REF!</definedName>
    <definedName name="NN_bs_pref">#REF!</definedName>
    <definedName name="NN_cash">#REF!</definedName>
    <definedName name="NN_code">#REF!</definedName>
    <definedName name="NN_conv_debt_pr">#REF!</definedName>
    <definedName name="NN_conv_pref_pr">#REF!</definedName>
    <definedName name="nn_curr">#REF!</definedName>
    <definedName name="NN_dil_shares">#REF!</definedName>
    <definedName name="nn_eps00">#REF!</definedName>
    <definedName name="nn_eps98">#REF!</definedName>
    <definedName name="nn_eps99">#REF!</definedName>
    <definedName name="NN_equity_mcap">#REF!</definedName>
    <definedName name="NN_fin_date">#REF!</definedName>
    <definedName name="NN_hist_d">#REF!</definedName>
    <definedName name="NN_hst_a">#REF!</definedName>
    <definedName name="NN_hst_cogs">#REF!</definedName>
    <definedName name="NN_hst_ebit">#REF!</definedName>
    <definedName name="NN_hst_ebt">#REF!</definedName>
    <definedName name="NN_hst_eps">#REF!</definedName>
    <definedName name="NN_hst_inc_b_m">#REF!</definedName>
    <definedName name="NN_hst_r_d">#REF!</definedName>
    <definedName name="NN_hst_rev">#REF!</definedName>
    <definedName name="NN_hst_sg_a">#REF!</definedName>
    <definedName name="NN_lev_mcap">#REF!</definedName>
    <definedName name="NN_LQ_ni">#REF!</definedName>
    <definedName name="NN_LQ_rev">#REF!</definedName>
    <definedName name="NN_lt_debt">#REF!</definedName>
    <definedName name="NN_ltm_a">#REF!</definedName>
    <definedName name="NN_ltm_cap_ex">#REF!</definedName>
    <definedName name="NN_ltm_cogs">#REF!</definedName>
    <definedName name="NN_ltm_csh_int">#REF!</definedName>
    <definedName name="NN_ltm_d">#REF!</definedName>
    <definedName name="NN_ltm_ebit">#REF!</definedName>
    <definedName name="NN_ltm_ebt">#REF!</definedName>
    <definedName name="NN_ltm_inc_b_m">#REF!</definedName>
    <definedName name="NN_ltm_int">#REF!</definedName>
    <definedName name="NN_ltm_min_int">#REF!</definedName>
    <definedName name="NN_ltm_pref_div">#REF!</definedName>
    <definedName name="NN_ltm_r_d">#REF!</definedName>
    <definedName name="NN_ltm_rev">#REF!</definedName>
    <definedName name="NN_ltm_sg_a">#REF!</definedName>
    <definedName name="NN_ltm_shares">#REF!</definedName>
    <definedName name="NN_ltm_tax">#REF!</definedName>
    <definedName name="NN_ltm_tax_rate">#REF!</definedName>
    <definedName name="NN_name">#REF!</definedName>
    <definedName name="NN_o_debt_1">#REF!</definedName>
    <definedName name="NN_o_debt_2">#REF!</definedName>
    <definedName name="NN_o_debt_3">#REF!</definedName>
    <definedName name="NN_option_n">#REF!</definedName>
    <definedName name="NN_option_pr">#REF!</definedName>
    <definedName name="NN_PQ_ni">#REF!</definedName>
    <definedName name="NN_PQ_rev">#REF!</definedName>
    <definedName name="nn_pr">#REF!</definedName>
    <definedName name="NN_shares">#REF!</definedName>
    <definedName name="nn_ticker">#REF!</definedName>
    <definedName name="NN_total_dt">#REF!</definedName>
    <definedName name="NN_YQ_ni">#REF!</definedName>
    <definedName name="NN_YQ_rev">#REF!</definedName>
    <definedName name="No._of_shares_in_issue">#REF!</definedName>
    <definedName name="No._Shares">#REF!</definedName>
    <definedName name="No.Shares">#REF!</definedName>
    <definedName name="no_f_years">#REF!</definedName>
    <definedName name="NO_SHARES">#REF!</definedName>
    <definedName name="No_Shares_wgtd_avg">#REF!</definedName>
    <definedName name="NO_YEARS">[15]Summary!#REF!</definedName>
    <definedName name="nod">#REF!</definedName>
    <definedName name="nod_pd">#REF!</definedName>
    <definedName name="NOK_10q_div">#REF!</definedName>
    <definedName name="NOK_10q_shares">#REF!</definedName>
    <definedName name="NOK_5_yr_est">#REF!</definedName>
    <definedName name="NOK_52_wk">#REF!</definedName>
    <definedName name="NOK_bk_cap">#REF!</definedName>
    <definedName name="NOK_bk_equity">#REF!</definedName>
    <definedName name="NOK_bs_conv_debt">#REF!</definedName>
    <definedName name="NOK_bs_min_int">#REF!</definedName>
    <definedName name="NOK_bs_pref">#REF!</definedName>
    <definedName name="NOK_cash">#REF!</definedName>
    <definedName name="NOK_code">#REF!</definedName>
    <definedName name="NOK_conv_debt_pr">#REF!</definedName>
    <definedName name="NOK_conv_pref_pr">#REF!</definedName>
    <definedName name="nok_curr">#REF!</definedName>
    <definedName name="nok_curr1">#REF!</definedName>
    <definedName name="NOK_dil_shares">#REF!</definedName>
    <definedName name="nok_eps00">#REF!</definedName>
    <definedName name="NOK_eps98">#REF!</definedName>
    <definedName name="NOK_eps99">#REF!</definedName>
    <definedName name="NOK_equity_mcap">#REF!</definedName>
    <definedName name="NOK_fin_date">#REF!</definedName>
    <definedName name="NOK_hist_d">#REF!</definedName>
    <definedName name="NOK_hst_a">#REF!</definedName>
    <definedName name="NOK_hst_cogs">#REF!</definedName>
    <definedName name="NOK_hst_ebit">#REF!</definedName>
    <definedName name="NOK_hst_ebt">#REF!</definedName>
    <definedName name="NOK_hst_eps">#REF!</definedName>
    <definedName name="NOK_hst_inc_b_m">#REF!</definedName>
    <definedName name="NOK_hst_r_d">#REF!</definedName>
    <definedName name="NOK_hst_rev">#REF!</definedName>
    <definedName name="NOK_hst_sg_a">#REF!</definedName>
    <definedName name="NOK_lev_mcap">#REF!</definedName>
    <definedName name="NOK_LQ_ni">#REF!</definedName>
    <definedName name="NOK_LQ_rev">#REF!</definedName>
    <definedName name="NOK_lt_debt">#REF!</definedName>
    <definedName name="NOK_ltm_a">#REF!</definedName>
    <definedName name="NOK_ltm_cap_ex">#REF!</definedName>
    <definedName name="NOK_ltm_cogs">#REF!</definedName>
    <definedName name="NOK_ltm_csh_int">#REF!</definedName>
    <definedName name="NOK_ltm_d">#REF!</definedName>
    <definedName name="NOK_ltm_ebit">#REF!</definedName>
    <definedName name="NOK_ltm_ebt">#REF!</definedName>
    <definedName name="NOK_ltm_inc_b_m">#REF!</definedName>
    <definedName name="NOK_ltm_int">#REF!</definedName>
    <definedName name="NOK_ltm_min_int">#REF!</definedName>
    <definedName name="NOK_ltm_pref_div">#REF!</definedName>
    <definedName name="NOK_ltm_r_d">#REF!</definedName>
    <definedName name="NOK_ltm_rev">#REF!</definedName>
    <definedName name="NOK_ltm_sg_a">#REF!</definedName>
    <definedName name="NOK_ltm_shares">#REF!</definedName>
    <definedName name="NOK_ltm_tax">#REF!</definedName>
    <definedName name="NOK_ltm_tax_rate">#REF!</definedName>
    <definedName name="NOK_name">#REF!</definedName>
    <definedName name="NOK_o_debt_1">#REF!</definedName>
    <definedName name="NOK_o_debt_2">#REF!</definedName>
    <definedName name="NOK_o_debt_3">#REF!</definedName>
    <definedName name="NOK_option_n">#REF!</definedName>
    <definedName name="NOK_option_pr">#REF!</definedName>
    <definedName name="NOK_PQ_ni">#REF!</definedName>
    <definedName name="NOK_PQ_rev">#REF!</definedName>
    <definedName name="NOK_pr">#REF!</definedName>
    <definedName name="NOK_shares">#REF!</definedName>
    <definedName name="NOK_total_dt">#REF!</definedName>
    <definedName name="NOK_YQ_ni">#REF!</definedName>
    <definedName name="NOK_YQ_rev">#REF!</definedName>
    <definedName name="NOL">#REF!</definedName>
    <definedName name="nominal_Long_run_growth">#REF!</definedName>
    <definedName name="non_dep_assets">#REF!</definedName>
    <definedName name="Non_operating_costs_and_corporate">#REF!</definedName>
    <definedName name="Non_Recur_ItemsCF">#REF!</definedName>
    <definedName name="Non_Recur_ItemsPL">#REF!</definedName>
    <definedName name="Non_recurring_costs">#REF!</definedName>
    <definedName name="Non_recurring_income">#REF!</definedName>
    <definedName name="Non_silicon_cost">#REF!</definedName>
    <definedName name="Non_usage">#REF!</definedName>
    <definedName name="NONREG">#REF!</definedName>
    <definedName name="NOPAT">#REF!</definedName>
    <definedName name="NOPAT_Consol">#REF!</definedName>
    <definedName name="NOPAT_DCF">#REF!</definedName>
    <definedName name="NOPAT_fore">#REF!</definedName>
    <definedName name="NOPAT_growth_avg">#REF!</definedName>
    <definedName name="NOPAT_margin">#REF!</definedName>
    <definedName name="NOPAT_margin_fore">#REF!</definedName>
    <definedName name="NOPAT_Share">#REF!</definedName>
    <definedName name="NOPBT">#REF!</definedName>
    <definedName name="NOPBT_fore">#REF!</definedName>
    <definedName name="NOPLAT_Analyst_calculation">#REF!</definedName>
    <definedName name="Nordural__Grundartangi">#REF!</definedName>
    <definedName name="Norf">#REF!</definedName>
    <definedName name="Norm_forecast_11_15">#REF!</definedName>
    <definedName name="Norm_forecast_16_25">#REF!</definedName>
    <definedName name="Norm_forecast_4_5">#REF!</definedName>
    <definedName name="Norm_forecast_6_10">#REF!</definedName>
    <definedName name="Normalized_Income_Statement">"IS_Annual"</definedName>
    <definedName name="north">#REF!</definedName>
    <definedName name="North_America">#REF!</definedName>
    <definedName name="North_America_w">#REF!</definedName>
    <definedName name="Novokuznetsk">#REF!</definedName>
    <definedName name="NoYears">#REF!</definedName>
    <definedName name="NP">#REF!</definedName>
    <definedName name="NP_Consol">#REF!</definedName>
    <definedName name="NPAT_core">#REF!</definedName>
    <definedName name="npmargin94">#REF!</definedName>
    <definedName name="npmargin95">#REF!</definedName>
    <definedName name="npmargin95a">#REF!</definedName>
    <definedName name="npmargin96">#REF!</definedName>
    <definedName name="NPT_1">#REF!</definedName>
    <definedName name="NPT_2">#REF!</definedName>
    <definedName name="NPT_P">#REF!</definedName>
    <definedName name="NPV_calc">#REF!</definedName>
    <definedName name="NPV_cash">#REF!</definedName>
    <definedName name="nRegMod" hidden="1">0</definedName>
    <definedName name="NT_10q_div">#REF!</definedName>
    <definedName name="NT_10q_shares">#REF!</definedName>
    <definedName name="nt_5_yr_est">#REF!</definedName>
    <definedName name="nt_52_wk">#REF!</definedName>
    <definedName name="NT_bk_cap">#REF!</definedName>
    <definedName name="NT_bk_equity">#REF!</definedName>
    <definedName name="NT_bs_conv_debt">#REF!</definedName>
    <definedName name="NT_bs_min_int">#REF!</definedName>
    <definedName name="NT_bs_pref">#REF!</definedName>
    <definedName name="NT_cash">#REF!</definedName>
    <definedName name="NT_code">#REF!</definedName>
    <definedName name="NT_conv_debt_pr">#REF!</definedName>
    <definedName name="NT_conv_pref_pr">#REF!</definedName>
    <definedName name="nt_curr">#REF!</definedName>
    <definedName name="NT_dil_shares">#REF!</definedName>
    <definedName name="nt_eps00">#REF!</definedName>
    <definedName name="nt_eps98">#REF!</definedName>
    <definedName name="nt_eps99">#REF!</definedName>
    <definedName name="NT_equity_mcap">#REF!</definedName>
    <definedName name="NT_fin_date">#REF!</definedName>
    <definedName name="NT_hist_d">#REF!</definedName>
    <definedName name="NT_hst_a">#REF!</definedName>
    <definedName name="NT_hst_cogs">#REF!</definedName>
    <definedName name="NT_hst_ebit">#REF!</definedName>
    <definedName name="NT_hst_ebt">#REF!</definedName>
    <definedName name="NT_hst_eps">#REF!</definedName>
    <definedName name="NT_hst_inc_b_m">#REF!</definedName>
    <definedName name="NT_hst_r_d">#REF!</definedName>
    <definedName name="NT_hst_rev">#REF!</definedName>
    <definedName name="NT_hst_sg_a">#REF!</definedName>
    <definedName name="NT_lev_mcap">#REF!</definedName>
    <definedName name="NT_LQ_ni">#REF!</definedName>
    <definedName name="NT_LQ_rev">#REF!</definedName>
    <definedName name="NT_lt_debt">#REF!</definedName>
    <definedName name="NT_ltm_a">#REF!</definedName>
    <definedName name="NT_ltm_cap_ex">#REF!</definedName>
    <definedName name="NT_ltm_cogs">#REF!</definedName>
    <definedName name="NT_ltm_csh_int">#REF!</definedName>
    <definedName name="NT_ltm_d">#REF!</definedName>
    <definedName name="NT_ltm_ebit">#REF!</definedName>
    <definedName name="NT_ltm_ebt">#REF!</definedName>
    <definedName name="NT_ltm_inc_b_m">#REF!</definedName>
    <definedName name="NT_ltm_int">#REF!</definedName>
    <definedName name="NT_ltm_min_int">#REF!</definedName>
    <definedName name="NT_ltm_pref_div">#REF!</definedName>
    <definedName name="NT_ltm_r_d">#REF!</definedName>
    <definedName name="NT_ltm_rev">#REF!</definedName>
    <definedName name="NT_ltm_sg_a">#REF!</definedName>
    <definedName name="NT_ltm_shares">#REF!</definedName>
    <definedName name="NT_ltm_tax">#REF!</definedName>
    <definedName name="NT_ltm_tax_rate">#REF!</definedName>
    <definedName name="NT_name">#REF!</definedName>
    <definedName name="NT_o_debt_1">#REF!</definedName>
    <definedName name="NT_o_debt_2">#REF!</definedName>
    <definedName name="NT_o_debt_3">#REF!</definedName>
    <definedName name="NT_option_n">#REF!</definedName>
    <definedName name="NT_option_pr">#REF!</definedName>
    <definedName name="NT_PQ_ni">#REF!</definedName>
    <definedName name="NT_PQ_rev">#REF!</definedName>
    <definedName name="nt_pr">#REF!</definedName>
    <definedName name="NT_shares">#REF!</definedName>
    <definedName name="nt_ticker">#REF!</definedName>
    <definedName name="NT_total_dt">#REF!</definedName>
    <definedName name="NT_YQ_ni">#REF!</definedName>
    <definedName name="NT_YQ_rev">#REF!</definedName>
    <definedName name="Number_equivalent_shares">#REF!</definedName>
    <definedName name="Number_of_Shares">#REF!</definedName>
    <definedName name="Number_ordinary_shares">#REF!</definedName>
    <definedName name="NvsASD">"V2000-09-08"</definedName>
    <definedName name="NvsAutoDrillOk">"VN"</definedName>
    <definedName name="NvsElapsedTime">0.000234143517445773</definedName>
    <definedName name="NvsEndTime">36707.2948738426</definedName>
    <definedName name="NvsInstSpec">"%,FMI_ALT_BU,TCA_ALTBU_CORPS,NCONSOLIDATING"</definedName>
    <definedName name="NvsLayoutType">"M3"</definedName>
    <definedName name="NvsNplSpec">"%,X,RZF..,CZF.."</definedName>
    <definedName name="NvsPanelEffdt">"V9999-01-01"</definedName>
    <definedName name="NvsPanelSetid">"VMIDIV"</definedName>
    <definedName name="NvsReqBU">"V52"</definedName>
    <definedName name="NvsReqBUOnly">"VN"</definedName>
    <definedName name="NvsTransLed">"VN"</definedName>
    <definedName name="NvsTreeASD">"V2000-09-08"</definedName>
    <definedName name="NvsValTbl.PRODUCT">"MI_GL_PRODCT_VW"</definedName>
    <definedName name="O_I">#REF!</definedName>
    <definedName name="OCF">#REF!</definedName>
    <definedName name="Off_B_S_Income">#REF!</definedName>
    <definedName name="Off_B_S_Income_DCF">#REF!</definedName>
    <definedName name="Off_B_S_Income_fore">#REF!</definedName>
    <definedName name="Off_B_S_Income_growth_fore">#REF!</definedName>
    <definedName name="official_ARPU">#REF!</definedName>
    <definedName name="offpr">[13]PriceSyn!$O$9</definedName>
    <definedName name="OIL_01D">#REF!</definedName>
    <definedName name="OIL_01J">#REF!</definedName>
    <definedName name="OIL_01M">#REF!</definedName>
    <definedName name="OIL_01S">#REF!</definedName>
    <definedName name="OIL_02D">#REF!</definedName>
    <definedName name="OIL_02J">#REF!</definedName>
    <definedName name="OIL_02M">#REF!</definedName>
    <definedName name="OIL_02S">#REF!</definedName>
    <definedName name="OIL_03D">#REF!</definedName>
    <definedName name="OIL_03J">#REF!</definedName>
    <definedName name="OIL_03M">#REF!</definedName>
    <definedName name="OIL_03S">#REF!</definedName>
    <definedName name="OIL_04D">#REF!</definedName>
    <definedName name="OIL_04J">#REF!</definedName>
    <definedName name="OIL_04M">#REF!</definedName>
    <definedName name="OIL_04S">#REF!</definedName>
    <definedName name="OIL_05D">#REF!</definedName>
    <definedName name="OIL_05J">#REF!</definedName>
    <definedName name="OIL_05M">#REF!</definedName>
    <definedName name="OIL_05S">#REF!</definedName>
    <definedName name="OIL_06D">#REF!</definedName>
    <definedName name="OIL_06J">#REF!</definedName>
    <definedName name="OIL_06M">#REF!</definedName>
    <definedName name="OIL_06S">#REF!</definedName>
    <definedName name="OIL_07D">#REF!</definedName>
    <definedName name="OIL_07J">#REF!</definedName>
    <definedName name="OIL_07M">#REF!</definedName>
    <definedName name="OIL_07S">#REF!</definedName>
    <definedName name="OIL_08D">#REF!</definedName>
    <definedName name="OIL_08J">#REF!</definedName>
    <definedName name="OIL_08M">#REF!</definedName>
    <definedName name="OIL_08S">#REF!</definedName>
    <definedName name="OIL_09D">#REF!</definedName>
    <definedName name="OIL_09J">#REF!</definedName>
    <definedName name="OIL_09M">#REF!</definedName>
    <definedName name="OIL_09S">#REF!</definedName>
    <definedName name="OIL_10D">#REF!</definedName>
    <definedName name="OIL_10J">#REF!</definedName>
    <definedName name="OIL_10M">#REF!</definedName>
    <definedName name="OIL_10S">#REF!</definedName>
    <definedName name="OIL_11D">#REF!</definedName>
    <definedName name="OIL_11J">#REF!</definedName>
    <definedName name="OIL_11M">#REF!</definedName>
    <definedName name="OIL_11S">#REF!</definedName>
    <definedName name="OIL_12D">#REF!</definedName>
    <definedName name="OIL_12J">#REF!</definedName>
    <definedName name="OIL_12M">#REF!</definedName>
    <definedName name="OIL_12S">#REF!</definedName>
    <definedName name="OIL_13D">#REF!</definedName>
    <definedName name="OIL_13J">#REF!</definedName>
    <definedName name="OIL_13M">#REF!</definedName>
    <definedName name="OIL_13S">#REF!</definedName>
    <definedName name="OIL_14D">#REF!</definedName>
    <definedName name="OIL_14J">#REF!</definedName>
    <definedName name="OIL_14M">#REF!</definedName>
    <definedName name="OIL_14S">#REF!</definedName>
    <definedName name="OIL_15D">#REF!</definedName>
    <definedName name="OIL_15J">#REF!</definedName>
    <definedName name="OIL_15M">#REF!</definedName>
    <definedName name="OIL_15S">#REF!</definedName>
    <definedName name="OIL_16D">#REF!</definedName>
    <definedName name="OIL_16J">#REF!</definedName>
    <definedName name="OIL_16M">#REF!</definedName>
    <definedName name="OIL_16S">#REF!</definedName>
    <definedName name="OIL_17D">#REF!</definedName>
    <definedName name="OIL_17J">#REF!</definedName>
    <definedName name="OIL_17M">#REF!</definedName>
    <definedName name="OIL_17S">#REF!</definedName>
    <definedName name="OIL_18D">#REF!</definedName>
    <definedName name="OIL_18J">#REF!</definedName>
    <definedName name="OIL_18M">#REF!</definedName>
    <definedName name="OIL_18S">#REF!</definedName>
    <definedName name="OIL_19D">#REF!</definedName>
    <definedName name="OIL_19J">#REF!</definedName>
    <definedName name="OIL_19M">#REF!</definedName>
    <definedName name="OIL_19S">#REF!</definedName>
    <definedName name="OIL_20D">#REF!</definedName>
    <definedName name="OIL_20J">#REF!</definedName>
    <definedName name="OIL_20M">#REF!</definedName>
    <definedName name="OIL_20S">#REF!</definedName>
    <definedName name="OIL_21D">#REF!</definedName>
    <definedName name="OIL_21J">#REF!</definedName>
    <definedName name="OIL_21M">#REF!</definedName>
    <definedName name="OIL_21S">#REF!</definedName>
    <definedName name="OIL_22D">#REF!</definedName>
    <definedName name="OIL_22J">#REF!</definedName>
    <definedName name="OIL_22M">#REF!</definedName>
    <definedName name="OIL_22S">#REF!</definedName>
    <definedName name="OIL_23D">#REF!</definedName>
    <definedName name="OIL_23J">#REF!</definedName>
    <definedName name="OIL_23M">#REF!</definedName>
    <definedName name="OIL_23S">#REF!</definedName>
    <definedName name="OIL_24D">#REF!</definedName>
    <definedName name="OIL_24J">#REF!</definedName>
    <definedName name="OIL_24M">#REF!</definedName>
    <definedName name="OIL_24S">#REF!</definedName>
    <definedName name="OIL_25D">#REF!</definedName>
    <definedName name="OIL_25J">#REF!</definedName>
    <definedName name="OIL_25M">#REF!</definedName>
    <definedName name="OIL_25S">#REF!</definedName>
    <definedName name="OIL_87D">#REF!</definedName>
    <definedName name="OIL_87J">#REF!</definedName>
    <definedName name="OIL_87M">#REF!</definedName>
    <definedName name="OIL_87S">#REF!</definedName>
    <definedName name="OIL_88D">#REF!</definedName>
    <definedName name="OIL_88J">#REF!</definedName>
    <definedName name="OIL_88M">#REF!</definedName>
    <definedName name="OIL_88S">#REF!</definedName>
    <definedName name="OIL_89D">#REF!</definedName>
    <definedName name="OIL_89J">#REF!</definedName>
    <definedName name="OIL_89M">#REF!</definedName>
    <definedName name="OIL_89S">#REF!</definedName>
    <definedName name="OIL_90D">#REF!</definedName>
    <definedName name="OIL_90J">#REF!</definedName>
    <definedName name="OIL_90M">#REF!</definedName>
    <definedName name="OIL_90S">#REF!</definedName>
    <definedName name="OIL_91D">#REF!</definedName>
    <definedName name="OIL_91J">#REF!</definedName>
    <definedName name="OIL_91M">#REF!</definedName>
    <definedName name="OIL_91S">#REF!</definedName>
    <definedName name="OIL_92D">#REF!</definedName>
    <definedName name="OIL_92J">#REF!</definedName>
    <definedName name="OIL_92M">#REF!</definedName>
    <definedName name="OIL_92S">#REF!</definedName>
    <definedName name="OIL_93D">#REF!</definedName>
    <definedName name="OIL_93J">#REF!</definedName>
    <definedName name="OIL_93M">#REF!</definedName>
    <definedName name="OIL_93S">#REF!</definedName>
    <definedName name="OIL_94D">#REF!</definedName>
    <definedName name="OIL_94J">#REF!</definedName>
    <definedName name="OIL_94M">#REF!</definedName>
    <definedName name="OIL_94S">#REF!</definedName>
    <definedName name="OIL_95D">#REF!</definedName>
    <definedName name="OIL_95J">#REF!</definedName>
    <definedName name="OIL_95M">#REF!</definedName>
    <definedName name="OIL_95S">#REF!</definedName>
    <definedName name="OIL_96D">#REF!</definedName>
    <definedName name="OIL_96J">#REF!</definedName>
    <definedName name="OIL_96M">#REF!</definedName>
    <definedName name="OIL_96S">#REF!</definedName>
    <definedName name="OIL_97D">#REF!</definedName>
    <definedName name="OIL_97J">#REF!</definedName>
    <definedName name="OIL_97M">#REF!</definedName>
    <definedName name="OIL_97S">#REF!</definedName>
    <definedName name="OIL_98D">#REF!</definedName>
    <definedName name="OIL_98J">#REF!</definedName>
    <definedName name="OIL_98M">#REF!</definedName>
    <definedName name="OIL_98S">#REF!</definedName>
    <definedName name="OIL_99D">#REF!</definedName>
    <definedName name="OIL_99J">#REF!</definedName>
    <definedName name="OIL_99M">#REF!</definedName>
    <definedName name="OIL_99S">#REF!</definedName>
    <definedName name="OIL_B_00D">#REF!</definedName>
    <definedName name="OIL_B_00J">#REF!</definedName>
    <definedName name="OIL_B_00M">#REF!</definedName>
    <definedName name="OIL_B_00S">#REF!</definedName>
    <definedName name="OIL_B_01D">#REF!</definedName>
    <definedName name="OIL_B_01J">#REF!</definedName>
    <definedName name="OIL_B_01M">#REF!</definedName>
    <definedName name="OIL_B_01S">#REF!</definedName>
    <definedName name="OIL_B_02D">#REF!</definedName>
    <definedName name="OIL_B_02J">#REF!</definedName>
    <definedName name="OIL_B_02M">#REF!</definedName>
    <definedName name="OIL_B_02S">#REF!</definedName>
    <definedName name="OIL_B_03D">#REF!</definedName>
    <definedName name="OIL_B_03J">#REF!</definedName>
    <definedName name="OIL_B_03M">#REF!</definedName>
    <definedName name="OIL_B_03S">#REF!</definedName>
    <definedName name="OIL_B_04D">#REF!</definedName>
    <definedName name="OIL_B_04J">#REF!</definedName>
    <definedName name="OIL_B_04M">#REF!</definedName>
    <definedName name="OIL_B_04S">#REF!</definedName>
    <definedName name="OIL_B_05D">#REF!</definedName>
    <definedName name="OIL_B_05J">#REF!</definedName>
    <definedName name="OIL_B_05M">#REF!</definedName>
    <definedName name="OIL_B_05S">#REF!</definedName>
    <definedName name="OIL_B_06D">#REF!</definedName>
    <definedName name="OIL_B_06J">#REF!</definedName>
    <definedName name="OIL_B_06M">#REF!</definedName>
    <definedName name="OIL_B_06S">#REF!</definedName>
    <definedName name="OIL_B_07D">#REF!</definedName>
    <definedName name="OIL_B_07J">#REF!</definedName>
    <definedName name="OIL_B_07M">#REF!</definedName>
    <definedName name="OIL_B_07S">#REF!</definedName>
    <definedName name="OIL_B_08D">#REF!</definedName>
    <definedName name="OIL_B_08J">#REF!</definedName>
    <definedName name="OIL_B_08M">#REF!</definedName>
    <definedName name="OIL_B_08S">#REF!</definedName>
    <definedName name="OIL_B_09D">#REF!</definedName>
    <definedName name="OIL_B_09J">#REF!</definedName>
    <definedName name="OIL_B_09M">#REF!</definedName>
    <definedName name="OIL_B_09S">#REF!</definedName>
    <definedName name="OIL_B_10D">#REF!</definedName>
    <definedName name="OIL_B_10J">#REF!</definedName>
    <definedName name="OIL_B_10M">#REF!</definedName>
    <definedName name="OIL_B_10S">#REF!</definedName>
    <definedName name="OIL_B_11D">#REF!</definedName>
    <definedName name="OIL_B_11J">#REF!</definedName>
    <definedName name="OIL_B_11M">#REF!</definedName>
    <definedName name="OIL_B_11S">#REF!</definedName>
    <definedName name="OIL_B_12D">#REF!</definedName>
    <definedName name="OIL_B_12J">#REF!</definedName>
    <definedName name="OIL_B_12M">#REF!</definedName>
    <definedName name="OIL_B_12S">#REF!</definedName>
    <definedName name="OIL_B_13D">#REF!</definedName>
    <definedName name="OIL_B_13J">#REF!</definedName>
    <definedName name="OIL_B_13M">#REF!</definedName>
    <definedName name="OIL_B_13S">#REF!</definedName>
    <definedName name="OIL_B_14D">#REF!</definedName>
    <definedName name="OIL_B_14J">#REF!</definedName>
    <definedName name="OIL_B_14M">#REF!</definedName>
    <definedName name="OIL_B_14S">#REF!</definedName>
    <definedName name="OIL_B_15D">#REF!</definedName>
    <definedName name="OIL_B_15J">#REF!</definedName>
    <definedName name="OIL_B_15M">#REF!</definedName>
    <definedName name="OIL_B_15S">#REF!</definedName>
    <definedName name="OIL_B_16D">#REF!</definedName>
    <definedName name="OIL_B_16J">#REF!</definedName>
    <definedName name="OIL_B_16M">#REF!</definedName>
    <definedName name="OIL_B_16S">#REF!</definedName>
    <definedName name="OIL_B_17D">#REF!</definedName>
    <definedName name="OIL_B_17J">#REF!</definedName>
    <definedName name="OIL_B_17M">#REF!</definedName>
    <definedName name="OIL_B_17S">#REF!</definedName>
    <definedName name="OIL_B_18D">#REF!</definedName>
    <definedName name="OIL_B_18J">#REF!</definedName>
    <definedName name="OIL_B_18M">#REF!</definedName>
    <definedName name="OIL_B_18S">#REF!</definedName>
    <definedName name="OIL_B_19D">#REF!</definedName>
    <definedName name="OIL_B_19J">#REF!</definedName>
    <definedName name="OIL_B_19M">#REF!</definedName>
    <definedName name="OIL_B_19S">#REF!</definedName>
    <definedName name="OIL_B_20D">#REF!</definedName>
    <definedName name="OIL_B_20J">#REF!</definedName>
    <definedName name="OIL_B_20M">#REF!</definedName>
    <definedName name="OIL_B_20S">#REF!</definedName>
    <definedName name="OIL_B_21D">#REF!</definedName>
    <definedName name="OIL_B_21J">#REF!</definedName>
    <definedName name="OIL_B_21M">#REF!</definedName>
    <definedName name="OIL_B_21S">#REF!</definedName>
    <definedName name="OIL_B_22D">#REF!</definedName>
    <definedName name="OIL_B_22J">#REF!</definedName>
    <definedName name="OIL_B_22M">#REF!</definedName>
    <definedName name="OIL_B_22S">#REF!</definedName>
    <definedName name="OIL_B_23D">#REF!</definedName>
    <definedName name="OIL_B_23J">#REF!</definedName>
    <definedName name="OIL_B_23M">#REF!</definedName>
    <definedName name="OIL_B_23S">#REF!</definedName>
    <definedName name="OIL_B_24D">#REF!</definedName>
    <definedName name="OIL_B_24J">#REF!</definedName>
    <definedName name="OIL_B_24M">#REF!</definedName>
    <definedName name="OIL_B_24S">#REF!</definedName>
    <definedName name="OIL_B_25D">#REF!</definedName>
    <definedName name="OIL_B_25J">#REF!</definedName>
    <definedName name="OIL_B_25M">#REF!</definedName>
    <definedName name="OIL_B_25S">#REF!</definedName>
    <definedName name="OIL_B_87D">#REF!</definedName>
    <definedName name="OIL_B_87J">#REF!</definedName>
    <definedName name="OIL_B_87M">#REF!</definedName>
    <definedName name="OIL_B_87S">#REF!</definedName>
    <definedName name="OIL_B_88D">#REF!</definedName>
    <definedName name="OIL_B_88J">#REF!</definedName>
    <definedName name="OIL_B_88M">#REF!</definedName>
    <definedName name="OIL_B_88S">#REF!</definedName>
    <definedName name="OIL_B_89D">#REF!</definedName>
    <definedName name="OIL_B_89J">#REF!</definedName>
    <definedName name="OIL_B_89M">#REF!</definedName>
    <definedName name="OIL_B_89S">#REF!</definedName>
    <definedName name="OIL_B_90D">#REF!</definedName>
    <definedName name="OIL_B_90J">#REF!</definedName>
    <definedName name="OIL_B_90M">#REF!</definedName>
    <definedName name="OIL_B_90S">#REF!</definedName>
    <definedName name="OIL_B_91D">#REF!</definedName>
    <definedName name="OIL_B_91J">#REF!</definedName>
    <definedName name="OIL_B_91M">#REF!</definedName>
    <definedName name="OIL_B_91S">#REF!</definedName>
    <definedName name="OIL_B_92D">#REF!</definedName>
    <definedName name="OIL_B_92J">#REF!</definedName>
    <definedName name="OIL_B_92M">#REF!</definedName>
    <definedName name="OIL_B_92S">#REF!</definedName>
    <definedName name="OIL_B_93D">#REF!</definedName>
    <definedName name="OIL_B_93J">#REF!</definedName>
    <definedName name="OIL_B_93M">#REF!</definedName>
    <definedName name="OIL_B_93S">#REF!</definedName>
    <definedName name="OIL_B_94D">#REF!</definedName>
    <definedName name="OIL_B_94J">#REF!</definedName>
    <definedName name="OIL_B_94M">#REF!</definedName>
    <definedName name="OIL_B_94S">#REF!</definedName>
    <definedName name="OIL_B_95D">#REF!</definedName>
    <definedName name="OIL_B_95J">#REF!</definedName>
    <definedName name="OIL_B_95M">#REF!</definedName>
    <definedName name="OIL_B_95S">#REF!</definedName>
    <definedName name="OIL_B_96D">#REF!</definedName>
    <definedName name="OIL_B_96J">#REF!</definedName>
    <definedName name="OIL_B_96M">#REF!</definedName>
    <definedName name="OIL_B_96S">#REF!</definedName>
    <definedName name="OIL_B_97D">#REF!</definedName>
    <definedName name="OIL_B_97J">#REF!</definedName>
    <definedName name="OIL_B_97M">#REF!</definedName>
    <definedName name="OIL_B_97S">#REF!</definedName>
    <definedName name="OIL_B_98D">#REF!</definedName>
    <definedName name="OIL_B_98J">#REF!</definedName>
    <definedName name="OIL_B_98M">#REF!</definedName>
    <definedName name="OIL_B_98S">#REF!</definedName>
    <definedName name="OIL_B_99D">#REF!</definedName>
    <definedName name="OIL_B_99J">#REF!</definedName>
    <definedName name="OIL_B_99M">#REF!</definedName>
    <definedName name="OIL_B_99S">#REF!</definedName>
    <definedName name="OIL_B_LT">#REF!</definedName>
    <definedName name="Oil_Gas">#REF!</definedName>
    <definedName name="OIL_LT">#REF!</definedName>
    <definedName name="OIL_OUT">#REF!</definedName>
    <definedName name="OIL_PRICE">#REF!</definedName>
    <definedName name="OIL_Spot">#REF!</definedName>
    <definedName name="OIL_T_00D">#REF!</definedName>
    <definedName name="OIL_T_00J">#REF!</definedName>
    <definedName name="OIL_T_00M">#REF!</definedName>
    <definedName name="OIL_T_00S">#REF!</definedName>
    <definedName name="OIL_T_01D">#REF!</definedName>
    <definedName name="OIL_T_01J">#REF!</definedName>
    <definedName name="OIL_T_01M">#REF!</definedName>
    <definedName name="OIL_T_01S">#REF!</definedName>
    <definedName name="OIL_T_02D">#REF!</definedName>
    <definedName name="OIL_T_02J">#REF!</definedName>
    <definedName name="OIL_T_02M">#REF!</definedName>
    <definedName name="OIL_T_02S">#REF!</definedName>
    <definedName name="OIL_T_03D">#REF!</definedName>
    <definedName name="OIL_T_03J">#REF!</definedName>
    <definedName name="OIL_T_03M">#REF!</definedName>
    <definedName name="OIL_T_03S">#REF!</definedName>
    <definedName name="OIL_T_04D">#REF!</definedName>
    <definedName name="OIL_T_04J">#REF!</definedName>
    <definedName name="OIL_T_04M">#REF!</definedName>
    <definedName name="OIL_T_04S">#REF!</definedName>
    <definedName name="OIL_T_05D">#REF!</definedName>
    <definedName name="OIL_T_05J">#REF!</definedName>
    <definedName name="OIL_T_05M">#REF!</definedName>
    <definedName name="OIL_T_05S">#REF!</definedName>
    <definedName name="OIL_T_06D">#REF!</definedName>
    <definedName name="OIL_T_06J">#REF!</definedName>
    <definedName name="OIL_T_06M">#REF!</definedName>
    <definedName name="OIL_T_06S">#REF!</definedName>
    <definedName name="OIL_T_07D">#REF!</definedName>
    <definedName name="OIL_T_07J">#REF!</definedName>
    <definedName name="OIL_T_07M">#REF!</definedName>
    <definedName name="OIL_T_07S">#REF!</definedName>
    <definedName name="OIL_T_08D">#REF!</definedName>
    <definedName name="OIL_T_08J">#REF!</definedName>
    <definedName name="OIL_T_08M">#REF!</definedName>
    <definedName name="OIL_T_08S">#REF!</definedName>
    <definedName name="OIL_T_09D">#REF!</definedName>
    <definedName name="OIL_T_09J">#REF!</definedName>
    <definedName name="OIL_T_09M">#REF!</definedName>
    <definedName name="OIL_T_09S">#REF!</definedName>
    <definedName name="OIL_T_10D">#REF!</definedName>
    <definedName name="OIL_T_10J">#REF!</definedName>
    <definedName name="OIL_T_10M">#REF!</definedName>
    <definedName name="OIL_T_10S">#REF!</definedName>
    <definedName name="OIL_T_11D">#REF!</definedName>
    <definedName name="OIL_T_11J">#REF!</definedName>
    <definedName name="OIL_T_11M">#REF!</definedName>
    <definedName name="OIL_T_11S">#REF!</definedName>
    <definedName name="OIL_T_12D">#REF!</definedName>
    <definedName name="OIL_T_12J">#REF!</definedName>
    <definedName name="OIL_T_12M">#REF!</definedName>
    <definedName name="OIL_T_12S">#REF!</definedName>
    <definedName name="OIL_T_13D">#REF!</definedName>
    <definedName name="OIL_T_13J">#REF!</definedName>
    <definedName name="OIL_T_13M">#REF!</definedName>
    <definedName name="OIL_T_13S">#REF!</definedName>
    <definedName name="OIL_T_14D">#REF!</definedName>
    <definedName name="OIL_T_14J">#REF!</definedName>
    <definedName name="OIL_T_14M">#REF!</definedName>
    <definedName name="OIL_T_14S">#REF!</definedName>
    <definedName name="OIL_T_15D">#REF!</definedName>
    <definedName name="OIL_T_15J">#REF!</definedName>
    <definedName name="OIL_T_15M">#REF!</definedName>
    <definedName name="OIL_T_15S">#REF!</definedName>
    <definedName name="OIL_T_16D">#REF!</definedName>
    <definedName name="OIL_T_16J">#REF!</definedName>
    <definedName name="OIL_T_16M">#REF!</definedName>
    <definedName name="OIL_T_16S">#REF!</definedName>
    <definedName name="OIL_T_17D">#REF!</definedName>
    <definedName name="OIL_T_17J">#REF!</definedName>
    <definedName name="OIL_T_17M">#REF!</definedName>
    <definedName name="OIL_T_17S">#REF!</definedName>
    <definedName name="OIL_T_18D">#REF!</definedName>
    <definedName name="OIL_T_18J">#REF!</definedName>
    <definedName name="OIL_T_18M">#REF!</definedName>
    <definedName name="OIL_T_18S">#REF!</definedName>
    <definedName name="OIL_T_19D">#REF!</definedName>
    <definedName name="OIL_T_19J">#REF!</definedName>
    <definedName name="OIL_T_19M">#REF!</definedName>
    <definedName name="OIL_T_19S">#REF!</definedName>
    <definedName name="OIL_T_20D">#REF!</definedName>
    <definedName name="OIL_T_20J">#REF!</definedName>
    <definedName name="OIL_T_20M">#REF!</definedName>
    <definedName name="OIL_T_20S">#REF!</definedName>
    <definedName name="OIL_T_21D">#REF!</definedName>
    <definedName name="OIL_T_21J">#REF!</definedName>
    <definedName name="OIL_T_21M">#REF!</definedName>
    <definedName name="OIL_T_21S">#REF!</definedName>
    <definedName name="OIL_T_22D">#REF!</definedName>
    <definedName name="OIL_T_22J">#REF!</definedName>
    <definedName name="OIL_T_22M">#REF!</definedName>
    <definedName name="OIL_T_22S">#REF!</definedName>
    <definedName name="OIL_T_23D">#REF!</definedName>
    <definedName name="OIL_T_23J">#REF!</definedName>
    <definedName name="OIL_T_23M">#REF!</definedName>
    <definedName name="OIL_T_23S">#REF!</definedName>
    <definedName name="OIL_T_24D">#REF!</definedName>
    <definedName name="OIL_T_24J">#REF!</definedName>
    <definedName name="OIL_T_24M">#REF!</definedName>
    <definedName name="OIL_T_24S">#REF!</definedName>
    <definedName name="OIL_T_25D">#REF!</definedName>
    <definedName name="OIL_T_25J">#REF!</definedName>
    <definedName name="OIL_T_25M">#REF!</definedName>
    <definedName name="OIL_T_25S">#REF!</definedName>
    <definedName name="OIL_T_87D">#REF!</definedName>
    <definedName name="OIL_T_87J">#REF!</definedName>
    <definedName name="OIL_T_87M">#REF!</definedName>
    <definedName name="OIL_T_87S">#REF!</definedName>
    <definedName name="OIL_T_88D">#REF!</definedName>
    <definedName name="OIL_T_88J">#REF!</definedName>
    <definedName name="OIL_T_88M">#REF!</definedName>
    <definedName name="OIL_T_88S">#REF!</definedName>
    <definedName name="OIL_T_89D">#REF!</definedName>
    <definedName name="OIL_T_89J">#REF!</definedName>
    <definedName name="OIL_T_89M">#REF!</definedName>
    <definedName name="OIL_T_89S">#REF!</definedName>
    <definedName name="OIL_T_90D">#REF!</definedName>
    <definedName name="OIL_T_90J">#REF!</definedName>
    <definedName name="OIL_T_90M">#REF!</definedName>
    <definedName name="OIL_T_90S">#REF!</definedName>
    <definedName name="OIL_T_91D">#REF!</definedName>
    <definedName name="OIL_T_91J">#REF!</definedName>
    <definedName name="OIL_T_91M">#REF!</definedName>
    <definedName name="OIL_T_91S">#REF!</definedName>
    <definedName name="OIL_T_92D">#REF!</definedName>
    <definedName name="OIL_T_92J">#REF!</definedName>
    <definedName name="OIL_T_92M">#REF!</definedName>
    <definedName name="OIL_T_92S">#REF!</definedName>
    <definedName name="OIL_T_93D">#REF!</definedName>
    <definedName name="OIL_T_93J">#REF!</definedName>
    <definedName name="OIL_T_93M">#REF!</definedName>
    <definedName name="OIL_T_93S">#REF!</definedName>
    <definedName name="OIL_T_94D">#REF!</definedName>
    <definedName name="OIL_T_94J">#REF!</definedName>
    <definedName name="OIL_T_94M">#REF!</definedName>
    <definedName name="OIL_T_94S">#REF!</definedName>
    <definedName name="OIL_T_95D">#REF!</definedName>
    <definedName name="OIL_T_95J">#REF!</definedName>
    <definedName name="OIL_T_95M">#REF!</definedName>
    <definedName name="OIL_T_95S">#REF!</definedName>
    <definedName name="OIL_T_96D">#REF!</definedName>
    <definedName name="OIL_T_96J">#REF!</definedName>
    <definedName name="OIL_T_96M">#REF!</definedName>
    <definedName name="OIL_T_96S">#REF!</definedName>
    <definedName name="OIL_T_97D">#REF!</definedName>
    <definedName name="OIL_T_97J">#REF!</definedName>
    <definedName name="OIL_T_97M">#REF!</definedName>
    <definedName name="OIL_T_97S">#REF!</definedName>
    <definedName name="OIL_T_98D">#REF!</definedName>
    <definedName name="OIL_T_98J">#REF!</definedName>
    <definedName name="OIL_T_98M">#REF!</definedName>
    <definedName name="OIL_T_98S">#REF!</definedName>
    <definedName name="OIL_T_99D">#REF!</definedName>
    <definedName name="OIL_T_99J">#REF!</definedName>
    <definedName name="OIL_T_99M">#REF!</definedName>
    <definedName name="OIL_T_99S">#REF!</definedName>
    <definedName name="OIL_T_LT">#REF!</definedName>
    <definedName name="Oilfield_services">#REF!</definedName>
    <definedName name="OK">{#N/A,#N/A,FALSE,"Cover";#N/A,#N/A,FALSE,"LUMI";#N/A,#N/A,FALSE,"COMD";#N/A,#N/A,FALSE,"Valuation";#N/A,#N/A,FALSE,"Assumptions";#N/A,#N/A,FALSE,"Pooling";#N/A,#N/A,FALSE,"BalanceSheet"}</definedName>
    <definedName name="OL_1">#REF!</definedName>
    <definedName name="OL_P">#REF!</definedName>
    <definedName name="old">#REF!</definedName>
    <definedName name="oldstuff">oldstuff</definedName>
    <definedName name="OneOff">[20]NERD!$G$19:$N$19</definedName>
    <definedName name="OP_CF">#REF!</definedName>
    <definedName name="OP_CF_GROWTH_RATE">#REF!</definedName>
    <definedName name="OP_CF_YIELD">#REF!</definedName>
    <definedName name="OpCash">#REF!</definedName>
    <definedName name="opcost93">#REF!</definedName>
    <definedName name="opcost94">#REF!</definedName>
    <definedName name="OpDay_printarea">#N/A</definedName>
    <definedName name="OPER_MARGIN">#REF!</definedName>
    <definedName name="OPER_PROFIT">#REF!</definedName>
    <definedName name="Oper1">#REF!</definedName>
    <definedName name="Operating_expenses">'[4]P&amp;L'!$B$46:$AH$46</definedName>
    <definedName name="operating_income">#REF!</definedName>
    <definedName name="Operating_income_fore">#REF!</definedName>
    <definedName name="Operating_Lease_Expense">#REF!</definedName>
    <definedName name="Operating_Lease_Expense_fore">#REF!</definedName>
    <definedName name="Operating_profit">#REF!</definedName>
    <definedName name="Operating_Sys">#REF!</definedName>
    <definedName name="OperatingMargin">[20]NERD!$G$17:$N$17</definedName>
    <definedName name="Operations">#REF!</definedName>
    <definedName name="opex_customer_retention">#REF!</definedName>
    <definedName name="opex_network">#REF!</definedName>
    <definedName name="opex_other">#REF!</definedName>
    <definedName name="opex_rental">#REF!</definedName>
    <definedName name="opex_salaries">#REF!</definedName>
    <definedName name="opex_sales_marketing">#REF!</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pFCF">#REF!</definedName>
    <definedName name="opinc">#REF!</definedName>
    <definedName name="opmargin">#REF!</definedName>
    <definedName name="opmargin95">#REF!</definedName>
    <definedName name="opmargin95a">#REF!</definedName>
    <definedName name="opmargin96">#REF!</definedName>
    <definedName name="OpNPV">#REF!</definedName>
    <definedName name="OptionAdjustedSpread_bonds_0">#REF!</definedName>
    <definedName name="OptionAdjustedSpread_bonds_1">#REF!</definedName>
    <definedName name="OptionAdjustedSpread_bonds_2">#REF!</definedName>
    <definedName name="OptionAdjustedSpread_bonds_3">#REF!</definedName>
    <definedName name="OptionAdjustedSpread_bonds_4">#REF!</definedName>
    <definedName name="OptionAdjustedSpreadDuration_bonds_0">#REF!</definedName>
    <definedName name="OptionAdjustedSpreadDuration_bonds_1">#REF!</definedName>
    <definedName name="OptionAdjustedSpreadDuration_bonds_2">#REF!</definedName>
    <definedName name="OptionAdjustedSpreadDuration_bonds_3">#REF!</definedName>
    <definedName name="OptionAdjustedSpreadDuration_bonds_4">#REF!</definedName>
    <definedName name="ORA_AssociatesMinorities">#REF!</definedName>
    <definedName name="ORA_UnleveredFCF">#REF!</definedName>
    <definedName name="ORCTF_10q_div">#REF!</definedName>
    <definedName name="ORCTF_10q_shares">#REF!</definedName>
    <definedName name="orctf_5_yr_est">#REF!</definedName>
    <definedName name="orctf_52_wk">#REF!</definedName>
    <definedName name="ORCTF_bk_cap">#REF!</definedName>
    <definedName name="ORCTF_bk_equity">#REF!</definedName>
    <definedName name="ORCTF_bs_conv_debt">#REF!</definedName>
    <definedName name="ORCTF_bs_min_int">#REF!</definedName>
    <definedName name="ORCTF_bs_pref">#REF!</definedName>
    <definedName name="ORCTF_cash">#REF!</definedName>
    <definedName name="ORCTF_code">#REF!</definedName>
    <definedName name="ORCTF_conv_debt_pr">#REF!</definedName>
    <definedName name="ORCTF_conv_pref_pr">#REF!</definedName>
    <definedName name="orctf_curr">#REF!</definedName>
    <definedName name="ORCTF_dil_shares">#REF!</definedName>
    <definedName name="orctf_eps00">#REF!</definedName>
    <definedName name="orctf_eps98">#REF!</definedName>
    <definedName name="orctf_eps99">#REF!</definedName>
    <definedName name="ORCTF_equity_mcap">#REF!</definedName>
    <definedName name="ORCTF_fin_date">#REF!</definedName>
    <definedName name="ORCTF_lev_mcap">#REF!</definedName>
    <definedName name="ORCTF_LQ_ni">#REF!</definedName>
    <definedName name="ORCTF_LQ_rev">#REF!</definedName>
    <definedName name="ORCTF_lt_debt">#REF!</definedName>
    <definedName name="ORCTF_ltm_a">#REF!</definedName>
    <definedName name="ORCTF_ltm_cap_ex">#REF!</definedName>
    <definedName name="ORCTF_ltm_cogs">#REF!</definedName>
    <definedName name="ORCTF_ltm_csh_int">#REF!</definedName>
    <definedName name="ORCTF_ltm_d">#REF!</definedName>
    <definedName name="ORCTF_ltm_ebit">#REF!</definedName>
    <definedName name="ORCTF_ltm_ebt">#REF!</definedName>
    <definedName name="ORCTF_ltm_eps">#REF!</definedName>
    <definedName name="ORCTF_ltm_inc_b_m">#REF!</definedName>
    <definedName name="ORCTF_ltm_int">#REF!</definedName>
    <definedName name="ORCTF_ltm_min_int">#REF!</definedName>
    <definedName name="ORCTF_ltm_pref_div">#REF!</definedName>
    <definedName name="ORCTF_ltm_r_d">#REF!</definedName>
    <definedName name="ORCTF_ltm_rev">#REF!</definedName>
    <definedName name="ORCTF_ltm_sg_a">#REF!</definedName>
    <definedName name="ORCTF_ltm_tax">#REF!</definedName>
    <definedName name="ORCTF_ltm_tax_rate">#REF!</definedName>
    <definedName name="ORCTF_name">#REF!</definedName>
    <definedName name="ORCTF_o_debt_1">#REF!</definedName>
    <definedName name="ORCTF_o_debt_2">#REF!</definedName>
    <definedName name="ORCTF_o_debt_3">#REF!</definedName>
    <definedName name="ORCTF_option_n">#REF!</definedName>
    <definedName name="ORCTF_option_pr">#REF!</definedName>
    <definedName name="ORCTF_PQ_rev">#REF!</definedName>
    <definedName name="orctf_pr">#REF!</definedName>
    <definedName name="ORCTF_shares">#REF!</definedName>
    <definedName name="orctf_ticker">#REF!</definedName>
    <definedName name="ORCTF_total_dt">#REF!</definedName>
    <definedName name="ORCTF_YQ_ni">#REF!</definedName>
    <definedName name="ORCTF_YQ_rev">#REF!</definedName>
    <definedName name="Order_backlog">#REF!</definedName>
    <definedName name="Order_intake">#REF!</definedName>
    <definedName name="Ordinary_shareholders_funds">#REF!</definedName>
    <definedName name="Oth">#REF!</definedName>
    <definedName name="Oth_Amort">#REF!</definedName>
    <definedName name="Other_advances_driver">#REF!</definedName>
    <definedName name="Other_asset_turns">#REF!</definedName>
    <definedName name="Other_asset_turns_fore">#REF!</definedName>
    <definedName name="Other_Assets">#REF!</definedName>
    <definedName name="Other_business_corporate_write_offs">#REF!</definedName>
    <definedName name="other_costs">#REF!</definedName>
    <definedName name="other_curr_asset_driver">#REF!</definedName>
    <definedName name="Other_current_assets">#REF!</definedName>
    <definedName name="Other_current_assets_growth_fore">#REF!</definedName>
    <definedName name="Other_current_liabilities_growth_fore">#REF!</definedName>
    <definedName name="Other_dividends">#REF!</definedName>
    <definedName name="Other_earnings">#REF!</definedName>
    <definedName name="Other_Europe_w">#REF!</definedName>
    <definedName name="Other_Expenses">#REF!</definedName>
    <definedName name="Other_Expenses_fore">#REF!</definedName>
    <definedName name="Other_expenses_gains">#REF!</definedName>
    <definedName name="Other_expenses_gains_fore">#REF!</definedName>
    <definedName name="Other_expenses_growth_fore">#REF!</definedName>
    <definedName name="Other_fixed_asset_turns_fore">#REF!</definedName>
    <definedName name="Other_fixed_assets_growth_fore">#REF!</definedName>
    <definedName name="Other_growth_fore">#REF!</definedName>
    <definedName name="OTHER_INC">#REF!</definedName>
    <definedName name="Other_inc_exp_fore">#REF!</definedName>
    <definedName name="Other_income__expense">'[4]P&amp;L'!$B$56:$AH$56</definedName>
    <definedName name="Other_income_growth_fore">#REF!</definedName>
    <definedName name="Other_Intangibles">#REF!</definedName>
    <definedName name="Other_investments">#REF!</definedName>
    <definedName name="Other_items">#REF!</definedName>
    <definedName name="Other_items2">#REF!</definedName>
    <definedName name="Other_Liabilities">#REF!</definedName>
    <definedName name="Other_liabilities_growth_fore">#REF!</definedName>
    <definedName name="Other_LT_assets">#REF!</definedName>
    <definedName name="Other_non_current_assets">#REF!</definedName>
    <definedName name="Other_operating_profit">#REF!</definedName>
    <definedName name="Other_Pretax">#REF!</definedName>
    <definedName name="Other_Provisions">#REF!</definedName>
    <definedName name="Other_Reserves">#REF!</definedName>
    <definedName name="Other_Segment_Revenues">#REF!</definedName>
    <definedName name="other00">#REF!</definedName>
    <definedName name="other01">#REF!</definedName>
    <definedName name="other93">#REF!</definedName>
    <definedName name="other94">#REF!</definedName>
    <definedName name="other95">#REF!</definedName>
    <definedName name="other96">#REF!</definedName>
    <definedName name="other97">#REF!</definedName>
    <definedName name="other98">#REF!</definedName>
    <definedName name="other99">#REF!</definedName>
    <definedName name="OtherAmericas">#REF!</definedName>
    <definedName name="OtherCA">#REF!</definedName>
    <definedName name="OtherEurope">#REF!</definedName>
    <definedName name="OtherExEquityIncome">0</definedName>
    <definedName name="OtherExGainOnSale">0</definedName>
    <definedName name="OtherExInterestIncome">0</definedName>
    <definedName name="OtherExMinorityInterest">0</definedName>
    <definedName name="OtherExTotal">0</definedName>
    <definedName name="OtherPacificRim">#REF!</definedName>
    <definedName name="OthNonOp">#REF!</definedName>
    <definedName name="Output_area">#REF!</definedName>
    <definedName name="Output1_hook">#REF!</definedName>
    <definedName name="Output2_hook">#REF!</definedName>
    <definedName name="OWN">#REF!</definedName>
    <definedName name="P">#REF!</definedName>
    <definedName name="p_am_good">#REF!</definedName>
    <definedName name="P_CF_VALUE">#REF!</definedName>
    <definedName name="P_CF_VALUE_2001">#REF!</definedName>
    <definedName name="p_cost_of_sales">#REF!</definedName>
    <definedName name="P_E">#REF!</definedName>
    <definedName name="p_ebit">#REF!</definedName>
    <definedName name="p_exep_items">#REF!</definedName>
    <definedName name="p_extr_items">#REF!</definedName>
    <definedName name="p_gross_profit">#REF!</definedName>
    <definedName name="P_Income1">#REF!</definedName>
    <definedName name="P_Income2">#REF!</definedName>
    <definedName name="p_interest">#REF!</definedName>
    <definedName name="p_L">#REF!</definedName>
    <definedName name="p_min_intr">#REF!</definedName>
    <definedName name="p_n_op_prof">#REF!</definedName>
    <definedName name="p_net_prof">#REF!</definedName>
    <definedName name="p_net_sales">#REF!</definedName>
    <definedName name="p_op_prof">#REF!</definedName>
    <definedName name="p_oth_op_inc">#REF!</definedName>
    <definedName name="P_Product">#REF!</definedName>
    <definedName name="p_tax">#REF!</definedName>
    <definedName name="p_tax_percent">#REF!</definedName>
    <definedName name="P_Tear">#REF!</definedName>
    <definedName name="PACIFIC_NET">#REF!,#REF!,#REF!</definedName>
    <definedName name="PacificRim">#REF!</definedName>
    <definedName name="page1">#REF!</definedName>
    <definedName name="page14">#REF!</definedName>
    <definedName name="page15">#REF!</definedName>
    <definedName name="Page16">#REF!</definedName>
    <definedName name="Page1A">#REF!</definedName>
    <definedName name="page2">#REF!</definedName>
    <definedName name="PAGE3">#REF!</definedName>
    <definedName name="PAGE4">#REF!</definedName>
    <definedName name="PAGE5">#REF!</definedName>
    <definedName name="Page6">#REF!</definedName>
    <definedName name="PAGE7">#REF!</definedName>
    <definedName name="Page7a">#REF!</definedName>
    <definedName name="PAGE8">#REF!</definedName>
    <definedName name="Page9">#REF!</definedName>
    <definedName name="pai">#REF!</definedName>
    <definedName name="Paid_tax">#REF!</definedName>
    <definedName name="PAIR_10q_div">#REF!</definedName>
    <definedName name="PAIR_10q_shares">#REF!</definedName>
    <definedName name="pair_5_yr_est">#REF!</definedName>
    <definedName name="pair_52_wk">#REF!</definedName>
    <definedName name="PAIR_bk_cap">#REF!</definedName>
    <definedName name="PAIR_bk_equity">#REF!</definedName>
    <definedName name="PAIR_bs_conv_debt">#REF!</definedName>
    <definedName name="PAIR_bs_min_int">#REF!</definedName>
    <definedName name="PAIR_bs_pref">#REF!</definedName>
    <definedName name="PAIR_cash">#REF!</definedName>
    <definedName name="PAIR_code">#REF!</definedName>
    <definedName name="PAIR_conv_debt_pr">#REF!</definedName>
    <definedName name="PAIR_conv_pref_pr">#REF!</definedName>
    <definedName name="pair_curr">#REF!</definedName>
    <definedName name="PAIR_dil_shares">#REF!</definedName>
    <definedName name="pair_eps00">#REF!</definedName>
    <definedName name="pair_eps98">#REF!</definedName>
    <definedName name="pair_eps99">#REF!</definedName>
    <definedName name="PAIR_equity_mcap">#REF!</definedName>
    <definedName name="PAIR_fin_date">#REF!</definedName>
    <definedName name="PAIR_lev_mcap">#REF!</definedName>
    <definedName name="PAIR_LQ_ni">#REF!</definedName>
    <definedName name="PAIR_LQ_rev">#REF!</definedName>
    <definedName name="PAIR_lt_debt">#REF!</definedName>
    <definedName name="PAIR_ltm_a">#REF!</definedName>
    <definedName name="PAIR_ltm_cap_ex">#REF!</definedName>
    <definedName name="PAIR_ltm_cogs">#REF!</definedName>
    <definedName name="PAIR_ltm_csh_int">#REF!</definedName>
    <definedName name="PAIR_ltm_d">#REF!</definedName>
    <definedName name="PAIR_ltm_ebit">#REF!</definedName>
    <definedName name="PAIR_ltm_ebt">#REF!</definedName>
    <definedName name="PAIR_ltm_eps">#REF!</definedName>
    <definedName name="PAIR_ltm_inc_b_m">#REF!</definedName>
    <definedName name="PAIR_ltm_int">#REF!</definedName>
    <definedName name="PAIR_ltm_min_int">#REF!</definedName>
    <definedName name="PAIR_ltm_pref_div">#REF!</definedName>
    <definedName name="PAIR_ltm_r_d">#REF!</definedName>
    <definedName name="PAIR_ltm_rev">#REF!</definedName>
    <definedName name="PAIR_ltm_sg_a">#REF!</definedName>
    <definedName name="PAIR_ltm_tax">#REF!</definedName>
    <definedName name="PAIR_ltm_tax_rate">#REF!</definedName>
    <definedName name="PAIR_name">#REF!</definedName>
    <definedName name="PAIR_o_debt_1">#REF!</definedName>
    <definedName name="PAIR_o_debt_2">#REF!</definedName>
    <definedName name="PAIR_o_debt_3">#REF!</definedName>
    <definedName name="PAIR_option_n">#REF!</definedName>
    <definedName name="PAIR_option_pr">#REF!</definedName>
    <definedName name="PAIR_PQ_rev">#REF!</definedName>
    <definedName name="pair_pr">#REF!</definedName>
    <definedName name="PAIR_shares">#REF!</definedName>
    <definedName name="pair_ticker">#REF!</definedName>
    <definedName name="PAIR_total_dt">#REF!</definedName>
    <definedName name="PAIR_YQ_ni">#REF!</definedName>
    <definedName name="PAIR_YQ_rev">#REF!</definedName>
    <definedName name="PANr_AdjustedEV">#REF!</definedName>
    <definedName name="PANr_AssociatesMinorities">#REF!</definedName>
    <definedName name="PANr_UnleveredFCF">#REF!</definedName>
    <definedName name="ParanamCapacity">#REF!</definedName>
    <definedName name="Partial_year">#REF!</definedName>
    <definedName name="PAT">#REF!</definedName>
    <definedName name="PAT_1Q98">#REF!</definedName>
    <definedName name="PATG">#REF!</definedName>
    <definedName name="path">#REF!</definedName>
    <definedName name="PATS">#REF!</definedName>
    <definedName name="PavlodarCapacity">#REF!</definedName>
    <definedName name="payout_ratio">#REF!</definedName>
    <definedName name="Payout_ratio_on_underlying">#REF!</definedName>
    <definedName name="PB_00D">#REF!</definedName>
    <definedName name="PB_00J">#REF!</definedName>
    <definedName name="PB_00M">#REF!</definedName>
    <definedName name="PB_00S">#REF!</definedName>
    <definedName name="PB_01D">#REF!</definedName>
    <definedName name="PB_01J">#REF!</definedName>
    <definedName name="PB_01M">#REF!</definedName>
    <definedName name="PB_01S">#REF!</definedName>
    <definedName name="PB_02D">#REF!</definedName>
    <definedName name="PB_02J">#REF!</definedName>
    <definedName name="PB_02M">#REF!</definedName>
    <definedName name="PB_02S">#REF!</definedName>
    <definedName name="PB_03D">#REF!</definedName>
    <definedName name="PB_03J">#REF!</definedName>
    <definedName name="PB_03M">#REF!</definedName>
    <definedName name="PB_03S">#REF!</definedName>
    <definedName name="PB_04D">#REF!</definedName>
    <definedName name="PB_04J">#REF!</definedName>
    <definedName name="PB_04M">#REF!</definedName>
    <definedName name="PB_04S">#REF!</definedName>
    <definedName name="PB_05D">#REF!</definedName>
    <definedName name="PB_05J">#REF!</definedName>
    <definedName name="PB_05M">#REF!</definedName>
    <definedName name="PB_05S">#REF!</definedName>
    <definedName name="PB_06D">#REF!</definedName>
    <definedName name="PB_06J">#REF!</definedName>
    <definedName name="PB_06M">#REF!</definedName>
    <definedName name="PB_06S">#REF!</definedName>
    <definedName name="PB_07D">#REF!</definedName>
    <definedName name="PB_07J">#REF!</definedName>
    <definedName name="PB_07M">#REF!</definedName>
    <definedName name="PB_07S">#REF!</definedName>
    <definedName name="PB_08D">#REF!</definedName>
    <definedName name="PB_08J">#REF!</definedName>
    <definedName name="PB_08M">#REF!</definedName>
    <definedName name="PB_08S">#REF!</definedName>
    <definedName name="PB_09D">#REF!</definedName>
    <definedName name="PB_09J">#REF!</definedName>
    <definedName name="PB_09M">#REF!</definedName>
    <definedName name="PB_09S">#REF!</definedName>
    <definedName name="PB_10D">#REF!</definedName>
    <definedName name="PB_10J">#REF!</definedName>
    <definedName name="PB_10M">#REF!</definedName>
    <definedName name="PB_10S">#REF!</definedName>
    <definedName name="PB_11D">#REF!</definedName>
    <definedName name="PB_11J">#REF!</definedName>
    <definedName name="PB_11M">#REF!</definedName>
    <definedName name="PB_11S">#REF!</definedName>
    <definedName name="PB_12D">#REF!</definedName>
    <definedName name="PB_12J">#REF!</definedName>
    <definedName name="PB_12M">#REF!</definedName>
    <definedName name="PB_12S">#REF!</definedName>
    <definedName name="PB_13D">#REF!</definedName>
    <definedName name="PB_13J">#REF!</definedName>
    <definedName name="PB_13M">#REF!</definedName>
    <definedName name="PB_13S">#REF!</definedName>
    <definedName name="PB_14D">#REF!</definedName>
    <definedName name="PB_14J">#REF!</definedName>
    <definedName name="PB_14M">#REF!</definedName>
    <definedName name="PB_14S">#REF!</definedName>
    <definedName name="PB_15D">#REF!</definedName>
    <definedName name="PB_15J">#REF!</definedName>
    <definedName name="PB_15M">#REF!</definedName>
    <definedName name="PB_15S">#REF!</definedName>
    <definedName name="PB_16D">#REF!</definedName>
    <definedName name="PB_16J">#REF!</definedName>
    <definedName name="PB_16M">#REF!</definedName>
    <definedName name="PB_16S">#REF!</definedName>
    <definedName name="PB_17D">#REF!</definedName>
    <definedName name="PB_17J">#REF!</definedName>
    <definedName name="PB_17M">#REF!</definedName>
    <definedName name="PB_17S">#REF!</definedName>
    <definedName name="PB_18D">#REF!</definedName>
    <definedName name="PB_18J">#REF!</definedName>
    <definedName name="PB_18M">#REF!</definedName>
    <definedName name="PB_18S">#REF!</definedName>
    <definedName name="PB_19D">#REF!</definedName>
    <definedName name="PB_19J">#REF!</definedName>
    <definedName name="PB_19M">#REF!</definedName>
    <definedName name="PB_19S">#REF!</definedName>
    <definedName name="PB_20D">#REF!</definedName>
    <definedName name="PB_20J">#REF!</definedName>
    <definedName name="PB_20M">#REF!</definedName>
    <definedName name="PB_20S">#REF!</definedName>
    <definedName name="PB_21D">#REF!</definedName>
    <definedName name="PB_21J">#REF!</definedName>
    <definedName name="PB_21M">#REF!</definedName>
    <definedName name="PB_21S">#REF!</definedName>
    <definedName name="PB_22D">#REF!</definedName>
    <definedName name="PB_22J">#REF!</definedName>
    <definedName name="PB_22M">#REF!</definedName>
    <definedName name="PB_22S">#REF!</definedName>
    <definedName name="PB_23D">#REF!</definedName>
    <definedName name="PB_23J">#REF!</definedName>
    <definedName name="PB_23M">#REF!</definedName>
    <definedName name="PB_23S">#REF!</definedName>
    <definedName name="PB_24D">#REF!</definedName>
    <definedName name="PB_24J">#REF!</definedName>
    <definedName name="PB_24M">#REF!</definedName>
    <definedName name="PB_24S">#REF!</definedName>
    <definedName name="PB_25D">#REF!</definedName>
    <definedName name="PB_25J">#REF!</definedName>
    <definedName name="PB_25M">#REF!</definedName>
    <definedName name="PB_25S">#REF!</definedName>
    <definedName name="PB_87D">#REF!</definedName>
    <definedName name="PB_87J">#REF!</definedName>
    <definedName name="PB_87M">#REF!</definedName>
    <definedName name="PB_87S">#REF!</definedName>
    <definedName name="PB_88D">#REF!</definedName>
    <definedName name="PB_88J">#REF!</definedName>
    <definedName name="PB_88M">#REF!</definedName>
    <definedName name="PB_88S">#REF!</definedName>
    <definedName name="PB_89D">#REF!</definedName>
    <definedName name="PB_89J">#REF!</definedName>
    <definedName name="PB_89M">#REF!</definedName>
    <definedName name="PB_89S">#REF!</definedName>
    <definedName name="PB_90D">#REF!</definedName>
    <definedName name="PB_90J">#REF!</definedName>
    <definedName name="PB_90M">#REF!</definedName>
    <definedName name="PB_90S">#REF!</definedName>
    <definedName name="PB_91D">#REF!</definedName>
    <definedName name="PB_91J">#REF!</definedName>
    <definedName name="PB_91M">#REF!</definedName>
    <definedName name="PB_91S">#REF!</definedName>
    <definedName name="PB_92D">#REF!</definedName>
    <definedName name="PB_92J">#REF!</definedName>
    <definedName name="PB_92M">#REF!</definedName>
    <definedName name="PB_92S">#REF!</definedName>
    <definedName name="PB_93D">#REF!</definedName>
    <definedName name="PB_93J">#REF!</definedName>
    <definedName name="PB_93M">#REF!</definedName>
    <definedName name="PB_93S">#REF!</definedName>
    <definedName name="PB_94D">#REF!</definedName>
    <definedName name="PB_94J">#REF!</definedName>
    <definedName name="PB_94M">#REF!</definedName>
    <definedName name="PB_94S">#REF!</definedName>
    <definedName name="PB_95D">#REF!</definedName>
    <definedName name="PB_95J">#REF!</definedName>
    <definedName name="PB_95M">#REF!</definedName>
    <definedName name="PB_95S">#REF!</definedName>
    <definedName name="PB_96D">#REF!</definedName>
    <definedName name="PB_96J">#REF!</definedName>
    <definedName name="PB_96M">#REF!</definedName>
    <definedName name="PB_96S">#REF!</definedName>
    <definedName name="PB_97D">#REF!</definedName>
    <definedName name="PB_97J">#REF!</definedName>
    <definedName name="PB_97M">#REF!</definedName>
    <definedName name="PB_97S">#REF!</definedName>
    <definedName name="PB_98D">#REF!</definedName>
    <definedName name="PB_98J">#REF!</definedName>
    <definedName name="PB_98M">#REF!</definedName>
    <definedName name="PB_98S">#REF!</definedName>
    <definedName name="PB_99D">#REF!</definedName>
    <definedName name="PB_99J">#REF!</definedName>
    <definedName name="PB_99M">#REF!</definedName>
    <definedName name="PB_99S">#REF!</definedName>
    <definedName name="pb_fee_comm">#REF!</definedName>
    <definedName name="pb_loan_loss_prov">#REF!</definedName>
    <definedName name="PB_LT">#REF!</definedName>
    <definedName name="PB_OUT">#REF!</definedName>
    <definedName name="PB_Spot">#REF!</definedName>
    <definedName name="PB_TC_00C">#REF!</definedName>
    <definedName name="PB_TC_00D">#REF!</definedName>
    <definedName name="PB_TC_00F">#REF!</definedName>
    <definedName name="PB_TC_00J">#REF!</definedName>
    <definedName name="PB_TC_00M">#REF!</definedName>
    <definedName name="PB_TC_00O">#REF!</definedName>
    <definedName name="PB_TC_00S">#REF!</definedName>
    <definedName name="PB_TC_00T">#REF!</definedName>
    <definedName name="PB_TC_01C">#REF!</definedName>
    <definedName name="PB_TC_01D">#REF!</definedName>
    <definedName name="PB_TC_01F">#REF!</definedName>
    <definedName name="PB_TC_01J">#REF!</definedName>
    <definedName name="PB_TC_01M">#REF!</definedName>
    <definedName name="PB_TC_01O">#REF!</definedName>
    <definedName name="PB_TC_01S">#REF!</definedName>
    <definedName name="PB_TC_01T">#REF!</definedName>
    <definedName name="PB_TC_02C">#REF!</definedName>
    <definedName name="PB_TC_02D">#REF!</definedName>
    <definedName name="PB_TC_02F">#REF!</definedName>
    <definedName name="PB_TC_02J">#REF!</definedName>
    <definedName name="PB_TC_02M">#REF!</definedName>
    <definedName name="PB_TC_02O">#REF!</definedName>
    <definedName name="PB_TC_02S">#REF!</definedName>
    <definedName name="PB_TC_02T">#REF!</definedName>
    <definedName name="PB_TC_03C">#REF!</definedName>
    <definedName name="PB_TC_03D">#REF!</definedName>
    <definedName name="PB_TC_03F">#REF!</definedName>
    <definedName name="PB_TC_03J">#REF!</definedName>
    <definedName name="PB_TC_03M">#REF!</definedName>
    <definedName name="PB_TC_03O">#REF!</definedName>
    <definedName name="PB_TC_03S">#REF!</definedName>
    <definedName name="PB_TC_03T">#REF!</definedName>
    <definedName name="PB_TC_04C">#REF!</definedName>
    <definedName name="PB_TC_04D">#REF!</definedName>
    <definedName name="PB_TC_04F">#REF!</definedName>
    <definedName name="PB_TC_04J">#REF!</definedName>
    <definedName name="PB_TC_04M">#REF!</definedName>
    <definedName name="PB_TC_04O">#REF!</definedName>
    <definedName name="PB_TC_04S">#REF!</definedName>
    <definedName name="PB_TC_04T">#REF!</definedName>
    <definedName name="PB_TC_05C">#REF!</definedName>
    <definedName name="PB_TC_05D">#REF!</definedName>
    <definedName name="PB_TC_05F">#REF!</definedName>
    <definedName name="PB_TC_05J">#REF!</definedName>
    <definedName name="PB_TC_05M">#REF!</definedName>
    <definedName name="PB_TC_05O">#REF!</definedName>
    <definedName name="PB_TC_05S">#REF!</definedName>
    <definedName name="PB_TC_05T">#REF!</definedName>
    <definedName name="PB_TC_06C">#REF!</definedName>
    <definedName name="PB_TC_06D">#REF!</definedName>
    <definedName name="PB_TC_06F">#REF!</definedName>
    <definedName name="PB_TC_06J">#REF!</definedName>
    <definedName name="PB_TC_06M">#REF!</definedName>
    <definedName name="PB_TC_06O">#REF!</definedName>
    <definedName name="PB_TC_06S">#REF!</definedName>
    <definedName name="PB_TC_06T">#REF!</definedName>
    <definedName name="PB_TC_07C">#REF!</definedName>
    <definedName name="PB_TC_07D">#REF!</definedName>
    <definedName name="PB_TC_07F">#REF!</definedName>
    <definedName name="PB_TC_07J">#REF!</definedName>
    <definedName name="PB_TC_07M">#REF!</definedName>
    <definedName name="PB_TC_07O">#REF!</definedName>
    <definedName name="PB_TC_07S">#REF!</definedName>
    <definedName name="PB_TC_07T">#REF!</definedName>
    <definedName name="PB_TC_08C">#REF!</definedName>
    <definedName name="PB_TC_08D">#REF!</definedName>
    <definedName name="PB_TC_08F">#REF!</definedName>
    <definedName name="PB_TC_08J">#REF!</definedName>
    <definedName name="PB_TC_08M">#REF!</definedName>
    <definedName name="PB_TC_08O">#REF!</definedName>
    <definedName name="PB_TC_08S">#REF!</definedName>
    <definedName name="PB_TC_08T">#REF!</definedName>
    <definedName name="PB_TC_09C">#REF!</definedName>
    <definedName name="PB_TC_09D">#REF!</definedName>
    <definedName name="PB_TC_09F">#REF!</definedName>
    <definedName name="PB_TC_09J">#REF!</definedName>
    <definedName name="PB_TC_09M">#REF!</definedName>
    <definedName name="PB_TC_09O">#REF!</definedName>
    <definedName name="PB_TC_09S">#REF!</definedName>
    <definedName name="PB_TC_09T">#REF!</definedName>
    <definedName name="PB_TC_10C">#REF!</definedName>
    <definedName name="PB_TC_10D">#REF!</definedName>
    <definedName name="PB_TC_10F">#REF!</definedName>
    <definedName name="PB_TC_10J">#REF!</definedName>
    <definedName name="PB_TC_10M">#REF!</definedName>
    <definedName name="PB_TC_10O">#REF!</definedName>
    <definedName name="PB_TC_10S">#REF!</definedName>
    <definedName name="PB_TC_10T">#REF!</definedName>
    <definedName name="PB_TC_11C">#REF!</definedName>
    <definedName name="PB_TC_11D">#REF!</definedName>
    <definedName name="PB_TC_11F">#REF!</definedName>
    <definedName name="PB_TC_11J">#REF!</definedName>
    <definedName name="PB_TC_11M">#REF!</definedName>
    <definedName name="PB_TC_11O">#REF!</definedName>
    <definedName name="PB_TC_11S">#REF!</definedName>
    <definedName name="PB_TC_11T">#REF!</definedName>
    <definedName name="PB_TC_12C">#REF!</definedName>
    <definedName name="PB_TC_12D">#REF!</definedName>
    <definedName name="PB_TC_12F">#REF!</definedName>
    <definedName name="PB_TC_12J">#REF!</definedName>
    <definedName name="PB_TC_12M">#REF!</definedName>
    <definedName name="PB_TC_12O">#REF!</definedName>
    <definedName name="PB_TC_12S">#REF!</definedName>
    <definedName name="PB_TC_12T">#REF!</definedName>
    <definedName name="PB_TC_13C">#REF!</definedName>
    <definedName name="PB_TC_13D">#REF!</definedName>
    <definedName name="PB_TC_13F">#REF!</definedName>
    <definedName name="PB_TC_13J">#REF!</definedName>
    <definedName name="PB_TC_13M">#REF!</definedName>
    <definedName name="PB_TC_13O">#REF!</definedName>
    <definedName name="PB_TC_13S">#REF!</definedName>
    <definedName name="PB_TC_13T">#REF!</definedName>
    <definedName name="PB_TC_14C">#REF!</definedName>
    <definedName name="PB_TC_14D">#REF!</definedName>
    <definedName name="PB_TC_14F">#REF!</definedName>
    <definedName name="PB_TC_14J">#REF!</definedName>
    <definedName name="PB_TC_14M">#REF!</definedName>
    <definedName name="PB_TC_14O">#REF!</definedName>
    <definedName name="PB_TC_14S">#REF!</definedName>
    <definedName name="PB_TC_14T">#REF!</definedName>
    <definedName name="PB_TC_15C">#REF!</definedName>
    <definedName name="PB_TC_15D">#REF!</definedName>
    <definedName name="PB_TC_15F">#REF!</definedName>
    <definedName name="PB_TC_15J">#REF!</definedName>
    <definedName name="PB_TC_15M">#REF!</definedName>
    <definedName name="PB_TC_15O">#REF!</definedName>
    <definedName name="PB_TC_15S">#REF!</definedName>
    <definedName name="PB_TC_15T">#REF!</definedName>
    <definedName name="PB_TC_16C">#REF!</definedName>
    <definedName name="PB_TC_16D">#REF!</definedName>
    <definedName name="PB_TC_16F">#REF!</definedName>
    <definedName name="PB_TC_16J">#REF!</definedName>
    <definedName name="PB_TC_16M">#REF!</definedName>
    <definedName name="PB_TC_16O">#REF!</definedName>
    <definedName name="PB_TC_16S">#REF!</definedName>
    <definedName name="PB_TC_16T">#REF!</definedName>
    <definedName name="PB_TC_17C">#REF!</definedName>
    <definedName name="PB_TC_17D">#REF!</definedName>
    <definedName name="PB_TC_17F">#REF!</definedName>
    <definedName name="PB_TC_17J">#REF!</definedName>
    <definedName name="PB_TC_17M">#REF!</definedName>
    <definedName name="PB_TC_17O">#REF!</definedName>
    <definedName name="PB_TC_17S">#REF!</definedName>
    <definedName name="PB_TC_17T">#REF!</definedName>
    <definedName name="PB_TC_18C">#REF!</definedName>
    <definedName name="PB_TC_18D">#REF!</definedName>
    <definedName name="PB_TC_18F">#REF!</definedName>
    <definedName name="PB_TC_18J">#REF!</definedName>
    <definedName name="PB_TC_18M">#REF!</definedName>
    <definedName name="PB_TC_18O">#REF!</definedName>
    <definedName name="PB_TC_18S">#REF!</definedName>
    <definedName name="PB_TC_18T">#REF!</definedName>
    <definedName name="PB_TC_19C">#REF!</definedName>
    <definedName name="PB_TC_19D">#REF!</definedName>
    <definedName name="PB_TC_19F">#REF!</definedName>
    <definedName name="PB_TC_19J">#REF!</definedName>
    <definedName name="PB_TC_19M">#REF!</definedName>
    <definedName name="PB_TC_19O">#REF!</definedName>
    <definedName name="PB_TC_19S">#REF!</definedName>
    <definedName name="PB_TC_19T">#REF!</definedName>
    <definedName name="PB_TC_20C">#REF!</definedName>
    <definedName name="PB_TC_20D">#REF!</definedName>
    <definedName name="PB_TC_20F">#REF!</definedName>
    <definedName name="PB_TC_20J">#REF!</definedName>
    <definedName name="PB_TC_20M">#REF!</definedName>
    <definedName name="PB_TC_20O">#REF!</definedName>
    <definedName name="PB_TC_20S">#REF!</definedName>
    <definedName name="PB_TC_20T">#REF!</definedName>
    <definedName name="PB_TC_21C">#REF!</definedName>
    <definedName name="PB_TC_21D">#REF!</definedName>
    <definedName name="PB_TC_21F">#REF!</definedName>
    <definedName name="PB_TC_21J">#REF!</definedName>
    <definedName name="PB_TC_21M">#REF!</definedName>
    <definedName name="PB_TC_21O">#REF!</definedName>
    <definedName name="PB_TC_21S">#REF!</definedName>
    <definedName name="PB_TC_21T">#REF!</definedName>
    <definedName name="PB_TC_22C">#REF!</definedName>
    <definedName name="PB_TC_22D">#REF!</definedName>
    <definedName name="PB_TC_22F">#REF!</definedName>
    <definedName name="PB_TC_22J">#REF!</definedName>
    <definedName name="PB_TC_22M">#REF!</definedName>
    <definedName name="PB_TC_22O">#REF!</definedName>
    <definedName name="PB_TC_22S">#REF!</definedName>
    <definedName name="PB_TC_22T">#REF!</definedName>
    <definedName name="PB_TC_23C">#REF!</definedName>
    <definedName name="PB_TC_23D">#REF!</definedName>
    <definedName name="PB_TC_23F">#REF!</definedName>
    <definedName name="PB_TC_23J">#REF!</definedName>
    <definedName name="PB_TC_23M">#REF!</definedName>
    <definedName name="PB_TC_23O">#REF!</definedName>
    <definedName name="PB_TC_23S">#REF!</definedName>
    <definedName name="PB_TC_23T">#REF!</definedName>
    <definedName name="PB_TC_24C">#REF!</definedName>
    <definedName name="PB_TC_24D">#REF!</definedName>
    <definedName name="PB_TC_24F">#REF!</definedName>
    <definedName name="PB_TC_24J">#REF!</definedName>
    <definedName name="PB_TC_24M">#REF!</definedName>
    <definedName name="PB_TC_24O">#REF!</definedName>
    <definedName name="PB_TC_24S">#REF!</definedName>
    <definedName name="PB_TC_24T">#REF!</definedName>
    <definedName name="PB_TC_25C">#REF!</definedName>
    <definedName name="PB_TC_25D">#REF!</definedName>
    <definedName name="PB_TC_25F">#REF!</definedName>
    <definedName name="PB_TC_25J">#REF!</definedName>
    <definedName name="PB_TC_25M">#REF!</definedName>
    <definedName name="PB_TC_25O">#REF!</definedName>
    <definedName name="PB_TC_25S">#REF!</definedName>
    <definedName name="PB_TC_25T">#REF!</definedName>
    <definedName name="PB_TC_87C">#REF!</definedName>
    <definedName name="PB_TC_87D">#REF!</definedName>
    <definedName name="PB_TC_87J">#REF!</definedName>
    <definedName name="PB_TC_87M">#REF!</definedName>
    <definedName name="PB_TC_87O">#REF!</definedName>
    <definedName name="PB_TC_87S">#REF!</definedName>
    <definedName name="PB_TC_87T">#REF!</definedName>
    <definedName name="PB_TC_88C">#REF!</definedName>
    <definedName name="PB_TC_88D">#REF!</definedName>
    <definedName name="PB_TC_88F">#REF!</definedName>
    <definedName name="PB_TC_88J">#REF!</definedName>
    <definedName name="PB_TC_88M">#REF!</definedName>
    <definedName name="PB_TC_88O">#REF!</definedName>
    <definedName name="PB_TC_88S">#REF!</definedName>
    <definedName name="PB_TC_88T">#REF!</definedName>
    <definedName name="PB_TC_89C">#REF!</definedName>
    <definedName name="PB_TC_89D">#REF!</definedName>
    <definedName name="PB_TC_89F">#REF!</definedName>
    <definedName name="PB_TC_89J">#REF!</definedName>
    <definedName name="PB_TC_89M">#REF!</definedName>
    <definedName name="PB_TC_89O">#REF!</definedName>
    <definedName name="PB_TC_89S">#REF!</definedName>
    <definedName name="PB_TC_89T">#REF!</definedName>
    <definedName name="PB_TC_90C">#REF!</definedName>
    <definedName name="PB_TC_90D">#REF!</definedName>
    <definedName name="PB_TC_90F">#REF!</definedName>
    <definedName name="PB_TC_90J">#REF!</definedName>
    <definedName name="PB_TC_90M">#REF!</definedName>
    <definedName name="PB_TC_90O">#REF!</definedName>
    <definedName name="PB_TC_90S">#REF!</definedName>
    <definedName name="PB_TC_90T">#REF!</definedName>
    <definedName name="PB_TC_91C">#REF!</definedName>
    <definedName name="PB_TC_91D">#REF!</definedName>
    <definedName name="PB_TC_91F">#REF!</definedName>
    <definedName name="PB_TC_91J">#REF!</definedName>
    <definedName name="PB_TC_91M">#REF!</definedName>
    <definedName name="PB_TC_91O">#REF!</definedName>
    <definedName name="PB_TC_91S">#REF!</definedName>
    <definedName name="PB_TC_91T">#REF!</definedName>
    <definedName name="PB_TC_92C">#REF!</definedName>
    <definedName name="PB_TC_92D">#REF!</definedName>
    <definedName name="PB_TC_92F">#REF!</definedName>
    <definedName name="PB_TC_92J">#REF!</definedName>
    <definedName name="PB_TC_92M">#REF!</definedName>
    <definedName name="PB_TC_92O">#REF!</definedName>
    <definedName name="PB_TC_92S">#REF!</definedName>
    <definedName name="PB_TC_92T">#REF!</definedName>
    <definedName name="PB_TC_93C">#REF!</definedName>
    <definedName name="PB_TC_93D">#REF!</definedName>
    <definedName name="PB_TC_93F">#REF!</definedName>
    <definedName name="PB_TC_93J">#REF!</definedName>
    <definedName name="PB_TC_93M">#REF!</definedName>
    <definedName name="PB_TC_93O">#REF!</definedName>
    <definedName name="PB_TC_93S">#REF!</definedName>
    <definedName name="PB_TC_93T">#REF!</definedName>
    <definedName name="PB_TC_94C">#REF!</definedName>
    <definedName name="PB_TC_94D">#REF!</definedName>
    <definedName name="PB_TC_94F">#REF!</definedName>
    <definedName name="PB_TC_94J">#REF!</definedName>
    <definedName name="PB_TC_94M">#REF!</definedName>
    <definedName name="PB_TC_94O">#REF!</definedName>
    <definedName name="PB_TC_94S">#REF!</definedName>
    <definedName name="PB_TC_94T">#REF!</definedName>
    <definedName name="PB_TC_95C">#REF!</definedName>
    <definedName name="PB_TC_95D">#REF!</definedName>
    <definedName name="PB_TC_95F">#REF!</definedName>
    <definedName name="PB_TC_95J">#REF!</definedName>
    <definedName name="PB_TC_95M">#REF!</definedName>
    <definedName name="PB_TC_95O">#REF!</definedName>
    <definedName name="PB_TC_95S">#REF!</definedName>
    <definedName name="PB_TC_95T">#REF!</definedName>
    <definedName name="PB_TC_96C">#REF!</definedName>
    <definedName name="PB_TC_96D">#REF!</definedName>
    <definedName name="PB_TC_96F">#REF!</definedName>
    <definedName name="PB_TC_96J">#REF!</definedName>
    <definedName name="PB_TC_96M">#REF!</definedName>
    <definedName name="PB_TC_96O">#REF!</definedName>
    <definedName name="PB_TC_96S">#REF!</definedName>
    <definedName name="PB_TC_96T">#REF!</definedName>
    <definedName name="PB_TC_97C">#REF!</definedName>
    <definedName name="PB_TC_97D">#REF!</definedName>
    <definedName name="PB_TC_97F">#REF!</definedName>
    <definedName name="PB_TC_97J">#REF!</definedName>
    <definedName name="PB_TC_97M">#REF!</definedName>
    <definedName name="PB_TC_97O">#REF!</definedName>
    <definedName name="PB_TC_97S">#REF!</definedName>
    <definedName name="PB_TC_97T">#REF!</definedName>
    <definedName name="PB_TC_98C">#REF!</definedName>
    <definedName name="PB_TC_98D">#REF!</definedName>
    <definedName name="PB_TC_98F">#REF!</definedName>
    <definedName name="PB_TC_98J">#REF!</definedName>
    <definedName name="PB_TC_98M">#REF!</definedName>
    <definedName name="PB_TC_98O">#REF!</definedName>
    <definedName name="PB_TC_98S">#REF!</definedName>
    <definedName name="PB_TC_98T">#REF!</definedName>
    <definedName name="PB_TC_99C">#REF!</definedName>
    <definedName name="PB_TC_99D">#REF!</definedName>
    <definedName name="PB_TC_99F">#REF!</definedName>
    <definedName name="PB_TC_99J">#REF!</definedName>
    <definedName name="PB_TC_99M">#REF!</definedName>
    <definedName name="PB_TC_99O">#REF!</definedName>
    <definedName name="PB_TC_99S">#REF!</definedName>
    <definedName name="PB_TC_99T">#REF!</definedName>
    <definedName name="pb_tot_inc_banks">#REF!</definedName>
    <definedName name="pb_trad_inc">#REF!</definedName>
    <definedName name="pb_wd_sec">#REF!</definedName>
    <definedName name="PBT">#REF!</definedName>
    <definedName name="pbt.2000">#REF!</definedName>
    <definedName name="pbt.2001">#REF!</definedName>
    <definedName name="pbt.99">#REF!</definedName>
    <definedName name="PBTG">#REF!</definedName>
    <definedName name="PBTS">#REF!</definedName>
    <definedName name="pco">#REF!</definedName>
    <definedName name="PD">#REF!</definedName>
    <definedName name="pd_best">#REF!</definedName>
    <definedName name="pd_down">#REF!</definedName>
    <definedName name="PD_Q">#REF!</definedName>
    <definedName name="PD_RNK_index">#REF!</definedName>
    <definedName name="pd_sd_per">#REF!</definedName>
    <definedName name="PD_UD_index">#REF!</definedName>
    <definedName name="pd_up">#REF!</definedName>
    <definedName name="pd_worst">#REF!</definedName>
    <definedName name="Pdate">35902</definedName>
    <definedName name="pdp">#REF!</definedName>
    <definedName name="PE">#REF!</definedName>
    <definedName name="PE_2004">#REF!</definedName>
    <definedName name="PE_2005">#REF!</definedName>
    <definedName name="PE_2006">#REF!</definedName>
    <definedName name="PE_rel">#REF!</definedName>
    <definedName name="PE00">#REF!</definedName>
    <definedName name="peb">#REF!</definedName>
    <definedName name="pei">#REF!</definedName>
    <definedName name="Pension_provisions">#REF!</definedName>
    <definedName name="PensionProv">#REF!</definedName>
    <definedName name="perc">{"0.85","0.875","0.9","0.925","0.95","0.975","1","1.025","1.05","1.075","1.1","1.125","1.15"}</definedName>
    <definedName name="Percent_change">#REF!</definedName>
    <definedName name="Percent_change2">#REF!</definedName>
    <definedName name="PerformanceDPS">#REF!</definedName>
    <definedName name="PeriodGrowth">[17]绝对估值!$C$5</definedName>
    <definedName name="Perpetual_growth">#REF!</definedName>
    <definedName name="Perpetuity">#REF!</definedName>
    <definedName name="pet">#REF!</definedName>
    <definedName name="PFCF">#REF!</definedName>
    <definedName name="pfddiv94">#REF!</definedName>
    <definedName name="pfddiv95">#REF!</definedName>
    <definedName name="pfddiv96">#REF!</definedName>
    <definedName name="pfddiv97">#REF!</definedName>
    <definedName name="PFPRICE">#REF!</definedName>
    <definedName name="PFPRICE2">#REF!</definedName>
    <definedName name="pfx">#REF!</definedName>
    <definedName name="pga">#REF!</definedName>
    <definedName name="PGEX_5YRGROWTH">#REF!</definedName>
    <definedName name="pgp">#REF!</definedName>
    <definedName name="ph_asean">#REF!</definedName>
    <definedName name="ph_asean5">#REF!</definedName>
    <definedName name="ph_asia">#REF!</definedName>
    <definedName name="Pharma1">#REF!</definedName>
    <definedName name="phone">phone</definedName>
    <definedName name="pi_inv_inc">#REF!</definedName>
    <definedName name="pi_life_prof">#REF!</definedName>
    <definedName name="pi_nl_claims">#REF!</definedName>
    <definedName name="pi_nl_prem_inc">#REF!</definedName>
    <definedName name="pi_nl_prof">#REF!</definedName>
    <definedName name="pi_nl_uw_res">#REF!</definedName>
    <definedName name="pie">#REF!</definedName>
    <definedName name="pii">#REF!</definedName>
    <definedName name="pin">#REF!</definedName>
    <definedName name="Pingguo">#REF!</definedName>
    <definedName name="PingguoCapacity">#REF!</definedName>
    <definedName name="PinjarraCapacity">#REF!</definedName>
    <definedName name="pl">#REF!</definedName>
    <definedName name="PL_00">#REF!</definedName>
    <definedName name="PL_01">#REF!</definedName>
    <definedName name="PL_02">#REF!</definedName>
    <definedName name="PL_03">#REF!</definedName>
    <definedName name="PL_04">#REF!</definedName>
    <definedName name="PL_05">#REF!</definedName>
    <definedName name="PL_06">#REF!</definedName>
    <definedName name="PL_07">#REF!</definedName>
    <definedName name="PL_08">#REF!</definedName>
    <definedName name="PL_09">#REF!</definedName>
    <definedName name="PL_10">#REF!</definedName>
    <definedName name="PL_11">#REF!</definedName>
    <definedName name="PL_12">#REF!</definedName>
    <definedName name="PL_13">#REF!</definedName>
    <definedName name="PL_95">#REF!</definedName>
    <definedName name="PL_96">#REF!</definedName>
    <definedName name="PL_97">#REF!</definedName>
    <definedName name="PL_98">#REF!</definedName>
    <definedName name="PL_99">#REF!</definedName>
    <definedName name="PL_Amort_Gwill">#REF!</definedName>
    <definedName name="PL_ASSOC">#REF!</definedName>
    <definedName name="PL_COGS">#REF!</definedName>
    <definedName name="PL_Costs_SGA">#REF!</definedName>
    <definedName name="PL_DPS_Pref">#REF!</definedName>
    <definedName name="PL_EBIT">#REF!</definedName>
    <definedName name="PL_EBIT_Assoc">#REF!</definedName>
    <definedName name="PL_EPS_Ord">#REF!</definedName>
    <definedName name="PL_Excep_Op_PreTax">#REF!</definedName>
    <definedName name="PL_FADisposal">#REF!</definedName>
    <definedName name="PL_Fin_Inc">#REF!</definedName>
    <definedName name="PL_Int_Exp">#REF!</definedName>
    <definedName name="PL_Int_Inc">#REF!</definedName>
    <definedName name="PL_Min_Int">#REF!</definedName>
    <definedName name="PL_Net_Profit">#REF!</definedName>
    <definedName name="PL_Net_Profit_Pre_Excep">#REF!</definedName>
    <definedName name="PL_PBT_Adjusted">#REF!</definedName>
    <definedName name="PL_Reserves">#REF!</definedName>
    <definedName name="PL_Shares_Ord">#REF!</definedName>
    <definedName name="PL_Shares_Pref">#REF!</definedName>
    <definedName name="PL_Tax">#REF!</definedName>
    <definedName name="PL_Turnover">#REF!</definedName>
    <definedName name="PLA">#REF!</definedName>
    <definedName name="Plant____Eqipment">#REF!</definedName>
    <definedName name="plant_table">#REF!</definedName>
    <definedName name="Plants">#REF!</definedName>
    <definedName name="plep">#REF!</definedName>
    <definedName name="PLFULL">#REF!</definedName>
    <definedName name="PLN">#REF!</definedName>
    <definedName name="PLQ">#REF!</definedName>
    <definedName name="PLR">#REF!</definedName>
    <definedName name="pm">#REF!</definedName>
    <definedName name="PM_Pots">#REF!</definedName>
    <definedName name="pmi">#REF!</definedName>
    <definedName name="pname">[28]Cover!$C$13</definedName>
    <definedName name="PNL_corp_ohead">#REF!</definedName>
    <definedName name="PNL_extraordinary_items">#REF!</definedName>
    <definedName name="PNL_forex">#REF!</definedName>
    <definedName name="PNL_noOP_income">#REF!</definedName>
    <definedName name="PNL_other_income">#REF!</definedName>
    <definedName name="PNL_Other_revs">#REF!</definedName>
    <definedName name="pnp">#REF!</definedName>
    <definedName name="Pocos_de_Caldas">#REF!</definedName>
    <definedName name="Podgorica">#REF!</definedName>
    <definedName name="poi">#REF!</definedName>
    <definedName name="Point_Henry">#REF!</definedName>
    <definedName name="Poly">#REF!</definedName>
    <definedName name="pooling_Premium">25%</definedName>
    <definedName name="pop">#REF!</definedName>
    <definedName name="pops">#REF!</definedName>
    <definedName name="pops02">#REF!</definedName>
    <definedName name="Portland">#REF!</definedName>
    <definedName name="Porto_Vesme">#REF!</definedName>
    <definedName name="PortoVesmeCapacity">#REF!</definedName>
    <definedName name="Post_tax_stock_gains_losses">#REF!</definedName>
    <definedName name="Post_vs_pretax">#REF!</definedName>
    <definedName name="PPE">#REF!</definedName>
    <definedName name="ppe_capex">#REF!</definedName>
    <definedName name="PPE_depreciation">#REF!</definedName>
    <definedName name="PPnE_turns_fore">#REF!</definedName>
    <definedName name="ppr">#REF!</definedName>
    <definedName name="ppt" localSheetId="2">#REF!</definedName>
    <definedName name="PPT" localSheetId="1" hidden="1">{#N/A,#N/A,FALSE,"Chart 2 by Prop Type"}</definedName>
    <definedName name="PPT" hidden="1">{#N/A,#N/A,FALSE,"Chart 2 by Prop Type"}</definedName>
    <definedName name="PRDATA">#REF!</definedName>
    <definedName name="pre">#REF!</definedName>
    <definedName name="PRE_EPS">#REF!</definedName>
    <definedName name="PRE_NP">#REF!</definedName>
    <definedName name="pre_or_net_profits">#REF!</definedName>
    <definedName name="PREF_DIV">#REF!</definedName>
    <definedName name="Preference">#REF!</definedName>
    <definedName name="Preference_Dividends">#REF!</definedName>
    <definedName name="Preference_shares">#REF!</definedName>
    <definedName name="Preferred_stock">#REF!</definedName>
    <definedName name="Preferred_stock_growth_fore">#REF!</definedName>
    <definedName name="PREL86">#REF!</definedName>
    <definedName name="PREL87">#REF!</definedName>
    <definedName name="PREL88">#REF!</definedName>
    <definedName name="PREL89">#REF!</definedName>
    <definedName name="PREL90">#REF!</definedName>
    <definedName name="PREL91">#REF!</definedName>
    <definedName name="PREL92">#REF!</definedName>
    <definedName name="PREL93">#REF!</definedName>
    <definedName name="PREL94">#REF!</definedName>
    <definedName name="PREL95">#REF!</definedName>
    <definedName name="PREL96">#REF!</definedName>
    <definedName name="PREL97">#REF!</definedName>
    <definedName name="PREL98">#REF!</definedName>
    <definedName name="PREL99">#REF!</definedName>
    <definedName name="Premium_disc_to_NAV">#REF!</definedName>
    <definedName name="PRENL86">#REF!</definedName>
    <definedName name="PRENL87">#REF!</definedName>
    <definedName name="PRENL88">#REF!</definedName>
    <definedName name="PRENL89">#REF!</definedName>
    <definedName name="PRENL90">#REF!</definedName>
    <definedName name="PRENL91">#REF!</definedName>
    <definedName name="PRENL92">#REF!</definedName>
    <definedName name="PRENL93">#REF!</definedName>
    <definedName name="PRENL94">#REF!</definedName>
    <definedName name="PRENL95">#REF!</definedName>
    <definedName name="PRENL96">#REF!</definedName>
    <definedName name="PRENL97">#REF!</definedName>
    <definedName name="PRENL98">#REF!</definedName>
    <definedName name="PRENL99">#REF!</definedName>
    <definedName name="Prepaid_expenses">#REF!</definedName>
    <definedName name="Present_Value_Oper_lease">#REF!</definedName>
    <definedName name="PRETAX">#REF!</definedName>
    <definedName name="Pretax_income">#REF!</definedName>
    <definedName name="Pretax_income_fore">#REF!</definedName>
    <definedName name="Pretax_Profit">#REF!</definedName>
    <definedName name="Pretax_Profit_Template">#REF!</definedName>
    <definedName name="pretax91">#REF!</definedName>
    <definedName name="pretax92">#REF!</definedName>
    <definedName name="pretax93">#REF!</definedName>
    <definedName name="pretax94">#REF!</definedName>
    <definedName name="pretax95a">#REF!</definedName>
    <definedName name="pretax95e">#REF!</definedName>
    <definedName name="pretax96">#REF!</definedName>
    <definedName name="PREV_NETCASH">#REF!</definedName>
    <definedName name="prevreclist">#REF!</definedName>
    <definedName name="prevtarget">#REF!</definedName>
    <definedName name="price">#REF!</definedName>
    <definedName name="price_assumpt">#REF!</definedName>
    <definedName name="Price_ce">#REF!</definedName>
    <definedName name="price_date">36098</definedName>
    <definedName name="price_growth00">#REF!</definedName>
    <definedName name="price_growth98">#REF!</definedName>
    <definedName name="price_growth99">#REF!</definedName>
    <definedName name="price_history_table">#REF!</definedName>
    <definedName name="Price_Implied_Cost_of_Equity">#REF!</definedName>
    <definedName name="PRICE_INF_01D">#REF!</definedName>
    <definedName name="PRICE_INF_01J">#REF!</definedName>
    <definedName name="PRICE_INF_01M">#REF!</definedName>
    <definedName name="PRICE_INF_01S">#REF!</definedName>
    <definedName name="PRICE_INF_02D">#REF!</definedName>
    <definedName name="PRICE_INF_02J">#REF!</definedName>
    <definedName name="PRICE_INF_02M">#REF!</definedName>
    <definedName name="PRICE_INF_02S">#REF!</definedName>
    <definedName name="PRICE_INF_03D">#REF!</definedName>
    <definedName name="PRICE_INF_03J">#REF!</definedName>
    <definedName name="PRICE_INF_03M">#REF!</definedName>
    <definedName name="PRICE_INF_03S">#REF!</definedName>
    <definedName name="PRICE_INF_04D">#REF!</definedName>
    <definedName name="PRICE_INF_04J">#REF!</definedName>
    <definedName name="PRICE_INF_04M">#REF!</definedName>
    <definedName name="PRICE_INF_04S">#REF!</definedName>
    <definedName name="PRICE_INF_05D">#REF!</definedName>
    <definedName name="PRICE_INF_05J">#REF!</definedName>
    <definedName name="PRICE_INF_05M">#REF!</definedName>
    <definedName name="PRICE_INF_05S">#REF!</definedName>
    <definedName name="PRICE_INF_06D">#REF!</definedName>
    <definedName name="PRICE_INF_06J">#REF!</definedName>
    <definedName name="PRICE_INF_06M">#REF!</definedName>
    <definedName name="PRICE_INF_06S">#REF!</definedName>
    <definedName name="PRICE_INF_07D">#REF!</definedName>
    <definedName name="PRICE_INF_07J">#REF!</definedName>
    <definedName name="PRICE_INF_07M">#REF!</definedName>
    <definedName name="PRICE_INF_07S">#REF!</definedName>
    <definedName name="PRICE_INF_08D">#REF!</definedName>
    <definedName name="PRICE_INF_08J">#REF!</definedName>
    <definedName name="PRICE_INF_08M">#REF!</definedName>
    <definedName name="PRICE_INF_08S">#REF!</definedName>
    <definedName name="PRICE_INF_09D">#REF!</definedName>
    <definedName name="PRICE_INF_09J">#REF!</definedName>
    <definedName name="PRICE_INF_09M">#REF!</definedName>
    <definedName name="PRICE_INF_09S">#REF!</definedName>
    <definedName name="PRICE_INF_10D">#REF!</definedName>
    <definedName name="PRICE_INF_10J">#REF!</definedName>
    <definedName name="PRICE_INF_10M">#REF!</definedName>
    <definedName name="PRICE_INF_10S">#REF!</definedName>
    <definedName name="PRICE_INF_11D">#REF!</definedName>
    <definedName name="PRICE_INF_11J">#REF!</definedName>
    <definedName name="PRICE_INF_11M">#REF!</definedName>
    <definedName name="PRICE_INF_11S">#REF!</definedName>
    <definedName name="PRICE_INF_12D">#REF!</definedName>
    <definedName name="PRICE_INF_12J">#REF!</definedName>
    <definedName name="PRICE_INF_12M">#REF!</definedName>
    <definedName name="PRICE_INF_12S">#REF!</definedName>
    <definedName name="PRICE_INF_13D">#REF!</definedName>
    <definedName name="PRICE_INF_13J">#REF!</definedName>
    <definedName name="PRICE_INF_13M">#REF!</definedName>
    <definedName name="PRICE_INF_13S">#REF!</definedName>
    <definedName name="PRICE_INF_14D">#REF!</definedName>
    <definedName name="PRICE_INF_14J">#REF!</definedName>
    <definedName name="PRICE_INF_14M">#REF!</definedName>
    <definedName name="PRICE_INF_14S">#REF!</definedName>
    <definedName name="PRICE_INF_15D">#REF!</definedName>
    <definedName name="PRICE_INF_15J">#REF!</definedName>
    <definedName name="PRICE_INF_15M">#REF!</definedName>
    <definedName name="PRICE_INF_15S">#REF!</definedName>
    <definedName name="PRICE_INF_16D">#REF!</definedName>
    <definedName name="PRICE_INF_16J">#REF!</definedName>
    <definedName name="PRICE_INF_16M">#REF!</definedName>
    <definedName name="PRICE_INF_16S">#REF!</definedName>
    <definedName name="PRICE_INF_17D">#REF!</definedName>
    <definedName name="PRICE_INF_17J">#REF!</definedName>
    <definedName name="PRICE_INF_17M">#REF!</definedName>
    <definedName name="PRICE_INF_17S">#REF!</definedName>
    <definedName name="PRICE_INF_18D">#REF!</definedName>
    <definedName name="PRICE_INF_18J">#REF!</definedName>
    <definedName name="PRICE_INF_18M">#REF!</definedName>
    <definedName name="PRICE_INF_18S">#REF!</definedName>
    <definedName name="PRICE_INF_19D">#REF!</definedName>
    <definedName name="PRICE_INF_19J">#REF!</definedName>
    <definedName name="PRICE_INF_19M">#REF!</definedName>
    <definedName name="PRICE_INF_19S">#REF!</definedName>
    <definedName name="PRICE_INF_20D">#REF!</definedName>
    <definedName name="PRICE_INF_20J">#REF!</definedName>
    <definedName name="PRICE_INF_20M">#REF!</definedName>
    <definedName name="PRICE_INF_20S">#REF!</definedName>
    <definedName name="PRICE_INF_21D">#REF!</definedName>
    <definedName name="PRICE_INF_21J">#REF!</definedName>
    <definedName name="PRICE_INF_21M">#REF!</definedName>
    <definedName name="PRICE_INF_21S">#REF!</definedName>
    <definedName name="PRICE_INF_22D">#REF!</definedName>
    <definedName name="PRICE_INF_22J">#REF!</definedName>
    <definedName name="PRICE_INF_22M">#REF!</definedName>
    <definedName name="PRICE_INF_22S">#REF!</definedName>
    <definedName name="PRICE_INF_23D">#REF!</definedName>
    <definedName name="PRICE_INF_23J">#REF!</definedName>
    <definedName name="PRICE_INF_23M">#REF!</definedName>
    <definedName name="PRICE_INF_23S">#REF!</definedName>
    <definedName name="PRICE_INF_24D">#REF!</definedName>
    <definedName name="PRICE_INF_24J">#REF!</definedName>
    <definedName name="PRICE_INF_24M">#REF!</definedName>
    <definedName name="PRICE_INF_24S">#REF!</definedName>
    <definedName name="PRICE_INF_25D">#REF!</definedName>
    <definedName name="PRICE_INF_25J">#REF!</definedName>
    <definedName name="PRICE_INF_25M">#REF!</definedName>
    <definedName name="PRICE_INF_25S">#REF!</definedName>
    <definedName name="PRICE_INF_87D">#REF!</definedName>
    <definedName name="PRICE_INF_87J">#REF!</definedName>
    <definedName name="PRICE_INF_87M">#REF!</definedName>
    <definedName name="PRICE_INF_87S">#REF!</definedName>
    <definedName name="PRICE_INF_88D">#REF!</definedName>
    <definedName name="PRICE_INF_88J">#REF!</definedName>
    <definedName name="PRICE_INF_88M">#REF!</definedName>
    <definedName name="PRICE_INF_88S">#REF!</definedName>
    <definedName name="PRICE_INF_89D">#REF!</definedName>
    <definedName name="PRICE_INF_89J">#REF!</definedName>
    <definedName name="PRICE_INF_89M">#REF!</definedName>
    <definedName name="PRICE_INF_89S">#REF!</definedName>
    <definedName name="PRICE_INF_90D">#REF!</definedName>
    <definedName name="PRICE_INF_90J">#REF!</definedName>
    <definedName name="PRICE_INF_90M">#REF!</definedName>
    <definedName name="PRICE_INF_90S">#REF!</definedName>
    <definedName name="PRICE_INF_91D">#REF!</definedName>
    <definedName name="PRICE_INF_91J">#REF!</definedName>
    <definedName name="PRICE_INF_91M">#REF!</definedName>
    <definedName name="PRICE_INF_91S">#REF!</definedName>
    <definedName name="PRICE_INF_92D">#REF!</definedName>
    <definedName name="PRICE_INF_92J">#REF!</definedName>
    <definedName name="PRICE_INF_92M">#REF!</definedName>
    <definedName name="PRICE_INF_92S">#REF!</definedName>
    <definedName name="PRICE_INF_93D">#REF!</definedName>
    <definedName name="PRICE_INF_93J">#REF!</definedName>
    <definedName name="PRICE_INF_93M">#REF!</definedName>
    <definedName name="PRICE_INF_93S">#REF!</definedName>
    <definedName name="PRICE_INF_94D">#REF!</definedName>
    <definedName name="PRICE_INF_94J">#REF!</definedName>
    <definedName name="PRICE_INF_94M">#REF!</definedName>
    <definedName name="PRICE_INF_94S">#REF!</definedName>
    <definedName name="PRICE_INF_95D">#REF!</definedName>
    <definedName name="PRICE_INF_95J">#REF!</definedName>
    <definedName name="PRICE_INF_95M">#REF!</definedName>
    <definedName name="PRICE_INF_95S">#REF!</definedName>
    <definedName name="PRICE_INF_96D">#REF!</definedName>
    <definedName name="PRICE_INF_96J">#REF!</definedName>
    <definedName name="PRICE_INF_96M">#REF!</definedName>
    <definedName name="PRICE_INF_96S">#REF!</definedName>
    <definedName name="PRICE_INF_97D">#REF!</definedName>
    <definedName name="PRICE_INF_97J">#REF!</definedName>
    <definedName name="PRICE_INF_97M">#REF!</definedName>
    <definedName name="PRICE_INF_97S">#REF!</definedName>
    <definedName name="PRICE_INF_98D">#REF!</definedName>
    <definedName name="PRICE_INF_98J">#REF!</definedName>
    <definedName name="PRICE_INF_98M">#REF!</definedName>
    <definedName name="PRICE_INF_98S">#REF!</definedName>
    <definedName name="PRICE_INF_99D">#REF!</definedName>
    <definedName name="PRICE_INF_99J">#REF!</definedName>
    <definedName name="PRICE_INF_99M">#REF!</definedName>
    <definedName name="PRICE_INF_99S">#REF!</definedName>
    <definedName name="Price_inf_aux1_00D">#REF!</definedName>
    <definedName name="Price_inf_aux1_00J">#REF!</definedName>
    <definedName name="Price_inf_aux1_00M">#REF!</definedName>
    <definedName name="Price_inf_aux1_00S">#REF!</definedName>
    <definedName name="Price_inf_aux1_01D">#REF!</definedName>
    <definedName name="Price_inf_aux1_01J">#REF!</definedName>
    <definedName name="Price_inf_aux1_01M">#REF!</definedName>
    <definedName name="Price_inf_aux1_01S">#REF!</definedName>
    <definedName name="Price_inf_aux1_02D">#REF!</definedName>
    <definedName name="Price_inf_aux1_02J">#REF!</definedName>
    <definedName name="Price_inf_aux1_02M">#REF!</definedName>
    <definedName name="Price_inf_aux1_02S">#REF!</definedName>
    <definedName name="Price_inf_aux1_03D">#REF!</definedName>
    <definedName name="Price_inf_aux1_03J">#REF!</definedName>
    <definedName name="Price_inf_aux1_03M">#REF!</definedName>
    <definedName name="Price_inf_aux1_03S">#REF!</definedName>
    <definedName name="Price_inf_aux1_04D">#REF!</definedName>
    <definedName name="Price_inf_aux1_04J">#REF!</definedName>
    <definedName name="Price_inf_aux1_04M">#REF!</definedName>
    <definedName name="Price_inf_aux1_04S">#REF!</definedName>
    <definedName name="Price_inf_aux1_05D">#REF!</definedName>
    <definedName name="Price_inf_aux1_05J">#REF!</definedName>
    <definedName name="Price_inf_aux1_05M">#REF!</definedName>
    <definedName name="Price_inf_aux1_05S">#REF!</definedName>
    <definedName name="Price_inf_aux1_06D">#REF!</definedName>
    <definedName name="Price_inf_aux1_06J">#REF!</definedName>
    <definedName name="Price_inf_aux1_06M">#REF!</definedName>
    <definedName name="Price_inf_aux1_06S">#REF!</definedName>
    <definedName name="Price_inf_aux1_07D">#REF!</definedName>
    <definedName name="Price_inf_aux1_07J">#REF!</definedName>
    <definedName name="Price_inf_aux1_07M">#REF!</definedName>
    <definedName name="Price_inf_aux1_07S">#REF!</definedName>
    <definedName name="Price_inf_aux1_08D">#REF!</definedName>
    <definedName name="Price_inf_aux1_08J">#REF!</definedName>
    <definedName name="Price_inf_aux1_08M">#REF!</definedName>
    <definedName name="Price_inf_aux1_08S">#REF!</definedName>
    <definedName name="Price_inf_aux1_09D">#REF!</definedName>
    <definedName name="Price_inf_aux1_09J">#REF!</definedName>
    <definedName name="Price_inf_aux1_09M">#REF!</definedName>
    <definedName name="Price_inf_aux1_09S">#REF!</definedName>
    <definedName name="Price_inf_aux1_10D">#REF!</definedName>
    <definedName name="Price_inf_aux1_10J">#REF!</definedName>
    <definedName name="Price_inf_aux1_10M">#REF!</definedName>
    <definedName name="Price_inf_aux1_10S">#REF!</definedName>
    <definedName name="Price_inf_aux1_11D">#REF!</definedName>
    <definedName name="Price_inf_aux1_11J">#REF!</definedName>
    <definedName name="Price_inf_aux1_11M">#REF!</definedName>
    <definedName name="Price_inf_aux1_11S">#REF!</definedName>
    <definedName name="Price_inf_aux1_12D">#REF!</definedName>
    <definedName name="Price_inf_aux1_12J">#REF!</definedName>
    <definedName name="Price_inf_aux1_12M">#REF!</definedName>
    <definedName name="Price_inf_aux1_12S">#REF!</definedName>
    <definedName name="Price_inf_aux1_13D">#REF!</definedName>
    <definedName name="Price_inf_aux1_13J">#REF!</definedName>
    <definedName name="Price_inf_aux1_13M">#REF!</definedName>
    <definedName name="Price_inf_aux1_13S">#REF!</definedName>
    <definedName name="Price_inf_aux1_14D">#REF!</definedName>
    <definedName name="Price_inf_aux1_14J">#REF!</definedName>
    <definedName name="Price_inf_aux1_14M">#REF!</definedName>
    <definedName name="Price_inf_aux1_14S">#REF!</definedName>
    <definedName name="Price_inf_aux1_15D">#REF!</definedName>
    <definedName name="Price_inf_aux1_15J">#REF!</definedName>
    <definedName name="Price_inf_aux1_15M">#REF!</definedName>
    <definedName name="Price_inf_aux1_15S">#REF!</definedName>
    <definedName name="Price_inf_aux1_16D">#REF!</definedName>
    <definedName name="Price_inf_aux1_16J">#REF!</definedName>
    <definedName name="Price_inf_aux1_16M">#REF!</definedName>
    <definedName name="Price_inf_aux1_16S">#REF!</definedName>
    <definedName name="Price_inf_aux1_17D">#REF!</definedName>
    <definedName name="Price_inf_aux1_17J">#REF!</definedName>
    <definedName name="Price_inf_aux1_17M">#REF!</definedName>
    <definedName name="Price_inf_aux1_17S">#REF!</definedName>
    <definedName name="Price_inf_aux1_18D">#REF!</definedName>
    <definedName name="Price_inf_aux1_18J">#REF!</definedName>
    <definedName name="Price_inf_aux1_18M">#REF!</definedName>
    <definedName name="Price_inf_aux1_18S">#REF!</definedName>
    <definedName name="Price_inf_aux1_19D">#REF!</definedName>
    <definedName name="Price_inf_aux1_19J">#REF!</definedName>
    <definedName name="Price_inf_aux1_19M">#REF!</definedName>
    <definedName name="Price_inf_aux1_19S">#REF!</definedName>
    <definedName name="Price_inf_aux1_20D">#REF!</definedName>
    <definedName name="Price_inf_aux1_20J">#REF!</definedName>
    <definedName name="Price_inf_aux1_20M">#REF!</definedName>
    <definedName name="Price_inf_aux1_20S">#REF!</definedName>
    <definedName name="Price_inf_aux1_21D">#REF!</definedName>
    <definedName name="Price_inf_aux1_21J">#REF!</definedName>
    <definedName name="Price_inf_aux1_21M">#REF!</definedName>
    <definedName name="Price_inf_aux1_21S">#REF!</definedName>
    <definedName name="Price_inf_aux1_22D">#REF!</definedName>
    <definedName name="Price_inf_aux1_22J">#REF!</definedName>
    <definedName name="Price_inf_aux1_22M">#REF!</definedName>
    <definedName name="Price_inf_aux1_22S">#REF!</definedName>
    <definedName name="Price_inf_aux1_23D">#REF!</definedName>
    <definedName name="Price_inf_aux1_23J">#REF!</definedName>
    <definedName name="Price_inf_aux1_23M">#REF!</definedName>
    <definedName name="Price_inf_aux1_23S">#REF!</definedName>
    <definedName name="Price_inf_aux1_24D">#REF!</definedName>
    <definedName name="Price_inf_aux1_24J">#REF!</definedName>
    <definedName name="Price_inf_aux1_24M">#REF!</definedName>
    <definedName name="Price_inf_aux1_24S">#REF!</definedName>
    <definedName name="Price_inf_aux1_25D">#REF!</definedName>
    <definedName name="Price_inf_aux1_25J">#REF!</definedName>
    <definedName name="Price_inf_aux1_25M">#REF!</definedName>
    <definedName name="Price_inf_aux1_25S">#REF!</definedName>
    <definedName name="Price_inf_aux1_87D">#REF!</definedName>
    <definedName name="Price_inf_aux1_87J">#REF!</definedName>
    <definedName name="Price_inf_aux1_87M">#REF!</definedName>
    <definedName name="Price_inf_aux1_87S">#REF!</definedName>
    <definedName name="Price_inf_aux1_88D">#REF!</definedName>
    <definedName name="Price_inf_aux1_88J">#REF!</definedName>
    <definedName name="Price_inf_aux1_88M">#REF!</definedName>
    <definedName name="Price_inf_aux1_88S">#REF!</definedName>
    <definedName name="Price_inf_aux1_89D">#REF!</definedName>
    <definedName name="Price_inf_aux1_89J">#REF!</definedName>
    <definedName name="Price_inf_aux1_89M">#REF!</definedName>
    <definedName name="Price_inf_aux1_89S">#REF!</definedName>
    <definedName name="Price_inf_aux1_90D">#REF!</definedName>
    <definedName name="Price_inf_aux1_90J">#REF!</definedName>
    <definedName name="Price_inf_aux1_90M">#REF!</definedName>
    <definedName name="Price_inf_aux1_90S">#REF!</definedName>
    <definedName name="Price_inf_aux1_91D">#REF!</definedName>
    <definedName name="Price_inf_aux1_91J">#REF!</definedName>
    <definedName name="Price_inf_aux1_91M">#REF!</definedName>
    <definedName name="Price_inf_aux1_91S">#REF!</definedName>
    <definedName name="Price_inf_aux1_92D">#REF!</definedName>
    <definedName name="Price_inf_aux1_92J">#REF!</definedName>
    <definedName name="Price_inf_aux1_92M">#REF!</definedName>
    <definedName name="Price_inf_aux1_92S">#REF!</definedName>
    <definedName name="Price_inf_aux1_93D">#REF!</definedName>
    <definedName name="Price_inf_aux1_93J">#REF!</definedName>
    <definedName name="Price_inf_aux1_93M">#REF!</definedName>
    <definedName name="Price_inf_aux1_93S">#REF!</definedName>
    <definedName name="Price_inf_aux1_94D">#REF!</definedName>
    <definedName name="Price_inf_aux1_94J">#REF!</definedName>
    <definedName name="Price_inf_aux1_94M">#REF!</definedName>
    <definedName name="Price_inf_aux1_94S">#REF!</definedName>
    <definedName name="Price_inf_aux1_95D">#REF!</definedName>
    <definedName name="Price_inf_aux1_95J">#REF!</definedName>
    <definedName name="Price_inf_aux1_95M">#REF!</definedName>
    <definedName name="Price_inf_aux1_95S">#REF!</definedName>
    <definedName name="Price_inf_aux1_96D">#REF!</definedName>
    <definedName name="Price_inf_aux1_96J">#REF!</definedName>
    <definedName name="Price_inf_aux1_96M">#REF!</definedName>
    <definedName name="Price_inf_aux1_96S">#REF!</definedName>
    <definedName name="Price_inf_aux1_97D">#REF!</definedName>
    <definedName name="Price_inf_aux1_97J">#REF!</definedName>
    <definedName name="Price_inf_aux1_97M">#REF!</definedName>
    <definedName name="Price_inf_aux1_97S">#REF!</definedName>
    <definedName name="Price_inf_aux1_98D">#REF!</definedName>
    <definedName name="Price_inf_aux1_98J">#REF!</definedName>
    <definedName name="Price_inf_aux1_98M">#REF!</definedName>
    <definedName name="Price_inf_aux1_98S">#REF!</definedName>
    <definedName name="Price_inf_aux1_99D">#REF!</definedName>
    <definedName name="Price_inf_aux1_99J">#REF!</definedName>
    <definedName name="Price_inf_aux1_99M">#REF!</definedName>
    <definedName name="Price_inf_aux1_99S">#REF!</definedName>
    <definedName name="PRICE_INF_LT">#REF!</definedName>
    <definedName name="Price_plus_debt_cash_flow">#REF!</definedName>
    <definedName name="price_ratio">#REF!</definedName>
    <definedName name="Price_Scenario">#REF!</definedName>
    <definedName name="price_target_12m">#REF!</definedName>
    <definedName name="price_target_date">#REF!</definedName>
    <definedName name="Price_to_cash">#REF!</definedName>
    <definedName name="Price1">#REF!</definedName>
    <definedName name="Price2">#REF!</definedName>
    <definedName name="Price3">#REF!</definedName>
    <definedName name="Price4">#REF!</definedName>
    <definedName name="Price5">#REF!</definedName>
    <definedName name="Price6">#REF!</definedName>
    <definedName name="Pricedebtcashflow">#REF!</definedName>
    <definedName name="PriceRef">#REF!</definedName>
    <definedName name="PriceSec">#REF!</definedName>
    <definedName name="PricingClosingPrice_bonds_0">#REF!</definedName>
    <definedName name="PricingClosingPrice_bonds_1">#REF!</definedName>
    <definedName name="PricingClosingPrice_bonds_2">#REF!</definedName>
    <definedName name="PricingClosingPrice_bonds_3">#REF!</definedName>
    <definedName name="PricingClosingPrice_bonds_4">#REF!</definedName>
    <definedName name="PricingClosingYield_bonds_0">#REF!</definedName>
    <definedName name="PricingClosingYield_bonds_1">#REF!</definedName>
    <definedName name="PricingClosingYield_bonds_2">#REF!</definedName>
    <definedName name="PricingClosingYield_bonds_3">#REF!</definedName>
    <definedName name="PricingClosingYield_bonds_4">#REF!</definedName>
    <definedName name="PRIMTH">2</definedName>
    <definedName name="_xlnm.Print_Area" localSheetId="2">'PL-CF-BS'!$B$1:$Q$179</definedName>
    <definedName name="_xlnm.Print_Area">#REF!</definedName>
    <definedName name="Print_Area_MI">#REF!</definedName>
    <definedName name="_xlnm.Print_Titles" localSheetId="2">'PL-CF-BS'!$1:$4</definedName>
    <definedName name="_xlnm.Print_Titles">#REF!</definedName>
    <definedName name="Print17_18">#REF!</definedName>
    <definedName name="PrintZone">[19]Layout!$A$1:$T$86,[19]Layout!$U$87:$AN$176</definedName>
    <definedName name="PRIVOL">4</definedName>
    <definedName name="PRIWEEK">2</definedName>
    <definedName name="prms_52_wk">#REF!</definedName>
    <definedName name="PRMS_bk_cap">#REF!</definedName>
    <definedName name="PRMS_bk_equity">#REF!</definedName>
    <definedName name="PRMS_bs_conv_debt">#REF!</definedName>
    <definedName name="PRMS_bs_min_int">#REF!</definedName>
    <definedName name="PRMS_bs_pref">#REF!</definedName>
    <definedName name="PRMS_cash">#REF!</definedName>
    <definedName name="PRMS_code">#REF!</definedName>
    <definedName name="PRMS_conv_debt_pr">#REF!</definedName>
    <definedName name="PRMS_conv_pref_pr">#REF!</definedName>
    <definedName name="prms_curr">#REF!</definedName>
    <definedName name="PRMS_dil_shares">#REF!</definedName>
    <definedName name="prms_eps00">#REF!</definedName>
    <definedName name="prms_eps98">#REF!</definedName>
    <definedName name="prms_eps99">#REF!</definedName>
    <definedName name="PRMS_equity_mcap">#REF!</definedName>
    <definedName name="PRMS_fin_date">#REF!</definedName>
    <definedName name="PRMS_lev_mcap">#REF!</definedName>
    <definedName name="PRMS_LQ_ni">#REF!</definedName>
    <definedName name="PRMS_LQ_rev">#REF!</definedName>
    <definedName name="PRMS_lt_debt">#REF!</definedName>
    <definedName name="PRMS_ltm_a">#REF!</definedName>
    <definedName name="PRMS_ltm_cap_ex">#REF!</definedName>
    <definedName name="PRMS_ltm_cogs">#REF!</definedName>
    <definedName name="PRMS_ltm_csh_int">#REF!</definedName>
    <definedName name="PRMS_ltm_d">#REF!</definedName>
    <definedName name="PRMS_ltm_ebit">#REF!</definedName>
    <definedName name="PRMS_ltm_ebt">#REF!</definedName>
    <definedName name="PRMS_ltm_inc_b_m">#REF!</definedName>
    <definedName name="PRMS_ltm_int">#REF!</definedName>
    <definedName name="PRMS_ltm_min_int">#REF!</definedName>
    <definedName name="PRMS_ltm_pref_div">#REF!</definedName>
    <definedName name="PRMS_ltm_r_d">#REF!</definedName>
    <definedName name="PRMS_ltm_rev">#REF!</definedName>
    <definedName name="PRMS_ltm_sg_a">#REF!</definedName>
    <definedName name="PRMS_ltm_shares">#REF!</definedName>
    <definedName name="PRMS_ltm_tax">#REF!</definedName>
    <definedName name="PRMS_ltm_tax_rate">#REF!</definedName>
    <definedName name="PRMS_name">#REF!</definedName>
    <definedName name="PRMS_o_debt_1">#REF!</definedName>
    <definedName name="PRMS_o_debt_2">#REF!</definedName>
    <definedName name="PRMS_o_debt_3">#REF!</definedName>
    <definedName name="PRMS_option_n">#REF!</definedName>
    <definedName name="PRMS_option_pr">#REF!</definedName>
    <definedName name="PRMS_PQ_ni">#REF!</definedName>
    <definedName name="PRMS_PQ_rev">#REF!</definedName>
    <definedName name="prms_pr">#REF!</definedName>
    <definedName name="PRMS_shares">#REF!</definedName>
    <definedName name="prms_ticker">#REF!</definedName>
    <definedName name="PRMS_total_dt">#REF!</definedName>
    <definedName name="PRMS_YQ_ni">#REF!</definedName>
    <definedName name="PRMS_YQ_rev">#REF!</definedName>
    <definedName name="prod94">#REF!</definedName>
    <definedName name="prod95">#REF!</definedName>
    <definedName name="prod96">#REF!</definedName>
    <definedName name="prod97">#REF!</definedName>
    <definedName name="Product">#REF!</definedName>
    <definedName name="production">#REF!</definedName>
    <definedName name="PRODUCTIONBOE">#REF!</definedName>
    <definedName name="PRODUCTIONPERCENT">#REF!</definedName>
    <definedName name="prodval93">#REF!</definedName>
    <definedName name="prodval94">#REF!</definedName>
    <definedName name="prodval95">#REF!</definedName>
    <definedName name="prof">#REF!</definedName>
    <definedName name="Profit_aft_net_finance">#REF!</definedName>
    <definedName name="Profit_after_Tax">#REF!</definedName>
    <definedName name="profit_qtcwfy" localSheetId="2">[27]利润表!#REF!</definedName>
    <definedName name="profit_qtcwfy">[27]利润表!#REF!</definedName>
    <definedName name="Profit_y">#REF!</definedName>
    <definedName name="profit1">#REF!</definedName>
    <definedName name="profitability">#REF!</definedName>
    <definedName name="PROINC1292">#REF!</definedName>
    <definedName name="proj">[50]user!$B$2</definedName>
    <definedName name="Proj_Fin">#REF!</definedName>
    <definedName name="project">#REF!</definedName>
    <definedName name="ProjectName">{"Client Name or Project Name"}</definedName>
    <definedName name="prop.2000">#REF!</definedName>
    <definedName name="prop.2001">#REF!</definedName>
    <definedName name="prop.99">#REF!</definedName>
    <definedName name="Properties_under_development">#REF!</definedName>
    <definedName name="Property__plant_and_equipment">#REF!</definedName>
    <definedName name="PRTL_5YRGROWTH">#REF!</definedName>
    <definedName name="pse">#REF!</definedName>
    <definedName name="PT_01D">#REF!</definedName>
    <definedName name="PT_01J">#REF!</definedName>
    <definedName name="PT_01M">#REF!</definedName>
    <definedName name="PT_01S">#REF!</definedName>
    <definedName name="PT_02D">#REF!</definedName>
    <definedName name="PT_02J">#REF!</definedName>
    <definedName name="PT_02M">#REF!</definedName>
    <definedName name="PT_02S">#REF!</definedName>
    <definedName name="PT_03D">#REF!</definedName>
    <definedName name="PT_03J">#REF!</definedName>
    <definedName name="PT_03M">#REF!</definedName>
    <definedName name="PT_03S">#REF!</definedName>
    <definedName name="PT_04D">#REF!</definedName>
    <definedName name="PT_04J">#REF!</definedName>
    <definedName name="PT_04M">#REF!</definedName>
    <definedName name="PT_04S">#REF!</definedName>
    <definedName name="PT_05D">#REF!</definedName>
    <definedName name="PT_05J">#REF!</definedName>
    <definedName name="PT_05M">#REF!</definedName>
    <definedName name="PT_05S">#REF!</definedName>
    <definedName name="PT_06D">#REF!</definedName>
    <definedName name="PT_06J">#REF!</definedName>
    <definedName name="PT_06M">#REF!</definedName>
    <definedName name="PT_06S">#REF!</definedName>
    <definedName name="PT_07D">#REF!</definedName>
    <definedName name="PT_07J">#REF!</definedName>
    <definedName name="PT_07M">#REF!</definedName>
    <definedName name="PT_07S">#REF!</definedName>
    <definedName name="PT_08D">#REF!</definedName>
    <definedName name="PT_08J">#REF!</definedName>
    <definedName name="PT_08M">#REF!</definedName>
    <definedName name="PT_08S">#REF!</definedName>
    <definedName name="PT_09D">#REF!</definedName>
    <definedName name="PT_09J">#REF!</definedName>
    <definedName name="PT_09M">#REF!</definedName>
    <definedName name="PT_09S">#REF!</definedName>
    <definedName name="PT_10D">#REF!</definedName>
    <definedName name="PT_10J">#REF!</definedName>
    <definedName name="PT_10M">#REF!</definedName>
    <definedName name="PT_10S">#REF!</definedName>
    <definedName name="PT_11D">#REF!</definedName>
    <definedName name="PT_11J">#REF!</definedName>
    <definedName name="PT_11M">#REF!</definedName>
    <definedName name="PT_11S">#REF!</definedName>
    <definedName name="PT_12D">#REF!</definedName>
    <definedName name="PT_12J">#REF!</definedName>
    <definedName name="PT_12M">#REF!</definedName>
    <definedName name="PT_12S">#REF!</definedName>
    <definedName name="PT_13D">#REF!</definedName>
    <definedName name="PT_13J">#REF!</definedName>
    <definedName name="PT_13M">#REF!</definedName>
    <definedName name="PT_13S">#REF!</definedName>
    <definedName name="PT_14D">#REF!</definedName>
    <definedName name="PT_14J">#REF!</definedName>
    <definedName name="PT_14M">#REF!</definedName>
    <definedName name="PT_14S">#REF!</definedName>
    <definedName name="PT_15D">#REF!</definedName>
    <definedName name="PT_15J">#REF!</definedName>
    <definedName name="PT_15M">#REF!</definedName>
    <definedName name="PT_15S">#REF!</definedName>
    <definedName name="PT_16D">#REF!</definedName>
    <definedName name="PT_16J">#REF!</definedName>
    <definedName name="PT_16M">#REF!</definedName>
    <definedName name="PT_16S">#REF!</definedName>
    <definedName name="PT_17D">#REF!</definedName>
    <definedName name="PT_17J">#REF!</definedName>
    <definedName name="PT_17M">#REF!</definedName>
    <definedName name="PT_17S">#REF!</definedName>
    <definedName name="PT_18D">#REF!</definedName>
    <definedName name="PT_18J">#REF!</definedName>
    <definedName name="PT_18M">#REF!</definedName>
    <definedName name="PT_18S">#REF!</definedName>
    <definedName name="PT_19D">#REF!</definedName>
    <definedName name="PT_19J">#REF!</definedName>
    <definedName name="PT_19M">#REF!</definedName>
    <definedName name="PT_19S">#REF!</definedName>
    <definedName name="PT_20D">#REF!</definedName>
    <definedName name="PT_20J">#REF!</definedName>
    <definedName name="PT_20M">#REF!</definedName>
    <definedName name="PT_20S">#REF!</definedName>
    <definedName name="PT_21D">#REF!</definedName>
    <definedName name="PT_21J">#REF!</definedName>
    <definedName name="PT_21M">#REF!</definedName>
    <definedName name="PT_21S">#REF!</definedName>
    <definedName name="PT_22D">#REF!</definedName>
    <definedName name="PT_22J">#REF!</definedName>
    <definedName name="PT_22M">#REF!</definedName>
    <definedName name="PT_22S">#REF!</definedName>
    <definedName name="PT_23D">#REF!</definedName>
    <definedName name="PT_23J">#REF!</definedName>
    <definedName name="PT_23M">#REF!</definedName>
    <definedName name="PT_23S">#REF!</definedName>
    <definedName name="PT_24D">#REF!</definedName>
    <definedName name="PT_24J">#REF!</definedName>
    <definedName name="PT_24M">#REF!</definedName>
    <definedName name="PT_24S">#REF!</definedName>
    <definedName name="PT_25D">#REF!</definedName>
    <definedName name="PT_25J">#REF!</definedName>
    <definedName name="PT_25M">#REF!</definedName>
    <definedName name="PT_25S">#REF!</definedName>
    <definedName name="PT_87D">#REF!</definedName>
    <definedName name="PT_87J">#REF!</definedName>
    <definedName name="PT_87M">#REF!</definedName>
    <definedName name="PT_87S">#REF!</definedName>
    <definedName name="PT_88D">#REF!</definedName>
    <definedName name="PT_88J">#REF!</definedName>
    <definedName name="PT_88M">#REF!</definedName>
    <definedName name="PT_88S">#REF!</definedName>
    <definedName name="PT_89D">#REF!</definedName>
    <definedName name="PT_89J">#REF!</definedName>
    <definedName name="PT_89M">#REF!</definedName>
    <definedName name="PT_89S">#REF!</definedName>
    <definedName name="PT_90D">#REF!</definedName>
    <definedName name="PT_90J">#REF!</definedName>
    <definedName name="PT_90M">#REF!</definedName>
    <definedName name="PT_90S">#REF!</definedName>
    <definedName name="PT_91D">#REF!</definedName>
    <definedName name="PT_91J">#REF!</definedName>
    <definedName name="PT_91M">#REF!</definedName>
    <definedName name="PT_91S">#REF!</definedName>
    <definedName name="PT_92D">#REF!</definedName>
    <definedName name="PT_92J">#REF!</definedName>
    <definedName name="PT_92M">#REF!</definedName>
    <definedName name="PT_92S">#REF!</definedName>
    <definedName name="PT_93D">#REF!</definedName>
    <definedName name="PT_93J">#REF!</definedName>
    <definedName name="PT_93M">#REF!</definedName>
    <definedName name="PT_93S">#REF!</definedName>
    <definedName name="PT_94D">#REF!</definedName>
    <definedName name="PT_94J">#REF!</definedName>
    <definedName name="PT_94M">#REF!</definedName>
    <definedName name="PT_94S">#REF!</definedName>
    <definedName name="PT_95D">#REF!</definedName>
    <definedName name="PT_95J">#REF!</definedName>
    <definedName name="PT_95M">#REF!</definedName>
    <definedName name="PT_95S">#REF!</definedName>
    <definedName name="PT_96D">#REF!</definedName>
    <definedName name="PT_96J">#REF!</definedName>
    <definedName name="PT_96M">#REF!</definedName>
    <definedName name="PT_96S">#REF!</definedName>
    <definedName name="PT_97D">#REF!</definedName>
    <definedName name="PT_97J">#REF!</definedName>
    <definedName name="PT_97M">#REF!</definedName>
    <definedName name="PT_97S">#REF!</definedName>
    <definedName name="PT_98D">#REF!</definedName>
    <definedName name="PT_98J">#REF!</definedName>
    <definedName name="PT_98M">#REF!</definedName>
    <definedName name="PT_98S">#REF!</definedName>
    <definedName name="PT_99D">#REF!</definedName>
    <definedName name="PT_99J">#REF!</definedName>
    <definedName name="PT_99M">#REF!</definedName>
    <definedName name="PT_99S">#REF!</definedName>
    <definedName name="pt_lt">#REF!</definedName>
    <definedName name="PT_OUT">#REF!</definedName>
    <definedName name="PT_Spot">#REF!</definedName>
    <definedName name="pta">#REF!</definedName>
    <definedName name="PTI">"Chart 18"</definedName>
    <definedName name="pto">#REF!</definedName>
    <definedName name="PUB_FileID" hidden="1">"L10003363.xls"</definedName>
    <definedName name="PUB_UserID" hidden="1">"MAYERX"</definedName>
    <definedName name="Publication">#REF!</definedName>
    <definedName name="Purchase_Premium_A">25%</definedName>
    <definedName name="Purchase_Premium_B">0.25</definedName>
    <definedName name="Purchases">#REF!</definedName>
    <definedName name="PV_CFPS">#REF!</definedName>
    <definedName name="PV_DPS">#REF!</definedName>
    <definedName name="PV_EPS">#REF!</definedName>
    <definedName name="PV_NP">#REF!</definedName>
    <definedName name="PV_PRETAX">#REF!</definedName>
    <definedName name="PV_terminal">#REF!</definedName>
    <definedName name="PVC_Margin">OFFSET(#REF!,0,0,COUNT(#REF!:#REF!),1)</definedName>
    <definedName name="PVC_Margin_US">OFFSET(#REF!,0,0,COUNT(#REF!:#REF!),1)</definedName>
    <definedName name="pvc_vcm">OFFSET(#REF!,0,0,COUNT(#REF!:#REF!),1)</definedName>
    <definedName name="q_1995">#REF!</definedName>
    <definedName name="q_1996">#REF!</definedName>
    <definedName name="q_access_lines">#REF!</definedName>
    <definedName name="Q_CON">#REF!,#REF!,#REF!,#REF!,#REF!,#REF!</definedName>
    <definedName name="Q_CON_CUM">#REF!,#REF!,#REF!,#REF!,#REF!,#REF!</definedName>
    <definedName name="Q_detail">#REF!,#REF!,#REF!,#REF!,#REF!,#REF!,#REF!</definedName>
    <definedName name="Q_NOM">#REF!,#REF!,#REF!,#REF!,#REF!,#REF!,#REF!,#REF!</definedName>
    <definedName name="Q_NOM_CUM">#REF!,#REF!,#REF!,#REF!,#REF!,#REF!</definedName>
    <definedName name="q_vge">#REF!</definedName>
    <definedName name="q_wireless_subs">#REF!</definedName>
    <definedName name="Q1.2000.06">#REF!</definedName>
    <definedName name="Q1.2001.06">#REF!</definedName>
    <definedName name="Q1.2002.06">#REF!</definedName>
    <definedName name="Q1.2003.06">#REF!</definedName>
    <definedName name="Q1_86">#REF!</definedName>
    <definedName name="Q1_87">#REF!</definedName>
    <definedName name="Q1_88">#REF!</definedName>
    <definedName name="Q1_89">#REF!</definedName>
    <definedName name="Q1_90">#REF!</definedName>
    <definedName name="Q1_91">#REF!</definedName>
    <definedName name="Q1_92">#REF!</definedName>
    <definedName name="q1_93">#REF!</definedName>
    <definedName name="q1_94">#REF!</definedName>
    <definedName name="q1_95">#REF!</definedName>
    <definedName name="q1_96">#REF!</definedName>
    <definedName name="q1_98">#REF!</definedName>
    <definedName name="q1_99">#REF!</definedName>
    <definedName name="q197_rev">#REF!</definedName>
    <definedName name="q198_ni">#REF!</definedName>
    <definedName name="q198_rev">#REF!</definedName>
    <definedName name="q198_shares">#REF!</definedName>
    <definedName name="q199_ni">#REF!</definedName>
    <definedName name="q199_rev">#REF!</definedName>
    <definedName name="q199_shares">#REF!</definedName>
    <definedName name="Q2.2000.09">#REF!</definedName>
    <definedName name="Q2.2001.09">#REF!</definedName>
    <definedName name="Q2.2002.09">#REF!</definedName>
    <definedName name="Q2.2003.09">#REF!</definedName>
    <definedName name="q2_04">#REF!</definedName>
    <definedName name="Q2_86">#REF!</definedName>
    <definedName name="Q2_87">#REF!</definedName>
    <definedName name="Q2_88">#REF!</definedName>
    <definedName name="Q2_89">#REF!</definedName>
    <definedName name="Q2_90">#REF!</definedName>
    <definedName name="Q2_91">#REF!</definedName>
    <definedName name="Q2_92">#REF!</definedName>
    <definedName name="q2_93">#REF!</definedName>
    <definedName name="q2_94">#REF!</definedName>
    <definedName name="q2_95">#REF!</definedName>
    <definedName name="q2_96">#REF!</definedName>
    <definedName name="q2_98">#REF!</definedName>
    <definedName name="q2_99">#REF!</definedName>
    <definedName name="Q2355476773">#REF!</definedName>
    <definedName name="q297_rev">#REF!</definedName>
    <definedName name="q298_ni">#REF!</definedName>
    <definedName name="q298_rev">#REF!</definedName>
    <definedName name="q298_shares">#REF!</definedName>
    <definedName name="q299_ni">#REF!</definedName>
    <definedName name="q299_rev">#REF!</definedName>
    <definedName name="q299_shares">#REF!</definedName>
    <definedName name="Q3.2000.12">#REF!</definedName>
    <definedName name="Q3.2001.12">#REF!</definedName>
    <definedName name="Q3.2002.12">#REF!</definedName>
    <definedName name="Q3.2003.12">#REF!</definedName>
    <definedName name="q3_04">#REF!</definedName>
    <definedName name="Q3_86">#REF!</definedName>
    <definedName name="Q3_87">#REF!</definedName>
    <definedName name="Q3_88">#REF!</definedName>
    <definedName name="Q3_89">#REF!</definedName>
    <definedName name="Q3_90">#REF!</definedName>
    <definedName name="Q3_91">#REF!</definedName>
    <definedName name="Q3_92">#REF!</definedName>
    <definedName name="q3_93">#REF!</definedName>
    <definedName name="q3_94">#REF!</definedName>
    <definedName name="q3_95">#REF!</definedName>
    <definedName name="q3_96">#REF!</definedName>
    <definedName name="q3_98">#REF!</definedName>
    <definedName name="q3_98.">#REF!</definedName>
    <definedName name="q3_99">#REF!</definedName>
    <definedName name="q397_rev">#REF!</definedName>
    <definedName name="q398_ni">#REF!</definedName>
    <definedName name="q398_rev">#REF!</definedName>
    <definedName name="q398_shares">#REF!</definedName>
    <definedName name="q399_ni">#REF!</definedName>
    <definedName name="q399_rev">#REF!</definedName>
    <definedName name="q399_shares">#REF!</definedName>
    <definedName name="Q4.2000.03">#REF!</definedName>
    <definedName name="Q4.2001.03">#REF!</definedName>
    <definedName name="Q4.2002.03">#REF!</definedName>
    <definedName name="q4_04">#REF!</definedName>
    <definedName name="Q4_86">#REF!</definedName>
    <definedName name="Q4_87">#REF!</definedName>
    <definedName name="Q4_88">#REF!</definedName>
    <definedName name="Q4_89">#REF!</definedName>
    <definedName name="Q4_90">#REF!</definedName>
    <definedName name="Q4_91">#REF!</definedName>
    <definedName name="Q4_92">#REF!</definedName>
    <definedName name="q4_93">#REF!</definedName>
    <definedName name="q4_94">#REF!</definedName>
    <definedName name="q4_95">#REF!</definedName>
    <definedName name="q4_96">#REF!</definedName>
    <definedName name="q4_98">#REF!</definedName>
    <definedName name="q4_99">#REF!</definedName>
    <definedName name="q497_rev">#REF!</definedName>
    <definedName name="q498_ni">#REF!</definedName>
    <definedName name="q498_rev">#REF!</definedName>
    <definedName name="q498_shares">#REF!</definedName>
    <definedName name="q499_ni">#REF!</definedName>
    <definedName name="q499_rev">#REF!</definedName>
    <definedName name="q499_shares">#REF!</definedName>
    <definedName name="QCOM_10q_shares">#REF!</definedName>
    <definedName name="qcom_5_yr_est">#REF!</definedName>
    <definedName name="qcom_52_wk">#REF!</definedName>
    <definedName name="QCOM_bk_cap">#REF!</definedName>
    <definedName name="QCOM_bk_equity">#REF!</definedName>
    <definedName name="QCOM_bs_conv_debt">#REF!</definedName>
    <definedName name="QCOM_bs_min_int">#REF!</definedName>
    <definedName name="QCOM_bs_pref">#REF!</definedName>
    <definedName name="QCOM_cash">#REF!</definedName>
    <definedName name="QCOM_code">#REF!</definedName>
    <definedName name="QCOM_conv_debt_pr">#REF!</definedName>
    <definedName name="QCOM_conv_pref_pr">#REF!</definedName>
    <definedName name="qcom_curr">#REF!</definedName>
    <definedName name="QCOM_dil_shares">#REF!</definedName>
    <definedName name="qcom_eps00">#REF!</definedName>
    <definedName name="qcom_eps98">#REF!</definedName>
    <definedName name="qcom_eps99">#REF!</definedName>
    <definedName name="QCOM_equity_mcap">#REF!</definedName>
    <definedName name="QCOM_fin_date">#REF!</definedName>
    <definedName name="QCOM_hist_d">#REF!</definedName>
    <definedName name="QCOM_hst_a">#REF!</definedName>
    <definedName name="QCOM_hst_cogs">#REF!</definedName>
    <definedName name="QCOM_hst_ebit">#REF!</definedName>
    <definedName name="QCOM_hst_ebt">#REF!</definedName>
    <definedName name="QCOM_hst_eps">#REF!</definedName>
    <definedName name="QCOM_hst_inc_b_m">#REF!</definedName>
    <definedName name="QCOM_hst_r_d">#REF!</definedName>
    <definedName name="QCOM_hst_rev">#REF!</definedName>
    <definedName name="QCOM_hst_sg_a">#REF!</definedName>
    <definedName name="QCOM_lev_mcap">#REF!</definedName>
    <definedName name="QCOM_LQ_ni">#REF!</definedName>
    <definedName name="QCOM_LQ_rev">#REF!</definedName>
    <definedName name="QCOM_lt_debt">#REF!</definedName>
    <definedName name="QCOM_ltm_a">#REF!</definedName>
    <definedName name="QCOM_ltm_cap_ex">#REF!</definedName>
    <definedName name="QCOM_ltm_cg_a">#REF!</definedName>
    <definedName name="QCOM_ltm_cogs">#REF!</definedName>
    <definedName name="QCOM_ltm_csh_int">#REF!</definedName>
    <definedName name="QCOM_ltm_d">#REF!</definedName>
    <definedName name="QCOM_ltm_ebit">#REF!</definedName>
    <definedName name="QCOM_ltm_ebt">#REF!</definedName>
    <definedName name="QCOM_ltm_inc_b_m">#REF!</definedName>
    <definedName name="QCOM_ltm_int">#REF!</definedName>
    <definedName name="QCOM_ltm_min_int">#REF!</definedName>
    <definedName name="QCOM_ltm_pref_div">#REF!</definedName>
    <definedName name="QCOM_ltm_r_d">#REF!</definedName>
    <definedName name="QCOM_ltm_rev">#REF!</definedName>
    <definedName name="QCOM_ltm_sg_a">#REF!</definedName>
    <definedName name="QCOM_ltm_shares">#REF!</definedName>
    <definedName name="QCOM_ltm_tax">#REF!</definedName>
    <definedName name="QCOM_ltm_tax_rate">#REF!</definedName>
    <definedName name="QCOM_name">#REF!</definedName>
    <definedName name="QCOM_o_debt_1">#REF!</definedName>
    <definedName name="QCOM_o_debt_2">#REF!</definedName>
    <definedName name="QCOM_o_debt_3">#REF!</definedName>
    <definedName name="QCOM_option_n">#REF!</definedName>
    <definedName name="QCOM_option_pr">#REF!</definedName>
    <definedName name="QCOM_PQ_ni">#REF!</definedName>
    <definedName name="QCOM_PQ_rev">#REF!</definedName>
    <definedName name="qcom_pr">#REF!</definedName>
    <definedName name="QCOM_shares">#REF!</definedName>
    <definedName name="qcom_ticker">#REF!</definedName>
    <definedName name="QCOM_total_dt">#REF!</definedName>
    <definedName name="QCOM_YQ_ni">#REF!</definedName>
    <definedName name="QCOM_YQ_rev">#REF!</definedName>
    <definedName name="qcompany">#REF!</definedName>
    <definedName name="qdata">#REF!</definedName>
    <definedName name="Qdays">#REF!</definedName>
    <definedName name="qem_comment">#REF!</definedName>
    <definedName name="Qinghai">#REF!</definedName>
    <definedName name="Qingtonxia">#REF!</definedName>
    <definedName name="QNI_NPV">#REF!</definedName>
    <definedName name="qpl">#REF!</definedName>
    <definedName name="qpl_pg1">#REF!</definedName>
    <definedName name="qpl_pg2">#REF!</definedName>
    <definedName name="qq">#REF!</definedName>
    <definedName name="qqqq" localSheetId="2" hidden="1">{#N/A,#N/A,FALSE,"Chart 2 by Prop Type"}</definedName>
    <definedName name="qqqq" localSheetId="1" hidden="1">{#N/A,#N/A,FALSE,"Chart 2 by Prop Type"}</definedName>
    <definedName name="qqqq" hidden="1">{#N/A,#N/A,FALSE,"Chart 2 by Prop Type"}</definedName>
    <definedName name="qryEstimateSet">#REF!</definedName>
    <definedName name="qryTicker">#REF!</definedName>
    <definedName name="Qtr">#REF!</definedName>
    <definedName name="qtrSEGMENT93">#REF!</definedName>
    <definedName name="qtrSEGMENT94">#REF!</definedName>
    <definedName name="quar11">[6]Financials!$AA$318:$BB$361</definedName>
    <definedName name="quar12">[6]Financials!$AA$389:$BB$457</definedName>
    <definedName name="quar13">[6]Financials!$AA$461:$BB$509</definedName>
    <definedName name="quar14">[6]Financials!$AA$514:$BB$537</definedName>
    <definedName name="quar15">[6]Financials!$AA$542:$BB$558</definedName>
    <definedName name="quar6">[6]Financials!$AA$6:$BB$64</definedName>
    <definedName name="quar7">[6]Financials!$AA$68:$BB$103</definedName>
    <definedName name="quar8">[6]Financials!$AA$230:$BB$315</definedName>
    <definedName name="Quarter">[43]Data!$J$2</definedName>
    <definedName name="QUARTERS">#REF!</definedName>
    <definedName name="QuartilesHeader">#REF!</definedName>
    <definedName name="Quoted_investments">#REF!</definedName>
    <definedName name="r_bvps">#REF!</definedName>
    <definedName name="r_calendar_is_actual">#REF!</definedName>
    <definedName name="r_ceps">#REF!</definedName>
    <definedName name="R_D">#REF!</definedName>
    <definedName name="R_D_amort_years">#REF!</definedName>
    <definedName name="R_D_Amortization">#REF!</definedName>
    <definedName name="R_D_expense">#REF!</definedName>
    <definedName name="r_eps_calendar">#REF!</definedName>
    <definedName name="r_eps_fiscal">#REF!</definedName>
    <definedName name="r_eps_us_gaap">#REF!</definedName>
    <definedName name="r_fiscal_is_actual">#REF!</definedName>
    <definedName name="r_roe">#REF!</definedName>
    <definedName name="r_sales_per_share">#REF!</definedName>
    <definedName name="RA_Country_Pie_Data">OFFSET(#REF!,0,0,COUNTA(#REF!)-COUNTBLANK(#REF!))</definedName>
    <definedName name="RA_Country_Pie_Legend">OFFSET(#REF!,0,0,COUNTA(#REF!)-COUNTBLANK(#REF!))</definedName>
    <definedName name="rad">#REF!</definedName>
    <definedName name="RandM">#REF!</definedName>
    <definedName name="Range_Names">#REF!</definedName>
    <definedName name="RANGE1">#REF!</definedName>
    <definedName name="Range1Top">[51]MarketDMA!$B$1</definedName>
    <definedName name="Range2">[51]MarketDMA!$E$1:$E$71</definedName>
    <definedName name="Range2Top">[51]MarketDMA!$E$1</definedName>
    <definedName name="Range3">[51]MarketDMA!$H$1:$H$72</definedName>
    <definedName name="Range3Top">[51]MarketDMA!$H$1</definedName>
    <definedName name="RAT">#REF!</definedName>
    <definedName name="rate">#REF!</definedName>
    <definedName name="RATES">#REF!</definedName>
    <definedName name="RATES2">#REF!</definedName>
    <definedName name="RATIOFULL">#REF!</definedName>
    <definedName name="Ravenswood">#REF!</definedName>
    <definedName name="Raw_Annuals">#REF!</definedName>
    <definedName name="Raw_percent">#REF!</definedName>
    <definedName name="Raw_Quarters">#REF!</definedName>
    <definedName name="RBAK_10q_div">#REF!</definedName>
    <definedName name="RBAK_10q_shares">#REF!</definedName>
    <definedName name="RBAK_5_yr_est">#REF!</definedName>
    <definedName name="RBAK_52_wk">#REF!</definedName>
    <definedName name="RBAK_bk_cap">#REF!</definedName>
    <definedName name="RBAK_bk_equity">#REF!</definedName>
    <definedName name="RBAK_bs_conv_debt">#REF!</definedName>
    <definedName name="RBAK_bs_min_int">#REF!</definedName>
    <definedName name="RBAK_bs_pref">#REF!</definedName>
    <definedName name="RBAK_cash">#REF!</definedName>
    <definedName name="RBAK_conv_debt_pr">#REF!</definedName>
    <definedName name="RBAK_conv_pref_pr">#REF!</definedName>
    <definedName name="RBAK_curr">#REF!</definedName>
    <definedName name="RBAK_dil_shares">#REF!</definedName>
    <definedName name="RBAK_eps00">#REF!</definedName>
    <definedName name="RBAK_eps98">#REF!</definedName>
    <definedName name="RBAK_eps99">#REF!</definedName>
    <definedName name="RBAK_equity_mcap">#REF!</definedName>
    <definedName name="RBAK_fin_date">#REF!</definedName>
    <definedName name="RBAK_hist_d">#REF!</definedName>
    <definedName name="RBAK_hst_a">#REF!</definedName>
    <definedName name="RBAK_hst_cogs">#REF!</definedName>
    <definedName name="RBAK_hst_ebit">#REF!</definedName>
    <definedName name="RBAK_hst_ebt">#REF!</definedName>
    <definedName name="RBAK_hst_eps">#REF!</definedName>
    <definedName name="RBAK_hst_inc_b_m">#REF!</definedName>
    <definedName name="RBAK_hst_r_d">#REF!</definedName>
    <definedName name="RBAK_hst_rev">#REF!</definedName>
    <definedName name="RBAK_hst_sg_a">#REF!</definedName>
    <definedName name="RBAK_lev_mcap">#REF!</definedName>
    <definedName name="RBAK_LQ_ni">#REF!</definedName>
    <definedName name="RBAK_LQ_rev">#REF!</definedName>
    <definedName name="RBAK_lt_debt">#REF!</definedName>
    <definedName name="RBAK_ltm_a">#REF!</definedName>
    <definedName name="RBAK_ltm_cap_ex">#REF!</definedName>
    <definedName name="RBAK_ltm_cogs">#REF!</definedName>
    <definedName name="RBAK_ltm_csh_int">#REF!</definedName>
    <definedName name="RBAK_ltm_d">#REF!</definedName>
    <definedName name="RBAK_ltm_ebit">#REF!</definedName>
    <definedName name="RBAK_ltm_ebt">#REF!</definedName>
    <definedName name="RBAK_ltm_inc_b_m">#REF!</definedName>
    <definedName name="RBAK_ltm_int">#REF!</definedName>
    <definedName name="RBAK_ltm_min_int">#REF!</definedName>
    <definedName name="RBAK_ltm_pref_div">#REF!</definedName>
    <definedName name="RBAK_ltm_r_d">#REF!</definedName>
    <definedName name="RBAK_ltm_rev">#REF!</definedName>
    <definedName name="RBAK_ltm_sg_a">#REF!</definedName>
    <definedName name="RBAK_ltm_shares">#REF!</definedName>
    <definedName name="RBAK_ltm_tax">#REF!</definedName>
    <definedName name="RBAK_ltm_tax_rate">#REF!</definedName>
    <definedName name="RBAK_name">#REF!</definedName>
    <definedName name="RBAK_o_debt_1">#REF!</definedName>
    <definedName name="RBAK_o_debt_2">#REF!</definedName>
    <definedName name="RBAK_o_debt_3">#REF!</definedName>
    <definedName name="RBAK_option_n">#REF!</definedName>
    <definedName name="RBAK_option_pr">#REF!</definedName>
    <definedName name="RBAK_pq_ni">#REF!</definedName>
    <definedName name="RBAK_pq_rev">#REF!</definedName>
    <definedName name="RBAK_pr">#REF!</definedName>
    <definedName name="RBAK_shares">#REF!</definedName>
    <definedName name="RBAK_ticker">#REF!</definedName>
    <definedName name="RBAK_total_dt">#REF!</definedName>
    <definedName name="RBAK_YQ_ni">#REF!</definedName>
    <definedName name="RBAK_YQ_rev">#REF!</definedName>
    <definedName name="RBM_NPV">#REF!</definedName>
    <definedName name="rce">#REF!</definedName>
    <definedName name="rcr">#REF!</definedName>
    <definedName name="RD">#REF!</definedName>
    <definedName name="rde">#REF!</definedName>
    <definedName name="RDR">#REF!</definedName>
    <definedName name="Real_earnings">#REF!</definedName>
    <definedName name="Real_earnings_yield">#REF!</definedName>
    <definedName name="rec">#REF!</definedName>
    <definedName name="Rec.Asset_Debt">0</definedName>
    <definedName name="rec_id">#REF!</definedName>
    <definedName name="rec_start_date">#REF!</definedName>
    <definedName name="recap">#REF!</definedName>
    <definedName name="Receivables">#REF!</definedName>
    <definedName name="Recomm">#REF!</definedName>
    <definedName name="recommendation">#REF!</definedName>
    <definedName name="Record">#REF!</definedName>
    <definedName name="Recorder">#REF!</definedName>
    <definedName name="redux">1</definedName>
    <definedName name="Refining_Marketing">#REF!</definedName>
    <definedName name="Refining_marketing_and_trading">#REF!</definedName>
    <definedName name="RefVal_F">#REF!</definedName>
    <definedName name="region">#REF!</definedName>
    <definedName name="Rel_PE_to_Rel_Grwth">#REF!</definedName>
    <definedName name="Relative_Range">INDIRECT("'Index Map'!$I$"&amp;#REF!&amp;":$I$"&amp;#REF!)</definedName>
    <definedName name="Repackaged_subordinated_notes">#REF!</definedName>
    <definedName name="RepairedName0025" hidden="1">"iQShowAnnual"</definedName>
    <definedName name="RepairedName0032" hidden="1">"iQShowAnnual"</definedName>
    <definedName name="ReplaceBlanksWith">0</definedName>
    <definedName name="Report">#REF!</definedName>
    <definedName name="Reported_net_income">#REF!</definedName>
    <definedName name="REPORTED_PRETAX_PROFIT">#REF!</definedName>
    <definedName name="RepType">[17]首页!$C$11</definedName>
    <definedName name="Res_Res_Analysis_Type">#REF!</definedName>
    <definedName name="Reserve_replacement_cost">#REF!</definedName>
    <definedName name="Reserve_Resource">#REF!</definedName>
    <definedName name="reserves">#REF!</definedName>
    <definedName name="RESERVESMMBOE">#REF!</definedName>
    <definedName name="RESERVESPERCENT">#REF!</definedName>
    <definedName name="Restricted_equity">#REF!</definedName>
    <definedName name="Restructuring">#REF!</definedName>
    <definedName name="Restructuring_charges">#REF!</definedName>
    <definedName name="Restructuring_charges_growth_fore">#REF!</definedName>
    <definedName name="Retail_services">'[4]P&amp;L'!$B$36:$AH$36</definedName>
    <definedName name="Retained_Earnings">#REF!</definedName>
    <definedName name="RETURN">#REF!</definedName>
    <definedName name="Return_on_average_capital_employed">#REF!</definedName>
    <definedName name="Return_on_average_shareholders_funds">#REF!</definedName>
    <definedName name="Return_On_Capital_Employed">#REF!</definedName>
    <definedName name="ReturnOnAssets">[20]NERD!$G$22:$N$22</definedName>
    <definedName name="ReturnOnEquity">[20]NERD!$G$24:$N$24</definedName>
    <definedName name="RETURNS">#REF!</definedName>
    <definedName name="rev">#REF!</definedName>
    <definedName name="rev_92">#REF!</definedName>
    <definedName name="rev_93">#REF!</definedName>
    <definedName name="rev_94">#REF!</definedName>
    <definedName name="rev_95">#REF!</definedName>
    <definedName name="rev_g">#REF!</definedName>
    <definedName name="rev_mix">#REF!</definedName>
    <definedName name="Revenue_2">#REF!</definedName>
    <definedName name="Revenues">'[4]P&amp;L'!$B$23:$AH$23</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evision">#REF!</definedName>
    <definedName name="REVQ191">#REF!</definedName>
    <definedName name="REVQ192">#REF!</definedName>
    <definedName name="REVQ193">#REF!</definedName>
    <definedName name="REVQ194">#REF!</definedName>
    <definedName name="REVQ195">#REF!</definedName>
    <definedName name="REVQ196">#REF!</definedName>
    <definedName name="REVQ197">#REF!</definedName>
    <definedName name="REVQ291">#REF!</definedName>
    <definedName name="REVQ292">#REF!</definedName>
    <definedName name="REVQ293">#REF!</definedName>
    <definedName name="REVQ294">#REF!</definedName>
    <definedName name="REVQ295">#REF!</definedName>
    <definedName name="REVQ296">#REF!</definedName>
    <definedName name="REVQ297">#REF!</definedName>
    <definedName name="REVQ391">#REF!</definedName>
    <definedName name="REVQ392">#REF!</definedName>
    <definedName name="REVQ393">#REF!</definedName>
    <definedName name="REVQ394">#REF!</definedName>
    <definedName name="REVQ395">#REF!</definedName>
    <definedName name="REVQ396">#REF!</definedName>
    <definedName name="REVQ397">#REF!</definedName>
    <definedName name="REVQ490">#REF!</definedName>
    <definedName name="REVQ491">#REF!</definedName>
    <definedName name="REVQ492">#REF!</definedName>
    <definedName name="REVQ493">#REF!</definedName>
    <definedName name="REVQ494">#REF!</definedName>
    <definedName name="REVQ495">#REF!</definedName>
    <definedName name="REVQ496">#REF!</definedName>
    <definedName name="REVQ497">#REF!</definedName>
    <definedName name="Revs_3G">#REF!</definedName>
    <definedName name="revs_airtime">#REF!</definedName>
    <definedName name="revs_cellular_total">#REF!</definedName>
    <definedName name="Revs_data">#REF!</definedName>
    <definedName name="revs_gprs">#REF!</definedName>
    <definedName name="revs_internet">#REF!</definedName>
    <definedName name="revs_other">#REF!</definedName>
    <definedName name="revs_prepaid">#REF!</definedName>
    <definedName name="Reynolds_Massena">#REF!</definedName>
    <definedName name="rfa">#REF!</definedName>
    <definedName name="RFRATE">#REF!</definedName>
    <definedName name="rfs">#REF!</definedName>
    <definedName name="RHKDWNRHD">#REF!</definedName>
    <definedName name="RIC">#REF!</definedName>
    <definedName name="right_border">#REF!</definedName>
    <definedName name="RIOALGOM_NPV">#REF!</definedName>
    <definedName name="risk_free_rate">#REF!</definedName>
    <definedName name="RiskFree_Calc">#REF!</definedName>
    <definedName name="RiskFree_Default">#REF!</definedName>
    <definedName name="RiskFree_User">#REF!</definedName>
    <definedName name="rlt_5_yr_est">#REF!</definedName>
    <definedName name="rlt_52_wk">#REF!</definedName>
    <definedName name="rlt_curr">#REF!</definedName>
    <definedName name="rlt_eps00">#REF!</definedName>
    <definedName name="rlt_eps98">#REF!</definedName>
    <definedName name="rlt_eps99">#REF!</definedName>
    <definedName name="rlt_pr">#REF!</definedName>
    <definedName name="rlt_ticker">#REF!</definedName>
    <definedName name="RM">#REF!</definedName>
    <definedName name="RMB2HKD">1/#REF!</definedName>
    <definedName name="RnD_expense_growth_fore">#REF!</definedName>
    <definedName name="RnD_expenses_fore">#REF!</definedName>
    <definedName name="rnf">#REF!</definedName>
    <definedName name="rng_Datapoints">#REF!</definedName>
    <definedName name="rng_FuelTypes">#REF!</definedName>
    <definedName name="rng_Import.Entitlements_CountryCodeID">OFFSET(#REF!,0,0,#REF!)</definedName>
    <definedName name="rng_Import.Entitlements_Entitlement">OFFSET(#REF!,0,0,#REF!)</definedName>
    <definedName name="rng_LCOEHistoryIDs">#REF!</definedName>
    <definedName name="rng_PlayExamined">#REF!</definedName>
    <definedName name="rng_Product">#REF!</definedName>
    <definedName name="rng_ProductList">#REF!</definedName>
    <definedName name="rng_ProductSelection">#REF!</definedName>
    <definedName name="rng_Ref_ActivityCode.BNEFSector">OFFSET(#REF!,0,0,#REF!)</definedName>
    <definedName name="rng_Ref_ActivityCode.EUTLCode">OFFSET(#REF!,0,0,#REF!)</definedName>
    <definedName name="rng_Ref_BNEFCompName.AccountHolder">OFFSET(#REF!,0,0,#REF!)</definedName>
    <definedName name="rng_Ref_BNEFCompName.Estimate">OFFSET(#REF!,0,0,#REF!)</definedName>
    <definedName name="rng_Ref_Classes.NonDispatcheableRank">#REF!</definedName>
    <definedName name="rng_Ref_ComplianceCodeOffset">#REF!</definedName>
    <definedName name="rng_Ref_Lists.AssetTypes">OFFSET(#REF!,0,0,#REF!)</definedName>
    <definedName name="rng_Ref_PyInfo.BatteryName">#REF!</definedName>
    <definedName name="rng_Ref_Regions.Name">#REF!</definedName>
    <definedName name="rng_Ref_Regions.RegionGroup">#REF!</definedName>
    <definedName name="rng_Ref_Services.Service">#REF!</definedName>
    <definedName name="rng_Ref_Ticker.CompanyName">OFFSET(#REF!,0,0,#REF!)</definedName>
    <definedName name="rng_Ref_Ticker.Ticker">OFFSET(#REF!,0,0,#REF!)</definedName>
    <definedName name="rng_regions">#REF!</definedName>
    <definedName name="rng_SectorMatching_CountryCodeID">OFFSET(#REF!,0,0,#REF!)</definedName>
    <definedName name="rng_SectorMatching_NovDDclassif">OFFSET(#REF!,0,0,#REF!)</definedName>
    <definedName name="rng_TypeCurveMonths">#REF!</definedName>
    <definedName name="rng_VBA_Formats">OFFSET(#REF!,0,0,#REF!)</definedName>
    <definedName name="rng_VBA_HeaderContents">#REF!</definedName>
    <definedName name="rng_VBA_LineStyles">OFFSET(#REF!,0,0,#REF!)</definedName>
    <definedName name="rng_VBA_Names">OFFSET(#REF!,0,0,#REF!)</definedName>
    <definedName name="rng_ViewSettings_SelectedRegion">#REF!</definedName>
    <definedName name="rng_VS_SelectedRegion">#REF!</definedName>
    <definedName name="rng_WTReg_Current.Rank">#REF!</definedName>
    <definedName name="rng1982YDecFFR00126">#REF!,#REF!</definedName>
    <definedName name="rng1983YDecFFR00127">#REF!,#REF!,#REF!</definedName>
    <definedName name="rng1984YDecFFR00128">#REF!,#REF!</definedName>
    <definedName name="rng1985YDecFFR00129">#REF!,#REF!</definedName>
    <definedName name="rng1986YDecFFR00130">#REF!,#REF!</definedName>
    <definedName name="rng1987YDecFFR00131">#REF!,#REF!</definedName>
    <definedName name="rng1988YDecFFR00132">#REF!,#REF!</definedName>
    <definedName name="rng1988YDecPES00059">#REF!,#REF!,#REF!,#REF!,#REF!,#REF!,#REF!,#REF!,#REF!,#REF!</definedName>
    <definedName name="rng1988YDecPES00077">#REF!,#REF!,#REF!,#REF!,#REF!,#REF!</definedName>
    <definedName name="rng1988YDecPES00089">#REF!,#REF!,#REF!,#REF!,#REF!,#REF!,#REF!,#REF!</definedName>
    <definedName name="rng1988YDecPES00125">#REF!,#REF!,#REF!,#REF!</definedName>
    <definedName name="rng1988YDecPES00143">#REF!,#REF!,#REF!,#REF!</definedName>
    <definedName name="rng1988YDecPES00161">#REF!,#REF!,#REF!,#REF!</definedName>
    <definedName name="rng1988YDecPES00204">#REF!,#REF!,#REF!,#REF!,#REF!,#REF!</definedName>
    <definedName name="rng1988YDecPES00205">#REF!,#REF!,#REF!</definedName>
    <definedName name="rng1988YDecPES00206">#REF!,#REF!,#REF!,#REF!,#REF!,#REF!</definedName>
    <definedName name="rng1988YDecPES00207">#REF!,#REF!,#REF!</definedName>
    <definedName name="rng1988YDecPES00273">#REF!,#REF!</definedName>
    <definedName name="rng1988YDecPES00274">#REF!,#REF!,#REF!,#REF!,#REF!</definedName>
    <definedName name="rng1988YDecPES00275">#REF!,#REF!</definedName>
    <definedName name="rng1989YDecFFR00001">#REF!,#REF!,#REF!,#REF!,#REF!,#REF!</definedName>
    <definedName name="rng1989YDecFFR00014">#REF!,#REF!</definedName>
    <definedName name="rng1989YDecFFR00027">#REF!,#REF!,#REF!,#REF!,#REF!</definedName>
    <definedName name="rng1989YDecFFR00039">#REF!,#REF!,#REF!</definedName>
    <definedName name="rng1989YDecFFR00057">#REF!,#REF!,#REF!,#REF!,#REF!,#REF!</definedName>
    <definedName name="rng1989YDecFFR00066">#REF!,#REF!,#REF!,#REF!,#REF!,#REF!,#REF!</definedName>
    <definedName name="rng1989YDecFFR00101">#REF!,#REF!,#REF!,#REF!,#REF!,#REF!,#REF!,#REF!,#REF!,#REF!,#REF!</definedName>
    <definedName name="rng1989YDecFFR00133">#REF!,#REF!,#REF!,#REF!,#REF!,#REF!,#REF!,#REF!</definedName>
    <definedName name="rng1989YDecFFR00146">#REF!,#REF!,#REF!,#REF!,#REF!</definedName>
    <definedName name="rng1989YDecFFR00159">#REF!,#REF!,#REF!,#REF!,#REF!</definedName>
    <definedName name="rng1989YDecFFR00171">#REF!,#REF!,#REF!,#REF!,#REF!,#REF!,#REF!,#REF!,#REF!</definedName>
    <definedName name="rng1989YDecFFR00193">#REF!,#REF!,#REF!,#REF!</definedName>
    <definedName name="rng1989YDecFFR00209">#REF!,#REF!,#REF!,#REF!</definedName>
    <definedName name="rng1989YDecFFR00221">#REF!,#REF!,#REF!,#REF!,#REF!,#REF!,#REF!,#REF!</definedName>
    <definedName name="rng1989YDecFFR00222">#REF!,#REF!</definedName>
    <definedName name="rng1989YDecPES00011">#REF!,#REF!,#REF!,#REF!,#REF!,#REF!,#REF!,#REF!,#REF!,#REF!,#REF!,#REF!,#REF!</definedName>
    <definedName name="rng1989YDecPES00042">#REF!,#REF!,#REF!,#REF!,#REF!,#REF!,#REF!,#REF!</definedName>
    <definedName name="rng1989YDecPES00060">#REF!,#REF!,#REF!,#REF!,#REF!,#REF!,#REF!,#REF!,#REF!</definedName>
    <definedName name="rng1989YDecPES00078">#REF!,#REF!,#REF!,#REF!,#REF!,#REF!</definedName>
    <definedName name="rng1989YDecPES00090">#REF!,#REF!,#REF!,#REF!,#REF!,#REF!,#REF!,#REF!,#REF!,#REF!</definedName>
    <definedName name="rng1989YDecPES00126">#REF!,#REF!,#REF!,#REF!</definedName>
    <definedName name="rng1989YDecPES00144">#REF!,#REF!,#REF!,#REF!</definedName>
    <definedName name="rng1989YDecPES00162">#REF!,#REF!,#REF!,#REF!</definedName>
    <definedName name="rng1989YDecPES00208">#REF!,#REF!,#REF!,#REF!,#REF!,#REF!</definedName>
    <definedName name="rng1989YDecPES00209">#REF!,#REF!,#REF!</definedName>
    <definedName name="rng1989YDecPES00210">#REF!,#REF!,#REF!,#REF!,#REF!</definedName>
    <definedName name="rng1989YDecPES00211">#REF!,#REF!,#REF!,#REF!</definedName>
    <definedName name="rng1989YDecPES00276">#REF!,#REF!</definedName>
    <definedName name="rng1989YDecPES00277">#REF!,#REF!,#REF!,#REF!,#REF!</definedName>
    <definedName name="rng1989YDecPES00278">#REF!,#REF!</definedName>
    <definedName name="rng1989YDecPES00284">#REF!,#REF!,#REF!,#REF!,#REF!,#REF!,#REF!,#REF!,#REF!,#REF!,#REF!,#REF!</definedName>
    <definedName name="rng1990YDecFFR00002">#REF!,#REF!,#REF!,#REF!,#REF!,#REF!</definedName>
    <definedName name="rng1990YDecFFR00015">#REF!,#REF!</definedName>
    <definedName name="rng1990YDecFFR00028">#REF!,#REF!,#REF!,#REF!,#REF!,#REF!</definedName>
    <definedName name="rng1990YDecFFR00040">#REF!,#REF!,#REF!,#REF!</definedName>
    <definedName name="rng1990YDecFFR00058">#REF!,#REF!,#REF!,#REF!,#REF!,#REF!</definedName>
    <definedName name="rng1990YDecFFR00067">#REF!,#REF!,#REF!,#REF!,#REF!,#REF!,#REF!</definedName>
    <definedName name="rng1990YDecFFR00102">#REF!,#REF!,#REF!,#REF!,#REF!,#REF!,#REF!,#REF!,#REF!,#REF!,#REF!,#REF!</definedName>
    <definedName name="rng1990YDecFFR00117">#REF!,#REF!</definedName>
    <definedName name="rng1990YDecFFR00134">#REF!,#REF!,#REF!,#REF!,#REF!,#REF!,#REF!,#REF!,#REF!,#REF!,#REF!</definedName>
    <definedName name="rng1990YDecFFR00147">#REF!,#REF!,#REF!,#REF!,#REF!</definedName>
    <definedName name="rng1990YDecFFR00160">#REF!,#REF!,#REF!,#REF!,#REF!</definedName>
    <definedName name="rng1990YDecFFR00172">#REF!,#REF!,#REF!,#REF!,#REF!</definedName>
    <definedName name="rng1990YDecFFR00194">#REF!,#REF!,#REF!,#REF!</definedName>
    <definedName name="rng1990YDecFFR00210">#REF!,#REF!,#REF!,#REF!,#REF!</definedName>
    <definedName name="rng1990YDecFFR00224">#REF!,#REF!,#REF!,#REF!,#REF!,#REF!,#REF!,#REF!,#REF!</definedName>
    <definedName name="rng1990YDecPES00043">#REF!,#REF!,#REF!,#REF!,#REF!,#REF!,#REF!,#REF!</definedName>
    <definedName name="rng1990YDecPES00061">#REF!,#REF!,#REF!,#REF!,#REF!,#REF!,#REF!,#REF!,#REF!,#REF!</definedName>
    <definedName name="rng1990YDecPES00079">#REF!,#REF!,#REF!,#REF!,#REF!,#REF!,#REF!</definedName>
    <definedName name="rng1990YDecPES00091">#REF!,#REF!,#REF!,#REF!,#REF!,#REF!,#REF!,#REF!</definedName>
    <definedName name="rng1990YDecPES00127">#REF!,#REF!,#REF!,#REF!</definedName>
    <definedName name="rng1990YDecPES00145">#REF!,#REF!,#REF!,#REF!</definedName>
    <definedName name="rng1990YDecPES00163">#REF!,#REF!,#REF!,#REF!</definedName>
    <definedName name="rng1990YDecPES00213">#REF!,#REF!,#REF!,#REF!,#REF!,#REF!</definedName>
    <definedName name="rng1990YDecPES00214">#REF!,#REF!,#REF!</definedName>
    <definedName name="rng1990YDecPES00215">#REF!,#REF!,#REF!,#REF!,#REF!,#REF!</definedName>
    <definedName name="rng1990YDecPES00216">#REF!,#REF!,#REF!,#REF!,#REF!</definedName>
    <definedName name="rng1990YDecPES00217">#REF!,#REF!,#REF!,#REF!,#REF!</definedName>
    <definedName name="rng1990YDecPES00218">#REF!,#REF!,#REF!,#REF!,#REF!,#REF!</definedName>
    <definedName name="rng1990YDecPES00219">#REF!,#REF!,#REF!,#REF!,#REF!,#REF!,#REF!,#REF!</definedName>
    <definedName name="rng1990YDecPES00221">#REF!,#REF!,#REF!,#REF!,#REF!</definedName>
    <definedName name="rng1990YDecPES00223">#REF!,#REF!,#REF!,#REF!,#REF!</definedName>
    <definedName name="rng1990YDecPES00224">#REF!,#REF!</definedName>
    <definedName name="rng1991YDecFFR00003">#REF!,#REF!,#REF!,#REF!,#REF!,#REF!,#REF!,#REF!,#REF!</definedName>
    <definedName name="rng1991YDecFFR00016">#REF!,#REF!,#REF!</definedName>
    <definedName name="rng1991YDecFFR00029">#REF!,#REF!,#REF!,#REF!,#REF!,#REF!</definedName>
    <definedName name="rng1991YDecFFR00041">#REF!,#REF!,#REF!,#REF!</definedName>
    <definedName name="rng1991YDecFFR00059">#REF!,#REF!,#REF!,#REF!,#REF!,#REF!</definedName>
    <definedName name="rng1991YDecFFR00068">#REF!,#REF!,#REF!,#REF!,#REF!,#REF!,#REF!</definedName>
    <definedName name="rng1991YDecFFR00103">#REF!,#REF!,#REF!,#REF!,#REF!,#REF!,#REF!,#REF!,#REF!,#REF!,#REF!</definedName>
    <definedName name="rng1991YDecFFR00135">#REF!,#REF!,#REF!,#REF!,#REF!,#REF!,#REF!,#REF!,#REF!</definedName>
    <definedName name="rng1991YDecFFR00148">#REF!,#REF!,#REF!,#REF!,#REF!</definedName>
    <definedName name="rng1991YDecFFR00161">#REF!,#REF!,#REF!,#REF!,#REF!</definedName>
    <definedName name="rng1991YDecFFR00173">#REF!,#REF!,#REF!,#REF!,#REF!</definedName>
    <definedName name="rng1991YDecFFR00195">#REF!,#REF!,#REF!,#REF!</definedName>
    <definedName name="rng1991YDecFFR00211">#REF!,#REF!,#REF!,#REF!,#REF!</definedName>
    <definedName name="rng1991YDecFFR00225">#REF!,#REF!,#REF!,#REF!,#REF!,#REF!,#REF!,#REF!,#REF!</definedName>
    <definedName name="rng1991YDecPES00014">#REF!,#REF!,#REF!,#REF!,#REF!,#REF!,#REF!,#REF!</definedName>
    <definedName name="rng1991YDecPES00044">#REF!,#REF!,#REF!,#REF!,#REF!,#REF!,#REF!</definedName>
    <definedName name="rng1991YDecPES00062">#REF!,#REF!,#REF!,#REF!,#REF!,#REF!,#REF!,#REF!,#REF!,#REF!</definedName>
    <definedName name="rng1991YDecPES00080">#REF!,#REF!,#REF!,#REF!,#REF!,#REF!,#REF!</definedName>
    <definedName name="rng1991YDecPES00092">#REF!,#REF!,#REF!,#REF!,#REF!,#REF!,#REF!,#REF!</definedName>
    <definedName name="rng1991YDecPES00128">#REF!,#REF!,#REF!,#REF!</definedName>
    <definedName name="rng1991YDecPES00146">#REF!,#REF!,#REF!,#REF!</definedName>
    <definedName name="rng1991YDecPES00164">#REF!,#REF!,#REF!,#REF!</definedName>
    <definedName name="rng1991YDecPES00225">#REF!,#REF!,#REF!,#REF!,#REF!,#REF!,#REF!</definedName>
    <definedName name="rng1991YDecPES00226">#REF!,#REF!,#REF!,#REF!,#REF!</definedName>
    <definedName name="rng1991YDecPES00228">#REF!,#REF!,#REF!,#REF!,#REF!</definedName>
    <definedName name="rng1991YDecPES00229">#REF!,#REF!,#REF!,#REF!,#REF!</definedName>
    <definedName name="rng1991YDecPES00254">#REF!,#REF!,#REF!,#REF!,#REF!,#REF!</definedName>
    <definedName name="rng1991YDecPES00255">#REF!,#REF!,#REF!,#REF!</definedName>
    <definedName name="rng1992YDecFFR00004">#REF!,#REF!,#REF!,#REF!,#REF!,#REF!</definedName>
    <definedName name="rng1992YDecFFR00017">#REF!,#REF!,#REF!</definedName>
    <definedName name="rng1992YDecFFR00030">#REF!,#REF!,#REF!,#REF!,#REF!,#REF!</definedName>
    <definedName name="rng1992YDecFFR00042">#REF!,#REF!,#REF!,#REF!</definedName>
    <definedName name="rng1992YDecFFR00060">#REF!,#REF!,#REF!,#REF!,#REF!,#REF!</definedName>
    <definedName name="rng1992YDecFFR00069">#REF!,#REF!,#REF!,#REF!,#REF!,#REF!,#REF!</definedName>
    <definedName name="rng1992YDecFFR00104">#REF!,#REF!,#REF!,#REF!,#REF!,#REF!,#REF!,#REF!,#REF!,#REF!,#REF!</definedName>
    <definedName name="rng1992YDecFFR00136">#REF!,#REF!,#REF!,#REF!,#REF!,#REF!,#REF!,#REF!,#REF!</definedName>
    <definedName name="rng1992YDecFFR00149">#REF!,#REF!,#REF!,#REF!,#REF!</definedName>
    <definedName name="rng1992YDecFFR00162">#REF!,#REF!,#REF!,#REF!,#REF!</definedName>
    <definedName name="rng1992YDecFFR00174">#REF!,#REF!,#REF!,#REF!,#REF!</definedName>
    <definedName name="rng1992YDecFFR00196">#REF!,#REF!,#REF!,#REF!</definedName>
    <definedName name="rng1992YDecFFR00212">#REF!,#REF!,#REF!,#REF!,#REF!,#REF!</definedName>
    <definedName name="rng1992YDecFFR00226">#REF!,#REF!,#REF!,#REF!,#REF!,#REF!,#REF!,#REF!</definedName>
    <definedName name="rng1992YDecLIR00004">#REF!,#REF!,#REF!,#REF!,#REF!,#REF!</definedName>
    <definedName name="rng1992YDecLIR00015">#REF!,#REF!,#REF!,#REF!,#REF!,#REF!</definedName>
    <definedName name="rng1992YDecLIR00021">#REF!,#REF!,#REF!,#REF!,#REF!,#REF!</definedName>
    <definedName name="rng1992YDecLIR00030">#REF!,#REF!,#REF!,#REF!,#REF!,#REF!,#REF!</definedName>
    <definedName name="rng1992YDecLIR00040">#REF!,#REF!,#REF!,#REF!,#REF!,#REF!</definedName>
    <definedName name="rng1992YDecLIR00046">#REF!,#REF!,#REF!,#REF!</definedName>
    <definedName name="rng1992YDecLIR00055">#REF!,#REF!,#REF!,#REF!,#REF!,#REF!,#REF!</definedName>
    <definedName name="rng1992YDecLIR00062">#REF!,#REF!,#REF!,#REF!,#REF!,#REF!</definedName>
    <definedName name="rng1992YDecLIR00075">#REF!,#REF!</definedName>
    <definedName name="rng1992YDecLIR00082">#REF!,#REF!,#REF!,#REF!,#REF!,#REF!,#REF!,#REF!</definedName>
    <definedName name="rng1992YDecLIR00101">#REF!,#REF!,#REF!</definedName>
    <definedName name="rng1992YDecLIR00108">#REF!,#REF!,#REF!,#REF!,#REF!</definedName>
    <definedName name="rng1992YDecLIR00115">#REF!,#REF!,#REF!,#REF!</definedName>
    <definedName name="rng1992YDecLIR00122">#REF!,#REF!,#REF!,#REF!,#REF!</definedName>
    <definedName name="rng1992YDecLIR00129">#REF!,#REF!,#REF!,#REF!,#REF!</definedName>
    <definedName name="rng1992YDecLIR00136">#REF!,#REF!,#REF!,#REF!,#REF!</definedName>
    <definedName name="rng1992YDecLIR00152">#REF!,#REF!,#REF!,#REF!,#REF!</definedName>
    <definedName name="rng1992YDecLIR00159">#REF!,#REF!</definedName>
    <definedName name="rng1992YDecPES00063">#REF!,#REF!,#REF!,#REF!,#REF!,#REF!,#REF!,#REF!,#REF!</definedName>
    <definedName name="rng1992YDecPES00081">#REF!,#REF!,#REF!,#REF!,#REF!,#REF!,#REF!</definedName>
    <definedName name="rng1992YDecPES00093">#REF!,#REF!,#REF!,#REF!,#REF!,#REF!,#REF!,#REF!</definedName>
    <definedName name="rng1992YDecPES00111">#REF!,#REF!,#REF!,#REF!,#REF!,#REF!,#REF!,#REF!,#REF!,#REF!,#REF!,#REF!</definedName>
    <definedName name="rng1992YDecPES00129">#REF!,#REF!,#REF!,#REF!</definedName>
    <definedName name="rng1992YDecPES00147">#REF!,#REF!,#REF!,#REF!</definedName>
    <definedName name="rng1992YDecPES00165">#REF!,#REF!,#REF!,#REF!,#REF!</definedName>
    <definedName name="rng1992YDecPES00230">#REF!,#REF!,#REF!,#REF!,#REF!,#REF!,#REF!</definedName>
    <definedName name="rng1992YDecPES00231">#REF!,#REF!,#REF!,#REF!,#REF!,#REF!</definedName>
    <definedName name="rng1992YDecPES00232">#REF!,#REF!,#REF!,#REF!</definedName>
    <definedName name="rng1992YDecPES00233">#REF!,#REF!,#REF!,#REF!,#REF!</definedName>
    <definedName name="rng1993YDecFFR00005">#REF!,#REF!,#REF!,#REF!,#REF!,#REF!</definedName>
    <definedName name="rng1993YDecFFR00018">#REF!,#REF!,#REF!,#REF!</definedName>
    <definedName name="rng1993YDecFFR00031">#REF!,#REF!,#REF!,#REF!,#REF!,#REF!,#REF!,#REF!</definedName>
    <definedName name="rng1993YDecFFR00043">#REF!,#REF!,#REF!,#REF!</definedName>
    <definedName name="rng1993YDecFFR00061">#REF!,#REF!,#REF!,#REF!,#REF!,#REF!</definedName>
    <definedName name="rng1993YDecFFR00070">#REF!,#REF!,#REF!,#REF!,#REF!,#REF!,#REF!</definedName>
    <definedName name="rng1993YDecFFR00105">#REF!,#REF!,#REF!,#REF!,#REF!,#REF!,#REF!,#REF!,#REF!,#REF!,#REF!,#REF!</definedName>
    <definedName name="rng1993YDecFFR00137">#REF!,#REF!,#REF!,#REF!,#REF!,#REF!,#REF!,#REF!,#REF!</definedName>
    <definedName name="rng1993YDecFFR00150">#REF!,#REF!,#REF!,#REF!,#REF!</definedName>
    <definedName name="rng1993YDecFFR00163">#REF!,#REF!,#REF!,#REF!,#REF!</definedName>
    <definedName name="rng1993YDecFFR00175">#REF!,#REF!,#REF!,#REF!,#REF!</definedName>
    <definedName name="rng1993YDecFFR00197">#REF!,#REF!,#REF!,#REF!</definedName>
    <definedName name="rng1993YDecFFR00213">#REF!,#REF!,#REF!,#REF!,#REF!</definedName>
    <definedName name="rng1993YDecFFR00227">#REF!,#REF!,#REF!,#REF!,#REF!,#REF!,#REF!,#REF!,#REF!</definedName>
    <definedName name="rng1993YDecLIR00005">#REF!,#REF!,#REF!,#REF!,#REF!</definedName>
    <definedName name="rng1993YDecLIR00016">#REF!,#REF!,#REF!,#REF!,#REF!,#REF!</definedName>
    <definedName name="rng1993YDecLIR00022">#REF!,#REF!,#REF!,#REF!,#REF!,#REF!</definedName>
    <definedName name="rng1993YDecLIR00031">#REF!,#REF!,#REF!,#REF!,#REF!,#REF!,#REF!</definedName>
    <definedName name="rng1993YDecLIR00041">#REF!,#REF!,#REF!,#REF!,#REF!</definedName>
    <definedName name="rng1993YDecLIR00047">#REF!,#REF!,#REF!,#REF!</definedName>
    <definedName name="rng1993YDecLIR00056">#REF!,#REF!,#REF!,#REF!,#REF!,#REF!,#REF!</definedName>
    <definedName name="rng1993YDecLIR00063">#REF!,#REF!,#REF!,#REF!,#REF!,#REF!</definedName>
    <definedName name="rng1993YDecLIR00076">#REF!,#REF!</definedName>
    <definedName name="rng1993YDecLIR00083">#REF!,#REF!,#REF!,#REF!,#REF!,#REF!,#REF!,#REF!</definedName>
    <definedName name="rng1993YDecLIR00102">#REF!,#REF!,#REF!,#REF!,#REF!,#REF!,#REF!</definedName>
    <definedName name="rng1993YDecLIR00109">#REF!,#REF!,#REF!,#REF!,#REF!</definedName>
    <definedName name="rng1993YDecLIR00116">#REF!,#REF!,#REF!,#REF!</definedName>
    <definedName name="rng1993YDecLIR00123">#REF!,#REF!,#REF!,#REF!,#REF!</definedName>
    <definedName name="rng1993YDecLIR00130">#REF!,#REF!,#REF!,#REF!,#REF!</definedName>
    <definedName name="rng1993YDecLIR00137">#REF!,#REF!,#REF!,#REF!,#REF!</definedName>
    <definedName name="rng1993YDecLIR00160">#REF!,#REF!</definedName>
    <definedName name="rng1993YDecLIR00175">#REF!,#REF!,#REF!,#REF!,#REF!</definedName>
    <definedName name="rng1993YDecPES00016">#REF!,#REF!,#REF!,#REF!,#REF!,#REF!,#REF!,#REF!,#REF!,#REF!,#REF!,#REF!,#REF!</definedName>
    <definedName name="rng1993YDecPES00046">#REF!,#REF!,#REF!,#REF!,#REF!,#REF!,#REF!</definedName>
    <definedName name="rng1993YDecPES00064">#REF!,#REF!,#REF!,#REF!,#REF!,#REF!,#REF!,#REF!,#REF!</definedName>
    <definedName name="rng1993YDecPES00082">#REF!,#REF!,#REF!,#REF!,#REF!,#REF!,#REF!</definedName>
    <definedName name="rng1993YDecPES00094">#REF!,#REF!,#REF!,#REF!,#REF!,#REF!,#REF!,#REF!</definedName>
    <definedName name="rng1993YDecPES00130">#REF!,#REF!,#REF!,#REF!</definedName>
    <definedName name="rng1993YDecPES00148">#REF!,#REF!,#REF!,#REF!</definedName>
    <definedName name="rng1993YDecPES00166">#REF!,#REF!,#REF!,#REF!</definedName>
    <definedName name="rng1993YDecPES00234">#REF!,#REF!,#REF!,#REF!,#REF!</definedName>
    <definedName name="rng1993YDecPES00235">#REF!,#REF!,#REF!,#REF!</definedName>
    <definedName name="rng1993YDecPES00236">#REF!,#REF!,#REF!,#REF!,#REF!,#REF!</definedName>
    <definedName name="rng1993YDecPES00237">#REF!,#REF!,#REF!,#REF!,#REF!,#REF!,#REF!</definedName>
    <definedName name="rng1993YDecPES00257">#REF!,#REF!,#REF!,#REF!,#REF!,#REF!</definedName>
    <definedName name="rng1994YDecFFR00006">#REF!,#REF!,#REF!,#REF!,#REF!,#REF!</definedName>
    <definedName name="rng1994YDecFFR00019">#REF!,#REF!,#REF!,#REF!</definedName>
    <definedName name="rng1994YDecFFR00032">#REF!,#REF!,#REF!,#REF!,#REF!,#REF!</definedName>
    <definedName name="rng1994YDecFFR00044">#REF!,#REF!,#REF!,#REF!</definedName>
    <definedName name="rng1994YDecFFR00062">#REF!,#REF!,#REF!,#REF!,#REF!,#REF!</definedName>
    <definedName name="rng1994YDecFFR00071">#REF!,#REF!,#REF!,#REF!,#REF!,#REF!,#REF!</definedName>
    <definedName name="rng1994YDecFFR00106">#REF!,#REF!,#REF!,#REF!,#REF!,#REF!,#REF!,#REF!</definedName>
    <definedName name="rng1994YDecFFR00107">#REF!,#REF!,#REF!,#REF!,#REF!,#REF!</definedName>
    <definedName name="rng1994YDecFFR00138">#REF!,#REF!,#REF!,#REF!,#REF!,#REF!,#REF!,#REF!,#REF!</definedName>
    <definedName name="rng1994YDecFFR00151">#REF!,#REF!,#REF!,#REF!,#REF!</definedName>
    <definedName name="rng1994YDecFFR00164">#REF!,#REF!,#REF!,#REF!,#REF!</definedName>
    <definedName name="rng1994YDecFFR00176">#REF!,#REF!,#REF!,#REF!,#REF!</definedName>
    <definedName name="rng1994YDecFFR00198">#REF!,#REF!,#REF!,#REF!</definedName>
    <definedName name="rng1994YDecFFR00214">#REF!,#REF!,#REF!,#REF!,#REF!,#REF!</definedName>
    <definedName name="rng1994YDecFFR00228">#REF!,#REF!,#REF!,#REF!,#REF!,#REF!,#REF!,#REF!,#REF!</definedName>
    <definedName name="rng1994YDecLIR00006">#REF!,#REF!,#REF!,#REF!,#REF!</definedName>
    <definedName name="rng1994YDecLIR00017">#REF!,#REF!,#REF!,#REF!,#REF!,#REF!</definedName>
    <definedName name="rng1994YDecLIR00023">#REF!,#REF!,#REF!,#REF!,#REF!</definedName>
    <definedName name="rng1994YDecLIR00032">#REF!,#REF!,#REF!,#REF!,#REF!,#REF!,#REF!</definedName>
    <definedName name="rng1994YDecLIR00042">#REF!,#REF!,#REF!,#REF!,#REF!</definedName>
    <definedName name="rng1994YDecLIR00048">#REF!,#REF!,#REF!,#REF!</definedName>
    <definedName name="rng1994YDecLIR00057">#REF!,#REF!,#REF!,#REF!,#REF!,#REF!</definedName>
    <definedName name="rng1994YDecLIR00064">#REF!,#REF!,#REF!,#REF!,#REF!,#REF!</definedName>
    <definedName name="rng1994YDecLIR00077">#REF!,#REF!</definedName>
    <definedName name="rng1994YDecLIR00084">#REF!,#REF!,#REF!,#REF!,#REF!,#REF!,#REF!,#REF!</definedName>
    <definedName name="rng1994YDecLIR00103">#REF!,#REF!,#REF!,#REF!,#REF!,#REF!,#REF!,#REF!</definedName>
    <definedName name="rng1994YDecLIR00110">#REF!,#REF!,#REF!,#REF!,#REF!</definedName>
    <definedName name="rng1994YDecLIR00117">#REF!,#REF!,#REF!,#REF!</definedName>
    <definedName name="rng1994YDecLIR00124">#REF!,#REF!,#REF!,#REF!,#REF!</definedName>
    <definedName name="rng1994YDecLIR00131">#REF!,#REF!,#REF!,#REF!,#REF!</definedName>
    <definedName name="rng1994YDecLIR00138">#REF!,#REF!,#REF!,#REF!,#REF!</definedName>
    <definedName name="rng1994YDecLIR00143">#REF!,#REF!</definedName>
    <definedName name="rng1994YDecLIR00146">#REF!,#REF!</definedName>
    <definedName name="rng1994YDecLIR00161">#REF!,#REF!</definedName>
    <definedName name="rng1994YDecLIR00176">#REF!,#REF!,#REF!,#REF!,#REF!</definedName>
    <definedName name="rng1994YDecPES00083">#REF!,#REF!,#REF!,#REF!,#REF!,#REF!,#REF!</definedName>
    <definedName name="rng1994YDecPES00095">#REF!,#REF!,#REF!,#REF!,#REF!,#REF!,#REF!,#REF!,#REF!</definedName>
    <definedName name="rng1994YDecPES00113">#REF!,#REF!,#REF!,#REF!,#REF!</definedName>
    <definedName name="rng1994YDecPES00131">#REF!,#REF!,#REF!,#REF!</definedName>
    <definedName name="rng1994YDecPES00149">#REF!,#REF!,#REF!,#REF!</definedName>
    <definedName name="rng1994YDecPES00167">#REF!,#REF!,#REF!,#REF!</definedName>
    <definedName name="rng1994YDecPES00238">#REF!,#REF!,#REF!,#REF!,#REF!,#REF!</definedName>
    <definedName name="rng1994YDecPES00239">#REF!,#REF!,#REF!,#REF!,#REF!,#REF!,#REF!</definedName>
    <definedName name="rng1994YDecPES00240">#REF!,#REF!,#REF!,#REF!</definedName>
    <definedName name="rng1994YDecPES00241">#REF!,#REF!,#REF!,#REF!,#REF!</definedName>
    <definedName name="rng1994YDecPES00258">#REF!,#REF!,#REF!,#REF!,#REF!,#REF!</definedName>
    <definedName name="rng1995YDecFFR00007">#REF!,#REF!,#REF!,#REF!,#REF!,#REF!,#REF!</definedName>
    <definedName name="rng1995YDecFFR00020">#REF!,#REF!,#REF!,#REF!,#REF!</definedName>
    <definedName name="rng1995YDecFFR00033">#REF!,#REF!,#REF!,#REF!,#REF!,#REF!</definedName>
    <definedName name="rng1995YDecFFR00045">#REF!,#REF!,#REF!,#REF!</definedName>
    <definedName name="rng1995YDecFFR00063">#REF!,#REF!,#REF!,#REF!,#REF!,#REF!</definedName>
    <definedName name="rng1995YDecFFR00072">#REF!,#REF!,#REF!,#REF!,#REF!,#REF!,#REF!</definedName>
    <definedName name="rng1995YDecFFR00108">#REF!,#REF!,#REF!,#REF!,#REF!,#REF!,#REF!,#REF!</definedName>
    <definedName name="rng1995YDecFFR00109">#REF!,#REF!,#REF!,#REF!,#REF!,#REF!</definedName>
    <definedName name="rng1995YDecFFR00139">#REF!,#REF!,#REF!,#REF!,#REF!,#REF!,#REF!,#REF!,#REF!</definedName>
    <definedName name="rng1995YDecFFR00152">#REF!,#REF!,#REF!,#REF!,#REF!</definedName>
    <definedName name="rng1995YDecFFR00165">#REF!,#REF!,#REF!,#REF!</definedName>
    <definedName name="rng1995YDecFFR00177">#REF!,#REF!,#REF!,#REF!,#REF!</definedName>
    <definedName name="rng1995YDecFFR00199">#REF!,#REF!,#REF!,#REF!</definedName>
    <definedName name="rng1995YDecFFR00215">#REF!,#REF!,#REF!,#REF!</definedName>
    <definedName name="rng1995YDecFFR00229">#REF!,#REF!,#REF!,#REF!,#REF!,#REF!,#REF!,#REF!,#REF!</definedName>
    <definedName name="rng1995YDecLIR00007">#REF!,#REF!,#REF!,#REF!,#REF!</definedName>
    <definedName name="rng1995YDecLIR00018">#REF!,#REF!,#REF!,#REF!,#REF!,#REF!</definedName>
    <definedName name="rng1995YDecLIR00024">#REF!,#REF!,#REF!,#REF!,#REF!</definedName>
    <definedName name="rng1995YDecLIR00033">#REF!,#REF!,#REF!,#REF!,#REF!,#REF!,#REF!,#REF!</definedName>
    <definedName name="rng1995YDecLIR00043">#REF!,#REF!,#REF!,#REF!,#REF!</definedName>
    <definedName name="rng1995YDecLIR00052">#REF!,#REF!,#REF!,#REF!,#REF!</definedName>
    <definedName name="rng1995YDecLIR00058">#REF!,#REF!,#REF!,#REF!,#REF!,#REF!</definedName>
    <definedName name="rng1995YDecLIR00065">#REF!,#REF!,#REF!,#REF!,#REF!,#REF!</definedName>
    <definedName name="rng1995YDecLIR00078">#REF!,#REF!</definedName>
    <definedName name="rng1995YDecLIR00085">#REF!,#REF!,#REF!,#REF!,#REF!,#REF!,#REF!,#REF!</definedName>
    <definedName name="rng1995YDecLIR00095">#REF!,#REF!,#REF!,#REF!,#REF!</definedName>
    <definedName name="rng1995YDecLIR00104">#REF!,#REF!,#REF!,#REF!,#REF!,#REF!,#REF!</definedName>
    <definedName name="rng1995YDecLIR00111">#REF!,#REF!,#REF!,#REF!,#REF!</definedName>
    <definedName name="rng1995YDecLIR00118">#REF!,#REF!,#REF!,#REF!</definedName>
    <definedName name="rng1995YDecLIR00125">#REF!,#REF!,#REF!,#REF!,#REF!</definedName>
    <definedName name="rng1995YDecLIR00132">#REF!,#REF!,#REF!,#REF!,#REF!</definedName>
    <definedName name="rng1995YDecLIR00139">#REF!,#REF!,#REF!,#REF!,#REF!</definedName>
    <definedName name="rng1995YDecLIR00144">#REF!,#REF!</definedName>
    <definedName name="rng1995YDecLIR00147">#REF!,#REF!</definedName>
    <definedName name="rng1995YDecLIR00150">#REF!,#REF!</definedName>
    <definedName name="rng1995YDecLIR00162">#REF!,#REF!</definedName>
    <definedName name="rng1995YDecPES00018">#REF!,#REF!,#REF!,#REF!,#REF!,#REF!,#REF!,#REF!,#REF!,#REF!,#REF!,#REF!,#REF!</definedName>
    <definedName name="rng1995YDecPES00048">#REF!,#REF!,#REF!,#REF!,#REF!,#REF!,#REF!</definedName>
    <definedName name="rng1995YDecPES00066">#REF!,#REF!,#REF!,#REF!,#REF!,#REF!,#REF!,#REF!,#REF!,#REF!,#REF!</definedName>
    <definedName name="rng1995YDecPES00084">#REF!,#REF!,#REF!,#REF!,#REF!,#REF!,#REF!,#REF!</definedName>
    <definedName name="rng1995YDecPES00096">#REF!,#REF!,#REF!,#REF!,#REF!,#REF!,#REF!</definedName>
    <definedName name="rng1995YDecPES00114">#REF!,#REF!,#REF!,#REF!</definedName>
    <definedName name="rng1995YDecPES00132">#REF!,#REF!,#REF!,#REF!</definedName>
    <definedName name="rng1995YDecPES00150">#REF!,#REF!,#REF!,#REF!</definedName>
    <definedName name="rng1995YDecPES00168">#REF!,#REF!,#REF!,#REF!</definedName>
    <definedName name="rng1995YDecPES00242">#REF!,#REF!,#REF!,#REF!,#REF!</definedName>
    <definedName name="rng1995YDecPES00243">#REF!,#REF!,#REF!,#REF!</definedName>
    <definedName name="rng1995YDecPES00244">#REF!,#REF!,#REF!,#REF!,#REF!,#REF!</definedName>
    <definedName name="rng1995YDecPES00245">#REF!,#REF!,#REF!,#REF!,#REF!,#REF!,#REF!</definedName>
    <definedName name="rng1995YDecPES00259">#REF!,#REF!,#REF!,#REF!,#REF!,#REF!</definedName>
    <definedName name="rng1996HJunFFR00235">#REF!,#REF!,#REF!,#REF!,#REF!,#REF!,#REF!,#REF!</definedName>
    <definedName name="rng1996HJunFFR00240">#REF!,#REF!,#REF!</definedName>
    <definedName name="rng1996YDecFFR00008">#REF!,#REF!,#REF!,#REF!,#REF!,#REF!</definedName>
    <definedName name="rng1996YDecFFR00021">#REF!,#REF!,#REF!,#REF!</definedName>
    <definedName name="rng1996YDecFFR00034">#REF!,#REF!,#REF!,#REF!,#REF!,#REF!</definedName>
    <definedName name="rng1996YDecFFR00046">#REF!,#REF!,#REF!,#REF!,#REF!</definedName>
    <definedName name="rng1996YDecFFR00064">#REF!,#REF!,#REF!,#REF!,#REF!,#REF!</definedName>
    <definedName name="rng1996YDecFFR00073">#REF!,#REF!,#REF!,#REF!,#REF!,#REF!,#REF!</definedName>
    <definedName name="rng1996YDecFFR00166">#REF!,#REF!,#REF!,#REF!,#REF!</definedName>
    <definedName name="rng1996YDecFFR00178">#REF!,#REF!,#REF!,#REF!,#REF!</definedName>
    <definedName name="rng1996YDecFFR00200">#REF!,#REF!,#REF!,#REF!,#REF!</definedName>
    <definedName name="rng1996YDecFFR00216">#REF!,#REF!,#REF!,#REF!</definedName>
    <definedName name="rng1996YDecFFR00230">#REF!,#REF!,#REF!,#REF!,#REF!,#REF!,#REF!,#REF!</definedName>
    <definedName name="rng1996YDecLIR00008">#REF!,#REF!,#REF!,#REF!,#REF!</definedName>
    <definedName name="rng1996YDecLIR00019">#REF!,#REF!,#REF!,#REF!,#REF!,#REF!</definedName>
    <definedName name="rng1996YDecLIR00025">#REF!,#REF!,#REF!,#REF!,#REF!</definedName>
    <definedName name="rng1996YDecLIR00034">#REF!,#REF!,#REF!,#REF!,#REF!,#REF!,#REF!,#REF!</definedName>
    <definedName name="rng1996YDecLIR00044">#REF!,#REF!,#REF!,#REF!</definedName>
    <definedName name="rng1996YDecLIR00053">#REF!,#REF!,#REF!,#REF!,#REF!</definedName>
    <definedName name="rng1996YDecLIR00059">#REF!,#REF!,#REF!,#REF!,#REF!,#REF!</definedName>
    <definedName name="rng1996YDecLIR00066">#REF!,#REF!,#REF!,#REF!,#REF!,#REF!</definedName>
    <definedName name="rng1996YDecLIR00079">#REF!,#REF!</definedName>
    <definedName name="rng1996YDecLIR00086">#REF!,#REF!,#REF!,#REF!,#REF!,#REF!,#REF!,#REF!</definedName>
    <definedName name="rng1996YDecLIR00096">#REF!,#REF!,#REF!,#REF!,#REF!</definedName>
    <definedName name="rng1996YDecLIR00105">#REF!,#REF!,#REF!,#REF!,#REF!,#REF!,#REF!</definedName>
    <definedName name="rng1996YDecLIR00112">#REF!,#REF!,#REF!,#REF!,#REF!</definedName>
    <definedName name="rng1996YDecLIR00119">#REF!,#REF!,#REF!,#REF!</definedName>
    <definedName name="rng1996YDecLIR00126">#REF!,#REF!,#REF!,#REF!,#REF!</definedName>
    <definedName name="rng1996YDecLIR00133">#REF!,#REF!,#REF!,#REF!,#REF!</definedName>
    <definedName name="rng1996YDecLIR00140">#REF!,#REF!,#REF!,#REF!,#REF!</definedName>
    <definedName name="rng1996YDecLIR00145">#REF!,#REF!</definedName>
    <definedName name="rng1996YDecLIR00148">#REF!,#REF!</definedName>
    <definedName name="rng1996YDecLIR00151">#REF!,#REF!,#REF!</definedName>
    <definedName name="rng1996YDecLIR00163">#REF!,#REF!</definedName>
    <definedName name="rng1996YDecPES00019">#REF!,#REF!,#REF!,#REF!,#REF!,#REF!,#REF!,#REF!,#REF!,#REF!,#REF!,#REF!,#REF!</definedName>
    <definedName name="rng1996YDecPES00049">#REF!,#REF!,#REF!,#REF!,#REF!,#REF!,#REF!</definedName>
    <definedName name="rng1996YDecPES00067">#REF!,#REF!,#REF!,#REF!,#REF!,#REF!,#REF!,#REF!,#REF!,#REF!,#REF!</definedName>
    <definedName name="rng1996YDecPES00085">#REF!,#REF!,#REF!,#REF!,#REF!,#REF!,#REF!,#REF!</definedName>
    <definedName name="rng1996YDecPES00097">#REF!,#REF!,#REF!,#REF!,#REF!,#REF!,#REF!</definedName>
    <definedName name="rng1996YDecPES00115">#REF!,#REF!,#REF!,#REF!,#REF!</definedName>
    <definedName name="rng1996YDecPES00133">#REF!,#REF!,#REF!,#REF!</definedName>
    <definedName name="rng1996YDecPES00151">#REF!,#REF!,#REF!,#REF!</definedName>
    <definedName name="rng1996YDecPES00169">#REF!,#REF!,#REF!,#REF!</definedName>
    <definedName name="rng1996YDecPES00246">#REF!,#REF!,#REF!,#REF!,#REF!,#REF!,#REF!,#REF!,#REF!</definedName>
    <definedName name="rng1996YDecPES00247">#REF!,#REF!,#REF!,#REF!,#REF!,#REF!</definedName>
    <definedName name="rng1996YDecPES00248">#REF!,#REF!,#REF!,#REF!</definedName>
    <definedName name="rng1996YDecPES00249">#REF!,#REF!,#REF!,#REF!,#REF!,#REF!,#REF!,#REF!,#REF!</definedName>
    <definedName name="rng1996YDecPES00260">#REF!,#REF!,#REF!,#REF!,#REF!,#REF!</definedName>
    <definedName name="rng1997HJunFFR00236">#REF!,#REF!,#REF!,#REF!,#REF!,#REF!,#REF!,#REF!</definedName>
    <definedName name="rng1997HJunFFR00239">#REF!,#REF!,#REF!</definedName>
    <definedName name="rng1997YDecFFR00009">#REF!,#REF!,#REF!,#REF!,#REF!</definedName>
    <definedName name="rng1997YDecFFR00022">#REF!,#REF!,#REF!</definedName>
    <definedName name="rng1997YDecFFR00035">#REF!,#REF!,#REF!,#REF!,#REF!,#REF!</definedName>
    <definedName name="rng1997YDecFFR00047">#REF!,#REF!,#REF!,#REF!,#REF!</definedName>
    <definedName name="rng1997YDecFFR00065">#REF!,#REF!,#REF!,#REF!,#REF!,#REF!</definedName>
    <definedName name="rng1997YDecFFR00074">#REF!,#REF!,#REF!,#REF!,#REF!,#REF!,#REF!</definedName>
    <definedName name="rng1997YDecFFR00111">#REF!,#REF!,#REF!,#REF!,#REF!,#REF!,#REF!,#REF!,#REF!,#REF!,#REF!,#REF!,#REF!,#REF!</definedName>
    <definedName name="rng1997YDecFFR00141">#REF!,#REF!,#REF!,#REF!,#REF!,#REF!,#REF!,#REF!,#REF!,#REF!</definedName>
    <definedName name="rng1997YDecFFR00154">#REF!,#REF!,#REF!,#REF!,#REF!,#REF!</definedName>
    <definedName name="rng1997YDecFFR00167">#REF!,#REF!,#REF!,#REF!,#REF!</definedName>
    <definedName name="rng1997YDecFFR00179">#REF!,#REF!,#REF!,#REF!,#REF!</definedName>
    <definedName name="rng1997YDecFFR00201">#REF!,#REF!,#REF!,#REF!</definedName>
    <definedName name="rng1997YDecFFR00217">#REF!,#REF!,#REF!,#REF!</definedName>
    <definedName name="rng1997YDecFFR00231">#REF!,#REF!,#REF!,#REF!,#REF!,#REF!,#REF!,#REF!,#REF!,#REF!</definedName>
    <definedName name="rng1997YDecLIR00009">#REF!,#REF!,#REF!,#REF!,#REF!</definedName>
    <definedName name="rng1997YDecLIR00020">#REF!,#REF!,#REF!,#REF!,#REF!,#REF!</definedName>
    <definedName name="rng1997YDecLIR00026">#REF!,#REF!,#REF!,#REF!,#REF!</definedName>
    <definedName name="rng1997YDecLIR00035">#REF!,#REF!,#REF!,#REF!,#REF!,#REF!,#REF!,#REF!</definedName>
    <definedName name="rng1997YDecLIR00045">#REF!,#REF!,#REF!,#REF!</definedName>
    <definedName name="rng1997YDecLIR00054">#REF!,#REF!,#REF!,#REF!</definedName>
    <definedName name="rng1997YDecLIR00060">#REF!,#REF!,#REF!,#REF!,#REF!,#REF!</definedName>
    <definedName name="rng1997YDecLIR00067">#REF!,#REF!,#REF!,#REF!,#REF!</definedName>
    <definedName name="rng1997YDecLIR00080">#REF!,#REF!</definedName>
    <definedName name="rng1997YDecLIR00087">#REF!,#REF!,#REF!,#REF!,#REF!,#REF!,#REF!,#REF!</definedName>
    <definedName name="rng1997YDecLIR00097">#REF!,#REF!,#REF!,#REF!,#REF!</definedName>
    <definedName name="rng1997YDecLIR00106">#REF!,#REF!,#REF!,#REF!,#REF!,#REF!,#REF!</definedName>
    <definedName name="rng1997YDecLIR00113">#REF!,#REF!,#REF!,#REF!,#REF!</definedName>
    <definedName name="rng1997YDecLIR00120">#REF!,#REF!,#REF!,#REF!</definedName>
    <definedName name="rng1997YDecLIR00127">#REF!,#REF!,#REF!,#REF!,#REF!</definedName>
    <definedName name="rng1997YDecLIR00134">#REF!,#REF!,#REF!,#REF!,#REF!</definedName>
    <definedName name="rng1997YDecLIR00141">#REF!,#REF!,#REF!,#REF!,#REF!</definedName>
    <definedName name="rng1997YDecLIR00164">#REF!,#REF!</definedName>
    <definedName name="rng1997YDecPES00020">#REF!,#REF!,#REF!,#REF!,#REF!,#REF!,#REF!,#REF!,#REF!,#REF!,#REF!,#REF!,#REF!</definedName>
    <definedName name="rng1997YDecPES00050">#REF!,#REF!,#REF!,#REF!,#REF!,#REF!,#REF!,#REF!,#REF!</definedName>
    <definedName name="rng1997YDecPES00068">#REF!,#REF!,#REF!,#REF!,#REF!,#REF!,#REF!,#REF!,#REF!,#REF!,#REF!</definedName>
    <definedName name="rng1997YDecPES00086">#REF!,#REF!,#REF!,#REF!,#REF!,#REF!,#REF!</definedName>
    <definedName name="rng1997YDecPES00098">#REF!,#REF!,#REF!,#REF!,#REF!,#REF!,#REF!</definedName>
    <definedName name="rng1997YDecPES00116">#REF!,#REF!,#REF!,#REF!</definedName>
    <definedName name="rng1997YDecPES00134">#REF!,#REF!,#REF!,#REF!</definedName>
    <definedName name="rng1997YDecPES00152">#REF!,#REF!,#REF!,#REF!</definedName>
    <definedName name="rng1997YDecPES00170">#REF!,#REF!,#REF!,#REF!</definedName>
    <definedName name="rng1997YDecPES00250">#REF!,#REF!,#REF!,#REF!,#REF!</definedName>
    <definedName name="rng1997YDecPES00251">#REF!,#REF!,#REF!,#REF!</definedName>
    <definedName name="rng1997YDecPES00252">#REF!,#REF!,#REF!,#REF!,#REF!,#REF!,#REF!</definedName>
    <definedName name="rng1997YDecPES00253">#REF!,#REF!,#REF!,#REF!,#REF!,#REF!,#REF!</definedName>
    <definedName name="rng1997YDecPES00261">#REF!,#REF!,#REF!,#REF!,#REF!,#REF!</definedName>
    <definedName name="rng1998HJunFFR00237">#REF!,#REF!,#REF!,#REF!,#REF!,#REF!,#REF!,#REF!</definedName>
    <definedName name="rng1998HJunFFR00238">#REF!,#REF!,#REF!</definedName>
    <definedName name="rng1998YDecFFR00010">#REF!,#REF!,#REF!,#REF!</definedName>
    <definedName name="rng1998YDecFFR00023">#REF!,#REF!,#REF!</definedName>
    <definedName name="rng1998YDecFFR00036">#REF!,#REF!,#REF!,#REF!</definedName>
    <definedName name="rng1998YDecFFR00112">#REF!,#REF!,#REF!,#REF!</definedName>
    <definedName name="rng1998YDecFFR00142">#REF!,#REF!,#REF!,#REF!,#REF!</definedName>
    <definedName name="rng1998YDecFFR00155">#REF!,#REF!</definedName>
    <definedName name="rng1998YDecFFR00168">#REF!,#REF!</definedName>
    <definedName name="rng1998YDecFFR00180">#REF!,#REF!</definedName>
    <definedName name="rng1998YDecFFR00232">#REF!,#REF!,#REF!,#REF!,#REF!,#REF!</definedName>
    <definedName name="rng1998YDecLIR00027">#REF!,#REF!,#REF!,#REF!</definedName>
    <definedName name="rng1998YDecLIR00036">#REF!,#REF!,#REF!</definedName>
    <definedName name="rng1998YDecLIR00061">#REF!,#REF!,#REF!,#REF!</definedName>
    <definedName name="rng1998YDecLIR00068">#REF!,#REF!,#REF!</definedName>
    <definedName name="rng1998YDecLIR00088">#REF!,#REF!</definedName>
    <definedName name="rng1998YDecLIR00114">#REF!,#REF!</definedName>
    <definedName name="rng1998YDecLIR00121">#REF!,#REF!</definedName>
    <definedName name="rng1998YDecLIR00128">#REF!,#REF!</definedName>
    <definedName name="rng1998YDecLIR00135">#REF!,#REF!,#REF!</definedName>
    <definedName name="rng1998YDecLIR00142">#REF!,#REF!</definedName>
    <definedName name="rng1998YDecPES00033">#REF!,#REF!,#REF!,#REF!,#REF!,#REF!,#REF!,#REF!,#REF!,#REF!,#REF!,#REF!</definedName>
    <definedName name="rng1998YDecPES00051">#REF!,#REF!,#REF!</definedName>
    <definedName name="rng1998YDecPES00069">#REF!,#REF!,#REF!,#REF!,#REF!,#REF!,#REF!</definedName>
    <definedName name="rng1998YDecPES00087">#REF!,#REF!</definedName>
    <definedName name="rng1998YDecPES00099">#REF!,#REF!,#REF!,#REF!</definedName>
    <definedName name="rng1998YDecPES00117">#REF!,#REF!,#REF!,#REF!,#REF!,#REF!</definedName>
    <definedName name="rng1998YDecPES00135">#REF!,#REF!</definedName>
    <definedName name="rng1998YDecPES00153">#REF!,#REF!</definedName>
    <definedName name="rng1998YDecPES00171">#REF!,#REF!</definedName>
    <definedName name="rng1999YDecFFR00011">#REF!,#REF!,#REF!,#REF!</definedName>
    <definedName name="rng1999YDecFFR00024">#REF!,#REF!,#REF!</definedName>
    <definedName name="rng1999YDecFFR00037">#REF!,#REF!,#REF!,#REF!</definedName>
    <definedName name="rng1999YDecFFR00113">#REF!,#REF!,#REF!,#REF!</definedName>
    <definedName name="rng1999YDecFFR00143">#REF!,#REF!,#REF!,#REF!,#REF!</definedName>
    <definedName name="rng1999YDecFFR00156">#REF!,#REF!</definedName>
    <definedName name="rng1999YDecFFR00169">#REF!,#REF!</definedName>
    <definedName name="rng1999YDecFFR00181">#REF!,#REF!</definedName>
    <definedName name="rng1999YDecFFR00233">#REF!,#REF!,#REF!,#REF!,#REF!,#REF!</definedName>
    <definedName name="rng1999YDecLIR00089">#REF!,#REF!</definedName>
    <definedName name="rng1999YDecPES00034">#REF!,#REF!,#REF!,#REF!,#REF!,#REF!,#REF!,#REF!,#REF!,#REF!,#REF!</definedName>
    <definedName name="rng1999YDecPES00052">#REF!,#REF!,#REF!</definedName>
    <definedName name="rng1999YDecPES00070">#REF!,#REF!,#REF!,#REF!,#REF!,#REF!</definedName>
    <definedName name="rng1999YDecPES00100">#REF!,#REF!,#REF!,#REF!</definedName>
    <definedName name="rng1999YDecPES00118">#REF!,#REF!,#REF!,#REF!,#REF!,#REF!</definedName>
    <definedName name="rng1999YDecPES00136">#REF!,#REF!</definedName>
    <definedName name="rng1999YDecPES00154">#REF!,#REF!</definedName>
    <definedName name="rng1999YDecPES00172">#REF!,#REF!</definedName>
    <definedName name="rng2000YDecFFR00012">#REF!,#REF!,#REF!,#REF!</definedName>
    <definedName name="rng2000YDecFFR00025">#REF!,#REF!,#REF!</definedName>
    <definedName name="rng2000YDecFFR00038">#REF!,#REF!,#REF!,#REF!</definedName>
    <definedName name="rng2000YDecFFR00114">#REF!,#REF!,#REF!,#REF!</definedName>
    <definedName name="rng2000YDecFFR00144">#REF!,#REF!,#REF!,#REF!</definedName>
    <definedName name="rng2000YDecFFR00157">#REF!,#REF!</definedName>
    <definedName name="rng2000YDecFFR00170">#REF!,#REF!</definedName>
    <definedName name="rng2000YDecFFR00182">#REF!,#REF!</definedName>
    <definedName name="rng2000YDecLIR00090">#REF!,#REF!</definedName>
    <definedName name="rng2000YDecPES00035">#REF!,#REF!,#REF!,#REF!,#REF!,#REF!,#REF!,#REF!,#REF!</definedName>
    <definedName name="rng2000YDecPES00053">#REF!,#REF!,#REF!</definedName>
    <definedName name="rng2000YDecPES00071">#REF!,#REF!,#REF!,#REF!,#REF!,#REF!</definedName>
    <definedName name="rng2000YDecPES00101">#REF!,#REF!,#REF!</definedName>
    <definedName name="rng2000YDecPES00119">#REF!,#REF!,#REF!,#REF!,#REF!,#REF!,#REF!</definedName>
    <definedName name="rng2000YDecPES00137">#REF!,#REF!</definedName>
    <definedName name="rng2000YDecPES00155">#REF!,#REF!</definedName>
    <definedName name="rng2000YDecPES00173">#REF!,#REF!</definedName>
    <definedName name="rng2001YDecFFR00013">#REF!,#REF!,#REF!,#REF!</definedName>
    <definedName name="rng2001YDecFFR00026">#REF!,#REF!,#REF!</definedName>
    <definedName name="rng2001YDecFFR00115">#REF!,#REF!,#REF!,#REF!</definedName>
    <definedName name="rng2001YDecFFR00145">#REF!,#REF!,#REF!,#REF!</definedName>
    <definedName name="rng2001YDecFFR00158">#REF!,#REF!,#REF!</definedName>
    <definedName name="rng2001YDecLIR00091">#REF!,#REF!</definedName>
    <definedName name="rng2001YDecPES00036">#REF!,#REF!,#REF!,#REF!,#REF!,#REF!,#REF!,#REF!,#REF!,#REF!</definedName>
    <definedName name="rng2001YDecPES00054">#REF!,#REF!,#REF!</definedName>
    <definedName name="rng2001YDecPES00072">#REF!,#REF!,#REF!,#REF!,#REF!,#REF!</definedName>
    <definedName name="rng2001YDecPES00102">#REF!,#REF!,#REF!</definedName>
    <definedName name="rng2001YDecPES00120">#REF!,#REF!,#REF!,#REF!,#REF!,#REF!,#REF!</definedName>
    <definedName name="rng2001YDecPES00138">#REF!,#REF!</definedName>
    <definedName name="rng2001YDecPES00156">#REF!,#REF!</definedName>
    <definedName name="rng2001YDecPES00174">#REF!,#REF!</definedName>
    <definedName name="rng2002YDecPES00037">#REF!,#REF!,#REF!,#REF!,#REF!,#REF!,#REF!,#REF!,#REF!,#REF!</definedName>
    <definedName name="rng2002YDecPES00055">#REF!,#REF!,#REF!</definedName>
    <definedName name="rng2002YDecPES00073">#REF!,#REF!,#REF!,#REF!,#REF!,#REF!</definedName>
    <definedName name="rng2002YDecPES00103">#REF!,#REF!,#REF!</definedName>
    <definedName name="rng2002YDecPES00121">#REF!,#REF!,#REF!,#REF!,#REF!,#REF!</definedName>
    <definedName name="rng2002YDecPES00139">#REF!,#REF!</definedName>
    <definedName name="rng2002YDecPES00157">#REF!,#REF!</definedName>
    <definedName name="rng2002YDecPES00175">#REF!,#REF!</definedName>
    <definedName name="rng2003YDecPES00038">#REF!,#REF!,#REF!,#REF!,#REF!,#REF!,#REF!,#REF!,#REF!,#REF!</definedName>
    <definedName name="rng2003YDecPES00056">#REF!,#REF!,#REF!</definedName>
    <definedName name="rng2003YDecPES00074">#REF!,#REF!,#REF!,#REF!,#REF!,#REF!</definedName>
    <definedName name="rng2003YDecPES00104">#REF!,#REF!,#REF!</definedName>
    <definedName name="rng2003YDecPES00122">#REF!,#REF!,#REF!,#REF!,#REF!,#REF!,#REF!</definedName>
    <definedName name="rng2003YDecPES00140">#REF!,#REF!</definedName>
    <definedName name="rng2003YDecPES00158">#REF!,#REF!</definedName>
    <definedName name="rng2003YDecPES00176">#REF!,#REF!</definedName>
    <definedName name="rng2004YDecPES00039">#REF!,#REF!,#REF!,#REF!,#REF!,#REF!,#REF!,#REF!,#REF!,#REF!</definedName>
    <definedName name="rng2004YDecPES00057">#REF!,#REF!,#REF!</definedName>
    <definedName name="rng2004YDecPES00075">#REF!,#REF!,#REF!,#REF!,#REF!,#REF!</definedName>
    <definedName name="rng2004YDecPES00105">#REF!,#REF!,#REF!</definedName>
    <definedName name="rng2004YDecPES00123">#REF!,#REF!,#REF!,#REF!,#REF!,#REF!,#REF!</definedName>
    <definedName name="rng2004YDecPES00141">#REF!,#REF!</definedName>
    <definedName name="rng2004YDecPES00159">#REF!,#REF!</definedName>
    <definedName name="rng2004YDecPES00177">#REF!,#REF!</definedName>
    <definedName name="rng2005YDecPES00040">#REF!,#REF!,#REF!,#REF!,#REF!,#REF!,#REF!,#REF!,#REF!,#REF!</definedName>
    <definedName name="rng2005YDecPES00058">#REF!,#REF!,#REF!</definedName>
    <definedName name="rng2005YDecPES00076">#REF!,#REF!,#REF!,#REF!,#REF!,#REF!</definedName>
    <definedName name="rng2005YDecPES00106">#REF!,#REF!,#REF!</definedName>
    <definedName name="rng2005YDecPES00124">#REF!,#REF!,#REF!,#REF!,#REF!,#REF!,#REF!</definedName>
    <definedName name="rng2005YDecPES00142">#REF!,#REF!</definedName>
    <definedName name="rng2005YDecPES00160">#REF!,#REF!</definedName>
    <definedName name="rng2005YDecPES00178">#REF!,#REF!</definedName>
    <definedName name="RNK_index">#REF!</definedName>
    <definedName name="RNP_02">#REF!</definedName>
    <definedName name="rns">#REF!</definedName>
    <definedName name="ROAA">#REF!</definedName>
    <definedName name="ROACE">#REF!</definedName>
    <definedName name="ROADproforma">ROADproforma</definedName>
    <definedName name="ROAE">#REF!</definedName>
    <definedName name="ROCE">#REF!</definedName>
    <definedName name="roce01">#REF!</definedName>
    <definedName name="roce02">#REF!</definedName>
    <definedName name="roce03">#REF!</definedName>
    <definedName name="roce04">#REF!</definedName>
    <definedName name="roce1">#REF!</definedName>
    <definedName name="Rockdale">#REF!</definedName>
    <definedName name="ROE">#REF!</definedName>
    <definedName name="roe_five_year_est_average">#REF!</definedName>
    <definedName name="roe_normalised">#REF!</definedName>
    <definedName name="Rogers">#REF!</definedName>
    <definedName name="rot">#REF!</definedName>
    <definedName name="RoW_w">#REF!</definedName>
    <definedName name="ROWE">#REF!</definedName>
    <definedName name="ROWEG">#REF!</definedName>
    <definedName name="ROWES">#REF!</definedName>
    <definedName name="ROWG">#REF!</definedName>
    <definedName name="rowheight">#REF!</definedName>
    <definedName name="ROWS">#REF!</definedName>
    <definedName name="Royalty">#REF!</definedName>
    <definedName name="royalty_rate">#REF!</definedName>
    <definedName name="royalty93">#REF!</definedName>
    <definedName name="royalty94">#REF!</definedName>
    <definedName name="Rp_Calc">#REF!</definedName>
    <definedName name="Rp_Default">#REF!</definedName>
    <definedName name="Rp_user">#REF!</definedName>
    <definedName name="RPRATIO">#REF!</definedName>
    <definedName name="RR" hidden="1">#REF!</definedName>
    <definedName name="rre">#REF!</definedName>
    <definedName name="rrrevenue">#REF!</definedName>
    <definedName name="rrrrrrrr" localSheetId="2" hidden="1">{"'RCIM'!$E$128"}</definedName>
    <definedName name="rrrrrrrr" localSheetId="1" hidden="1">{"'RCIM'!$E$128"}</definedName>
    <definedName name="rrrrrrrr" hidden="1">{"'RCIM'!$E$128"}</definedName>
    <definedName name="rs">#REF!</definedName>
    <definedName name="RtgRef">#REF!</definedName>
    <definedName name="RU_00S">#REF!</definedName>
    <definedName name="RU_01D">#REF!</definedName>
    <definedName name="RU_01J">#REF!</definedName>
    <definedName name="RU_01M">#REF!</definedName>
    <definedName name="RU_01S">#REF!</definedName>
    <definedName name="RU_02D">#REF!</definedName>
    <definedName name="RU_02J">#REF!</definedName>
    <definedName name="RU_02M">#REF!</definedName>
    <definedName name="RU_02S">#REF!</definedName>
    <definedName name="RU_03D">#REF!</definedName>
    <definedName name="RU_03J">#REF!</definedName>
    <definedName name="RU_03M">#REF!</definedName>
    <definedName name="RU_03S">#REF!</definedName>
    <definedName name="RU_04D">#REF!</definedName>
    <definedName name="RU_04J">#REF!</definedName>
    <definedName name="RU_04M">#REF!</definedName>
    <definedName name="RU_04S">#REF!</definedName>
    <definedName name="RU_05D">#REF!</definedName>
    <definedName name="RU_05J">#REF!</definedName>
    <definedName name="RU_05M">#REF!</definedName>
    <definedName name="RU_05S">#REF!</definedName>
    <definedName name="RU_06D">#REF!</definedName>
    <definedName name="RU_06J">#REF!</definedName>
    <definedName name="RU_06M">#REF!</definedName>
    <definedName name="RU_06S">#REF!</definedName>
    <definedName name="RU_07D">#REF!</definedName>
    <definedName name="RU_07J">#REF!</definedName>
    <definedName name="RU_07M">#REF!</definedName>
    <definedName name="RU_07S">#REF!</definedName>
    <definedName name="RU_08D">#REF!</definedName>
    <definedName name="RU_08J">#REF!</definedName>
    <definedName name="RU_08M">#REF!</definedName>
    <definedName name="RU_08S">#REF!</definedName>
    <definedName name="RU_09D">#REF!</definedName>
    <definedName name="RU_09J">#REF!</definedName>
    <definedName name="RU_09M">#REF!</definedName>
    <definedName name="RU_09S">#REF!</definedName>
    <definedName name="RU_10D">#REF!</definedName>
    <definedName name="RU_10J">#REF!</definedName>
    <definedName name="RU_10M">#REF!</definedName>
    <definedName name="RU_10S">#REF!</definedName>
    <definedName name="RU_11D">#REF!</definedName>
    <definedName name="RU_11J">#REF!</definedName>
    <definedName name="RU_11M">#REF!</definedName>
    <definedName name="RU_11S">#REF!</definedName>
    <definedName name="RU_12D">#REF!</definedName>
    <definedName name="RU_12J">#REF!</definedName>
    <definedName name="RU_12M">#REF!</definedName>
    <definedName name="RU_12S">#REF!</definedName>
    <definedName name="RU_13D">#REF!</definedName>
    <definedName name="RU_13J">#REF!</definedName>
    <definedName name="RU_13M">#REF!</definedName>
    <definedName name="RU_13S">#REF!</definedName>
    <definedName name="RU_14D">#REF!</definedName>
    <definedName name="RU_14J">#REF!</definedName>
    <definedName name="RU_14M">#REF!</definedName>
    <definedName name="RU_14S">#REF!</definedName>
    <definedName name="RU_15D">#REF!</definedName>
    <definedName name="RU_15J">#REF!</definedName>
    <definedName name="RU_15M">#REF!</definedName>
    <definedName name="RU_15S">#REF!</definedName>
    <definedName name="RU_16D">#REF!</definedName>
    <definedName name="RU_16J">#REF!</definedName>
    <definedName name="RU_16M">#REF!</definedName>
    <definedName name="RU_16S">#REF!</definedName>
    <definedName name="RU_17D">#REF!</definedName>
    <definedName name="RU_17J">#REF!</definedName>
    <definedName name="RU_17M">#REF!</definedName>
    <definedName name="RU_17S">#REF!</definedName>
    <definedName name="RU_18D">#REF!</definedName>
    <definedName name="RU_18J">#REF!</definedName>
    <definedName name="RU_18M">#REF!</definedName>
    <definedName name="RU_18S">#REF!</definedName>
    <definedName name="RU_19D">#REF!</definedName>
    <definedName name="RU_19J">#REF!</definedName>
    <definedName name="RU_19M">#REF!</definedName>
    <definedName name="RU_19S">#REF!</definedName>
    <definedName name="RU_20D">#REF!</definedName>
    <definedName name="RU_20J">#REF!</definedName>
    <definedName name="RU_20M">#REF!</definedName>
    <definedName name="RU_20S">#REF!</definedName>
    <definedName name="RU_21D">#REF!</definedName>
    <definedName name="RU_21J">#REF!</definedName>
    <definedName name="RU_21M">#REF!</definedName>
    <definedName name="RU_21S">#REF!</definedName>
    <definedName name="RU_22D">#REF!</definedName>
    <definedName name="RU_22J">#REF!</definedName>
    <definedName name="RU_22M">#REF!</definedName>
    <definedName name="RU_22S">#REF!</definedName>
    <definedName name="RU_23D">#REF!</definedName>
    <definedName name="RU_23J">#REF!</definedName>
    <definedName name="RU_23M">#REF!</definedName>
    <definedName name="RU_23S">#REF!</definedName>
    <definedName name="RU_24D">#REF!</definedName>
    <definedName name="RU_24J">#REF!</definedName>
    <definedName name="RU_24M">#REF!</definedName>
    <definedName name="RU_24S">#REF!</definedName>
    <definedName name="RU_25D">#REF!</definedName>
    <definedName name="RU_25J">#REF!</definedName>
    <definedName name="RU_25M">#REF!</definedName>
    <definedName name="RU_25S">#REF!</definedName>
    <definedName name="RU_87D">#REF!</definedName>
    <definedName name="RU_87J">#REF!</definedName>
    <definedName name="RU_87M">#REF!</definedName>
    <definedName name="RU_87S">#REF!</definedName>
    <definedName name="RU_88D">#REF!</definedName>
    <definedName name="RU_88J">#REF!</definedName>
    <definedName name="RU_88M">#REF!</definedName>
    <definedName name="RU_88S">#REF!</definedName>
    <definedName name="RU_89D">#REF!</definedName>
    <definedName name="RU_89J">#REF!</definedName>
    <definedName name="RU_89M">#REF!</definedName>
    <definedName name="RU_89S">#REF!</definedName>
    <definedName name="RU_90D">#REF!</definedName>
    <definedName name="RU_90J">#REF!</definedName>
    <definedName name="RU_90M">#REF!</definedName>
    <definedName name="RU_90S">#REF!</definedName>
    <definedName name="RU_91D">#REF!</definedName>
    <definedName name="RU_91J">#REF!</definedName>
    <definedName name="RU_91M">#REF!</definedName>
    <definedName name="RU_91S">#REF!</definedName>
    <definedName name="RU_92D">#REF!</definedName>
    <definedName name="RU_92J">#REF!</definedName>
    <definedName name="RU_92M">#REF!</definedName>
    <definedName name="RU_92S">#REF!</definedName>
    <definedName name="RU_93D">#REF!</definedName>
    <definedName name="RU_93J">#REF!</definedName>
    <definedName name="RU_93M">#REF!</definedName>
    <definedName name="RU_93S">#REF!</definedName>
    <definedName name="RU_94D">#REF!</definedName>
    <definedName name="RU_94J">#REF!</definedName>
    <definedName name="RU_94M">#REF!</definedName>
    <definedName name="RU_94S">#REF!</definedName>
    <definedName name="RU_95D">#REF!</definedName>
    <definedName name="RU_95J">#REF!</definedName>
    <definedName name="RU_95M">#REF!</definedName>
    <definedName name="RU_95S">#REF!</definedName>
    <definedName name="RU_96D">#REF!</definedName>
    <definedName name="RU_96J">#REF!</definedName>
    <definedName name="RU_96M">#REF!</definedName>
    <definedName name="RU_96S">#REF!</definedName>
    <definedName name="RU_97D">#REF!</definedName>
    <definedName name="RU_97J">#REF!</definedName>
    <definedName name="RU_97M">#REF!</definedName>
    <definedName name="RU_97S">#REF!</definedName>
    <definedName name="RU_98D">#REF!</definedName>
    <definedName name="RU_98J">#REF!</definedName>
    <definedName name="RU_98M">#REF!</definedName>
    <definedName name="RU_98S">#REF!</definedName>
    <definedName name="RU_99D">#REF!</definedName>
    <definedName name="RU_99J">#REF!</definedName>
    <definedName name="RU_99M">#REF!</definedName>
    <definedName name="RU_99S">#REF!</definedName>
    <definedName name="ru_lt">#REF!</definedName>
    <definedName name="RU_OUT">#REF!</definedName>
    <definedName name="RU_Spot">#REF!</definedName>
    <definedName name="rus">#REF!</definedName>
    <definedName name="rwc">#REF!</definedName>
    <definedName name="rwt">#REF!</definedName>
    <definedName name="s" localSheetId="2" hidden="1">{#N/A,#N/A,FALSE,"Chart 2 by Prop Type"}</definedName>
    <definedName name="s" localSheetId="1" hidden="1">{#N/A,#N/A,FALSE,"Chart 2 by Prop Type"}</definedName>
    <definedName name="s" hidden="1">{#N/A,#N/A,FALSE,"Chart 2 by Prop Type"}</definedName>
    <definedName name="S_in_I">#REF!</definedName>
    <definedName name="SAALCONS">#N/A</definedName>
    <definedName name="SAALPROD">#N/A</definedName>
    <definedName name="SAC">#REF!</definedName>
    <definedName name="sad">#REF!</definedName>
    <definedName name="saf">#REF!</definedName>
    <definedName name="sal">#REF!</definedName>
    <definedName name="Sale">#REF!</definedName>
    <definedName name="SaleG">#REF!</definedName>
    <definedName name="sales.00">#REF!</definedName>
    <definedName name="sales.01">#REF!</definedName>
    <definedName name="sales.02">#REF!</definedName>
    <definedName name="sales.03">#REF!</definedName>
    <definedName name="sales.04">#REF!</definedName>
    <definedName name="sales.2000">#REF!</definedName>
    <definedName name="sales.2001">#REF!</definedName>
    <definedName name="sales.98">#REF!</definedName>
    <definedName name="sales.99">#REF!</definedName>
    <definedName name="Sales_01">#REF!</definedName>
    <definedName name="Sales_02">#REF!</definedName>
    <definedName name="Sales_03">#REF!</definedName>
    <definedName name="Sales_04">#REF!</definedName>
    <definedName name="Sales_05">#REF!</definedName>
    <definedName name="Sales_06">#REF!</definedName>
    <definedName name="Sales_07">#REF!</definedName>
    <definedName name="Sales_08">#REF!</definedName>
    <definedName name="sales_1997">#REF!</definedName>
    <definedName name="sales_2001">#REF!</definedName>
    <definedName name="sales_2002">#REF!</definedName>
    <definedName name="sales_2003">#REF!</definedName>
    <definedName name="sales_2004">#REF!</definedName>
    <definedName name="Sales_92">#REF!</definedName>
    <definedName name="Sales_93">#REF!</definedName>
    <definedName name="Sales_94">#REF!</definedName>
    <definedName name="Sales_95">#REF!</definedName>
    <definedName name="Sales_96">#REF!</definedName>
    <definedName name="Sales_97">#REF!</definedName>
    <definedName name="sales_eu_01">#REF!</definedName>
    <definedName name="sales_eu_02">#REF!</definedName>
    <definedName name="sales_eu_03">#REF!</definedName>
    <definedName name="sales_eu_04">#REF!</definedName>
    <definedName name="sales_growth_1997">#REF!</definedName>
    <definedName name="sales_growth_97">#REF!</definedName>
    <definedName name="Sales_growth_avg">#REF!</definedName>
    <definedName name="Sales_Turnover">#REF!</definedName>
    <definedName name="sales_vol98">#REF!</definedName>
    <definedName name="sales00">#REF!</definedName>
    <definedName name="sales01">#REF!</definedName>
    <definedName name="sales02">#REF!</definedName>
    <definedName name="sales03">#REF!</definedName>
    <definedName name="sales04">#REF!</definedName>
    <definedName name="sales1">#REF!</definedName>
    <definedName name="sales2">#REF!</definedName>
    <definedName name="Sales2000">#REF!</definedName>
    <definedName name="sales3">#REF!</definedName>
    <definedName name="sales4">#REF!</definedName>
    <definedName name="sales93">#REF!</definedName>
    <definedName name="sales94">#REF!</definedName>
    <definedName name="sales95">#REF!</definedName>
    <definedName name="sales96">#REF!</definedName>
    <definedName name="sales97">#REF!</definedName>
    <definedName name="sales98">#REF!</definedName>
    <definedName name="sales99">#REF!</definedName>
    <definedName name="SalesGwth">#REF!</definedName>
    <definedName name="SalesLux">#REF!</definedName>
    <definedName name="salvol96">#REF!</definedName>
    <definedName name="salvol97">#REF!</definedName>
    <definedName name="San_Ciprian">#REF!</definedName>
    <definedName name="SanCiprianCapacity">#REF!</definedName>
    <definedName name="Santa_Cruz__Valesul">#REF!</definedName>
    <definedName name="Sao_Luis">#REF!</definedName>
    <definedName name="SaoLuisCapacity">#REF!</definedName>
    <definedName name="Saramenha">#REF!</definedName>
    <definedName name="sas">#REF!</definedName>
    <definedName name="Sayansk">#REF!</definedName>
    <definedName name="SBC_5YRGROWTH">#REF!</definedName>
    <definedName name="sbcsngait_IS">#REF!</definedName>
    <definedName name="SC_00D">#REF!</definedName>
    <definedName name="SC_00J">#REF!</definedName>
    <definedName name="SC_00M">#REF!</definedName>
    <definedName name="SC_00S">#REF!</definedName>
    <definedName name="SC_01D">#REF!</definedName>
    <definedName name="SC_01J">#REF!</definedName>
    <definedName name="SC_01M">#REF!</definedName>
    <definedName name="SC_01S">#REF!</definedName>
    <definedName name="SC_02D">#REF!</definedName>
    <definedName name="SC_02J">#REF!</definedName>
    <definedName name="SC_02M">#REF!</definedName>
    <definedName name="SC_02S">#REF!</definedName>
    <definedName name="SC_03D">#REF!</definedName>
    <definedName name="SC_03J">#REF!</definedName>
    <definedName name="SC_03M">#REF!</definedName>
    <definedName name="SC_03S">#REF!</definedName>
    <definedName name="SC_04D">#REF!</definedName>
    <definedName name="SC_04J">#REF!</definedName>
    <definedName name="SC_04M">#REF!</definedName>
    <definedName name="SC_04S">#REF!</definedName>
    <definedName name="SC_05D">#REF!</definedName>
    <definedName name="SC_05J">#REF!</definedName>
    <definedName name="SC_05M">#REF!</definedName>
    <definedName name="SC_05S">#REF!</definedName>
    <definedName name="SC_06D">#REF!</definedName>
    <definedName name="SC_06J">#REF!</definedName>
    <definedName name="SC_06M">#REF!</definedName>
    <definedName name="SC_06S">#REF!</definedName>
    <definedName name="SC_07D">#REF!</definedName>
    <definedName name="SC_07J">#REF!</definedName>
    <definedName name="SC_07M">#REF!</definedName>
    <definedName name="SC_07S">#REF!</definedName>
    <definedName name="SC_08D">#REF!</definedName>
    <definedName name="SC_08J">#REF!</definedName>
    <definedName name="SC_08M">#REF!</definedName>
    <definedName name="SC_08S">#REF!</definedName>
    <definedName name="SC_09D">#REF!</definedName>
    <definedName name="SC_09J">#REF!</definedName>
    <definedName name="SC_09M">#REF!</definedName>
    <definedName name="SC_09S">#REF!</definedName>
    <definedName name="SC_10D">#REF!</definedName>
    <definedName name="SC_10J">#REF!</definedName>
    <definedName name="SC_10M">#REF!</definedName>
    <definedName name="SC_10S">#REF!</definedName>
    <definedName name="SC_11D">#REF!</definedName>
    <definedName name="SC_11J">#REF!</definedName>
    <definedName name="SC_11M">#REF!</definedName>
    <definedName name="SC_11S">#REF!</definedName>
    <definedName name="SC_12D">#REF!</definedName>
    <definedName name="SC_12J">#REF!</definedName>
    <definedName name="SC_12M">#REF!</definedName>
    <definedName name="SC_12S">#REF!</definedName>
    <definedName name="SC_13D">#REF!</definedName>
    <definedName name="SC_13J">#REF!</definedName>
    <definedName name="SC_13M">#REF!</definedName>
    <definedName name="SC_13S">#REF!</definedName>
    <definedName name="SC_14D">#REF!</definedName>
    <definedName name="SC_14J">#REF!</definedName>
    <definedName name="SC_14M">#REF!</definedName>
    <definedName name="SC_14S">#REF!</definedName>
    <definedName name="SC_15D">#REF!</definedName>
    <definedName name="SC_15J">#REF!</definedName>
    <definedName name="SC_15M">#REF!</definedName>
    <definedName name="SC_15S">#REF!</definedName>
    <definedName name="SC_16D">#REF!</definedName>
    <definedName name="SC_16J">#REF!</definedName>
    <definedName name="SC_16M">#REF!</definedName>
    <definedName name="SC_16S">#REF!</definedName>
    <definedName name="SC_17D">#REF!</definedName>
    <definedName name="SC_17J">#REF!</definedName>
    <definedName name="SC_17M">#REF!</definedName>
    <definedName name="SC_17S">#REF!</definedName>
    <definedName name="SC_18D">#REF!</definedName>
    <definedName name="SC_18J">#REF!</definedName>
    <definedName name="SC_18M">#REF!</definedName>
    <definedName name="SC_18S">#REF!</definedName>
    <definedName name="SC_19D">#REF!</definedName>
    <definedName name="SC_19J">#REF!</definedName>
    <definedName name="SC_19M">#REF!</definedName>
    <definedName name="SC_19S">#REF!</definedName>
    <definedName name="SC_20D">#REF!</definedName>
    <definedName name="SC_20J">#REF!</definedName>
    <definedName name="SC_20M">#REF!</definedName>
    <definedName name="SC_20S">#REF!</definedName>
    <definedName name="SC_21D">#REF!</definedName>
    <definedName name="SC_21J">#REF!</definedName>
    <definedName name="SC_21M">#REF!</definedName>
    <definedName name="SC_21S">#REF!</definedName>
    <definedName name="SC_22D">#REF!</definedName>
    <definedName name="SC_22J">#REF!</definedName>
    <definedName name="SC_22M">#REF!</definedName>
    <definedName name="SC_22S">#REF!</definedName>
    <definedName name="SC_23D">#REF!</definedName>
    <definedName name="SC_23J">#REF!</definedName>
    <definedName name="SC_23M">#REF!</definedName>
    <definedName name="SC_23S">#REF!</definedName>
    <definedName name="SC_24D">#REF!</definedName>
    <definedName name="SC_24J">#REF!</definedName>
    <definedName name="SC_24M">#REF!</definedName>
    <definedName name="SC_24S">#REF!</definedName>
    <definedName name="SC_25D">#REF!</definedName>
    <definedName name="SC_25J">#REF!</definedName>
    <definedName name="SC_25M">#REF!</definedName>
    <definedName name="SC_25S">#REF!</definedName>
    <definedName name="SC_87D">#REF!</definedName>
    <definedName name="SC_87J">#REF!</definedName>
    <definedName name="SC_87M">#REF!</definedName>
    <definedName name="SC_87S">#REF!</definedName>
    <definedName name="SC_88D">#REF!</definedName>
    <definedName name="SC_88J">#REF!</definedName>
    <definedName name="SC_88M">#REF!</definedName>
    <definedName name="SC_88S">#REF!</definedName>
    <definedName name="SC_89D">#REF!</definedName>
    <definedName name="SC_89J">#REF!</definedName>
    <definedName name="SC_89M">#REF!</definedName>
    <definedName name="SC_89S">#REF!</definedName>
    <definedName name="SC_90D">#REF!</definedName>
    <definedName name="SC_90J">#REF!</definedName>
    <definedName name="SC_90M">#REF!</definedName>
    <definedName name="SC_90S">#REF!</definedName>
    <definedName name="SC_91D">#REF!</definedName>
    <definedName name="SC_91J">#REF!</definedName>
    <definedName name="SC_91M">#REF!</definedName>
    <definedName name="SC_91S">#REF!</definedName>
    <definedName name="SC_92D">#REF!</definedName>
    <definedName name="SC_92J">#REF!</definedName>
    <definedName name="SC_92M">#REF!</definedName>
    <definedName name="SC_92S">#REF!</definedName>
    <definedName name="SC_93D">#REF!</definedName>
    <definedName name="SC_93J">#REF!</definedName>
    <definedName name="SC_93M">#REF!</definedName>
    <definedName name="SC_93S">#REF!</definedName>
    <definedName name="SC_94D">#REF!</definedName>
    <definedName name="SC_94J">#REF!</definedName>
    <definedName name="SC_94M">#REF!</definedName>
    <definedName name="SC_94S">#REF!</definedName>
    <definedName name="SC_95D">#REF!</definedName>
    <definedName name="SC_95J">#REF!</definedName>
    <definedName name="SC_95M">#REF!</definedName>
    <definedName name="SC_95S">#REF!</definedName>
    <definedName name="SC_96D">#REF!</definedName>
    <definedName name="SC_96J">#REF!</definedName>
    <definedName name="SC_96M">#REF!</definedName>
    <definedName name="SC_96S">#REF!</definedName>
    <definedName name="SC_97D">#REF!</definedName>
    <definedName name="SC_97J">#REF!</definedName>
    <definedName name="SC_97M">#REF!</definedName>
    <definedName name="SC_97S">#REF!</definedName>
    <definedName name="SC_98D">#REF!</definedName>
    <definedName name="SC_98J">#REF!</definedName>
    <definedName name="SC_98M">#REF!</definedName>
    <definedName name="SC_98S">#REF!</definedName>
    <definedName name="SC_99D">#REF!</definedName>
    <definedName name="SC_99J">#REF!</definedName>
    <definedName name="SC_99M">#REF!</definedName>
    <definedName name="SC_99S">#REF!</definedName>
    <definedName name="SC_LT">#REF!</definedName>
    <definedName name="SC_OUT">#REF!</definedName>
    <definedName name="SC_Spot">#REF!</definedName>
    <definedName name="Scatter_Current_X">OFFSET(#REF!,0,0,COUNT(#REF!),1)</definedName>
    <definedName name="Scatter_Current_Y">OFFSET(#REF!,0,0,COUNT(#REF!),1)</definedName>
    <definedName name="Scatter_Next_X">OFFSET(#REF!,0,0,COUNT(#REF!),1)</definedName>
    <definedName name="Scatter_Next_Y">OFFSET(#REF!,0,0,COUNT(#REF!),1)</definedName>
    <definedName name="SCEN">#REF!</definedName>
    <definedName name="scen_date1" hidden="1">34337.506400463</definedName>
    <definedName name="scen_name1" hidden="1">"/tar"</definedName>
    <definedName name="scen_num" hidden="1">1</definedName>
    <definedName name="scen_user1" hidden="1">"Williams Eileen"</definedName>
    <definedName name="scen_value1" hidden="1">"NM"</definedName>
    <definedName name="Schedule">#REF!</definedName>
    <definedName name="Schroder_exceptionals">#REF!</definedName>
    <definedName name="Score_ED">#REF!</definedName>
    <definedName name="Score_PD">#REF!</definedName>
    <definedName name="Score_Val">#REF!</definedName>
    <definedName name="SDF" hidden="1">#REF!</definedName>
    <definedName name="SDFASDF">#N/A</definedName>
    <definedName name="SDFG">#REF!</definedName>
    <definedName name="SDFSDF" localSheetId="2" hidden="1">{"Page One",#N/A,FALSE,"Model";"Page 2",#N/A,FALSE,"Model";"Page 3",#N/A,FALSE,"Model"}</definedName>
    <definedName name="SDFSDF" localSheetId="1" hidden="1">{"Page One",#N/A,FALSE,"Model";"Page 2",#N/A,FALSE,"Model";"Page 3",#N/A,FALSE,"Model"}</definedName>
    <definedName name="SDFSDF" hidden="1">{"Page One",#N/A,FALSE,"Model";"Page 2",#N/A,FALSE,"Model";"Page 3",#N/A,FALSE,"Model"}</definedName>
    <definedName name="SDLI_10q_shares">#REF!</definedName>
    <definedName name="SDLI_5_yr_est">#REF!</definedName>
    <definedName name="SDLI_52_wk">#REF!</definedName>
    <definedName name="SDLI_bk_cap">#REF!</definedName>
    <definedName name="SDLI_bk_equity">#REF!</definedName>
    <definedName name="SDLI_bs_conv_debt">#REF!</definedName>
    <definedName name="SDLI_bs_min_int">#REF!</definedName>
    <definedName name="SDLI_bs_pref">#REF!</definedName>
    <definedName name="SDLI_cash">#REF!</definedName>
    <definedName name="SDLI_conv_debt_pr">#REF!</definedName>
    <definedName name="SDLI_conv_pref_pr">#REF!</definedName>
    <definedName name="SDLI_curr">#REF!</definedName>
    <definedName name="SDLI_dil_shares">#REF!</definedName>
    <definedName name="sdli_eps00">#REF!</definedName>
    <definedName name="SDLI_eps98">#REF!</definedName>
    <definedName name="SDLI_eps99">#REF!</definedName>
    <definedName name="SDLI_equity_mcap">#REF!</definedName>
    <definedName name="SDLI_fin_date">#REF!</definedName>
    <definedName name="SDLI_hist_d">#REF!</definedName>
    <definedName name="SDLI_hst_a">#REF!</definedName>
    <definedName name="SDLI_hst_cogs">#REF!</definedName>
    <definedName name="SDLI_hst_ebit">#REF!</definedName>
    <definedName name="SDLI_hst_ebt">#REF!</definedName>
    <definedName name="SDLI_hst_eps">#REF!</definedName>
    <definedName name="SDLI_hst_inc_b_m">#REF!</definedName>
    <definedName name="SDLI_hst_r_d">#REF!</definedName>
    <definedName name="SDLI_hst_rev">#REF!</definedName>
    <definedName name="SDLI_hst_sg_a">#REF!</definedName>
    <definedName name="SDLI_lev_mcap">#REF!</definedName>
    <definedName name="SDLI_lt_debt">#REF!</definedName>
    <definedName name="SDLI_ltm_a">#REF!</definedName>
    <definedName name="SDLI_ltm_cap_ex">#REF!</definedName>
    <definedName name="SDLI_ltm_cogs">#REF!</definedName>
    <definedName name="SDLI_ltm_csh_int">#REF!</definedName>
    <definedName name="SDLI_ltm_d">#REF!</definedName>
    <definedName name="SDLI_ltm_ebit">#REF!</definedName>
    <definedName name="SDLI_ltm_ebt">#REF!</definedName>
    <definedName name="SDLI_ltm_eps">#REF!</definedName>
    <definedName name="SDLI_ltm_inc_b_m">#REF!</definedName>
    <definedName name="SDLI_ltm_int">#REF!</definedName>
    <definedName name="SDLI_ltm_min_int">#REF!</definedName>
    <definedName name="SDLI_ltm_pref_div">#REF!</definedName>
    <definedName name="SDLI_ltm_r_d">#REF!</definedName>
    <definedName name="SDLI_ltm_rev">#REF!</definedName>
    <definedName name="SDLI_ltm_sg_a">#REF!</definedName>
    <definedName name="SDLI_ltm_tax">#REF!</definedName>
    <definedName name="SDLI_ltm_tax_rate">#REF!</definedName>
    <definedName name="SDLI_name">#REF!</definedName>
    <definedName name="SDLI_o_debt_1">#REF!</definedName>
    <definedName name="SDLI_o_debt_2">#REF!</definedName>
    <definedName name="SDLI_o_debt_3">#REF!</definedName>
    <definedName name="SDLI_option_n">#REF!</definedName>
    <definedName name="SDLI_option_pr">#REF!</definedName>
    <definedName name="SDLI_pr">#REF!</definedName>
    <definedName name="SDLI_shares">#REF!</definedName>
    <definedName name="SDLI_ticker">#REF!</definedName>
    <definedName name="SDLI_total_dt">#REF!</definedName>
    <definedName name="sdsds" hidden="1">#REF!</definedName>
    <definedName name="SE">#REF!</definedName>
    <definedName name="Sebree">#REF!</definedName>
    <definedName name="sec_mkt_cap">#REF!</definedName>
    <definedName name="Sector_index">#REF!</definedName>
    <definedName name="SectorID_cutoff">300000000</definedName>
    <definedName name="security_id">#REF!</definedName>
    <definedName name="segment">{"Client Name or Project Name"}</definedName>
    <definedName name="Segment1_income">#REF!</definedName>
    <definedName name="Segment1_income_DCF">#REF!</definedName>
    <definedName name="Segment1_income_fore">#REF!</definedName>
    <definedName name="Segment1_income_growth_fore">#REF!</definedName>
    <definedName name="Segment2_income">#REF!</definedName>
    <definedName name="Segment2_income_DCF">#REF!</definedName>
    <definedName name="Segment2_income_fore">#REF!</definedName>
    <definedName name="Segment2_income_growth_fore">#REF!</definedName>
    <definedName name="Seikopr">#REF!</definedName>
    <definedName name="SEK_01D">#REF!</definedName>
    <definedName name="SEK_01J">#REF!</definedName>
    <definedName name="SEK_01M">#REF!</definedName>
    <definedName name="SEK_01S">#REF!</definedName>
    <definedName name="SEK_02D">#REF!</definedName>
    <definedName name="SEK_02J">#REF!</definedName>
    <definedName name="SEK_02M">#REF!</definedName>
    <definedName name="SEK_02S">#REF!</definedName>
    <definedName name="SEK_03D">#REF!</definedName>
    <definedName name="SEK_03J">#REF!</definedName>
    <definedName name="SEK_03M">#REF!</definedName>
    <definedName name="SEK_03S">#REF!</definedName>
    <definedName name="SEK_04D">#REF!</definedName>
    <definedName name="SEK_04J">#REF!</definedName>
    <definedName name="SEK_04M">#REF!</definedName>
    <definedName name="SEK_04S">#REF!</definedName>
    <definedName name="SEK_05D">#REF!</definedName>
    <definedName name="SEK_05J">#REF!</definedName>
    <definedName name="SEK_05M">#REF!</definedName>
    <definedName name="SEK_05S">#REF!</definedName>
    <definedName name="SEK_06D">#REF!</definedName>
    <definedName name="SEK_06J">#REF!</definedName>
    <definedName name="SEK_06M">#REF!</definedName>
    <definedName name="SEK_06S">#REF!</definedName>
    <definedName name="SEK_07D">#REF!</definedName>
    <definedName name="SEK_07J">#REF!</definedName>
    <definedName name="SEK_07M">#REF!</definedName>
    <definedName name="SEK_07S">#REF!</definedName>
    <definedName name="SEK_08D">#REF!</definedName>
    <definedName name="SEK_08J">#REF!</definedName>
    <definedName name="SEK_08M">#REF!</definedName>
    <definedName name="SEK_08S">#REF!</definedName>
    <definedName name="SEK_09D">#REF!</definedName>
    <definedName name="SEK_09J">#REF!</definedName>
    <definedName name="SEK_09M">#REF!</definedName>
    <definedName name="SEK_09S">#REF!</definedName>
    <definedName name="SEK_10D">#REF!</definedName>
    <definedName name="SEK_10J">#REF!</definedName>
    <definedName name="SEK_10M">#REF!</definedName>
    <definedName name="SEK_10S">#REF!</definedName>
    <definedName name="SEK_11D">#REF!</definedName>
    <definedName name="SEK_11J">#REF!</definedName>
    <definedName name="SEK_11M">#REF!</definedName>
    <definedName name="SEK_11S">#REF!</definedName>
    <definedName name="SEK_12D">#REF!</definedName>
    <definedName name="SEK_12J">#REF!</definedName>
    <definedName name="SEK_12M">#REF!</definedName>
    <definedName name="SEK_12S">#REF!</definedName>
    <definedName name="SEK_13D">#REF!</definedName>
    <definedName name="SEK_13J">#REF!</definedName>
    <definedName name="SEK_13M">#REF!</definedName>
    <definedName name="SEK_13S">#REF!</definedName>
    <definedName name="SEK_14D">#REF!</definedName>
    <definedName name="SEK_14J">#REF!</definedName>
    <definedName name="SEK_14M">#REF!</definedName>
    <definedName name="SEK_14S">#REF!</definedName>
    <definedName name="SEK_15D">#REF!</definedName>
    <definedName name="SEK_15J">#REF!</definedName>
    <definedName name="SEK_15M">#REF!</definedName>
    <definedName name="SEK_15S">#REF!</definedName>
    <definedName name="SEK_16D">#REF!</definedName>
    <definedName name="SEK_16J">#REF!</definedName>
    <definedName name="SEK_16M">#REF!</definedName>
    <definedName name="SEK_16S">#REF!</definedName>
    <definedName name="SEK_17D">#REF!</definedName>
    <definedName name="SEK_17J">#REF!</definedName>
    <definedName name="SEK_17M">#REF!</definedName>
    <definedName name="SEK_17S">#REF!</definedName>
    <definedName name="SEK_18D">#REF!</definedName>
    <definedName name="SEK_18J">#REF!</definedName>
    <definedName name="SEK_18M">#REF!</definedName>
    <definedName name="SEK_18S">#REF!</definedName>
    <definedName name="SEK_19D">#REF!</definedName>
    <definedName name="SEK_19J">#REF!</definedName>
    <definedName name="SEK_19M">#REF!</definedName>
    <definedName name="SEK_19S">#REF!</definedName>
    <definedName name="SEK_20D">#REF!</definedName>
    <definedName name="SEK_20J">#REF!</definedName>
    <definedName name="SEK_20M">#REF!</definedName>
    <definedName name="SEK_20S">#REF!</definedName>
    <definedName name="SEK_21D">#REF!</definedName>
    <definedName name="SEK_21J">#REF!</definedName>
    <definedName name="SEK_21M">#REF!</definedName>
    <definedName name="SEK_21S">#REF!</definedName>
    <definedName name="SEK_22D">#REF!</definedName>
    <definedName name="SEK_22J">#REF!</definedName>
    <definedName name="SEK_22M">#REF!</definedName>
    <definedName name="SEK_22S">#REF!</definedName>
    <definedName name="SEK_23D">#REF!</definedName>
    <definedName name="SEK_23J">#REF!</definedName>
    <definedName name="SEK_23M">#REF!</definedName>
    <definedName name="SEK_23S">#REF!</definedName>
    <definedName name="SEK_24D">#REF!</definedName>
    <definedName name="SEK_24J">#REF!</definedName>
    <definedName name="SEK_24M">#REF!</definedName>
    <definedName name="SEK_24S">#REF!</definedName>
    <definedName name="SEK_25D">#REF!</definedName>
    <definedName name="SEK_25J">#REF!</definedName>
    <definedName name="SEK_25M">#REF!</definedName>
    <definedName name="SEK_25S">#REF!</definedName>
    <definedName name="SEK_87D">#REF!</definedName>
    <definedName name="SEK_87J">#REF!</definedName>
    <definedName name="SEK_87M">#REF!</definedName>
    <definedName name="SEK_87S">#REF!</definedName>
    <definedName name="SEK_88D">#REF!</definedName>
    <definedName name="SEK_88J">#REF!</definedName>
    <definedName name="SEK_88M">#REF!</definedName>
    <definedName name="SEK_88S">#REF!</definedName>
    <definedName name="SEK_89D">#REF!</definedName>
    <definedName name="SEK_89J">#REF!</definedName>
    <definedName name="SEK_89M">#REF!</definedName>
    <definedName name="SEK_89S">#REF!</definedName>
    <definedName name="SEK_90D">#REF!</definedName>
    <definedName name="SEK_90J">#REF!</definedName>
    <definedName name="SEK_90M">#REF!</definedName>
    <definedName name="SEK_90S">#REF!</definedName>
    <definedName name="SEK_91D">#REF!</definedName>
    <definedName name="SEK_91J">#REF!</definedName>
    <definedName name="SEK_91M">#REF!</definedName>
    <definedName name="SEK_91S">#REF!</definedName>
    <definedName name="SEK_92D">#REF!</definedName>
    <definedName name="SEK_92J">#REF!</definedName>
    <definedName name="SEK_92M">#REF!</definedName>
    <definedName name="SEK_92S">#REF!</definedName>
    <definedName name="SEK_93D">#REF!</definedName>
    <definedName name="SEK_93J">#REF!</definedName>
    <definedName name="SEK_93M">#REF!</definedName>
    <definedName name="SEK_93S">#REF!</definedName>
    <definedName name="SEK_94D">#REF!</definedName>
    <definedName name="SEK_94J">#REF!</definedName>
    <definedName name="SEK_94M">#REF!</definedName>
    <definedName name="SEK_94S">#REF!</definedName>
    <definedName name="SEK_95D">#REF!</definedName>
    <definedName name="SEK_95J">#REF!</definedName>
    <definedName name="SEK_95M">#REF!</definedName>
    <definedName name="SEK_95S">#REF!</definedName>
    <definedName name="SEK_96D">#REF!</definedName>
    <definedName name="SEK_96J">#REF!</definedName>
    <definedName name="SEK_96M">#REF!</definedName>
    <definedName name="SEK_96S">#REF!</definedName>
    <definedName name="SEK_97D">#REF!</definedName>
    <definedName name="SEK_97J">#REF!</definedName>
    <definedName name="SEK_97M">#REF!</definedName>
    <definedName name="SEK_97S">#REF!</definedName>
    <definedName name="SEK_98D">#REF!</definedName>
    <definedName name="SEK_98J">#REF!</definedName>
    <definedName name="SEK_98M">#REF!</definedName>
    <definedName name="SEK_98S">#REF!</definedName>
    <definedName name="SEK_99D">#REF!</definedName>
    <definedName name="SEK_99J">#REF!</definedName>
    <definedName name="SEK_99M">#REF!</definedName>
    <definedName name="SEK_99S">#REF!</definedName>
    <definedName name="SEK_EUR">[40]FXRATES!$D$11</definedName>
    <definedName name="SEK_LT">#REF!</definedName>
    <definedName name="select">#REF!</definedName>
    <definedName name="select_dps_to_use">#REF!</definedName>
    <definedName name="select_mkt_cap_to_use">#REF!</definedName>
    <definedName name="select_tot_fd_shares_to_use">#REF!</definedName>
    <definedName name="select_tot_ud_shares_to_use">#REF!</definedName>
    <definedName name="seller">#REF!</definedName>
    <definedName name="sencount">1</definedName>
    <definedName name="seniorRate">"SrRate"</definedName>
    <definedName name="SENS">[13]Price!$A$1:$M$48</definedName>
    <definedName name="sensitivity">#REF!</definedName>
    <definedName name="Sensitivity_in_dollars">#REF!</definedName>
    <definedName name="Sensitivity_in_pounds">#REF!</definedName>
    <definedName name="Sep_00">#REF!</definedName>
    <definedName name="service">#REF!</definedName>
    <definedName name="Setup">#REF!</definedName>
    <definedName name="Seydisehir">#REF!</definedName>
    <definedName name="SFA_10q_div">#REF!</definedName>
    <definedName name="SFA_10q_shares">#REF!</definedName>
    <definedName name="sfa_5_yr_est">#REF!</definedName>
    <definedName name="sfa_52_wk">#REF!</definedName>
    <definedName name="SFA_bk_cap">#REF!</definedName>
    <definedName name="SFA_bk_equity">#REF!</definedName>
    <definedName name="SFA_bs_conv_debt">#REF!</definedName>
    <definedName name="SFA_bs_min_int">#REF!</definedName>
    <definedName name="SFA_bs_pref">#REF!</definedName>
    <definedName name="SFA_cash">#REF!</definedName>
    <definedName name="SFA_code">#REF!</definedName>
    <definedName name="SFA_conv_debt_pr">#REF!</definedName>
    <definedName name="SFA_conv_pref_pr">#REF!</definedName>
    <definedName name="sfa_curr">#REF!</definedName>
    <definedName name="SFA_dil_shares">#REF!</definedName>
    <definedName name="sfa_eps00">#REF!</definedName>
    <definedName name="sfa_eps98">#REF!</definedName>
    <definedName name="sfa_eps99">#REF!</definedName>
    <definedName name="SFA_equity_mcap">#REF!</definedName>
    <definedName name="SFA_fin_date">#REF!</definedName>
    <definedName name="SFA_hist_d">#REF!</definedName>
    <definedName name="SFA_hist_inc_b_m">#REF!</definedName>
    <definedName name="SFA_hst_a">#REF!</definedName>
    <definedName name="SFA_hst_cogs">#REF!</definedName>
    <definedName name="SFA_hst_ebit">#REF!</definedName>
    <definedName name="SFA_hst_ebt">#REF!</definedName>
    <definedName name="SFA_hst_eps">#REF!</definedName>
    <definedName name="SFA_hst_inc_b_m">#REF!</definedName>
    <definedName name="SFA_hst_r_d">#REF!</definedName>
    <definedName name="SFA_hst_rev">#REF!</definedName>
    <definedName name="SFA_hst_sg_a">#REF!</definedName>
    <definedName name="SFA_lev_mcap">#REF!</definedName>
    <definedName name="SFA_LQ_ni">#REF!</definedName>
    <definedName name="SFA_LQ_rev">#REF!</definedName>
    <definedName name="SFA_lt_debt">#REF!</definedName>
    <definedName name="SFA_ltm_a">#REF!</definedName>
    <definedName name="SFA_ltm_cap_ex">#REF!</definedName>
    <definedName name="SFA_ltm_cogs">#REF!</definedName>
    <definedName name="SFA_ltm_csh_int">#REF!</definedName>
    <definedName name="SFA_ltm_d">#REF!</definedName>
    <definedName name="SFA_ltm_ebit">#REF!</definedName>
    <definedName name="SFA_ltm_ebt">#REF!</definedName>
    <definedName name="SFA_ltm_inc_b_m">#REF!</definedName>
    <definedName name="SFA_ltm_int">#REF!</definedName>
    <definedName name="SFA_ltm_min_int">#REF!</definedName>
    <definedName name="SFA_ltm_pref_div">#REF!</definedName>
    <definedName name="SFA_ltm_r_d">#REF!</definedName>
    <definedName name="SFA_ltm_rev">#REF!</definedName>
    <definedName name="SFA_ltm_sg_a">#REF!</definedName>
    <definedName name="SFA_ltm_shares">#REF!</definedName>
    <definedName name="SFA_ltm_tax">#REF!</definedName>
    <definedName name="SFA_ltm_tax_rate">#REF!</definedName>
    <definedName name="SFA_name">#REF!</definedName>
    <definedName name="SFA_o_debt_1">#REF!</definedName>
    <definedName name="SFA_o_debt_2">#REF!</definedName>
    <definedName name="SFA_o_debt_3">#REF!</definedName>
    <definedName name="SFA_option_n">#REF!</definedName>
    <definedName name="SFA_option_pr">#REF!</definedName>
    <definedName name="SFA_PQ_ni">#REF!</definedName>
    <definedName name="SFA_PQ_rev">#REF!</definedName>
    <definedName name="sfa_pr">#REF!</definedName>
    <definedName name="SFA_shares">#REF!</definedName>
    <definedName name="sfa_ticker">#REF!</definedName>
    <definedName name="SFA_total_dt">#REF!</definedName>
    <definedName name="SFA_YQ_ni">#REF!</definedName>
    <definedName name="SFA_YQ_rev">#REF!</definedName>
    <definedName name="sfdesf">#REF!</definedName>
    <definedName name="sfds">#REF!</definedName>
    <definedName name="sFreq">#REF!</definedName>
    <definedName name="SFrUS">#REF!</definedName>
    <definedName name="sfund92">#REF!</definedName>
    <definedName name="sfund93">#REF!</definedName>
    <definedName name="sfund94">#REF!</definedName>
    <definedName name="sfund95a">#REF!</definedName>
    <definedName name="SG_A">'[4]P&amp;L'!$B$47:$AH$47</definedName>
    <definedName name="sg_asean5">#REF!</definedName>
    <definedName name="sg_asia">#REF!</definedName>
    <definedName name="sg_nie">#REF!</definedName>
    <definedName name="SGA">#REF!</definedName>
    <definedName name="sga.00">#REF!</definedName>
    <definedName name="sga.01">#REF!</definedName>
    <definedName name="sga.02">#REF!</definedName>
    <definedName name="sga.03">#REF!</definedName>
    <definedName name="sga.04">#REF!</definedName>
    <definedName name="SGA_fore">#REF!</definedName>
    <definedName name="SGA_growth">#REF!</definedName>
    <definedName name="SGA_growth_avg">#REF!</definedName>
    <definedName name="SGA_growth_fore">#REF!</definedName>
    <definedName name="SGA_margin_fore">#REF!</definedName>
    <definedName name="sganda">#REF!</definedName>
    <definedName name="SGApert">#REF!</definedName>
    <definedName name="Shaanxi">#REF!</definedName>
    <definedName name="Shandong">#REF!</definedName>
    <definedName name="ShandongCapacity">#REF!</definedName>
    <definedName name="ShanxiCapacity">#REF!</definedName>
    <definedName name="SHAO86">#REF!</definedName>
    <definedName name="SHAO87">#REF!</definedName>
    <definedName name="SHAO88">#REF!</definedName>
    <definedName name="SHAO89">#REF!</definedName>
    <definedName name="SHAO90">#REF!</definedName>
    <definedName name="SHAO91">#REF!</definedName>
    <definedName name="SHAO92">#REF!</definedName>
    <definedName name="SHAO93">#REF!</definedName>
    <definedName name="SHAO94">#REF!</definedName>
    <definedName name="SHAO95">#REF!</definedName>
    <definedName name="SHAO96">#REF!</definedName>
    <definedName name="SHAO97">#REF!</definedName>
    <definedName name="SHAO98">#REF!</definedName>
    <definedName name="SHAO99">#REF!</definedName>
    <definedName name="SHAP01">#REF!</definedName>
    <definedName name="SHAP86">#REF!</definedName>
    <definedName name="SHAP87">#REF!</definedName>
    <definedName name="SHAP88">#REF!</definedName>
    <definedName name="SHAP89">#REF!</definedName>
    <definedName name="SHAP90">#REF!</definedName>
    <definedName name="SHAP91">#REF!</definedName>
    <definedName name="SHAP92">#REF!</definedName>
    <definedName name="SHAP93">#REF!</definedName>
    <definedName name="SHAP94">#REF!</definedName>
    <definedName name="SHAP95">#REF!</definedName>
    <definedName name="SHAP96">#REF!</definedName>
    <definedName name="SHAP97">#REF!</definedName>
    <definedName name="SHAP98">#REF!</definedName>
    <definedName name="SHAP99">#REF!</definedName>
    <definedName name="Share">#REF!</definedName>
    <definedName name="share_capital">#REF!</definedName>
    <definedName name="Share_price">#REF!</definedName>
    <definedName name="sharecapital">#REF!</definedName>
    <definedName name="ShareG">#REF!</definedName>
    <definedName name="shareholders.2001">#REF!</definedName>
    <definedName name="Shares">'[14]Consolidated Financials'!$M$69</definedName>
    <definedName name="shares.2000">#REF!</definedName>
    <definedName name="shares.99">#REF!</definedName>
    <definedName name="shares_01">#REF!</definedName>
    <definedName name="shares_02">#REF!</definedName>
    <definedName name="shares_03">#REF!</definedName>
    <definedName name="shares_04">#REF!</definedName>
    <definedName name="shares_avg">#REF!</definedName>
    <definedName name="Shares_DCF">#REF!</definedName>
    <definedName name="shares_fd_actual">#REF!</definedName>
    <definedName name="shares_fd_mkt">#REF!</definedName>
    <definedName name="shares_fd_over">#REF!</definedName>
    <definedName name="shares_fd_use_over">#REF!</definedName>
    <definedName name="Shares_fore">#REF!</definedName>
    <definedName name="Shares_growth">#REF!</definedName>
    <definedName name="Shares_growth_fore">#REF!</definedName>
    <definedName name="shares_not_floating">#REF!</definedName>
    <definedName name="Shares_Out">#REF!</definedName>
    <definedName name="shares_plc_00">#REF!</definedName>
    <definedName name="shares_qtr">#REF!</definedName>
    <definedName name="Shares_repurchase_liability">#REF!</definedName>
    <definedName name="shares_ud_actual">#REF!</definedName>
    <definedName name="shares_ud_mkt">#REF!</definedName>
    <definedName name="shares_ud_over">#REF!</definedName>
    <definedName name="shares_ud_use_over">#REF!</definedName>
    <definedName name="Shares97">#REF!</definedName>
    <definedName name="shares98">'[14]Consolidated Financials'!$H$69</definedName>
    <definedName name="Shares99">'[14]Consolidated Financials'!$M$69</definedName>
    <definedName name="SharesConvertibleSecurities">0</definedName>
    <definedName name="Sharesfd">#REF!</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hareswtd">#REF!</definedName>
    <definedName name="sharry1">#REF!</definedName>
    <definedName name="sharry2">#REF!</definedName>
    <definedName name="SHAS01">#REF!</definedName>
    <definedName name="SHAS86">#REF!</definedName>
    <definedName name="SHAS87">#REF!</definedName>
    <definedName name="SHAS88">#REF!</definedName>
    <definedName name="SHAS89">#REF!</definedName>
    <definedName name="SHAS90">#REF!</definedName>
    <definedName name="SHAS91">#REF!</definedName>
    <definedName name="SHAS92">#REF!</definedName>
    <definedName name="SHAS93">#REF!</definedName>
    <definedName name="SHAS94">#REF!</definedName>
    <definedName name="SHAS95">#REF!</definedName>
    <definedName name="SHAS96">#REF!</definedName>
    <definedName name="SHAS97">#REF!</definedName>
    <definedName name="SHAS98">#REF!</definedName>
    <definedName name="SHAS99">#REF!</definedName>
    <definedName name="Shawinigan_Falls">#REF!</definedName>
    <definedName name="sheq">#REF!</definedName>
    <definedName name="Short_term_Borrowings">#REF!</definedName>
    <definedName name="Short_term_debt">#REF!</definedName>
    <definedName name="Short_term_invest.">#REF!</definedName>
    <definedName name="Short_term_investments">#REF!</definedName>
    <definedName name="Short_term_liabilities">#REF!</definedName>
    <definedName name="ShortBorrowRate">[17]筹资!$B$7</definedName>
    <definedName name="shortdebt.2000">#REF!</definedName>
    <definedName name="shortdebt.2001">#REF!</definedName>
    <definedName name="shortdebt.99">#REF!</definedName>
    <definedName name="Show_Dialog_Box">#REF!</definedName>
    <definedName name="ShowDetails">#REF!</definedName>
    <definedName name="SHRFULL">#REF!</definedName>
    <definedName name="shrs93">#REF!</definedName>
    <definedName name="shrs94">#REF!</definedName>
    <definedName name="Sichuan">#REF!</definedName>
    <definedName name="SIE_10q_div">#REF!</definedName>
    <definedName name="SIE_10q_shares">#REF!</definedName>
    <definedName name="sie_5_yr_est">#REF!</definedName>
    <definedName name="sie_52_wk">#REF!</definedName>
    <definedName name="sie_52_wk_">#REF!</definedName>
    <definedName name="SIE_bk_cap">#REF!</definedName>
    <definedName name="SIE_bk_equity">#REF!</definedName>
    <definedName name="SIE_bs_conv_debt">#REF!</definedName>
    <definedName name="SIE_bs_min_int">#REF!</definedName>
    <definedName name="SIE_bs_pref">#REF!</definedName>
    <definedName name="SIE_cash">#REF!</definedName>
    <definedName name="SIE_code">#REF!</definedName>
    <definedName name="SIE_conv_debt_pr">#REF!</definedName>
    <definedName name="SIE_conv_pref_pr">#REF!</definedName>
    <definedName name="sie_curr">#REF!</definedName>
    <definedName name="SIE_dil_shares">#REF!</definedName>
    <definedName name="sie_eps00">#REF!</definedName>
    <definedName name="sie_eps98">#REF!</definedName>
    <definedName name="sie_eps99">#REF!</definedName>
    <definedName name="SIE_equity_mcap">#REF!</definedName>
    <definedName name="SIE_fin_date">#REF!</definedName>
    <definedName name="SIE_hist_d">#REF!</definedName>
    <definedName name="SIE_hst_a">#REF!</definedName>
    <definedName name="SIE_hst_cogs">#REF!</definedName>
    <definedName name="SIE_hst_ebit">#REF!</definedName>
    <definedName name="SIE_hst_ebt">#REF!</definedName>
    <definedName name="SIE_hst_eps">#REF!</definedName>
    <definedName name="SIE_hst_inc_b_m">#REF!</definedName>
    <definedName name="SIE_hst_r_d">#REF!</definedName>
    <definedName name="SIE_hst_rev">#REF!</definedName>
    <definedName name="SIE_hst_sg_a">#REF!</definedName>
    <definedName name="SIE_lev_mcap">#REF!</definedName>
    <definedName name="SIE_LQ_ni">#REF!</definedName>
    <definedName name="SIE_LQ_rev">#REF!</definedName>
    <definedName name="SIE_lt_debt">#REF!</definedName>
    <definedName name="SIE_ltm_a">#REF!</definedName>
    <definedName name="SIE_ltm_cap_ex">#REF!</definedName>
    <definedName name="SIE_ltm_cogs">#REF!</definedName>
    <definedName name="SIE_ltm_csh_int">#REF!</definedName>
    <definedName name="SIE_ltm_d">#REF!</definedName>
    <definedName name="SIE_ltm_ebit">#REF!</definedName>
    <definedName name="SIE_ltm_ebt">#REF!</definedName>
    <definedName name="SIE_ltm_inc_b_m">#REF!</definedName>
    <definedName name="SIE_ltm_int">#REF!</definedName>
    <definedName name="SIE_ltm_min_int">#REF!</definedName>
    <definedName name="SIE_ltm_pref_div">#REF!</definedName>
    <definedName name="SIE_ltm_r_d">#REF!</definedName>
    <definedName name="SIE_ltm_rev">#REF!</definedName>
    <definedName name="SIE_ltm_sg_a">#REF!</definedName>
    <definedName name="SIE_ltm_shares">#REF!</definedName>
    <definedName name="SIE_ltm_tax">#REF!</definedName>
    <definedName name="SIE_ltm_tax_rate">#REF!</definedName>
    <definedName name="SIE_name">#REF!</definedName>
    <definedName name="SIE_o_debt_1">#REF!</definedName>
    <definedName name="SIE_o_debt_2">#REF!</definedName>
    <definedName name="SIE_o_debt_3">#REF!</definedName>
    <definedName name="SIE_option_n">#REF!</definedName>
    <definedName name="SIE_option_pr">#REF!</definedName>
    <definedName name="SIE_PQ_ni">#REF!</definedName>
    <definedName name="SIE_PQ_rev">#REF!</definedName>
    <definedName name="sie_pr">#REF!</definedName>
    <definedName name="SIE_shares">#REF!</definedName>
    <definedName name="SIE_total_dt">#REF!</definedName>
    <definedName name="SIE_YQ_ni">#REF!</definedName>
    <definedName name="SIE_YQ_rev">#REF!</definedName>
    <definedName name="SIL">#REF!</definedName>
    <definedName name="sim_attributable">#REF!</definedName>
    <definedName name="SIM_PBT">#REF!</definedName>
    <definedName name="Slatina">#REF!</definedName>
    <definedName name="SM_Pots">#REF!</definedName>
    <definedName name="sme">#REF!</definedName>
    <definedName name="SMHBpr">#REF!</definedName>
    <definedName name="SMHRpr">#REF!</definedName>
    <definedName name="SN_01D">#REF!</definedName>
    <definedName name="SN_01J">#REF!</definedName>
    <definedName name="SN_01M">#REF!</definedName>
    <definedName name="SN_01S">#REF!</definedName>
    <definedName name="SN_02D">#REF!</definedName>
    <definedName name="SN_02J">#REF!</definedName>
    <definedName name="SN_02M">#REF!</definedName>
    <definedName name="SN_02S">#REF!</definedName>
    <definedName name="SN_03D">#REF!</definedName>
    <definedName name="SN_03J">#REF!</definedName>
    <definedName name="SN_03M">#REF!</definedName>
    <definedName name="SN_03S">#REF!</definedName>
    <definedName name="SN_04D">#REF!</definedName>
    <definedName name="SN_04J">#REF!</definedName>
    <definedName name="SN_04M">#REF!</definedName>
    <definedName name="SN_04S">#REF!</definedName>
    <definedName name="SN_05D">#REF!</definedName>
    <definedName name="SN_05J">#REF!</definedName>
    <definedName name="SN_05M">#REF!</definedName>
    <definedName name="SN_05S">#REF!</definedName>
    <definedName name="SN_06D">#REF!</definedName>
    <definedName name="SN_06J">#REF!</definedName>
    <definedName name="SN_06M">#REF!</definedName>
    <definedName name="SN_06S">#REF!</definedName>
    <definedName name="SN_07D">#REF!</definedName>
    <definedName name="SN_07J">#REF!</definedName>
    <definedName name="SN_07M">#REF!</definedName>
    <definedName name="SN_07S">#REF!</definedName>
    <definedName name="SN_08D">#REF!</definedName>
    <definedName name="SN_08J">#REF!</definedName>
    <definedName name="SN_08M">#REF!</definedName>
    <definedName name="SN_08S">#REF!</definedName>
    <definedName name="SN_09D">#REF!</definedName>
    <definedName name="SN_09J">#REF!</definedName>
    <definedName name="SN_09M">#REF!</definedName>
    <definedName name="SN_09S">#REF!</definedName>
    <definedName name="SN_10D">#REF!</definedName>
    <definedName name="SN_10J">#REF!</definedName>
    <definedName name="SN_10M">#REF!</definedName>
    <definedName name="SN_10S">#REF!</definedName>
    <definedName name="SN_11D">#REF!</definedName>
    <definedName name="SN_11J">#REF!</definedName>
    <definedName name="SN_11M">#REF!</definedName>
    <definedName name="SN_11S">#REF!</definedName>
    <definedName name="SN_12D">#REF!</definedName>
    <definedName name="SN_12J">#REF!</definedName>
    <definedName name="SN_12M">#REF!</definedName>
    <definedName name="SN_12S">#REF!</definedName>
    <definedName name="SN_13D">#REF!</definedName>
    <definedName name="SN_13J">#REF!</definedName>
    <definedName name="SN_13M">#REF!</definedName>
    <definedName name="SN_13S">#REF!</definedName>
    <definedName name="SN_14D">#REF!</definedName>
    <definedName name="SN_14J">#REF!</definedName>
    <definedName name="SN_14M">#REF!</definedName>
    <definedName name="SN_14S">#REF!</definedName>
    <definedName name="SN_15D">#REF!</definedName>
    <definedName name="SN_15J">#REF!</definedName>
    <definedName name="SN_15M">#REF!</definedName>
    <definedName name="SN_15S">#REF!</definedName>
    <definedName name="SN_16D">#REF!</definedName>
    <definedName name="SN_16J">#REF!</definedName>
    <definedName name="SN_16M">#REF!</definedName>
    <definedName name="SN_16S">#REF!</definedName>
    <definedName name="SN_17D">#REF!</definedName>
    <definedName name="SN_17J">#REF!</definedName>
    <definedName name="SN_17M">#REF!</definedName>
    <definedName name="SN_17S">#REF!</definedName>
    <definedName name="SN_18D">#REF!</definedName>
    <definedName name="SN_18J">#REF!</definedName>
    <definedName name="SN_18M">#REF!</definedName>
    <definedName name="SN_18S">#REF!</definedName>
    <definedName name="SN_19D">#REF!</definedName>
    <definedName name="SN_19J">#REF!</definedName>
    <definedName name="SN_19M">#REF!</definedName>
    <definedName name="SN_19S">#REF!</definedName>
    <definedName name="SN_20D">#REF!</definedName>
    <definedName name="SN_20J">#REF!</definedName>
    <definedName name="SN_20M">#REF!</definedName>
    <definedName name="SN_20S">#REF!</definedName>
    <definedName name="SN_21D">#REF!</definedName>
    <definedName name="SN_21J">#REF!</definedName>
    <definedName name="SN_21M">#REF!</definedName>
    <definedName name="SN_21S">#REF!</definedName>
    <definedName name="SN_22D">#REF!</definedName>
    <definedName name="SN_22J">#REF!</definedName>
    <definedName name="SN_22M">#REF!</definedName>
    <definedName name="SN_22S">#REF!</definedName>
    <definedName name="SN_23D">#REF!</definedName>
    <definedName name="SN_23J">#REF!</definedName>
    <definedName name="SN_23M">#REF!</definedName>
    <definedName name="SN_23S">#REF!</definedName>
    <definedName name="SN_24D">#REF!</definedName>
    <definedName name="SN_24J">#REF!</definedName>
    <definedName name="SN_24M">#REF!</definedName>
    <definedName name="SN_24S">#REF!</definedName>
    <definedName name="SN_25D">#REF!</definedName>
    <definedName name="SN_25J">#REF!</definedName>
    <definedName name="SN_25M">#REF!</definedName>
    <definedName name="SN_25S">#REF!</definedName>
    <definedName name="SN_87D">#REF!</definedName>
    <definedName name="SN_87J">#REF!</definedName>
    <definedName name="SN_87M">#REF!</definedName>
    <definedName name="SN_87S">#REF!</definedName>
    <definedName name="SN_88D">#REF!</definedName>
    <definedName name="SN_88J">#REF!</definedName>
    <definedName name="SN_88M">#REF!</definedName>
    <definedName name="SN_88S">#REF!</definedName>
    <definedName name="SN_89D">#REF!</definedName>
    <definedName name="SN_89J">#REF!</definedName>
    <definedName name="SN_89M">#REF!</definedName>
    <definedName name="SN_89S">#REF!</definedName>
    <definedName name="SN_90D">#REF!</definedName>
    <definedName name="SN_90J">#REF!</definedName>
    <definedName name="SN_90M">#REF!</definedName>
    <definedName name="SN_90S">#REF!</definedName>
    <definedName name="SN_91D">#REF!</definedName>
    <definedName name="SN_91J">#REF!</definedName>
    <definedName name="SN_91M">#REF!</definedName>
    <definedName name="SN_91S">#REF!</definedName>
    <definedName name="SN_92D">#REF!</definedName>
    <definedName name="SN_92J">#REF!</definedName>
    <definedName name="SN_92M">#REF!</definedName>
    <definedName name="SN_92S">#REF!</definedName>
    <definedName name="SN_93D">#REF!</definedName>
    <definedName name="SN_93J">#REF!</definedName>
    <definedName name="SN_93M">#REF!</definedName>
    <definedName name="SN_93S">#REF!</definedName>
    <definedName name="SN_94D">#REF!</definedName>
    <definedName name="SN_94J">#REF!</definedName>
    <definedName name="SN_94M">#REF!</definedName>
    <definedName name="SN_94S">#REF!</definedName>
    <definedName name="SN_95D">#REF!</definedName>
    <definedName name="SN_95J">#REF!</definedName>
    <definedName name="SN_95M">#REF!</definedName>
    <definedName name="SN_95S">#REF!</definedName>
    <definedName name="SN_96D">#REF!</definedName>
    <definedName name="SN_96J">#REF!</definedName>
    <definedName name="SN_96M">#REF!</definedName>
    <definedName name="SN_96S">#REF!</definedName>
    <definedName name="SN_97D">#REF!</definedName>
    <definedName name="SN_97J">#REF!</definedName>
    <definedName name="SN_97M">#REF!</definedName>
    <definedName name="SN_97S">#REF!</definedName>
    <definedName name="SN_98D">#REF!</definedName>
    <definedName name="SN_98J">#REF!</definedName>
    <definedName name="SN_98M">#REF!</definedName>
    <definedName name="SN_98S">#REF!</definedName>
    <definedName name="SN_99D">#REF!</definedName>
    <definedName name="SN_99J">#REF!</definedName>
    <definedName name="SN_99M">#REF!</definedName>
    <definedName name="SN_99S">#REF!</definedName>
    <definedName name="SN_LT">#REF!</definedName>
    <definedName name="SN_OUT">#REF!</definedName>
    <definedName name="SN_Spot">#REF!</definedName>
    <definedName name="sName">sName</definedName>
    <definedName name="sName1">sName1</definedName>
    <definedName name="Solution">#REF!</definedName>
    <definedName name="solv">#REF!</definedName>
    <definedName name="solvency">#REF!</definedName>
    <definedName name="solver_lin" hidden="1">0</definedName>
    <definedName name="solver_num" hidden="1">0</definedName>
    <definedName name="solver_typ" hidden="1">3</definedName>
    <definedName name="solver_val" hidden="1">0.1076</definedName>
    <definedName name="Sonera_ARPU">#REF!</definedName>
    <definedName name="Sonera_Cash">#REF!</definedName>
    <definedName name="Sonera_Country_Penetration">#REF!</definedName>
    <definedName name="Sonera_Current_Debtors">#REF!</definedName>
    <definedName name="Sonera_Equity">#REF!</definedName>
    <definedName name="Sonera_Inventories">#REF!</definedName>
    <definedName name="Sonera_Net_Debt">#REF!</definedName>
    <definedName name="Sonera_Net_Interest">#REF!</definedName>
    <definedName name="Sonera_Nominal_Tax_Rate">#REF!</definedName>
    <definedName name="Sonera_Total_Fixed_Assets">#REF!</definedName>
    <definedName name="Sonera_Year00">#REF!</definedName>
    <definedName name="Sonera_Year01">#REF!</definedName>
    <definedName name="Sonera_Year02">#REF!</definedName>
    <definedName name="Sonera_Year03">#REF!</definedName>
    <definedName name="Sonera_Year04">#REF!</definedName>
    <definedName name="Sonera_Year98">#REF!</definedName>
    <definedName name="Sonera_Year99">#REF!</definedName>
    <definedName name="sop">#REF!</definedName>
    <definedName name="SOP_print">#REF!</definedName>
    <definedName name="Sorocaba">#REF!</definedName>
    <definedName name="SorocabaCapacity">#REF!</definedName>
    <definedName name="sort_start">#REF!</definedName>
    <definedName name="SOTP">#REF!</definedName>
    <definedName name="sources00">#REF!</definedName>
    <definedName name="sources01">#REF!</definedName>
    <definedName name="sources93">#REF!</definedName>
    <definedName name="sources94">#REF!</definedName>
    <definedName name="sources95">#REF!</definedName>
    <definedName name="sources96">#REF!</definedName>
    <definedName name="sources97">#REF!</definedName>
    <definedName name="sources98">#REF!</definedName>
    <definedName name="sources99">#REF!</definedName>
    <definedName name="South_America">#REF!</definedName>
    <definedName name="South_America_w">#REF!</definedName>
    <definedName name="SouthAfrica">#REF!</definedName>
    <definedName name="SP.400_5_yr_est">#REF!</definedName>
    <definedName name="SP.400_52_wk">#REF!</definedName>
    <definedName name="SP.400_curr">#REF!</definedName>
    <definedName name="SP.400_eps97">#REF!</definedName>
    <definedName name="SP.400_eps98">#REF!</definedName>
    <definedName name="SP.400_eps99">#REF!</definedName>
    <definedName name="SP.400_pr">#REF!</definedName>
    <definedName name="SP.500_5_yr_est">#REF!</definedName>
    <definedName name="SP.500_52_wk">#REF!</definedName>
    <definedName name="SP.500_curr">#REF!</definedName>
    <definedName name="SP.500_eps97">#REF!</definedName>
    <definedName name="SP.500_eps98">#REF!</definedName>
    <definedName name="SP.500_eps99">#REF!</definedName>
    <definedName name="SP.500_name">#REF!</definedName>
    <definedName name="SP.500_pr">#REF!</definedName>
    <definedName name="spebdy" localSheetId="2" hidden="1">{"'RCIM'!$E$128"}</definedName>
    <definedName name="spebdy" localSheetId="1" hidden="1">{"'RCIM'!$E$128"}</definedName>
    <definedName name="spebdy" hidden="1">{"'RCIM'!$E$128"}</definedName>
    <definedName name="Spectrum">[18]Model!$A$1:$J$611</definedName>
    <definedName name="spot_range">#REF!</definedName>
    <definedName name="SpreadsheetBuilder_6" hidden="1">#REF!</definedName>
    <definedName name="sps">#REF!</definedName>
    <definedName name="SPWS_WBID">"BBD18B9B-24A7-11D7-89C2-00105AC8DCBF"</definedName>
    <definedName name="SRA1V_AdjustedEV">#REF!</definedName>
    <definedName name="SRA1V_AssociatesMinorities">#REF!</definedName>
    <definedName name="SRA1V_UnleveredFCF">#REF!</definedName>
    <definedName name="SrRate">"SrRating"</definedName>
    <definedName name="SRU_01D">#REF!</definedName>
    <definedName name="SRU_01J">#REF!</definedName>
    <definedName name="SRU_01M">#REF!</definedName>
    <definedName name="SRU_01S">#REF!</definedName>
    <definedName name="SRU_02D">#REF!</definedName>
    <definedName name="SRU_02J">#REF!</definedName>
    <definedName name="SRU_02M">#REF!</definedName>
    <definedName name="SRU_02S">#REF!</definedName>
    <definedName name="SRU_03D">#REF!</definedName>
    <definedName name="SRU_03J">#REF!</definedName>
    <definedName name="SRU_03M">#REF!</definedName>
    <definedName name="SRU_03S">#REF!</definedName>
    <definedName name="SRU_04D">#REF!</definedName>
    <definedName name="SRU_04J">#REF!</definedName>
    <definedName name="SRU_04M">#REF!</definedName>
    <definedName name="SRU_04S">#REF!</definedName>
    <definedName name="SRU_05D">#REF!</definedName>
    <definedName name="SRU_05J">#REF!</definedName>
    <definedName name="SRU_05M">#REF!</definedName>
    <definedName name="SRU_05S">#REF!</definedName>
    <definedName name="SRU_06D">#REF!</definedName>
    <definedName name="SRU_06J">#REF!</definedName>
    <definedName name="SRU_06M">#REF!</definedName>
    <definedName name="SRU_06S">#REF!</definedName>
    <definedName name="SRU_07D">#REF!</definedName>
    <definedName name="SRU_07J">#REF!</definedName>
    <definedName name="SRU_07M">#REF!</definedName>
    <definedName name="SRU_07S">#REF!</definedName>
    <definedName name="SRU_08D">#REF!</definedName>
    <definedName name="SRU_08J">#REF!</definedName>
    <definedName name="SRU_08M">#REF!</definedName>
    <definedName name="SRU_08S">#REF!</definedName>
    <definedName name="SRU_09D">#REF!</definedName>
    <definedName name="SRU_09J">#REF!</definedName>
    <definedName name="SRU_09M">#REF!</definedName>
    <definedName name="SRU_09S">#REF!</definedName>
    <definedName name="SRU_10D">#REF!</definedName>
    <definedName name="SRU_10J">#REF!</definedName>
    <definedName name="SRU_10M">#REF!</definedName>
    <definedName name="SRU_10S">#REF!</definedName>
    <definedName name="SRU_11D">#REF!</definedName>
    <definedName name="SRU_11J">#REF!</definedName>
    <definedName name="SRU_11M">#REF!</definedName>
    <definedName name="SRU_11S">#REF!</definedName>
    <definedName name="SRU_12D">#REF!</definedName>
    <definedName name="SRU_12J">#REF!</definedName>
    <definedName name="SRU_12M">#REF!</definedName>
    <definedName name="SRU_12S">#REF!</definedName>
    <definedName name="SRU_13D">#REF!</definedName>
    <definedName name="SRU_13J">#REF!</definedName>
    <definedName name="SRU_13M">#REF!</definedName>
    <definedName name="SRU_13S">#REF!</definedName>
    <definedName name="SRU_14D">#REF!</definedName>
    <definedName name="SRU_14J">#REF!</definedName>
    <definedName name="SRU_14M">#REF!</definedName>
    <definedName name="SRU_14S">#REF!</definedName>
    <definedName name="SRU_15D">#REF!</definedName>
    <definedName name="SRU_15J">#REF!</definedName>
    <definedName name="SRU_15M">#REF!</definedName>
    <definedName name="SRU_15S">#REF!</definedName>
    <definedName name="SRU_16D">#REF!</definedName>
    <definedName name="SRU_16J">#REF!</definedName>
    <definedName name="SRU_16M">#REF!</definedName>
    <definedName name="SRU_16S">#REF!</definedName>
    <definedName name="SRU_17D">#REF!</definedName>
    <definedName name="SRU_17J">#REF!</definedName>
    <definedName name="SRU_17M">#REF!</definedName>
    <definedName name="SRU_17S">#REF!</definedName>
    <definedName name="SRU_18D">#REF!</definedName>
    <definedName name="SRU_18J">#REF!</definedName>
    <definedName name="SRU_18M">#REF!</definedName>
    <definedName name="SRU_18S">#REF!</definedName>
    <definedName name="SRU_19D">#REF!</definedName>
    <definedName name="SRU_19J">#REF!</definedName>
    <definedName name="SRU_19M">#REF!</definedName>
    <definedName name="SRU_19S">#REF!</definedName>
    <definedName name="SRU_20D">#REF!</definedName>
    <definedName name="SRU_20J">#REF!</definedName>
    <definedName name="SRU_20M">#REF!</definedName>
    <definedName name="SRU_20S">#REF!</definedName>
    <definedName name="SRU_21D">#REF!</definedName>
    <definedName name="SRU_21J">#REF!</definedName>
    <definedName name="SRU_21M">#REF!</definedName>
    <definedName name="SRU_21S">#REF!</definedName>
    <definedName name="SRU_22D">#REF!</definedName>
    <definedName name="SRU_22J">#REF!</definedName>
    <definedName name="SRU_22M">#REF!</definedName>
    <definedName name="SRU_22S">#REF!</definedName>
    <definedName name="SRU_23D">#REF!</definedName>
    <definedName name="SRU_23J">#REF!</definedName>
    <definedName name="SRU_23M">#REF!</definedName>
    <definedName name="SRU_23S">#REF!</definedName>
    <definedName name="SRU_24D">#REF!</definedName>
    <definedName name="SRU_24J">#REF!</definedName>
    <definedName name="SRU_24M">#REF!</definedName>
    <definedName name="SRU_24S">#REF!</definedName>
    <definedName name="SRU_25D">#REF!</definedName>
    <definedName name="SRU_25J">#REF!</definedName>
    <definedName name="SRU_25M">#REF!</definedName>
    <definedName name="SRU_25S">#REF!</definedName>
    <definedName name="SRU_87D">#REF!</definedName>
    <definedName name="SRU_87J">#REF!</definedName>
    <definedName name="SRU_87M">#REF!</definedName>
    <definedName name="SRU_87S">#REF!</definedName>
    <definedName name="SRU_88D">#REF!</definedName>
    <definedName name="SRU_88J">#REF!</definedName>
    <definedName name="SRU_88M">#REF!</definedName>
    <definedName name="SRU_88S">#REF!</definedName>
    <definedName name="SRU_89D">#REF!</definedName>
    <definedName name="SRU_89J">#REF!</definedName>
    <definedName name="SRU_89M">#REF!</definedName>
    <definedName name="SRU_89S">#REF!</definedName>
    <definedName name="SRU_90D">#REF!</definedName>
    <definedName name="SRU_90J">#REF!</definedName>
    <definedName name="SRU_90M">#REF!</definedName>
    <definedName name="SRU_90S">#REF!</definedName>
    <definedName name="SRU_91D">#REF!</definedName>
    <definedName name="SRU_91J">#REF!</definedName>
    <definedName name="SRU_91M">#REF!</definedName>
    <definedName name="SRU_91S">#REF!</definedName>
    <definedName name="SRU_92D">#REF!</definedName>
    <definedName name="SRU_92J">#REF!</definedName>
    <definedName name="SRU_92M">#REF!</definedName>
    <definedName name="SRU_92S">#REF!</definedName>
    <definedName name="SRU_93D">#REF!</definedName>
    <definedName name="SRU_93J">#REF!</definedName>
    <definedName name="SRU_93M">#REF!</definedName>
    <definedName name="SRU_93S">#REF!</definedName>
    <definedName name="SRU_94D">#REF!</definedName>
    <definedName name="SRU_94J">#REF!</definedName>
    <definedName name="SRU_94M">#REF!</definedName>
    <definedName name="SRU_94S">#REF!</definedName>
    <definedName name="SRU_95D">#REF!</definedName>
    <definedName name="SRU_95J">#REF!</definedName>
    <definedName name="SRU_95M">#REF!</definedName>
    <definedName name="SRU_95S">#REF!</definedName>
    <definedName name="SRU_96D">#REF!</definedName>
    <definedName name="SRU_96J">#REF!</definedName>
    <definedName name="SRU_96M">#REF!</definedName>
    <definedName name="SRU_96S">#REF!</definedName>
    <definedName name="SRU_97D">#REF!</definedName>
    <definedName name="SRU_97J">#REF!</definedName>
    <definedName name="SRU_97M">#REF!</definedName>
    <definedName name="SRU_97S">#REF!</definedName>
    <definedName name="SRU_98D">#REF!</definedName>
    <definedName name="SRU_98J">#REF!</definedName>
    <definedName name="SRU_98M">#REF!</definedName>
    <definedName name="SRU_98S">#REF!</definedName>
    <definedName name="SRU_99D">#REF!</definedName>
    <definedName name="SRU_99J">#REF!</definedName>
    <definedName name="SRU_99M">#REF!</definedName>
    <definedName name="SRU_99S">#REF!</definedName>
    <definedName name="sru_lt">#REF!</definedName>
    <definedName name="SRU_OUT">#REF!</definedName>
    <definedName name="SRU_Spot">#REF!</definedName>
    <definedName name="ss">#REF!</definedName>
    <definedName name="SSSSSVS" localSheetId="2" hidden="1">{"print annual inc. statement",#N/A,FALSE,"Summary";"print annual stats",#N/A,FALSE,"Summary";"print quarterly inc. statement",#N/A,FALSE,"Summary";"print quarterly stats",#N/A,FALSE,"Summary"}</definedName>
    <definedName name="SSSSSVS" localSheetId="1" hidden="1">{"print annual inc. statement",#N/A,FALSE,"Summary";"print annual stats",#N/A,FALSE,"Summary";"print quarterly inc. statement",#N/A,FALSE,"Summary";"print quarterly stats",#N/A,FALSE,"Summary"}</definedName>
    <definedName name="SSSSSVS" hidden="1">{"print annual inc. statement",#N/A,FALSE,"Summary";"print annual stats",#N/A,FALSE,"Summary";"print quarterly inc. statement",#N/A,FALSE,"Summary";"print quarterly stats",#N/A,FALSE,"Summary"}</definedName>
    <definedName name="sTable">#REF!</definedName>
    <definedName name="Stade">#REF!</definedName>
    <definedName name="STAIN_STL_01D">#REF!</definedName>
    <definedName name="STAIN_STL_01J">#REF!</definedName>
    <definedName name="STAIN_STL_01M">#REF!</definedName>
    <definedName name="STAIN_STL_01S">#REF!</definedName>
    <definedName name="STAIN_STL_02D">#REF!</definedName>
    <definedName name="STAIN_STL_02J">#REF!</definedName>
    <definedName name="STAIN_STL_02M">#REF!</definedName>
    <definedName name="STAIN_STL_02S">#REF!</definedName>
    <definedName name="STAIN_STL_03D">#REF!</definedName>
    <definedName name="STAIN_STL_03J">#REF!</definedName>
    <definedName name="STAIN_STL_03M">#REF!</definedName>
    <definedName name="STAIN_STL_03S">#REF!</definedName>
    <definedName name="STAIN_STL_04D">#REF!</definedName>
    <definedName name="STAIN_STL_04J">#REF!</definedName>
    <definedName name="STAIN_STL_04M">#REF!</definedName>
    <definedName name="STAIN_STL_04S">#REF!</definedName>
    <definedName name="STAIN_STL_05D">#REF!</definedName>
    <definedName name="STAIN_STL_05J">#REF!</definedName>
    <definedName name="STAIN_STL_05M">#REF!</definedName>
    <definedName name="STAIN_STL_05S">#REF!</definedName>
    <definedName name="STAIN_STL_06D">#REF!</definedName>
    <definedName name="STAIN_STL_06J">#REF!</definedName>
    <definedName name="STAIN_STL_06M">#REF!</definedName>
    <definedName name="STAIN_STL_06S">#REF!</definedName>
    <definedName name="STAIN_STL_07D">#REF!</definedName>
    <definedName name="STAIN_STL_07J">#REF!</definedName>
    <definedName name="STAIN_STL_07M">#REF!</definedName>
    <definedName name="STAIN_STL_07S">#REF!</definedName>
    <definedName name="STAIN_STL_08D">#REF!</definedName>
    <definedName name="STAIN_STL_08J">#REF!</definedName>
    <definedName name="STAIN_STL_08M">#REF!</definedName>
    <definedName name="STAIN_STL_08S">#REF!</definedName>
    <definedName name="STAIN_STL_09D">#REF!</definedName>
    <definedName name="STAIN_STL_09J">#REF!</definedName>
    <definedName name="STAIN_STL_09M">#REF!</definedName>
    <definedName name="STAIN_STL_09S">#REF!</definedName>
    <definedName name="STAIN_STL_10D">#REF!</definedName>
    <definedName name="STAIN_STL_10J">#REF!</definedName>
    <definedName name="STAIN_STL_10M">#REF!</definedName>
    <definedName name="STAIN_STL_10S">#REF!</definedName>
    <definedName name="STAIN_STL_11D">#REF!</definedName>
    <definedName name="STAIN_STL_11J">#REF!</definedName>
    <definedName name="STAIN_STL_11M">#REF!</definedName>
    <definedName name="STAIN_STL_11S">#REF!</definedName>
    <definedName name="STAIN_STL_12D">#REF!</definedName>
    <definedName name="STAIN_STL_12J">#REF!</definedName>
    <definedName name="STAIN_STL_12M">#REF!</definedName>
    <definedName name="STAIN_STL_12S">#REF!</definedName>
    <definedName name="STAIN_STL_13D">#REF!</definedName>
    <definedName name="STAIN_STL_13J">#REF!</definedName>
    <definedName name="STAIN_STL_13M">#REF!</definedName>
    <definedName name="STAIN_STL_13S">#REF!</definedName>
    <definedName name="STAIN_STL_14D">#REF!</definedName>
    <definedName name="STAIN_STL_14J">#REF!</definedName>
    <definedName name="STAIN_STL_14M">#REF!</definedName>
    <definedName name="STAIN_STL_14S">#REF!</definedName>
    <definedName name="STAIN_STL_15D">#REF!</definedName>
    <definedName name="STAIN_STL_15J">#REF!</definedName>
    <definedName name="STAIN_STL_15M">#REF!</definedName>
    <definedName name="STAIN_STL_15S">#REF!</definedName>
    <definedName name="STAIN_STL_16D">#REF!</definedName>
    <definedName name="STAIN_STL_16J">#REF!</definedName>
    <definedName name="STAIN_STL_16M">#REF!</definedName>
    <definedName name="STAIN_STL_16S">#REF!</definedName>
    <definedName name="STAIN_STL_17D">#REF!</definedName>
    <definedName name="STAIN_STL_17J">#REF!</definedName>
    <definedName name="STAIN_STL_17M">#REF!</definedName>
    <definedName name="STAIN_STL_17S">#REF!</definedName>
    <definedName name="STAIN_STL_18D">#REF!</definedName>
    <definedName name="STAIN_STL_18J">#REF!</definedName>
    <definedName name="STAIN_STL_18M">#REF!</definedName>
    <definedName name="STAIN_STL_18S">#REF!</definedName>
    <definedName name="STAIN_STL_19D">#REF!</definedName>
    <definedName name="STAIN_STL_19J">#REF!</definedName>
    <definedName name="STAIN_STL_19M">#REF!</definedName>
    <definedName name="STAIN_STL_19S">#REF!</definedName>
    <definedName name="STAIN_STL_20D">#REF!</definedName>
    <definedName name="STAIN_STL_20J">#REF!</definedName>
    <definedName name="STAIN_STL_20M">#REF!</definedName>
    <definedName name="STAIN_STL_20S">#REF!</definedName>
    <definedName name="STAIN_STL_21D">#REF!</definedName>
    <definedName name="STAIN_STL_21J">#REF!</definedName>
    <definedName name="STAIN_STL_21M">#REF!</definedName>
    <definedName name="STAIN_STL_21S">#REF!</definedName>
    <definedName name="STAIN_STL_22D">#REF!</definedName>
    <definedName name="STAIN_STL_22J">#REF!</definedName>
    <definedName name="STAIN_STL_22M">#REF!</definedName>
    <definedName name="STAIN_STL_22S">#REF!</definedName>
    <definedName name="STAIN_STL_23D">#REF!</definedName>
    <definedName name="STAIN_STL_23J">#REF!</definedName>
    <definedName name="STAIN_STL_23M">#REF!</definedName>
    <definedName name="STAIN_STL_23S">#REF!</definedName>
    <definedName name="STAIN_STL_24D">#REF!</definedName>
    <definedName name="STAIN_STL_24J">#REF!</definedName>
    <definedName name="STAIN_STL_24M">#REF!</definedName>
    <definedName name="STAIN_STL_24S">#REF!</definedName>
    <definedName name="STAIN_STL_25D">#REF!</definedName>
    <definedName name="STAIN_STL_25J">#REF!</definedName>
    <definedName name="STAIN_STL_25M">#REF!</definedName>
    <definedName name="STAIN_STL_25S">#REF!</definedName>
    <definedName name="STAIN_STL_87D">#REF!</definedName>
    <definedName name="STAIN_STL_87J">#REF!</definedName>
    <definedName name="STAIN_STL_87M">#REF!</definedName>
    <definedName name="STAIN_STL_87S">#REF!</definedName>
    <definedName name="STAIN_STL_88D">#REF!</definedName>
    <definedName name="STAIN_STL_88J">#REF!</definedName>
    <definedName name="STAIN_STL_88M">#REF!</definedName>
    <definedName name="STAIN_STL_88S">#REF!</definedName>
    <definedName name="STAIN_STL_89D">#REF!</definedName>
    <definedName name="STAIN_STL_89J">#REF!</definedName>
    <definedName name="STAIN_STL_89M">#REF!</definedName>
    <definedName name="STAIN_STL_89S">#REF!</definedName>
    <definedName name="STAIN_STL_90D">#REF!</definedName>
    <definedName name="STAIN_STL_90J">#REF!</definedName>
    <definedName name="STAIN_STL_90M">#REF!</definedName>
    <definedName name="STAIN_STL_90S">#REF!</definedName>
    <definedName name="STAIN_STL_91D">#REF!</definedName>
    <definedName name="STAIN_STL_91J">#REF!</definedName>
    <definedName name="STAIN_STL_91M">#REF!</definedName>
    <definedName name="STAIN_STL_91S">#REF!</definedName>
    <definedName name="STAIN_STL_92D">#REF!</definedName>
    <definedName name="STAIN_STL_92J">#REF!</definedName>
    <definedName name="STAIN_STL_92M">#REF!</definedName>
    <definedName name="STAIN_STL_92S">#REF!</definedName>
    <definedName name="STAIN_STL_93D">#REF!</definedName>
    <definedName name="STAIN_STL_93J">#REF!</definedName>
    <definedName name="STAIN_STL_93M">#REF!</definedName>
    <definedName name="STAIN_STL_93S">#REF!</definedName>
    <definedName name="STAIN_STL_94D">#REF!</definedName>
    <definedName name="STAIN_STL_94J">#REF!</definedName>
    <definedName name="STAIN_STL_94M">#REF!</definedName>
    <definedName name="STAIN_STL_94S">#REF!</definedName>
    <definedName name="STAIN_STL_95D">#REF!</definedName>
    <definedName name="STAIN_STL_95J">#REF!</definedName>
    <definedName name="STAIN_STL_95M">#REF!</definedName>
    <definedName name="STAIN_STL_95S">#REF!</definedName>
    <definedName name="STAIN_STL_96D">#REF!</definedName>
    <definedName name="STAIN_STL_96J">#REF!</definedName>
    <definedName name="STAIN_STL_96M">#REF!</definedName>
    <definedName name="STAIN_STL_96S">#REF!</definedName>
    <definedName name="STAIN_STL_97D">#REF!</definedName>
    <definedName name="STAIN_STL_97J">#REF!</definedName>
    <definedName name="STAIN_STL_97M">#REF!</definedName>
    <definedName name="STAIN_STL_97S">#REF!</definedName>
    <definedName name="STAIN_STL_98D">#REF!</definedName>
    <definedName name="STAIN_STL_98J">#REF!</definedName>
    <definedName name="STAIN_STL_98M">#REF!</definedName>
    <definedName name="STAIN_STL_98S">#REF!</definedName>
    <definedName name="STAIN_STL_99D">#REF!</definedName>
    <definedName name="STAIN_STL_99J">#REF!</definedName>
    <definedName name="STAIN_STL_99M">#REF!</definedName>
    <definedName name="STAIN_STL_99S">#REF!</definedName>
    <definedName name="STAIN_STL_LT">#REF!</definedName>
    <definedName name="start">'[39]CVC NY GAAP Fin. Statements'!$A$2</definedName>
    <definedName name="Start_year">#REF!</definedName>
    <definedName name="StartPeriod">#REF!</definedName>
    <definedName name="StartPosition">#REF!</definedName>
    <definedName name="StartYear">#REF!</definedName>
    <definedName name="stats1">#REF!</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atutory_Tax_Rate">#REF!</definedName>
    <definedName name="StCroixCapacity">#REF!</definedName>
    <definedName name="Steel_BHP_Range">#REF!</definedName>
    <definedName name="steel_range">#REF!</definedName>
    <definedName name="STHLY_AssociatesMinorities">#REF!</definedName>
    <definedName name="STHLY_UnleveredFCF">#REF!</definedName>
    <definedName name="Stk_Price">#REF!</definedName>
    <definedName name="STL_BI_DOMESTIC_01D">#REF!</definedName>
    <definedName name="STL_BI_DOMESTIC_01J">#REF!</definedName>
    <definedName name="STL_BI_DOMESTIC_01M">#REF!</definedName>
    <definedName name="STL_BI_DOMESTIC_01S">#REF!</definedName>
    <definedName name="STL_BI_DOMESTIC_02D">#REF!</definedName>
    <definedName name="STL_BI_DOMESTIC_02J">#REF!</definedName>
    <definedName name="STL_BI_DOMESTIC_02M">#REF!</definedName>
    <definedName name="STL_BI_DOMESTIC_02S">#REF!</definedName>
    <definedName name="STL_BI_DOMESTIC_03D">#REF!</definedName>
    <definedName name="STL_BI_DOMESTIC_03J">#REF!</definedName>
    <definedName name="STL_BI_DOMESTIC_03M">#REF!</definedName>
    <definedName name="STL_BI_DOMESTIC_03S">#REF!</definedName>
    <definedName name="STL_BI_DOMESTIC_04D">#REF!</definedName>
    <definedName name="STL_BI_DOMESTIC_04J">#REF!</definedName>
    <definedName name="STL_BI_DOMESTIC_04M">#REF!</definedName>
    <definedName name="STL_BI_DOMESTIC_04S">#REF!</definedName>
    <definedName name="STL_BI_DOMESTIC_05D">#REF!</definedName>
    <definedName name="STL_BI_DOMESTIC_05J">#REF!</definedName>
    <definedName name="STL_BI_DOMESTIC_05M">#REF!</definedName>
    <definedName name="STL_BI_DOMESTIC_05S">#REF!</definedName>
    <definedName name="STL_BI_DOMESTIC_06D">#REF!</definedName>
    <definedName name="STL_BI_DOMESTIC_06J">#REF!</definedName>
    <definedName name="STL_BI_DOMESTIC_06M">#REF!</definedName>
    <definedName name="STL_BI_DOMESTIC_06S">#REF!</definedName>
    <definedName name="STL_BI_DOMESTIC_07D">#REF!</definedName>
    <definedName name="STL_BI_DOMESTIC_07J">#REF!</definedName>
    <definedName name="STL_BI_DOMESTIC_07M">#REF!</definedName>
    <definedName name="STL_BI_DOMESTIC_07S">#REF!</definedName>
    <definedName name="STL_BI_DOMESTIC_08D">#REF!</definedName>
    <definedName name="STL_BI_DOMESTIC_08J">#REF!</definedName>
    <definedName name="STL_BI_DOMESTIC_08M">#REF!</definedName>
    <definedName name="STL_BI_DOMESTIC_08S">#REF!</definedName>
    <definedName name="STL_BI_DOMESTIC_09D">#REF!</definedName>
    <definedName name="STL_BI_DOMESTIC_09J">#REF!</definedName>
    <definedName name="STL_BI_DOMESTIC_09M">#REF!</definedName>
    <definedName name="STL_BI_DOMESTIC_09S">#REF!</definedName>
    <definedName name="STL_BI_DOMESTIC_10D">#REF!</definedName>
    <definedName name="STL_BI_DOMESTIC_10J">#REF!</definedName>
    <definedName name="STL_BI_DOMESTIC_10M">#REF!</definedName>
    <definedName name="STL_BI_DOMESTIC_10S">#REF!</definedName>
    <definedName name="STL_BI_DOMESTIC_11D">#REF!</definedName>
    <definedName name="STL_BI_DOMESTIC_11J">#REF!</definedName>
    <definedName name="STL_BI_DOMESTIC_11M">#REF!</definedName>
    <definedName name="STL_BI_DOMESTIC_11S">#REF!</definedName>
    <definedName name="STL_BI_DOMESTIC_12D">#REF!</definedName>
    <definedName name="STL_BI_DOMESTIC_12J">#REF!</definedName>
    <definedName name="STL_BI_DOMESTIC_12M">#REF!</definedName>
    <definedName name="STL_BI_DOMESTIC_12S">#REF!</definedName>
    <definedName name="STL_BI_DOMESTIC_13D">#REF!</definedName>
    <definedName name="STL_BI_DOMESTIC_13J">#REF!</definedName>
    <definedName name="STL_BI_DOMESTIC_13M">#REF!</definedName>
    <definedName name="STL_BI_DOMESTIC_13S">#REF!</definedName>
    <definedName name="STL_BI_DOMESTIC_14D">#REF!</definedName>
    <definedName name="STL_BI_DOMESTIC_14J">#REF!</definedName>
    <definedName name="STL_BI_DOMESTIC_14M">#REF!</definedName>
    <definedName name="STL_BI_DOMESTIC_14S">#REF!</definedName>
    <definedName name="STL_BI_DOMESTIC_15D">#REF!</definedName>
    <definedName name="STL_BI_DOMESTIC_15J">#REF!</definedName>
    <definedName name="STL_BI_DOMESTIC_15M">#REF!</definedName>
    <definedName name="STL_BI_DOMESTIC_15S">#REF!</definedName>
    <definedName name="STL_BI_DOMESTIC_16D">#REF!</definedName>
    <definedName name="STL_BI_DOMESTIC_16J">#REF!</definedName>
    <definedName name="STL_BI_DOMESTIC_16M">#REF!</definedName>
    <definedName name="STL_BI_DOMESTIC_16S">#REF!</definedName>
    <definedName name="STL_BI_DOMESTIC_17D">#REF!</definedName>
    <definedName name="STL_BI_DOMESTIC_17J">#REF!</definedName>
    <definedName name="STL_BI_DOMESTIC_17M">#REF!</definedName>
    <definedName name="STL_BI_DOMESTIC_17S">#REF!</definedName>
    <definedName name="STL_BI_DOMESTIC_18D">#REF!</definedName>
    <definedName name="STL_BI_DOMESTIC_18J">#REF!</definedName>
    <definedName name="STL_BI_DOMESTIC_18M">#REF!</definedName>
    <definedName name="STL_BI_DOMESTIC_18S">#REF!</definedName>
    <definedName name="STL_BI_DOMESTIC_19D">#REF!</definedName>
    <definedName name="STL_BI_DOMESTIC_19J">#REF!</definedName>
    <definedName name="STL_BI_DOMESTIC_19M">#REF!</definedName>
    <definedName name="STL_BI_DOMESTIC_19S">#REF!</definedName>
    <definedName name="STL_BI_DOMESTIC_20D">#REF!</definedName>
    <definedName name="STL_BI_DOMESTIC_20J">#REF!</definedName>
    <definedName name="STL_BI_DOMESTIC_20M">#REF!</definedName>
    <definedName name="STL_BI_DOMESTIC_20S">#REF!</definedName>
    <definedName name="STL_BI_DOMESTIC_21D">#REF!</definedName>
    <definedName name="STL_BI_DOMESTIC_21J">#REF!</definedName>
    <definedName name="STL_BI_DOMESTIC_21M">#REF!</definedName>
    <definedName name="STL_BI_DOMESTIC_21S">#REF!</definedName>
    <definedName name="STL_BI_DOMESTIC_22D">#REF!</definedName>
    <definedName name="STL_BI_DOMESTIC_22J">#REF!</definedName>
    <definedName name="STL_BI_DOMESTIC_22M">#REF!</definedName>
    <definedName name="STL_BI_DOMESTIC_22S">#REF!</definedName>
    <definedName name="STL_BI_DOMESTIC_23D">#REF!</definedName>
    <definedName name="STL_BI_DOMESTIC_23J">#REF!</definedName>
    <definedName name="STL_BI_DOMESTIC_23M">#REF!</definedName>
    <definedName name="STL_BI_DOMESTIC_23S">#REF!</definedName>
    <definedName name="STL_BI_DOMESTIC_24D">#REF!</definedName>
    <definedName name="STL_BI_DOMESTIC_24J">#REF!</definedName>
    <definedName name="STL_BI_DOMESTIC_24M">#REF!</definedName>
    <definedName name="STL_BI_DOMESTIC_24S">#REF!</definedName>
    <definedName name="STL_BI_DOMESTIC_25D">#REF!</definedName>
    <definedName name="STL_BI_DOMESTIC_25J">#REF!</definedName>
    <definedName name="STL_BI_DOMESTIC_25M">#REF!</definedName>
    <definedName name="STL_BI_DOMESTIC_25S">#REF!</definedName>
    <definedName name="STL_BI_DOMESTIC_87D">#REF!</definedName>
    <definedName name="STL_BI_DOMESTIC_87J">#REF!</definedName>
    <definedName name="STL_BI_DOMESTIC_87M">#REF!</definedName>
    <definedName name="STL_BI_DOMESTIC_87S">#REF!</definedName>
    <definedName name="STL_BI_DOMESTIC_88D">#REF!</definedName>
    <definedName name="STL_BI_DOMESTIC_88J">#REF!</definedName>
    <definedName name="STL_BI_DOMESTIC_88M">#REF!</definedName>
    <definedName name="STL_BI_DOMESTIC_88S">#REF!</definedName>
    <definedName name="STL_BI_DOMESTIC_89D">#REF!</definedName>
    <definedName name="STL_BI_DOMESTIC_89J">#REF!</definedName>
    <definedName name="STL_BI_DOMESTIC_89M">#REF!</definedName>
    <definedName name="STL_BI_DOMESTIC_89S">#REF!</definedName>
    <definedName name="STL_BI_DOMESTIC_90D">#REF!</definedName>
    <definedName name="STL_BI_DOMESTIC_90J">#REF!</definedName>
    <definedName name="STL_BI_DOMESTIC_90M">#REF!</definedName>
    <definedName name="STL_BI_DOMESTIC_90S">#REF!</definedName>
    <definedName name="STL_BI_DOMESTIC_91D">#REF!</definedName>
    <definedName name="STL_BI_DOMESTIC_91J">#REF!</definedName>
    <definedName name="STL_BI_DOMESTIC_91M">#REF!</definedName>
    <definedName name="STL_BI_DOMESTIC_91S">#REF!</definedName>
    <definedName name="STL_BI_DOMESTIC_92D">#REF!</definedName>
    <definedName name="STL_BI_DOMESTIC_92J">#REF!</definedName>
    <definedName name="STL_BI_DOMESTIC_92M">#REF!</definedName>
    <definedName name="STL_BI_DOMESTIC_92S">#REF!</definedName>
    <definedName name="STL_BI_DOMESTIC_93D">#REF!</definedName>
    <definedName name="STL_BI_DOMESTIC_93J">#REF!</definedName>
    <definedName name="STL_BI_DOMESTIC_93M">#REF!</definedName>
    <definedName name="STL_BI_DOMESTIC_93S">#REF!</definedName>
    <definedName name="STL_BI_DOMESTIC_94D">#REF!</definedName>
    <definedName name="STL_BI_DOMESTIC_94J">#REF!</definedName>
    <definedName name="STL_BI_DOMESTIC_94M">#REF!</definedName>
    <definedName name="STL_BI_DOMESTIC_94S">#REF!</definedName>
    <definedName name="STL_BI_DOMESTIC_95D">#REF!</definedName>
    <definedName name="STL_BI_DOMESTIC_95J">#REF!</definedName>
    <definedName name="STL_BI_DOMESTIC_95M">#REF!</definedName>
    <definedName name="STL_BI_DOMESTIC_95S">#REF!</definedName>
    <definedName name="STL_BI_DOMESTIC_96D">#REF!</definedName>
    <definedName name="STL_BI_DOMESTIC_96J">#REF!</definedName>
    <definedName name="STL_BI_DOMESTIC_96M">#REF!</definedName>
    <definedName name="STL_BI_DOMESTIC_96S">#REF!</definedName>
    <definedName name="STL_BI_DOMESTIC_97D">#REF!</definedName>
    <definedName name="STL_BI_DOMESTIC_97J">#REF!</definedName>
    <definedName name="STL_BI_DOMESTIC_97M">#REF!</definedName>
    <definedName name="STL_BI_DOMESTIC_97S">#REF!</definedName>
    <definedName name="STL_BI_DOMESTIC_98D">#REF!</definedName>
    <definedName name="STL_BI_DOMESTIC_98J">#REF!</definedName>
    <definedName name="STL_BI_DOMESTIC_98M">#REF!</definedName>
    <definedName name="STL_BI_DOMESTIC_98S">#REF!</definedName>
    <definedName name="STL_BI_DOMESTIC_99D">#REF!</definedName>
    <definedName name="STL_BI_DOMESTIC_99J">#REF!</definedName>
    <definedName name="STL_BI_DOMESTIC_99M">#REF!</definedName>
    <definedName name="STL_BI_DOMESTIC_99S">#REF!</definedName>
    <definedName name="STL_BI_DOMESTIC_LT">#REF!</definedName>
    <definedName name="STL_BI_EXPORT_00D">#REF!</definedName>
    <definedName name="STL_BI_EXPORT_00J">#REF!</definedName>
    <definedName name="STL_BI_EXPORT_00M">#REF!</definedName>
    <definedName name="STL_BI_EXPORT_00S">#REF!</definedName>
    <definedName name="STL_BI_EXPORT_01D">#REF!</definedName>
    <definedName name="STL_BI_EXPORT_01J">#REF!</definedName>
    <definedName name="STL_BI_EXPORT_01M">#REF!</definedName>
    <definedName name="STL_BI_EXPORT_01S">#REF!</definedName>
    <definedName name="STL_BI_EXPORT_02D">#REF!</definedName>
    <definedName name="STL_BI_EXPORT_02J">#REF!</definedName>
    <definedName name="STL_BI_EXPORT_02M">#REF!</definedName>
    <definedName name="STL_BI_EXPORT_02S">#REF!</definedName>
    <definedName name="STL_BI_EXPORT_03D">#REF!</definedName>
    <definedName name="STL_BI_EXPORT_03J">#REF!</definedName>
    <definedName name="STL_BI_EXPORT_03M">#REF!</definedName>
    <definedName name="STL_BI_EXPORT_03S">#REF!</definedName>
    <definedName name="STL_BI_EXPORT_04D">#REF!</definedName>
    <definedName name="STL_BI_EXPORT_04J">#REF!</definedName>
    <definedName name="STL_BI_EXPORT_04M">#REF!</definedName>
    <definedName name="STL_BI_EXPORT_04S">#REF!</definedName>
    <definedName name="STL_BI_EXPORT_05D">#REF!</definedName>
    <definedName name="STL_BI_EXPORT_05J">#REF!</definedName>
    <definedName name="STL_BI_EXPORT_05M">#REF!</definedName>
    <definedName name="STL_BI_EXPORT_05S">#REF!</definedName>
    <definedName name="STL_BI_EXPORT_06D">#REF!</definedName>
    <definedName name="STL_BI_EXPORT_06J">#REF!</definedName>
    <definedName name="STL_BI_EXPORT_06M">#REF!</definedName>
    <definedName name="STL_BI_EXPORT_06S">#REF!</definedName>
    <definedName name="STL_BI_EXPORT_07D">#REF!</definedName>
    <definedName name="STL_BI_EXPORT_07J">#REF!</definedName>
    <definedName name="STL_BI_EXPORT_07M">#REF!</definedName>
    <definedName name="STL_BI_EXPORT_07S">#REF!</definedName>
    <definedName name="STL_BI_EXPORT_08D">#REF!</definedName>
    <definedName name="STL_BI_EXPORT_08J">#REF!</definedName>
    <definedName name="STL_BI_EXPORT_08M">#REF!</definedName>
    <definedName name="STL_BI_EXPORT_08S">#REF!</definedName>
    <definedName name="STL_BI_EXPORT_09D">#REF!</definedName>
    <definedName name="STL_BI_EXPORT_09J">#REF!</definedName>
    <definedName name="STL_BI_EXPORT_09M">#REF!</definedName>
    <definedName name="STL_BI_EXPORT_09S">#REF!</definedName>
    <definedName name="STL_BI_EXPORT_10D">#REF!</definedName>
    <definedName name="STL_BI_EXPORT_10J">#REF!</definedName>
    <definedName name="STL_BI_EXPORT_10M">#REF!</definedName>
    <definedName name="STL_BI_EXPORT_10S">#REF!</definedName>
    <definedName name="STL_BI_EXPORT_11D">#REF!</definedName>
    <definedName name="STL_BI_EXPORT_11J">#REF!</definedName>
    <definedName name="STL_BI_EXPORT_11M">#REF!</definedName>
    <definedName name="STL_BI_EXPORT_11S">#REF!</definedName>
    <definedName name="STL_BI_EXPORT_12D">#REF!</definedName>
    <definedName name="STL_BI_EXPORT_12J">#REF!</definedName>
    <definedName name="STL_BI_EXPORT_12M">#REF!</definedName>
    <definedName name="STL_BI_EXPORT_12S">#REF!</definedName>
    <definedName name="STL_BI_EXPORT_13D">#REF!</definedName>
    <definedName name="STL_BI_EXPORT_13J">#REF!</definedName>
    <definedName name="STL_BI_EXPORT_13M">#REF!</definedName>
    <definedName name="STL_BI_EXPORT_13S">#REF!</definedName>
    <definedName name="STL_BI_EXPORT_14D">#REF!</definedName>
    <definedName name="STL_BI_EXPORT_14J">#REF!</definedName>
    <definedName name="STL_BI_EXPORT_14M">#REF!</definedName>
    <definedName name="STL_BI_EXPORT_14S">#REF!</definedName>
    <definedName name="STL_BI_EXPORT_15D">#REF!</definedName>
    <definedName name="STL_BI_EXPORT_15J">#REF!</definedName>
    <definedName name="STL_BI_EXPORT_15M">#REF!</definedName>
    <definedName name="STL_BI_EXPORT_15S">#REF!</definedName>
    <definedName name="STL_BI_EXPORT_16D">#REF!</definedName>
    <definedName name="STL_BI_EXPORT_16J">#REF!</definedName>
    <definedName name="STL_BI_EXPORT_16M">#REF!</definedName>
    <definedName name="STL_BI_EXPORT_16S">#REF!</definedName>
    <definedName name="STL_BI_EXPORT_17D">#REF!</definedName>
    <definedName name="STL_BI_EXPORT_17J">#REF!</definedName>
    <definedName name="STL_BI_EXPORT_17M">#REF!</definedName>
    <definedName name="STL_BI_EXPORT_17S">#REF!</definedName>
    <definedName name="STL_BI_EXPORT_18D">#REF!</definedName>
    <definedName name="STL_BI_EXPORT_18J">#REF!</definedName>
    <definedName name="STL_BI_EXPORT_18M">#REF!</definedName>
    <definedName name="STL_BI_EXPORT_18S">#REF!</definedName>
    <definedName name="STL_BI_EXPORT_19D">#REF!</definedName>
    <definedName name="STL_BI_EXPORT_19J">#REF!</definedName>
    <definedName name="STL_BI_EXPORT_19M">#REF!</definedName>
    <definedName name="STL_BI_EXPORT_19S">#REF!</definedName>
    <definedName name="STL_BI_EXPORT_20D">#REF!</definedName>
    <definedName name="STL_BI_EXPORT_20J">#REF!</definedName>
    <definedName name="STL_BI_EXPORT_20M">#REF!</definedName>
    <definedName name="STL_BI_EXPORT_20S">#REF!</definedName>
    <definedName name="STL_BI_EXPORT_21D">#REF!</definedName>
    <definedName name="STL_BI_EXPORT_21J">#REF!</definedName>
    <definedName name="STL_BI_EXPORT_21M">#REF!</definedName>
    <definedName name="STL_BI_EXPORT_21S">#REF!</definedName>
    <definedName name="STL_BI_EXPORT_22D">#REF!</definedName>
    <definedName name="STL_BI_EXPORT_22J">#REF!</definedName>
    <definedName name="STL_BI_EXPORT_22M">#REF!</definedName>
    <definedName name="STL_BI_EXPORT_22S">#REF!</definedName>
    <definedName name="STL_BI_EXPORT_23D">#REF!</definedName>
    <definedName name="STL_BI_EXPORT_23J">#REF!</definedName>
    <definedName name="STL_BI_EXPORT_23M">#REF!</definedName>
    <definedName name="STL_BI_EXPORT_23S">#REF!</definedName>
    <definedName name="STL_BI_EXPORT_24D">#REF!</definedName>
    <definedName name="STL_BI_EXPORT_24J">#REF!</definedName>
    <definedName name="STL_BI_EXPORT_24M">#REF!</definedName>
    <definedName name="STL_BI_EXPORT_24S">#REF!</definedName>
    <definedName name="STL_BI_EXPORT_25D">#REF!</definedName>
    <definedName name="STL_BI_EXPORT_25J">#REF!</definedName>
    <definedName name="STL_BI_EXPORT_25M">#REF!</definedName>
    <definedName name="STL_BI_EXPORT_25S">#REF!</definedName>
    <definedName name="STL_BI_EXPORT_87D">#REF!</definedName>
    <definedName name="STL_BI_EXPORT_87J">#REF!</definedName>
    <definedName name="STL_BI_EXPORT_87M">#REF!</definedName>
    <definedName name="STL_BI_EXPORT_87S">#REF!</definedName>
    <definedName name="STL_BI_EXPORT_88D">#REF!</definedName>
    <definedName name="STL_BI_EXPORT_88J">#REF!</definedName>
    <definedName name="STL_BI_EXPORT_88M">#REF!</definedName>
    <definedName name="STL_BI_EXPORT_88S">#REF!</definedName>
    <definedName name="STL_BI_EXPORT_89D">#REF!</definedName>
    <definedName name="STL_BI_EXPORT_89J">#REF!</definedName>
    <definedName name="STL_BI_EXPORT_89M">#REF!</definedName>
    <definedName name="STL_BI_EXPORT_89S">#REF!</definedName>
    <definedName name="STL_BI_EXPORT_90D">#REF!</definedName>
    <definedName name="STL_BI_EXPORT_90J">#REF!</definedName>
    <definedName name="STL_BI_EXPORT_90M">#REF!</definedName>
    <definedName name="STL_BI_EXPORT_90S">#REF!</definedName>
    <definedName name="STL_BI_EXPORT_91D">#REF!</definedName>
    <definedName name="STL_BI_EXPORT_91J">#REF!</definedName>
    <definedName name="STL_BI_EXPORT_91M">#REF!</definedName>
    <definedName name="STL_BI_EXPORT_91S">#REF!</definedName>
    <definedName name="STL_BI_EXPORT_92D">#REF!</definedName>
    <definedName name="STL_BI_EXPORT_92J">#REF!</definedName>
    <definedName name="STL_BI_EXPORT_92M">#REF!</definedName>
    <definedName name="STL_BI_EXPORT_92S">#REF!</definedName>
    <definedName name="STL_BI_EXPORT_93D">#REF!</definedName>
    <definedName name="STL_BI_EXPORT_93J">#REF!</definedName>
    <definedName name="STL_BI_EXPORT_93M">#REF!</definedName>
    <definedName name="STL_BI_EXPORT_93S">#REF!</definedName>
    <definedName name="STL_BI_EXPORT_94D">#REF!</definedName>
    <definedName name="STL_BI_EXPORT_94J">#REF!</definedName>
    <definedName name="STL_BI_EXPORT_94M">#REF!</definedName>
    <definedName name="STL_BI_EXPORT_94S">#REF!</definedName>
    <definedName name="STL_BI_EXPORT_95D">#REF!</definedName>
    <definedName name="STL_BI_EXPORT_95J">#REF!</definedName>
    <definedName name="STL_BI_EXPORT_95M">#REF!</definedName>
    <definedName name="STL_BI_EXPORT_95S">#REF!</definedName>
    <definedName name="STL_BI_EXPORT_96D">#REF!</definedName>
    <definedName name="STL_BI_EXPORT_96J">#REF!</definedName>
    <definedName name="STL_BI_EXPORT_96M">#REF!</definedName>
    <definedName name="STL_BI_EXPORT_96S">#REF!</definedName>
    <definedName name="STL_BI_EXPORT_97D">#REF!</definedName>
    <definedName name="STL_BI_EXPORT_97J">#REF!</definedName>
    <definedName name="STL_BI_EXPORT_97M">#REF!</definedName>
    <definedName name="STL_BI_EXPORT_97S">#REF!</definedName>
    <definedName name="STL_BI_EXPORT_98D">#REF!</definedName>
    <definedName name="STL_BI_EXPORT_98J">#REF!</definedName>
    <definedName name="STL_BI_EXPORT_98M">#REF!</definedName>
    <definedName name="STL_BI_EXPORT_98S">#REF!</definedName>
    <definedName name="STL_BI_EXPORT_99D">#REF!</definedName>
    <definedName name="STL_BI_EXPORT_99J">#REF!</definedName>
    <definedName name="STL_BI_EXPORT_99M">#REF!</definedName>
    <definedName name="STL_BI_EXPORT_99S">#REF!</definedName>
    <definedName name="STL_BI_EXPORT_LT">#REF!</definedName>
    <definedName name="STL_BI_PRODUCT_00D">#REF!</definedName>
    <definedName name="STL_BI_PRODUCT_00J">#REF!</definedName>
    <definedName name="STL_BI_PRODUCT_00M">#REF!</definedName>
    <definedName name="STL_BI_PRODUCT_00S">#REF!</definedName>
    <definedName name="STL_BI_PRODUCT_01D">#REF!</definedName>
    <definedName name="STL_BI_PRODUCT_01J">#REF!</definedName>
    <definedName name="STL_BI_PRODUCT_01M">#REF!</definedName>
    <definedName name="STL_BI_PRODUCT_01S">#REF!</definedName>
    <definedName name="STL_BI_PRODUCT_02D">#REF!</definedName>
    <definedName name="STL_BI_PRODUCT_02J">#REF!</definedName>
    <definedName name="STL_BI_PRODUCT_02M">#REF!</definedName>
    <definedName name="STL_BI_PRODUCT_02S">#REF!</definedName>
    <definedName name="STL_BI_PRODUCT_03D">#REF!</definedName>
    <definedName name="STL_BI_PRODUCT_03J">#REF!</definedName>
    <definedName name="STL_BI_PRODUCT_03M">#REF!</definedName>
    <definedName name="STL_BI_PRODUCT_03S">#REF!</definedName>
    <definedName name="STL_BI_PRODUCT_04D">#REF!</definedName>
    <definedName name="STL_BI_PRODUCT_04J">#REF!</definedName>
    <definedName name="STL_BI_PRODUCT_04M">#REF!</definedName>
    <definedName name="STL_BI_PRODUCT_04S">#REF!</definedName>
    <definedName name="STL_BI_PRODUCT_05D">#REF!</definedName>
    <definedName name="STL_BI_PRODUCT_05J">#REF!</definedName>
    <definedName name="STL_BI_PRODUCT_05M">#REF!</definedName>
    <definedName name="STL_BI_PRODUCT_05S">#REF!</definedName>
    <definedName name="STL_BI_PRODUCT_06D">#REF!</definedName>
    <definedName name="STL_BI_PRODUCT_06J">#REF!</definedName>
    <definedName name="STL_BI_PRODUCT_06M">#REF!</definedName>
    <definedName name="STL_BI_PRODUCT_06S">#REF!</definedName>
    <definedName name="STL_BI_PRODUCT_07D">#REF!</definedName>
    <definedName name="STL_BI_PRODUCT_07J">#REF!</definedName>
    <definedName name="STL_BI_PRODUCT_07M">#REF!</definedName>
    <definedName name="STL_BI_PRODUCT_07S">#REF!</definedName>
    <definedName name="STL_BI_PRODUCT_08D">#REF!</definedName>
    <definedName name="STL_BI_PRODUCT_08J">#REF!</definedName>
    <definedName name="STL_BI_PRODUCT_08M">#REF!</definedName>
    <definedName name="STL_BI_PRODUCT_08S">#REF!</definedName>
    <definedName name="STL_BI_PRODUCT_09D">#REF!</definedName>
    <definedName name="STL_BI_PRODUCT_09J">#REF!</definedName>
    <definedName name="STL_BI_PRODUCT_09M">#REF!</definedName>
    <definedName name="STL_BI_PRODUCT_09S">#REF!</definedName>
    <definedName name="STL_BI_PRODUCT_10D">#REF!</definedName>
    <definedName name="STL_BI_PRODUCT_10J">#REF!</definedName>
    <definedName name="STL_BI_PRODUCT_10M">#REF!</definedName>
    <definedName name="STL_BI_PRODUCT_10S">#REF!</definedName>
    <definedName name="STL_BI_PRODUCT_11D">#REF!</definedName>
    <definedName name="STL_BI_PRODUCT_11J">#REF!</definedName>
    <definedName name="STL_BI_PRODUCT_11M">#REF!</definedName>
    <definedName name="STL_BI_PRODUCT_11S">#REF!</definedName>
    <definedName name="STL_BI_PRODUCT_12D">#REF!</definedName>
    <definedName name="STL_BI_PRODUCT_12J">#REF!</definedName>
    <definedName name="STL_BI_PRODUCT_12M">#REF!</definedName>
    <definedName name="STL_BI_PRODUCT_12S">#REF!</definedName>
    <definedName name="STL_BI_PRODUCT_13D">#REF!</definedName>
    <definedName name="STL_BI_PRODUCT_13J">#REF!</definedName>
    <definedName name="STL_BI_PRODUCT_13M">#REF!</definedName>
    <definedName name="STL_BI_PRODUCT_13S">#REF!</definedName>
    <definedName name="STL_BI_PRODUCT_14D">#REF!</definedName>
    <definedName name="STL_BI_PRODUCT_14J">#REF!</definedName>
    <definedName name="STL_BI_PRODUCT_14M">#REF!</definedName>
    <definedName name="STL_BI_PRODUCT_14S">#REF!</definedName>
    <definedName name="STL_BI_PRODUCT_15D">#REF!</definedName>
    <definedName name="STL_BI_PRODUCT_15J">#REF!</definedName>
    <definedName name="STL_BI_PRODUCT_15M">#REF!</definedName>
    <definedName name="STL_BI_PRODUCT_15S">#REF!</definedName>
    <definedName name="STL_BI_PRODUCT_16D">#REF!</definedName>
    <definedName name="STL_BI_PRODUCT_16J">#REF!</definedName>
    <definedName name="STL_BI_PRODUCT_16M">#REF!</definedName>
    <definedName name="STL_BI_PRODUCT_16S">#REF!</definedName>
    <definedName name="STL_BI_PRODUCT_17D">#REF!</definedName>
    <definedName name="STL_BI_PRODUCT_17J">#REF!</definedName>
    <definedName name="STL_BI_PRODUCT_17M">#REF!</definedName>
    <definedName name="STL_BI_PRODUCT_17S">#REF!</definedName>
    <definedName name="STL_BI_PRODUCT_18D">#REF!</definedName>
    <definedName name="STL_BI_PRODUCT_18J">#REF!</definedName>
    <definedName name="STL_BI_PRODUCT_18M">#REF!</definedName>
    <definedName name="STL_BI_PRODUCT_18S">#REF!</definedName>
    <definedName name="STL_BI_PRODUCT_19D">#REF!</definedName>
    <definedName name="STL_BI_PRODUCT_19J">#REF!</definedName>
    <definedName name="STL_BI_PRODUCT_19M">#REF!</definedName>
    <definedName name="STL_BI_PRODUCT_19S">#REF!</definedName>
    <definedName name="STL_BI_PRODUCT_20D">#REF!</definedName>
    <definedName name="STL_BI_PRODUCT_20J">#REF!</definedName>
    <definedName name="STL_BI_PRODUCT_20M">#REF!</definedName>
    <definedName name="STL_BI_PRODUCT_20S">#REF!</definedName>
    <definedName name="STL_BI_PRODUCT_21D">#REF!</definedName>
    <definedName name="STL_BI_PRODUCT_21J">#REF!</definedName>
    <definedName name="STL_BI_PRODUCT_21M">#REF!</definedName>
    <definedName name="STL_BI_PRODUCT_21S">#REF!</definedName>
    <definedName name="STL_BI_PRODUCT_22D">#REF!</definedName>
    <definedName name="STL_BI_PRODUCT_22J">#REF!</definedName>
    <definedName name="STL_BI_PRODUCT_22M">#REF!</definedName>
    <definedName name="STL_BI_PRODUCT_22S">#REF!</definedName>
    <definedName name="STL_BI_PRODUCT_23D">#REF!</definedName>
    <definedName name="STL_BI_PRODUCT_23J">#REF!</definedName>
    <definedName name="STL_BI_PRODUCT_23M">#REF!</definedName>
    <definedName name="STL_BI_PRODUCT_23S">#REF!</definedName>
    <definedName name="STL_BI_PRODUCT_24D">#REF!</definedName>
    <definedName name="STL_BI_PRODUCT_24J">#REF!</definedName>
    <definedName name="STL_BI_PRODUCT_24M">#REF!</definedName>
    <definedName name="STL_BI_PRODUCT_24S">#REF!</definedName>
    <definedName name="STL_BI_PRODUCT_25D">#REF!</definedName>
    <definedName name="STL_BI_PRODUCT_25J">#REF!</definedName>
    <definedName name="STL_BI_PRODUCT_25M">#REF!</definedName>
    <definedName name="STL_BI_PRODUCT_25S">#REF!</definedName>
    <definedName name="STL_BI_PRODUCT_87D">#REF!</definedName>
    <definedName name="STL_BI_PRODUCT_87J">#REF!</definedName>
    <definedName name="STL_BI_PRODUCT_87M">#REF!</definedName>
    <definedName name="STL_BI_PRODUCT_87S">#REF!</definedName>
    <definedName name="STL_BI_PRODUCT_88D">#REF!</definedName>
    <definedName name="STL_BI_PRODUCT_88J">#REF!</definedName>
    <definedName name="STL_BI_PRODUCT_88M">#REF!</definedName>
    <definedName name="STL_BI_PRODUCT_88S">#REF!</definedName>
    <definedName name="STL_BI_PRODUCT_89D">#REF!</definedName>
    <definedName name="STL_BI_PRODUCT_89J">#REF!</definedName>
    <definedName name="STL_BI_PRODUCT_89M">#REF!</definedName>
    <definedName name="STL_BI_PRODUCT_89S">#REF!</definedName>
    <definedName name="STL_BI_PRODUCT_90D">#REF!</definedName>
    <definedName name="STL_BI_PRODUCT_90J">#REF!</definedName>
    <definedName name="STL_BI_PRODUCT_90M">#REF!</definedName>
    <definedName name="STL_BI_PRODUCT_90S">#REF!</definedName>
    <definedName name="STL_BI_PRODUCT_91D">#REF!</definedName>
    <definedName name="STL_BI_PRODUCT_91J">#REF!</definedName>
    <definedName name="STL_BI_PRODUCT_91M">#REF!</definedName>
    <definedName name="STL_BI_PRODUCT_91S">#REF!</definedName>
    <definedName name="STL_BI_PRODUCT_92D">#REF!</definedName>
    <definedName name="STL_BI_PRODUCT_92J">#REF!</definedName>
    <definedName name="STL_BI_PRODUCT_92M">#REF!</definedName>
    <definedName name="STL_BI_PRODUCT_92S">#REF!</definedName>
    <definedName name="STL_BI_PRODUCT_93D">#REF!</definedName>
    <definedName name="STL_BI_PRODUCT_93J">#REF!</definedName>
    <definedName name="STL_BI_PRODUCT_93M">#REF!</definedName>
    <definedName name="STL_BI_PRODUCT_93S">#REF!</definedName>
    <definedName name="STL_BI_PRODUCT_94D">#REF!</definedName>
    <definedName name="STL_BI_PRODUCT_94J">#REF!</definedName>
    <definedName name="STL_BI_PRODUCT_94M">#REF!</definedName>
    <definedName name="STL_BI_PRODUCT_94S">#REF!</definedName>
    <definedName name="STL_BI_PRODUCT_95D">#REF!</definedName>
    <definedName name="STL_BI_PRODUCT_95J">#REF!</definedName>
    <definedName name="STL_BI_PRODUCT_95M">#REF!</definedName>
    <definedName name="STL_BI_PRODUCT_95S">#REF!</definedName>
    <definedName name="STL_BI_PRODUCT_96D">#REF!</definedName>
    <definedName name="STL_BI_PRODUCT_96J">#REF!</definedName>
    <definedName name="STL_BI_PRODUCT_96M">#REF!</definedName>
    <definedName name="STL_BI_PRODUCT_96S">#REF!</definedName>
    <definedName name="STL_BI_PRODUCT_97D">#REF!</definedName>
    <definedName name="STL_BI_PRODUCT_97J">#REF!</definedName>
    <definedName name="STL_BI_PRODUCT_97M">#REF!</definedName>
    <definedName name="STL_BI_PRODUCT_97S">#REF!</definedName>
    <definedName name="STL_BI_PRODUCT_98D">#REF!</definedName>
    <definedName name="STL_BI_PRODUCT_98J">#REF!</definedName>
    <definedName name="STL_BI_PRODUCT_98M">#REF!</definedName>
    <definedName name="STL_BI_PRODUCT_98S">#REF!</definedName>
    <definedName name="STL_BI_PRODUCT_99D">#REF!</definedName>
    <definedName name="STL_BI_PRODUCT_99J">#REF!</definedName>
    <definedName name="STL_BI_PRODUCT_99M">#REF!</definedName>
    <definedName name="STL_BI_PRODUCT_99S">#REF!</definedName>
    <definedName name="STL_CTD_DOMESTIC_00D">#REF!</definedName>
    <definedName name="STL_CTD_DOMESTIC_00J">#REF!</definedName>
    <definedName name="STL_CTD_DOMESTIC_00M">#REF!</definedName>
    <definedName name="STL_CTD_DOMESTIC_00S">#REF!</definedName>
    <definedName name="STL_CTD_DOMESTIC_01D">#REF!</definedName>
    <definedName name="STL_CTD_DOMESTIC_01J">#REF!</definedName>
    <definedName name="STL_CTD_DOMESTIC_01M">#REF!</definedName>
    <definedName name="STL_CTD_DOMESTIC_01S">#REF!</definedName>
    <definedName name="STL_CTD_DOMESTIC_02D">#REF!</definedName>
    <definedName name="STL_CTD_DOMESTIC_02J">#REF!</definedName>
    <definedName name="STL_CTD_DOMESTIC_02M">#REF!</definedName>
    <definedName name="STL_CTD_DOMESTIC_02S">#REF!</definedName>
    <definedName name="STL_CTD_DOMESTIC_03D">#REF!</definedName>
    <definedName name="STL_CTD_DOMESTIC_03J">#REF!</definedName>
    <definedName name="STL_CTD_DOMESTIC_03M">#REF!</definedName>
    <definedName name="STL_CTD_DOMESTIC_03S">#REF!</definedName>
    <definedName name="STL_CTD_DOMESTIC_04D">#REF!</definedName>
    <definedName name="STL_CTD_DOMESTIC_04J">#REF!</definedName>
    <definedName name="STL_CTD_DOMESTIC_04M">#REF!</definedName>
    <definedName name="STL_CTD_DOMESTIC_04S">#REF!</definedName>
    <definedName name="STL_CTD_DOMESTIC_05D">#REF!</definedName>
    <definedName name="STL_CTD_DOMESTIC_05J">#REF!</definedName>
    <definedName name="STL_CTD_DOMESTIC_05M">#REF!</definedName>
    <definedName name="STL_CTD_DOMESTIC_05S">#REF!</definedName>
    <definedName name="STL_CTD_DOMESTIC_06D">#REF!</definedName>
    <definedName name="STL_CTD_DOMESTIC_06J">#REF!</definedName>
    <definedName name="STL_CTD_DOMESTIC_06M">#REF!</definedName>
    <definedName name="STL_CTD_DOMESTIC_06S">#REF!</definedName>
    <definedName name="STL_CTD_DOMESTIC_07D">#REF!</definedName>
    <definedName name="STL_CTD_DOMESTIC_07J">#REF!</definedName>
    <definedName name="STL_CTD_DOMESTIC_07M">#REF!</definedName>
    <definedName name="STL_CTD_DOMESTIC_07S">#REF!</definedName>
    <definedName name="STL_CTD_DOMESTIC_08D">#REF!</definedName>
    <definedName name="STL_CTD_DOMESTIC_08J">#REF!</definedName>
    <definedName name="STL_CTD_DOMESTIC_08M">#REF!</definedName>
    <definedName name="STL_CTD_DOMESTIC_08S">#REF!</definedName>
    <definedName name="STL_CTD_DOMESTIC_09D">#REF!</definedName>
    <definedName name="STL_CTD_DOMESTIC_09J">#REF!</definedName>
    <definedName name="STL_CTD_DOMESTIC_09M">#REF!</definedName>
    <definedName name="STL_CTD_DOMESTIC_09S">#REF!</definedName>
    <definedName name="STL_CTD_DOMESTIC_10D">#REF!</definedName>
    <definedName name="STL_CTD_DOMESTIC_10J">#REF!</definedName>
    <definedName name="STL_CTD_DOMESTIC_10M">#REF!</definedName>
    <definedName name="STL_CTD_DOMESTIC_10S">#REF!</definedName>
    <definedName name="STL_CTD_DOMESTIC_11D">#REF!</definedName>
    <definedName name="STL_CTD_DOMESTIC_11J">#REF!</definedName>
    <definedName name="STL_CTD_DOMESTIC_11M">#REF!</definedName>
    <definedName name="STL_CTD_DOMESTIC_11S">#REF!</definedName>
    <definedName name="STL_CTD_DOMESTIC_12D">#REF!</definedName>
    <definedName name="STL_CTD_DOMESTIC_12J">#REF!</definedName>
    <definedName name="STL_CTD_DOMESTIC_12M">#REF!</definedName>
    <definedName name="STL_CTD_DOMESTIC_12S">#REF!</definedName>
    <definedName name="STL_CTD_DOMESTIC_13D">#REF!</definedName>
    <definedName name="STL_CTD_DOMESTIC_13J">#REF!</definedName>
    <definedName name="STL_CTD_DOMESTIC_13M">#REF!</definedName>
    <definedName name="STL_CTD_DOMESTIC_13S">#REF!</definedName>
    <definedName name="STL_CTD_DOMESTIC_14D">#REF!</definedName>
    <definedName name="STL_CTD_DOMESTIC_14J">#REF!</definedName>
    <definedName name="STL_CTD_DOMESTIC_14M">#REF!</definedName>
    <definedName name="STL_CTD_DOMESTIC_14S">#REF!</definedName>
    <definedName name="STL_CTD_DOMESTIC_15D">#REF!</definedName>
    <definedName name="STL_CTD_DOMESTIC_15J">#REF!</definedName>
    <definedName name="STL_CTD_DOMESTIC_15M">#REF!</definedName>
    <definedName name="STL_CTD_DOMESTIC_15S">#REF!</definedName>
    <definedName name="STL_CTD_DOMESTIC_16D">#REF!</definedName>
    <definedName name="STL_CTD_DOMESTIC_16J">#REF!</definedName>
    <definedName name="STL_CTD_DOMESTIC_16M">#REF!</definedName>
    <definedName name="STL_CTD_DOMESTIC_16S">#REF!</definedName>
    <definedName name="STL_CTD_DOMESTIC_17D">#REF!</definedName>
    <definedName name="STL_CTD_DOMESTIC_17J">#REF!</definedName>
    <definedName name="STL_CTD_DOMESTIC_17M">#REF!</definedName>
    <definedName name="STL_CTD_DOMESTIC_17S">#REF!</definedName>
    <definedName name="STL_CTD_DOMESTIC_18D">#REF!</definedName>
    <definedName name="STL_CTD_DOMESTIC_18J">#REF!</definedName>
    <definedName name="STL_CTD_DOMESTIC_18M">#REF!</definedName>
    <definedName name="STL_CTD_DOMESTIC_18S">#REF!</definedName>
    <definedName name="STL_CTD_DOMESTIC_19D">#REF!</definedName>
    <definedName name="STL_CTD_DOMESTIC_19J">#REF!</definedName>
    <definedName name="STL_CTD_DOMESTIC_19M">#REF!</definedName>
    <definedName name="STL_CTD_DOMESTIC_19S">#REF!</definedName>
    <definedName name="STL_CTD_DOMESTIC_20D">#REF!</definedName>
    <definedName name="STL_CTD_DOMESTIC_20J">#REF!</definedName>
    <definedName name="STL_CTD_DOMESTIC_20M">#REF!</definedName>
    <definedName name="STL_CTD_DOMESTIC_20S">#REF!</definedName>
    <definedName name="STL_CTD_DOMESTIC_21D">#REF!</definedName>
    <definedName name="STL_CTD_DOMESTIC_21J">#REF!</definedName>
    <definedName name="STL_CTD_DOMESTIC_21M">#REF!</definedName>
    <definedName name="STL_CTD_DOMESTIC_21S">#REF!</definedName>
    <definedName name="STL_CTD_DOMESTIC_22D">#REF!</definedName>
    <definedName name="STL_CTD_DOMESTIC_22J">#REF!</definedName>
    <definedName name="STL_CTD_DOMESTIC_22M">#REF!</definedName>
    <definedName name="STL_CTD_DOMESTIC_22S">#REF!</definedName>
    <definedName name="STL_CTD_DOMESTIC_23D">#REF!</definedName>
    <definedName name="STL_CTD_DOMESTIC_23J">#REF!</definedName>
    <definedName name="STL_CTD_DOMESTIC_23M">#REF!</definedName>
    <definedName name="STL_CTD_DOMESTIC_23S">#REF!</definedName>
    <definedName name="STL_CTD_DOMESTIC_24D">#REF!</definedName>
    <definedName name="STL_CTD_DOMESTIC_24J">#REF!</definedName>
    <definedName name="STL_CTD_DOMESTIC_24M">#REF!</definedName>
    <definedName name="STL_CTD_DOMESTIC_24S">#REF!</definedName>
    <definedName name="STL_CTD_DOMESTIC_25D">#REF!</definedName>
    <definedName name="STL_CTD_DOMESTIC_25J">#REF!</definedName>
    <definedName name="STL_CTD_DOMESTIC_25M">#REF!</definedName>
    <definedName name="STL_CTD_DOMESTIC_25S">#REF!</definedName>
    <definedName name="STL_CTD_DOMESTIC_87D">#REF!</definedName>
    <definedName name="STL_CTD_DOMESTIC_87J">#REF!</definedName>
    <definedName name="STL_CTD_DOMESTIC_87M">#REF!</definedName>
    <definedName name="STL_CTD_DOMESTIC_87S">#REF!</definedName>
    <definedName name="STL_CTD_DOMESTIC_88D">#REF!</definedName>
    <definedName name="STL_CTD_DOMESTIC_88J">#REF!</definedName>
    <definedName name="STL_CTD_DOMESTIC_88M">#REF!</definedName>
    <definedName name="STL_CTD_DOMESTIC_88S">#REF!</definedName>
    <definedName name="STL_CTD_DOMESTIC_89D">#REF!</definedName>
    <definedName name="STL_CTD_DOMESTIC_89J">#REF!</definedName>
    <definedName name="STL_CTD_DOMESTIC_89M">#REF!</definedName>
    <definedName name="STL_CTD_DOMESTIC_89S">#REF!</definedName>
    <definedName name="STL_CTD_DOMESTIC_90D">#REF!</definedName>
    <definedName name="STL_CTD_DOMESTIC_90J">#REF!</definedName>
    <definedName name="STL_CTD_DOMESTIC_90M">#REF!</definedName>
    <definedName name="STL_CTD_DOMESTIC_90S">#REF!</definedName>
    <definedName name="STL_CTD_DOMESTIC_91D">#REF!</definedName>
    <definedName name="STL_CTD_DOMESTIC_91J">#REF!</definedName>
    <definedName name="STL_CTD_DOMESTIC_91M">#REF!</definedName>
    <definedName name="STL_CTD_DOMESTIC_91S">#REF!</definedName>
    <definedName name="STL_CTD_DOMESTIC_92D">#REF!</definedName>
    <definedName name="STL_CTD_DOMESTIC_92J">#REF!</definedName>
    <definedName name="STL_CTD_DOMESTIC_92M">#REF!</definedName>
    <definedName name="STL_CTD_DOMESTIC_92S">#REF!</definedName>
    <definedName name="STL_CTD_DOMESTIC_93D">#REF!</definedName>
    <definedName name="STL_CTD_DOMESTIC_93J">#REF!</definedName>
    <definedName name="STL_CTD_DOMESTIC_93M">#REF!</definedName>
    <definedName name="STL_CTD_DOMESTIC_93S">#REF!</definedName>
    <definedName name="STL_CTD_DOMESTIC_94D">#REF!</definedName>
    <definedName name="STL_CTD_DOMESTIC_94J">#REF!</definedName>
    <definedName name="STL_CTD_DOMESTIC_94M">#REF!</definedName>
    <definedName name="STL_CTD_DOMESTIC_94S">#REF!</definedName>
    <definedName name="STL_CTD_DOMESTIC_95D">#REF!</definedName>
    <definedName name="STL_CTD_DOMESTIC_95J">#REF!</definedName>
    <definedName name="STL_CTD_DOMESTIC_95M">#REF!</definedName>
    <definedName name="STL_CTD_DOMESTIC_95S">#REF!</definedName>
    <definedName name="STL_CTD_DOMESTIC_96D">#REF!</definedName>
    <definedName name="STL_CTD_DOMESTIC_96J">#REF!</definedName>
    <definedName name="STL_CTD_DOMESTIC_96M">#REF!</definedName>
    <definedName name="STL_CTD_DOMESTIC_96S">#REF!</definedName>
    <definedName name="STL_CTD_DOMESTIC_97D">#REF!</definedName>
    <definedName name="STL_CTD_DOMESTIC_97J">#REF!</definedName>
    <definedName name="STL_CTD_DOMESTIC_97M">#REF!</definedName>
    <definedName name="STL_CTD_DOMESTIC_97S">#REF!</definedName>
    <definedName name="STL_CTD_DOMESTIC_98D">#REF!</definedName>
    <definedName name="STL_CTD_DOMESTIC_98J">#REF!</definedName>
    <definedName name="STL_CTD_DOMESTIC_98M">#REF!</definedName>
    <definedName name="STL_CTD_DOMESTIC_98S">#REF!</definedName>
    <definedName name="STL_CTD_DOMESTIC_99D">#REF!</definedName>
    <definedName name="STL_CTD_DOMESTIC_99J">#REF!</definedName>
    <definedName name="STL_CTD_DOMESTIC_99M">#REF!</definedName>
    <definedName name="STL_CTD_DOMESTIC_99S">#REF!</definedName>
    <definedName name="STL_CTD_DOMESTIC_LT">#REF!</definedName>
    <definedName name="STL_CTD_EXPORT_00D">#REF!</definedName>
    <definedName name="STL_CTD_EXPORT_00J">#REF!</definedName>
    <definedName name="STL_CTD_EXPORT_00M">#REF!</definedName>
    <definedName name="STL_CTD_EXPORT_00S">#REF!</definedName>
    <definedName name="STL_CTD_EXPORT_01D">#REF!</definedName>
    <definedName name="STL_CTD_EXPORT_01J">#REF!</definedName>
    <definedName name="STL_CTD_EXPORT_01M">#REF!</definedName>
    <definedName name="STL_CTD_EXPORT_01S">#REF!</definedName>
    <definedName name="STL_CTD_EXPORT_02D">#REF!</definedName>
    <definedName name="STL_CTD_EXPORT_02J">#REF!</definedName>
    <definedName name="STL_CTD_EXPORT_02M">#REF!</definedName>
    <definedName name="STL_CTD_EXPORT_02S">#REF!</definedName>
    <definedName name="STL_CTD_EXPORT_03D">#REF!</definedName>
    <definedName name="STL_CTD_EXPORT_03J">#REF!</definedName>
    <definedName name="STL_CTD_EXPORT_03M">#REF!</definedName>
    <definedName name="STL_CTD_EXPORT_03S">#REF!</definedName>
    <definedName name="STL_CTD_EXPORT_04D">#REF!</definedName>
    <definedName name="STL_CTD_EXPORT_04J">#REF!</definedName>
    <definedName name="STL_CTD_EXPORT_04M">#REF!</definedName>
    <definedName name="STL_CTD_EXPORT_04S">#REF!</definedName>
    <definedName name="STL_CTD_EXPORT_05D">#REF!</definedName>
    <definedName name="STL_CTD_EXPORT_05J">#REF!</definedName>
    <definedName name="STL_CTD_EXPORT_05M">#REF!</definedName>
    <definedName name="STL_CTD_EXPORT_05S">#REF!</definedName>
    <definedName name="STL_CTD_EXPORT_06D">#REF!</definedName>
    <definedName name="STL_CTD_EXPORT_06J">#REF!</definedName>
    <definedName name="STL_CTD_EXPORT_06M">#REF!</definedName>
    <definedName name="STL_CTD_EXPORT_06S">#REF!</definedName>
    <definedName name="STL_CTD_EXPORT_07D">#REF!</definedName>
    <definedName name="STL_CTD_EXPORT_07J">#REF!</definedName>
    <definedName name="STL_CTD_EXPORT_07M">#REF!</definedName>
    <definedName name="STL_CTD_EXPORT_07S">#REF!</definedName>
    <definedName name="STL_CTD_EXPORT_08D">#REF!</definedName>
    <definedName name="STL_CTD_EXPORT_08J">#REF!</definedName>
    <definedName name="STL_CTD_EXPORT_08M">#REF!</definedName>
    <definedName name="STL_CTD_EXPORT_08S">#REF!</definedName>
    <definedName name="STL_CTD_EXPORT_09D">#REF!</definedName>
    <definedName name="STL_CTD_EXPORT_09J">#REF!</definedName>
    <definedName name="STL_CTD_EXPORT_09M">#REF!</definedName>
    <definedName name="STL_CTD_EXPORT_09S">#REF!</definedName>
    <definedName name="STL_CTD_EXPORT_10D">#REF!</definedName>
    <definedName name="STL_CTD_EXPORT_10J">#REF!</definedName>
    <definedName name="STL_CTD_EXPORT_10M">#REF!</definedName>
    <definedName name="STL_CTD_EXPORT_10S">#REF!</definedName>
    <definedName name="STL_CTD_EXPORT_11D">#REF!</definedName>
    <definedName name="STL_CTD_EXPORT_11J">#REF!</definedName>
    <definedName name="STL_CTD_EXPORT_11M">#REF!</definedName>
    <definedName name="STL_CTD_EXPORT_11S">#REF!</definedName>
    <definedName name="STL_CTD_EXPORT_12D">#REF!</definedName>
    <definedName name="STL_CTD_EXPORT_12J">#REF!</definedName>
    <definedName name="STL_CTD_EXPORT_12M">#REF!</definedName>
    <definedName name="STL_CTD_EXPORT_12S">#REF!</definedName>
    <definedName name="STL_CTD_EXPORT_13D">#REF!</definedName>
    <definedName name="STL_CTD_EXPORT_13J">#REF!</definedName>
    <definedName name="STL_CTD_EXPORT_13M">#REF!</definedName>
    <definedName name="STL_CTD_EXPORT_13S">#REF!</definedName>
    <definedName name="STL_CTD_EXPORT_14D">#REF!</definedName>
    <definedName name="STL_CTD_EXPORT_14J">#REF!</definedName>
    <definedName name="STL_CTD_EXPORT_14M">#REF!</definedName>
    <definedName name="STL_CTD_EXPORT_14S">#REF!</definedName>
    <definedName name="STL_CTD_EXPORT_15D">#REF!</definedName>
    <definedName name="STL_CTD_EXPORT_15J">#REF!</definedName>
    <definedName name="STL_CTD_EXPORT_15M">#REF!</definedName>
    <definedName name="STL_CTD_EXPORT_15S">#REF!</definedName>
    <definedName name="STL_CTD_EXPORT_16D">#REF!</definedName>
    <definedName name="STL_CTD_EXPORT_16J">#REF!</definedName>
    <definedName name="STL_CTD_EXPORT_16M">#REF!</definedName>
    <definedName name="STL_CTD_EXPORT_16S">#REF!</definedName>
    <definedName name="STL_CTD_EXPORT_17D">#REF!</definedName>
    <definedName name="STL_CTD_EXPORT_17J">#REF!</definedName>
    <definedName name="STL_CTD_EXPORT_17M">#REF!</definedName>
    <definedName name="STL_CTD_EXPORT_17S">#REF!</definedName>
    <definedName name="STL_CTD_EXPORT_18D">#REF!</definedName>
    <definedName name="STL_CTD_EXPORT_18J">#REF!</definedName>
    <definedName name="STL_CTD_EXPORT_18M">#REF!</definedName>
    <definedName name="STL_CTD_EXPORT_18S">#REF!</definedName>
    <definedName name="STL_CTD_EXPORT_19D">#REF!</definedName>
    <definedName name="STL_CTD_EXPORT_19J">#REF!</definedName>
    <definedName name="STL_CTD_EXPORT_19M">#REF!</definedName>
    <definedName name="STL_CTD_EXPORT_19S">#REF!</definedName>
    <definedName name="STL_CTD_EXPORT_20D">#REF!</definedName>
    <definedName name="STL_CTD_EXPORT_20J">#REF!</definedName>
    <definedName name="STL_CTD_EXPORT_20M">#REF!</definedName>
    <definedName name="STL_CTD_EXPORT_20S">#REF!</definedName>
    <definedName name="STL_CTD_EXPORT_21D">#REF!</definedName>
    <definedName name="STL_CTD_EXPORT_21J">#REF!</definedName>
    <definedName name="STL_CTD_EXPORT_21M">#REF!</definedName>
    <definedName name="STL_CTD_EXPORT_21S">#REF!</definedName>
    <definedName name="STL_CTD_EXPORT_22D">#REF!</definedName>
    <definedName name="STL_CTD_EXPORT_22J">#REF!</definedName>
    <definedName name="STL_CTD_EXPORT_22M">#REF!</definedName>
    <definedName name="STL_CTD_EXPORT_22S">#REF!</definedName>
    <definedName name="STL_CTD_EXPORT_23D">#REF!</definedName>
    <definedName name="STL_CTD_EXPORT_23J">#REF!</definedName>
    <definedName name="STL_CTD_EXPORT_23M">#REF!</definedName>
    <definedName name="STL_CTD_EXPORT_23S">#REF!</definedName>
    <definedName name="STL_CTD_EXPORT_24D">#REF!</definedName>
    <definedName name="STL_CTD_EXPORT_24J">#REF!</definedName>
    <definedName name="STL_CTD_EXPORT_24M">#REF!</definedName>
    <definedName name="STL_CTD_EXPORT_24S">#REF!</definedName>
    <definedName name="STL_CTD_EXPORT_25D">#REF!</definedName>
    <definedName name="STL_CTD_EXPORT_25J">#REF!</definedName>
    <definedName name="STL_CTD_EXPORT_25M">#REF!</definedName>
    <definedName name="STL_CTD_EXPORT_25S">#REF!</definedName>
    <definedName name="STL_CTD_EXPORT_87D">#REF!</definedName>
    <definedName name="STL_CTD_EXPORT_87J">#REF!</definedName>
    <definedName name="STL_CTD_EXPORT_87M">#REF!</definedName>
    <definedName name="STL_CTD_EXPORT_87S">#REF!</definedName>
    <definedName name="STL_CTD_EXPORT_88D">#REF!</definedName>
    <definedName name="STL_CTD_EXPORT_88J">#REF!</definedName>
    <definedName name="STL_CTD_EXPORT_88M">#REF!</definedName>
    <definedName name="STL_CTD_EXPORT_88S">#REF!</definedName>
    <definedName name="STL_CTD_EXPORT_89D">#REF!</definedName>
    <definedName name="STL_CTD_EXPORT_89J">#REF!</definedName>
    <definedName name="STL_CTD_EXPORT_89M">#REF!</definedName>
    <definedName name="STL_CTD_EXPORT_89S">#REF!</definedName>
    <definedName name="STL_CTD_EXPORT_90D">#REF!</definedName>
    <definedName name="STL_CTD_EXPORT_90J">#REF!</definedName>
    <definedName name="STL_CTD_EXPORT_90M">#REF!</definedName>
    <definedName name="STL_CTD_EXPORT_90S">#REF!</definedName>
    <definedName name="STL_CTD_EXPORT_91D">#REF!</definedName>
    <definedName name="STL_CTD_EXPORT_91J">#REF!</definedName>
    <definedName name="STL_CTD_EXPORT_91M">#REF!</definedName>
    <definedName name="STL_CTD_EXPORT_91S">#REF!</definedName>
    <definedName name="STL_CTD_EXPORT_92D">#REF!</definedName>
    <definedName name="STL_CTD_EXPORT_92J">#REF!</definedName>
    <definedName name="STL_CTD_EXPORT_92M">#REF!</definedName>
    <definedName name="STL_CTD_EXPORT_92S">#REF!</definedName>
    <definedName name="STL_CTD_EXPORT_93D">#REF!</definedName>
    <definedName name="STL_CTD_EXPORT_93J">#REF!</definedName>
    <definedName name="STL_CTD_EXPORT_93M">#REF!</definedName>
    <definedName name="STL_CTD_EXPORT_93S">#REF!</definedName>
    <definedName name="STL_CTD_EXPORT_94D">#REF!</definedName>
    <definedName name="STL_CTD_EXPORT_94J">#REF!</definedName>
    <definedName name="STL_CTD_EXPORT_94M">#REF!</definedName>
    <definedName name="STL_CTD_EXPORT_94S">#REF!</definedName>
    <definedName name="STL_CTD_EXPORT_95D">#REF!</definedName>
    <definedName name="STL_CTD_EXPORT_95J">#REF!</definedName>
    <definedName name="STL_CTD_EXPORT_95M">#REF!</definedName>
    <definedName name="STL_CTD_EXPORT_95S">#REF!</definedName>
    <definedName name="STL_CTD_EXPORT_96D">#REF!</definedName>
    <definedName name="STL_CTD_EXPORT_96J">#REF!</definedName>
    <definedName name="STL_CTD_EXPORT_96M">#REF!</definedName>
    <definedName name="STL_CTD_EXPORT_96S">#REF!</definedName>
    <definedName name="STL_CTD_EXPORT_97D">#REF!</definedName>
    <definedName name="STL_CTD_EXPORT_97J">#REF!</definedName>
    <definedName name="STL_CTD_EXPORT_97M">#REF!</definedName>
    <definedName name="STL_CTD_EXPORT_97S">#REF!</definedName>
    <definedName name="STL_CTD_EXPORT_98D">#REF!</definedName>
    <definedName name="STL_CTD_EXPORT_98J">#REF!</definedName>
    <definedName name="STL_CTD_EXPORT_98M">#REF!</definedName>
    <definedName name="STL_CTD_EXPORT_98S">#REF!</definedName>
    <definedName name="STL_CTD_EXPORT_99D">#REF!</definedName>
    <definedName name="STL_CTD_EXPORT_99J">#REF!</definedName>
    <definedName name="STL_CTD_EXPORT_99M">#REF!</definedName>
    <definedName name="STL_CTD_EXPORT_99S">#REF!</definedName>
    <definedName name="STL_CTD_EXPORT_LT">#REF!</definedName>
    <definedName name="STL_FLAT_DOMESTIC_00D">#REF!</definedName>
    <definedName name="STL_FLAT_DOMESTIC_00J">#REF!</definedName>
    <definedName name="STL_FLAT_DOMESTIC_00M">#REF!</definedName>
    <definedName name="STL_FLAT_DOMESTIC_00S">#REF!</definedName>
    <definedName name="STL_FLAT_DOMESTIC_01D">#REF!</definedName>
    <definedName name="STL_FLAT_DOMESTIC_01J">#REF!</definedName>
    <definedName name="STL_FLAT_DOMESTIC_01M">#REF!</definedName>
    <definedName name="STL_FLAT_DOMESTIC_01S">#REF!</definedName>
    <definedName name="STL_FLAT_DOMESTIC_02D">#REF!</definedName>
    <definedName name="STL_FLAT_DOMESTIC_02J">#REF!</definedName>
    <definedName name="STL_FLAT_DOMESTIC_02M">#REF!</definedName>
    <definedName name="STL_FLAT_DOMESTIC_02S">#REF!</definedName>
    <definedName name="STL_FLAT_DOMESTIC_03D">#REF!</definedName>
    <definedName name="STL_FLAT_DOMESTIC_03J">#REF!</definedName>
    <definedName name="STL_FLAT_DOMESTIC_03M">#REF!</definedName>
    <definedName name="STL_FLAT_DOMESTIC_03S">#REF!</definedName>
    <definedName name="STL_FLAT_DOMESTIC_04D">#REF!</definedName>
    <definedName name="STL_FLAT_DOMESTIC_04J">#REF!</definedName>
    <definedName name="STL_FLAT_DOMESTIC_04M">#REF!</definedName>
    <definedName name="STL_FLAT_DOMESTIC_04S">#REF!</definedName>
    <definedName name="STL_FLAT_DOMESTIC_05D">#REF!</definedName>
    <definedName name="STL_FLAT_DOMESTIC_05J">#REF!</definedName>
    <definedName name="STL_FLAT_DOMESTIC_05M">#REF!</definedName>
    <definedName name="STL_FLAT_DOMESTIC_05S">#REF!</definedName>
    <definedName name="STL_FLAT_DOMESTIC_06D">#REF!</definedName>
    <definedName name="STL_FLAT_DOMESTIC_06J">#REF!</definedName>
    <definedName name="STL_FLAT_DOMESTIC_06M">#REF!</definedName>
    <definedName name="STL_FLAT_DOMESTIC_06S">#REF!</definedName>
    <definedName name="STL_FLAT_DOMESTIC_07D">#REF!</definedName>
    <definedName name="STL_FLAT_DOMESTIC_07J">#REF!</definedName>
    <definedName name="STL_FLAT_DOMESTIC_07M">#REF!</definedName>
    <definedName name="STL_FLAT_DOMESTIC_07S">#REF!</definedName>
    <definedName name="STL_FLAT_DOMESTIC_08D">#REF!</definedName>
    <definedName name="STL_FLAT_DOMESTIC_08J">#REF!</definedName>
    <definedName name="STL_FLAT_DOMESTIC_08M">#REF!</definedName>
    <definedName name="STL_FLAT_DOMESTIC_08S">#REF!</definedName>
    <definedName name="STL_FLAT_DOMESTIC_09D">#REF!</definedName>
    <definedName name="STL_FLAT_DOMESTIC_09J">#REF!</definedName>
    <definedName name="STL_FLAT_DOMESTIC_09M">#REF!</definedName>
    <definedName name="STL_FLAT_DOMESTIC_09S">#REF!</definedName>
    <definedName name="STL_FLAT_DOMESTIC_10D">#REF!</definedName>
    <definedName name="STL_FLAT_DOMESTIC_10J">#REF!</definedName>
    <definedName name="STL_FLAT_DOMESTIC_10M">#REF!</definedName>
    <definedName name="STL_FLAT_DOMESTIC_10S">#REF!</definedName>
    <definedName name="STL_FLAT_DOMESTIC_11D">#REF!</definedName>
    <definedName name="STL_FLAT_DOMESTIC_11J">#REF!</definedName>
    <definedName name="STL_FLAT_DOMESTIC_11M">#REF!</definedName>
    <definedName name="STL_FLAT_DOMESTIC_11S">#REF!</definedName>
    <definedName name="STL_FLAT_DOMESTIC_12D">#REF!</definedName>
    <definedName name="STL_FLAT_DOMESTIC_12J">#REF!</definedName>
    <definedName name="STL_FLAT_DOMESTIC_12M">#REF!</definedName>
    <definedName name="STL_FLAT_DOMESTIC_12S">#REF!</definedName>
    <definedName name="STL_FLAT_DOMESTIC_13D">#REF!</definedName>
    <definedName name="STL_FLAT_DOMESTIC_13J">#REF!</definedName>
    <definedName name="STL_FLAT_DOMESTIC_13M">#REF!</definedName>
    <definedName name="STL_FLAT_DOMESTIC_13S">#REF!</definedName>
    <definedName name="STL_FLAT_DOMESTIC_14D">#REF!</definedName>
    <definedName name="STL_FLAT_DOMESTIC_14J">#REF!</definedName>
    <definedName name="STL_FLAT_DOMESTIC_14M">#REF!</definedName>
    <definedName name="STL_FLAT_DOMESTIC_14S">#REF!</definedName>
    <definedName name="STL_FLAT_DOMESTIC_15D">#REF!</definedName>
    <definedName name="STL_FLAT_DOMESTIC_15J">#REF!</definedName>
    <definedName name="STL_FLAT_DOMESTIC_15M">#REF!</definedName>
    <definedName name="STL_FLAT_DOMESTIC_15S">#REF!</definedName>
    <definedName name="STL_FLAT_DOMESTIC_16D">#REF!</definedName>
    <definedName name="STL_FLAT_DOMESTIC_16J">#REF!</definedName>
    <definedName name="STL_FLAT_DOMESTIC_16M">#REF!</definedName>
    <definedName name="STL_FLAT_DOMESTIC_16S">#REF!</definedName>
    <definedName name="STL_FLAT_DOMESTIC_17D">#REF!</definedName>
    <definedName name="STL_FLAT_DOMESTIC_17J">#REF!</definedName>
    <definedName name="STL_FLAT_DOMESTIC_17M">#REF!</definedName>
    <definedName name="STL_FLAT_DOMESTIC_17S">#REF!</definedName>
    <definedName name="STL_FLAT_DOMESTIC_18D">#REF!</definedName>
    <definedName name="STL_FLAT_DOMESTIC_18J">#REF!</definedName>
    <definedName name="STL_FLAT_DOMESTIC_18M">#REF!</definedName>
    <definedName name="STL_FLAT_DOMESTIC_18S">#REF!</definedName>
    <definedName name="STL_FLAT_DOMESTIC_19D">#REF!</definedName>
    <definedName name="STL_FLAT_DOMESTIC_19J">#REF!</definedName>
    <definedName name="STL_FLAT_DOMESTIC_19M">#REF!</definedName>
    <definedName name="STL_FLAT_DOMESTIC_19S">#REF!</definedName>
    <definedName name="STL_FLAT_DOMESTIC_20D">#REF!</definedName>
    <definedName name="STL_FLAT_DOMESTIC_20J">#REF!</definedName>
    <definedName name="STL_FLAT_DOMESTIC_20M">#REF!</definedName>
    <definedName name="STL_FLAT_DOMESTIC_20S">#REF!</definedName>
    <definedName name="STL_FLAT_DOMESTIC_21D">#REF!</definedName>
    <definedName name="STL_FLAT_DOMESTIC_21J">#REF!</definedName>
    <definedName name="STL_FLAT_DOMESTIC_21M">#REF!</definedName>
    <definedName name="STL_FLAT_DOMESTIC_21S">#REF!</definedName>
    <definedName name="STL_FLAT_DOMESTIC_22D">#REF!</definedName>
    <definedName name="STL_FLAT_DOMESTIC_22J">#REF!</definedName>
    <definedName name="STL_FLAT_DOMESTIC_22M">#REF!</definedName>
    <definedName name="STL_FLAT_DOMESTIC_22S">#REF!</definedName>
    <definedName name="STL_FLAT_DOMESTIC_23D">#REF!</definedName>
    <definedName name="STL_FLAT_DOMESTIC_23J">#REF!</definedName>
    <definedName name="STL_FLAT_DOMESTIC_23M">#REF!</definedName>
    <definedName name="STL_FLAT_DOMESTIC_23S">#REF!</definedName>
    <definedName name="STL_FLAT_DOMESTIC_24D">#REF!</definedName>
    <definedName name="STL_FLAT_DOMESTIC_24J">#REF!</definedName>
    <definedName name="STL_FLAT_DOMESTIC_24M">#REF!</definedName>
    <definedName name="STL_FLAT_DOMESTIC_24S">#REF!</definedName>
    <definedName name="STL_FLAT_DOMESTIC_25D">#REF!</definedName>
    <definedName name="STL_FLAT_DOMESTIC_25J">#REF!</definedName>
    <definedName name="STL_FLAT_DOMESTIC_25M">#REF!</definedName>
    <definedName name="STL_FLAT_DOMESTIC_25S">#REF!</definedName>
    <definedName name="STL_FLAT_DOMESTIC_87D">#REF!</definedName>
    <definedName name="STL_FLAT_DOMESTIC_87J">#REF!</definedName>
    <definedName name="STL_FLAT_DOMESTIC_87M">#REF!</definedName>
    <definedName name="STL_FLAT_DOMESTIC_87S">#REF!</definedName>
    <definedName name="STL_FLAT_DOMESTIC_88D">#REF!</definedName>
    <definedName name="STL_FLAT_DOMESTIC_88J">#REF!</definedName>
    <definedName name="STL_FLAT_DOMESTIC_88M">#REF!</definedName>
    <definedName name="STL_FLAT_DOMESTIC_88S">#REF!</definedName>
    <definedName name="STL_FLAT_DOMESTIC_89D">#REF!</definedName>
    <definedName name="STL_FLAT_DOMESTIC_89J">#REF!</definedName>
    <definedName name="STL_FLAT_DOMESTIC_89M">#REF!</definedName>
    <definedName name="STL_FLAT_DOMESTIC_89S">#REF!</definedName>
    <definedName name="STL_FLAT_DOMESTIC_90D">#REF!</definedName>
    <definedName name="STL_FLAT_DOMESTIC_90J">#REF!</definedName>
    <definedName name="STL_FLAT_DOMESTIC_90M">#REF!</definedName>
    <definedName name="STL_FLAT_DOMESTIC_90S">#REF!</definedName>
    <definedName name="STL_FLAT_DOMESTIC_91D">#REF!</definedName>
    <definedName name="STL_FLAT_DOMESTIC_91J">#REF!</definedName>
    <definedName name="STL_FLAT_DOMESTIC_91M">#REF!</definedName>
    <definedName name="STL_FLAT_DOMESTIC_91S">#REF!</definedName>
    <definedName name="STL_FLAT_DOMESTIC_92D">#REF!</definedName>
    <definedName name="STL_FLAT_DOMESTIC_92J">#REF!</definedName>
    <definedName name="STL_FLAT_DOMESTIC_92M">#REF!</definedName>
    <definedName name="STL_FLAT_DOMESTIC_92S">#REF!</definedName>
    <definedName name="STL_FLAT_DOMESTIC_93D">#REF!</definedName>
    <definedName name="STL_FLAT_DOMESTIC_93J">#REF!</definedName>
    <definedName name="STL_FLAT_DOMESTIC_93M">#REF!</definedName>
    <definedName name="STL_FLAT_DOMESTIC_93S">#REF!</definedName>
    <definedName name="STL_FLAT_DOMESTIC_94D">#REF!</definedName>
    <definedName name="STL_FLAT_DOMESTIC_94J">#REF!</definedName>
    <definedName name="STL_FLAT_DOMESTIC_94M">#REF!</definedName>
    <definedName name="STL_FLAT_DOMESTIC_94S">#REF!</definedName>
    <definedName name="STL_FLAT_DOMESTIC_95D">#REF!</definedName>
    <definedName name="STL_FLAT_DOMESTIC_95J">#REF!</definedName>
    <definedName name="STL_FLAT_DOMESTIC_95M">#REF!</definedName>
    <definedName name="STL_FLAT_DOMESTIC_95S">#REF!</definedName>
    <definedName name="STL_FLAT_DOMESTIC_96D">#REF!</definedName>
    <definedName name="STL_FLAT_DOMESTIC_96J">#REF!</definedName>
    <definedName name="STL_FLAT_DOMESTIC_96M">#REF!</definedName>
    <definedName name="STL_FLAT_DOMESTIC_96S">#REF!</definedName>
    <definedName name="STL_FLAT_DOMESTIC_97D">#REF!</definedName>
    <definedName name="STL_FLAT_DOMESTIC_97J">#REF!</definedName>
    <definedName name="STL_FLAT_DOMESTIC_97M">#REF!</definedName>
    <definedName name="STL_FLAT_DOMESTIC_97S">#REF!</definedName>
    <definedName name="STL_FLAT_DOMESTIC_98D">#REF!</definedName>
    <definedName name="STL_FLAT_DOMESTIC_98J">#REF!</definedName>
    <definedName name="STL_FLAT_DOMESTIC_98M">#REF!</definedName>
    <definedName name="STL_FLAT_DOMESTIC_98S">#REF!</definedName>
    <definedName name="STL_FLAT_DOMESTIC_99D">#REF!</definedName>
    <definedName name="STL_FLAT_DOMESTIC_99J">#REF!</definedName>
    <definedName name="STL_FLAT_DOMESTIC_99M">#REF!</definedName>
    <definedName name="STL_FLAT_DOMESTIC_99S">#REF!</definedName>
    <definedName name="STL_FLAT_DOMESTIC_LT">#REF!</definedName>
    <definedName name="STL_FLAT_EXPORT_00D">#REF!</definedName>
    <definedName name="STL_FLAT_EXPORT_00J">#REF!</definedName>
    <definedName name="STL_FLAT_EXPORT_00M">#REF!</definedName>
    <definedName name="STL_FLAT_EXPORT_00S">#REF!</definedName>
    <definedName name="STL_FLAT_EXPORT_01D">#REF!</definedName>
    <definedName name="STL_FLAT_EXPORT_01J">#REF!</definedName>
    <definedName name="STL_FLAT_EXPORT_01M">#REF!</definedName>
    <definedName name="STL_FLAT_EXPORT_01S">#REF!</definedName>
    <definedName name="STL_FLAT_EXPORT_02D">#REF!</definedName>
    <definedName name="STL_FLAT_EXPORT_02J">#REF!</definedName>
    <definedName name="STL_FLAT_EXPORT_02M">#REF!</definedName>
    <definedName name="STL_FLAT_EXPORT_02S">#REF!</definedName>
    <definedName name="STL_FLAT_EXPORT_03D">#REF!</definedName>
    <definedName name="STL_FLAT_EXPORT_03J">#REF!</definedName>
    <definedName name="STL_FLAT_EXPORT_03M">#REF!</definedName>
    <definedName name="STL_FLAT_EXPORT_03S">#REF!</definedName>
    <definedName name="STL_FLAT_EXPORT_04D">#REF!</definedName>
    <definedName name="STL_FLAT_EXPORT_04J">#REF!</definedName>
    <definedName name="STL_FLAT_EXPORT_04M">#REF!</definedName>
    <definedName name="STL_FLAT_EXPORT_04S">#REF!</definedName>
    <definedName name="STL_FLAT_EXPORT_05D">#REF!</definedName>
    <definedName name="STL_FLAT_EXPORT_05J">#REF!</definedName>
    <definedName name="STL_FLAT_EXPORT_05M">#REF!</definedName>
    <definedName name="STL_FLAT_EXPORT_05S">#REF!</definedName>
    <definedName name="STL_FLAT_EXPORT_06D">#REF!</definedName>
    <definedName name="STL_FLAT_EXPORT_06J">#REF!</definedName>
    <definedName name="STL_FLAT_EXPORT_06M">#REF!</definedName>
    <definedName name="STL_FLAT_EXPORT_06S">#REF!</definedName>
    <definedName name="STL_FLAT_EXPORT_07D">#REF!</definedName>
    <definedName name="STL_FLAT_EXPORT_07J">#REF!</definedName>
    <definedName name="STL_FLAT_EXPORT_07M">#REF!</definedName>
    <definedName name="STL_FLAT_EXPORT_07S">#REF!</definedName>
    <definedName name="STL_FLAT_EXPORT_08D">#REF!</definedName>
    <definedName name="STL_FLAT_EXPORT_08J">#REF!</definedName>
    <definedName name="STL_FLAT_EXPORT_08M">#REF!</definedName>
    <definedName name="STL_FLAT_EXPORT_08S">#REF!</definedName>
    <definedName name="STL_FLAT_EXPORT_09D">#REF!</definedName>
    <definedName name="STL_FLAT_EXPORT_09J">#REF!</definedName>
    <definedName name="STL_FLAT_EXPORT_09M">#REF!</definedName>
    <definedName name="STL_FLAT_EXPORT_09S">#REF!</definedName>
    <definedName name="STL_FLAT_EXPORT_10D">#REF!</definedName>
    <definedName name="STL_FLAT_EXPORT_10J">#REF!</definedName>
    <definedName name="STL_FLAT_EXPORT_10M">#REF!</definedName>
    <definedName name="STL_FLAT_EXPORT_10S">#REF!</definedName>
    <definedName name="STL_FLAT_EXPORT_11D">#REF!</definedName>
    <definedName name="STL_FLAT_EXPORT_11J">#REF!</definedName>
    <definedName name="STL_FLAT_EXPORT_11M">#REF!</definedName>
    <definedName name="STL_FLAT_EXPORT_11S">#REF!</definedName>
    <definedName name="STL_FLAT_EXPORT_12D">#REF!</definedName>
    <definedName name="STL_FLAT_EXPORT_12J">#REF!</definedName>
    <definedName name="STL_FLAT_EXPORT_12M">#REF!</definedName>
    <definedName name="STL_FLAT_EXPORT_12S">#REF!</definedName>
    <definedName name="STL_FLAT_EXPORT_13D">#REF!</definedName>
    <definedName name="STL_FLAT_EXPORT_13J">#REF!</definedName>
    <definedName name="STL_FLAT_EXPORT_13M">#REF!</definedName>
    <definedName name="STL_FLAT_EXPORT_13S">#REF!</definedName>
    <definedName name="STL_FLAT_EXPORT_14D">#REF!</definedName>
    <definedName name="STL_FLAT_EXPORT_14J">#REF!</definedName>
    <definedName name="STL_FLAT_EXPORT_14M">#REF!</definedName>
    <definedName name="STL_FLAT_EXPORT_14S">#REF!</definedName>
    <definedName name="STL_FLAT_EXPORT_15D">#REF!</definedName>
    <definedName name="STL_FLAT_EXPORT_15J">#REF!</definedName>
    <definedName name="STL_FLAT_EXPORT_15M">#REF!</definedName>
    <definedName name="STL_FLAT_EXPORT_15S">#REF!</definedName>
    <definedName name="STL_FLAT_EXPORT_16D">#REF!</definedName>
    <definedName name="STL_FLAT_EXPORT_16J">#REF!</definedName>
    <definedName name="STL_FLAT_EXPORT_16M">#REF!</definedName>
    <definedName name="STL_FLAT_EXPORT_16S">#REF!</definedName>
    <definedName name="STL_FLAT_EXPORT_17D">#REF!</definedName>
    <definedName name="STL_FLAT_EXPORT_17J">#REF!</definedName>
    <definedName name="STL_FLAT_EXPORT_17M">#REF!</definedName>
    <definedName name="STL_FLAT_EXPORT_17S">#REF!</definedName>
    <definedName name="STL_FLAT_EXPORT_18D">#REF!</definedName>
    <definedName name="STL_FLAT_EXPORT_18J">#REF!</definedName>
    <definedName name="STL_FLAT_EXPORT_18M">#REF!</definedName>
    <definedName name="STL_FLAT_EXPORT_18S">#REF!</definedName>
    <definedName name="STL_FLAT_EXPORT_19D">#REF!</definedName>
    <definedName name="STL_FLAT_EXPORT_19J">#REF!</definedName>
    <definedName name="STL_FLAT_EXPORT_19M">#REF!</definedName>
    <definedName name="STL_FLAT_EXPORT_19S">#REF!</definedName>
    <definedName name="STL_FLAT_EXPORT_20D">#REF!</definedName>
    <definedName name="STL_FLAT_EXPORT_20J">#REF!</definedName>
    <definedName name="STL_FLAT_EXPORT_20M">#REF!</definedName>
    <definedName name="STL_FLAT_EXPORT_20S">#REF!</definedName>
    <definedName name="STL_FLAT_EXPORT_21D">#REF!</definedName>
    <definedName name="STL_FLAT_EXPORT_21J">#REF!</definedName>
    <definedName name="STL_FLAT_EXPORT_21M">#REF!</definedName>
    <definedName name="STL_FLAT_EXPORT_21S">#REF!</definedName>
    <definedName name="STL_FLAT_EXPORT_22D">#REF!</definedName>
    <definedName name="STL_FLAT_EXPORT_22J">#REF!</definedName>
    <definedName name="STL_FLAT_EXPORT_22M">#REF!</definedName>
    <definedName name="STL_FLAT_EXPORT_22S">#REF!</definedName>
    <definedName name="STL_FLAT_EXPORT_23D">#REF!</definedName>
    <definedName name="STL_FLAT_EXPORT_23J">#REF!</definedName>
    <definedName name="STL_FLAT_EXPORT_23M">#REF!</definedName>
    <definedName name="STL_FLAT_EXPORT_23S">#REF!</definedName>
    <definedName name="STL_FLAT_EXPORT_24D">#REF!</definedName>
    <definedName name="STL_FLAT_EXPORT_24J">#REF!</definedName>
    <definedName name="STL_FLAT_EXPORT_24M">#REF!</definedName>
    <definedName name="STL_FLAT_EXPORT_24S">#REF!</definedName>
    <definedName name="STL_FLAT_EXPORT_25D">#REF!</definedName>
    <definedName name="STL_FLAT_EXPORT_25J">#REF!</definedName>
    <definedName name="STL_FLAT_EXPORT_25M">#REF!</definedName>
    <definedName name="STL_FLAT_EXPORT_25S">#REF!</definedName>
    <definedName name="STL_FLAT_EXPORT_87D">#REF!</definedName>
    <definedName name="STL_FLAT_EXPORT_87J">#REF!</definedName>
    <definedName name="STL_FLAT_EXPORT_87M">#REF!</definedName>
    <definedName name="STL_FLAT_EXPORT_87S">#REF!</definedName>
    <definedName name="STL_FLAT_EXPORT_88D">#REF!</definedName>
    <definedName name="STL_FLAT_EXPORT_88J">#REF!</definedName>
    <definedName name="STL_FLAT_EXPORT_88M">#REF!</definedName>
    <definedName name="STL_FLAT_EXPORT_88S">#REF!</definedName>
    <definedName name="STL_FLAT_EXPORT_89D">#REF!</definedName>
    <definedName name="STL_FLAT_EXPORT_89J">#REF!</definedName>
    <definedName name="STL_FLAT_EXPORT_89M">#REF!</definedName>
    <definedName name="STL_FLAT_EXPORT_89S">#REF!</definedName>
    <definedName name="STL_FLAT_EXPORT_90D">#REF!</definedName>
    <definedName name="STL_FLAT_EXPORT_90J">#REF!</definedName>
    <definedName name="STL_FLAT_EXPORT_90M">#REF!</definedName>
    <definedName name="STL_FLAT_EXPORT_90S">#REF!</definedName>
    <definedName name="STL_FLAT_EXPORT_91D">#REF!</definedName>
    <definedName name="STL_FLAT_EXPORT_91J">#REF!</definedName>
    <definedName name="STL_FLAT_EXPORT_91M">#REF!</definedName>
    <definedName name="STL_FLAT_EXPORT_91S">#REF!</definedName>
    <definedName name="STL_FLAT_EXPORT_92D">#REF!</definedName>
    <definedName name="STL_FLAT_EXPORT_92J">#REF!</definedName>
    <definedName name="STL_FLAT_EXPORT_92M">#REF!</definedName>
    <definedName name="STL_FLAT_EXPORT_92S">#REF!</definedName>
    <definedName name="STL_FLAT_EXPORT_93D">#REF!</definedName>
    <definedName name="STL_FLAT_EXPORT_93J">#REF!</definedName>
    <definedName name="STL_FLAT_EXPORT_93M">#REF!</definedName>
    <definedName name="STL_FLAT_EXPORT_93S">#REF!</definedName>
    <definedName name="STL_FLAT_EXPORT_94D">#REF!</definedName>
    <definedName name="STL_FLAT_EXPORT_94J">#REF!</definedName>
    <definedName name="STL_FLAT_EXPORT_94M">#REF!</definedName>
    <definedName name="STL_FLAT_EXPORT_94S">#REF!</definedName>
    <definedName name="STL_FLAT_EXPORT_95D">#REF!</definedName>
    <definedName name="STL_FLAT_EXPORT_95J">#REF!</definedName>
    <definedName name="STL_FLAT_EXPORT_95M">#REF!</definedName>
    <definedName name="STL_FLAT_EXPORT_95S">#REF!</definedName>
    <definedName name="STL_FLAT_EXPORT_96D">#REF!</definedName>
    <definedName name="STL_FLAT_EXPORT_96J">#REF!</definedName>
    <definedName name="STL_FLAT_EXPORT_96M">#REF!</definedName>
    <definedName name="STL_FLAT_EXPORT_96S">#REF!</definedName>
    <definedName name="STL_FLAT_EXPORT_97D">#REF!</definedName>
    <definedName name="STL_FLAT_EXPORT_97J">#REF!</definedName>
    <definedName name="STL_FLAT_EXPORT_97M">#REF!</definedName>
    <definedName name="STL_FLAT_EXPORT_97S">#REF!</definedName>
    <definedName name="STL_FLAT_EXPORT_98D">#REF!</definedName>
    <definedName name="STL_FLAT_EXPORT_98J">#REF!</definedName>
    <definedName name="STL_FLAT_EXPORT_98M">#REF!</definedName>
    <definedName name="STL_FLAT_EXPORT_98S">#REF!</definedName>
    <definedName name="STL_FLAT_EXPORT_99D">#REF!</definedName>
    <definedName name="STL_FLAT_EXPORT_99J">#REF!</definedName>
    <definedName name="STL_FLAT_EXPORT_99M">#REF!</definedName>
    <definedName name="STL_FLAT_EXPORT_99S">#REF!</definedName>
    <definedName name="STL_FLAT_EXPORT_LT">#REF!</definedName>
    <definedName name="STL_LONG_DOM">#REF!</definedName>
    <definedName name="STL_LONG_DOMESTIC_00D">#REF!</definedName>
    <definedName name="STL_LONG_DOMESTIC_00J">#REF!</definedName>
    <definedName name="STL_LONG_DOMESTIC_00M">#REF!</definedName>
    <definedName name="STL_LONG_DOMESTIC_00S">#REF!</definedName>
    <definedName name="STL_LONG_DOMESTIC_01D">#REF!</definedName>
    <definedName name="STL_LONG_DOMESTIC_01J">#REF!</definedName>
    <definedName name="STL_LONG_DOMESTIC_01M">#REF!</definedName>
    <definedName name="STL_LONG_DOMESTIC_01S">#REF!</definedName>
    <definedName name="STL_LONG_DOMESTIC_02D">#REF!</definedName>
    <definedName name="STL_LONG_DOMESTIC_02J">#REF!</definedName>
    <definedName name="STL_LONG_DOMESTIC_02M">#REF!</definedName>
    <definedName name="STL_LONG_DOMESTIC_02S">#REF!</definedName>
    <definedName name="STL_LONG_DOMESTIC_03D">#REF!</definedName>
    <definedName name="STL_LONG_DOMESTIC_03J">#REF!</definedName>
    <definedName name="STL_LONG_DOMESTIC_03M">#REF!</definedName>
    <definedName name="STL_LONG_DOMESTIC_03S">#REF!</definedName>
    <definedName name="STL_LONG_DOMESTIC_04D">#REF!</definedName>
    <definedName name="STL_LONG_DOMESTIC_04J">#REF!</definedName>
    <definedName name="STL_LONG_DOMESTIC_04M">#REF!</definedName>
    <definedName name="STL_LONG_DOMESTIC_04S">#REF!</definedName>
    <definedName name="STL_LONG_DOMESTIC_05D">#REF!</definedName>
    <definedName name="STL_LONG_DOMESTIC_05J">#REF!</definedName>
    <definedName name="STL_LONG_DOMESTIC_05M">#REF!</definedName>
    <definedName name="STL_LONG_DOMESTIC_05S">#REF!</definedName>
    <definedName name="STL_LONG_DOMESTIC_06D">#REF!</definedName>
    <definedName name="STL_LONG_DOMESTIC_06J">#REF!</definedName>
    <definedName name="STL_LONG_DOMESTIC_06M">#REF!</definedName>
    <definedName name="STL_LONG_DOMESTIC_06S">#REF!</definedName>
    <definedName name="STL_LONG_DOMESTIC_07D">#REF!</definedName>
    <definedName name="STL_LONG_DOMESTIC_07J">#REF!</definedName>
    <definedName name="STL_LONG_DOMESTIC_07M">#REF!</definedName>
    <definedName name="STL_LONG_DOMESTIC_07S">#REF!</definedName>
    <definedName name="STL_LONG_DOMESTIC_08D">#REF!</definedName>
    <definedName name="STL_LONG_DOMESTIC_08J">#REF!</definedName>
    <definedName name="STL_LONG_DOMESTIC_08M">#REF!</definedName>
    <definedName name="STL_LONG_DOMESTIC_08S">#REF!</definedName>
    <definedName name="STL_LONG_DOMESTIC_09D">#REF!</definedName>
    <definedName name="STL_LONG_DOMESTIC_09J">#REF!</definedName>
    <definedName name="STL_LONG_DOMESTIC_09M">#REF!</definedName>
    <definedName name="STL_LONG_DOMESTIC_09S">#REF!</definedName>
    <definedName name="STL_LONG_DOMESTIC_10D">#REF!</definedName>
    <definedName name="STL_LONG_DOMESTIC_10J">#REF!</definedName>
    <definedName name="STL_LONG_DOMESTIC_10M">#REF!</definedName>
    <definedName name="STL_LONG_DOMESTIC_10S">#REF!</definedName>
    <definedName name="STL_LONG_DOMESTIC_11D">#REF!</definedName>
    <definedName name="STL_LONG_DOMESTIC_11J">#REF!</definedName>
    <definedName name="STL_LONG_DOMESTIC_11M">#REF!</definedName>
    <definedName name="STL_LONG_DOMESTIC_11S">#REF!</definedName>
    <definedName name="STL_LONG_DOMESTIC_12D">#REF!</definedName>
    <definedName name="STL_LONG_DOMESTIC_12J">#REF!</definedName>
    <definedName name="STL_LONG_DOMESTIC_12M">#REF!</definedName>
    <definedName name="STL_LONG_DOMESTIC_12S">#REF!</definedName>
    <definedName name="STL_LONG_DOMESTIC_13D">#REF!</definedName>
    <definedName name="STL_LONG_DOMESTIC_13J">#REF!</definedName>
    <definedName name="STL_LONG_DOMESTIC_13M">#REF!</definedName>
    <definedName name="STL_LONG_DOMESTIC_13S">#REF!</definedName>
    <definedName name="STL_LONG_DOMESTIC_14D">#REF!</definedName>
    <definedName name="STL_LONG_DOMESTIC_14J">#REF!</definedName>
    <definedName name="STL_LONG_DOMESTIC_14M">#REF!</definedName>
    <definedName name="STL_LONG_DOMESTIC_14S">#REF!</definedName>
    <definedName name="STL_LONG_DOMESTIC_15D">#REF!</definedName>
    <definedName name="STL_LONG_DOMESTIC_15J">#REF!</definedName>
    <definedName name="STL_LONG_DOMESTIC_15M">#REF!</definedName>
    <definedName name="STL_LONG_DOMESTIC_15S">#REF!</definedName>
    <definedName name="STL_LONG_DOMESTIC_16D">#REF!</definedName>
    <definedName name="STL_LONG_DOMESTIC_16J">#REF!</definedName>
    <definedName name="STL_LONG_DOMESTIC_16M">#REF!</definedName>
    <definedName name="STL_LONG_DOMESTIC_16S">#REF!</definedName>
    <definedName name="STL_LONG_DOMESTIC_17D">#REF!</definedName>
    <definedName name="STL_LONG_DOMESTIC_17J">#REF!</definedName>
    <definedName name="STL_LONG_DOMESTIC_17M">#REF!</definedName>
    <definedName name="STL_LONG_DOMESTIC_17S">#REF!</definedName>
    <definedName name="STL_LONG_DOMESTIC_18D">#REF!</definedName>
    <definedName name="STL_LONG_DOMESTIC_18J">#REF!</definedName>
    <definedName name="STL_LONG_DOMESTIC_18M">#REF!</definedName>
    <definedName name="STL_LONG_DOMESTIC_18S">#REF!</definedName>
    <definedName name="STL_LONG_DOMESTIC_19D">#REF!</definedName>
    <definedName name="STL_LONG_DOMESTIC_19J">#REF!</definedName>
    <definedName name="STL_LONG_DOMESTIC_19M">#REF!</definedName>
    <definedName name="STL_LONG_DOMESTIC_19S">#REF!</definedName>
    <definedName name="STL_LONG_DOMESTIC_20D">#REF!</definedName>
    <definedName name="STL_LONG_DOMESTIC_20J">#REF!</definedName>
    <definedName name="STL_LONG_DOMESTIC_20M">#REF!</definedName>
    <definedName name="STL_LONG_DOMESTIC_20S">#REF!</definedName>
    <definedName name="STL_LONG_DOMESTIC_21D">#REF!</definedName>
    <definedName name="STL_LONG_DOMESTIC_21J">#REF!</definedName>
    <definedName name="STL_LONG_DOMESTIC_21M">#REF!</definedName>
    <definedName name="STL_LONG_DOMESTIC_21S">#REF!</definedName>
    <definedName name="STL_LONG_DOMESTIC_22D">#REF!</definedName>
    <definedName name="STL_LONG_DOMESTIC_22J">#REF!</definedName>
    <definedName name="STL_LONG_DOMESTIC_22M">#REF!</definedName>
    <definedName name="STL_LONG_DOMESTIC_22S">#REF!</definedName>
    <definedName name="STL_LONG_DOMESTIC_23D">#REF!</definedName>
    <definedName name="STL_LONG_DOMESTIC_23J">#REF!</definedName>
    <definedName name="STL_LONG_DOMESTIC_23M">#REF!</definedName>
    <definedName name="STL_LONG_DOMESTIC_23S">#REF!</definedName>
    <definedName name="STL_LONG_DOMESTIC_24D">#REF!</definedName>
    <definedName name="STL_LONG_DOMESTIC_24J">#REF!</definedName>
    <definedName name="STL_LONG_DOMESTIC_24M">#REF!</definedName>
    <definedName name="STL_LONG_DOMESTIC_24S">#REF!</definedName>
    <definedName name="STL_LONG_DOMESTIC_25D">#REF!</definedName>
    <definedName name="STL_LONG_DOMESTIC_25J">#REF!</definedName>
    <definedName name="STL_LONG_DOMESTIC_25M">#REF!</definedName>
    <definedName name="STL_LONG_DOMESTIC_25S">#REF!</definedName>
    <definedName name="STL_LONG_DOMESTIC_87D">#REF!</definedName>
    <definedName name="STL_LONG_DOMESTIC_87J">#REF!</definedName>
    <definedName name="STL_LONG_DOMESTIC_87M">#REF!</definedName>
    <definedName name="STL_LONG_DOMESTIC_87S">#REF!</definedName>
    <definedName name="STL_LONG_DOMESTIC_88D">#REF!</definedName>
    <definedName name="STL_LONG_DOMESTIC_88J">#REF!</definedName>
    <definedName name="STL_LONG_DOMESTIC_88M">#REF!</definedName>
    <definedName name="STL_LONG_DOMESTIC_88S">#REF!</definedName>
    <definedName name="STL_LONG_DOMESTIC_89D">#REF!</definedName>
    <definedName name="STL_LONG_DOMESTIC_89J">#REF!</definedName>
    <definedName name="STL_LONG_DOMESTIC_89M">#REF!</definedName>
    <definedName name="STL_LONG_DOMESTIC_89S">#REF!</definedName>
    <definedName name="STL_LONG_DOMESTIC_90D">#REF!</definedName>
    <definedName name="STL_LONG_DOMESTIC_90J">#REF!</definedName>
    <definedName name="STL_LONG_DOMESTIC_90M">#REF!</definedName>
    <definedName name="STL_LONG_DOMESTIC_90S">#REF!</definedName>
    <definedName name="STL_LONG_DOMESTIC_91D">#REF!</definedName>
    <definedName name="STL_LONG_DOMESTIC_91J">#REF!</definedName>
    <definedName name="STL_LONG_DOMESTIC_91M">#REF!</definedName>
    <definedName name="STL_LONG_DOMESTIC_91S">#REF!</definedName>
    <definedName name="STL_LONG_DOMESTIC_92D">#REF!</definedName>
    <definedName name="STL_LONG_DOMESTIC_92J">#REF!</definedName>
    <definedName name="STL_LONG_DOMESTIC_92M">#REF!</definedName>
    <definedName name="STL_LONG_DOMESTIC_92S">#REF!</definedName>
    <definedName name="STL_LONG_DOMESTIC_93D">#REF!</definedName>
    <definedName name="STL_LONG_DOMESTIC_93J">#REF!</definedName>
    <definedName name="STL_LONG_DOMESTIC_93M">#REF!</definedName>
    <definedName name="STL_LONG_DOMESTIC_93S">#REF!</definedName>
    <definedName name="STL_LONG_DOMESTIC_94D">#REF!</definedName>
    <definedName name="STL_LONG_DOMESTIC_94J">#REF!</definedName>
    <definedName name="STL_LONG_DOMESTIC_94M">#REF!</definedName>
    <definedName name="STL_LONG_DOMESTIC_94S">#REF!</definedName>
    <definedName name="STL_LONG_DOMESTIC_95D">#REF!</definedName>
    <definedName name="STL_LONG_DOMESTIC_95J">#REF!</definedName>
    <definedName name="STL_LONG_DOMESTIC_95M">#REF!</definedName>
    <definedName name="STL_LONG_DOMESTIC_95S">#REF!</definedName>
    <definedName name="STL_LONG_DOMESTIC_96D">#REF!</definedName>
    <definedName name="STL_LONG_DOMESTIC_96J">#REF!</definedName>
    <definedName name="STL_LONG_DOMESTIC_96M">#REF!</definedName>
    <definedName name="STL_LONG_DOMESTIC_96S">#REF!</definedName>
    <definedName name="STL_LONG_DOMESTIC_97D">#REF!</definedName>
    <definedName name="STL_LONG_DOMESTIC_97J">#REF!</definedName>
    <definedName name="STL_LONG_DOMESTIC_97M">#REF!</definedName>
    <definedName name="STL_LONG_DOMESTIC_97S">#REF!</definedName>
    <definedName name="STL_LONG_DOMESTIC_98D">#REF!</definedName>
    <definedName name="STL_LONG_DOMESTIC_98J">#REF!</definedName>
    <definedName name="STL_LONG_DOMESTIC_98M">#REF!</definedName>
    <definedName name="STL_LONG_DOMESTIC_98S">#REF!</definedName>
    <definedName name="STL_LONG_DOMESTIC_99D">#REF!</definedName>
    <definedName name="STL_LONG_DOMESTIC_99J">#REF!</definedName>
    <definedName name="STL_LONG_DOMESTIC_99M">#REF!</definedName>
    <definedName name="STL_LONG_DOMESTIC_99S">#REF!</definedName>
    <definedName name="STL_LONG_DOMESTIC_LT">#REF!</definedName>
    <definedName name="STL_LONG_EXPORT_00D">#REF!</definedName>
    <definedName name="STL_LONG_EXPORT_00J">#REF!</definedName>
    <definedName name="STL_LONG_EXPORT_00M">#REF!</definedName>
    <definedName name="STL_LONG_EXPORT_00S">#REF!</definedName>
    <definedName name="STL_LONG_EXPORT_01D">#REF!</definedName>
    <definedName name="STL_LONG_EXPORT_01J">#REF!</definedName>
    <definedName name="STL_LONG_EXPORT_01M">#REF!</definedName>
    <definedName name="STL_LONG_EXPORT_01S">#REF!</definedName>
    <definedName name="STL_LONG_EXPORT_02D">#REF!</definedName>
    <definedName name="STL_LONG_EXPORT_02J">#REF!</definedName>
    <definedName name="STL_LONG_EXPORT_02M">#REF!</definedName>
    <definedName name="STL_LONG_EXPORT_02S">#REF!</definedName>
    <definedName name="STL_LONG_EXPORT_03D">#REF!</definedName>
    <definedName name="STL_LONG_EXPORT_03J">#REF!</definedName>
    <definedName name="STL_LONG_EXPORT_03M">#REF!</definedName>
    <definedName name="STL_LONG_EXPORT_03S">#REF!</definedName>
    <definedName name="STL_LONG_EXPORT_04D">#REF!</definedName>
    <definedName name="STL_LONG_EXPORT_04J">#REF!</definedName>
    <definedName name="STL_LONG_EXPORT_04M">#REF!</definedName>
    <definedName name="STL_LONG_EXPORT_04S">#REF!</definedName>
    <definedName name="STL_LONG_EXPORT_05D">#REF!</definedName>
    <definedName name="STL_LONG_EXPORT_05J">#REF!</definedName>
    <definedName name="STL_LONG_EXPORT_05M">#REF!</definedName>
    <definedName name="STL_LONG_EXPORT_05S">#REF!</definedName>
    <definedName name="STL_LONG_EXPORT_06D">#REF!</definedName>
    <definedName name="STL_LONG_EXPORT_06J">#REF!</definedName>
    <definedName name="STL_LONG_EXPORT_06M">#REF!</definedName>
    <definedName name="STL_LONG_EXPORT_06S">#REF!</definedName>
    <definedName name="STL_LONG_EXPORT_07D">#REF!</definedName>
    <definedName name="STL_LONG_EXPORT_07J">#REF!</definedName>
    <definedName name="STL_LONG_EXPORT_07M">#REF!</definedName>
    <definedName name="STL_LONG_EXPORT_07S">#REF!</definedName>
    <definedName name="STL_LONG_EXPORT_08D">#REF!</definedName>
    <definedName name="STL_LONG_EXPORT_08J">#REF!</definedName>
    <definedName name="STL_LONG_EXPORT_08M">#REF!</definedName>
    <definedName name="STL_LONG_EXPORT_08S">#REF!</definedName>
    <definedName name="STL_LONG_EXPORT_09D">#REF!</definedName>
    <definedName name="STL_LONG_EXPORT_09J">#REF!</definedName>
    <definedName name="STL_LONG_EXPORT_09M">#REF!</definedName>
    <definedName name="STL_LONG_EXPORT_09S">#REF!</definedName>
    <definedName name="STL_LONG_EXPORT_10D">#REF!</definedName>
    <definedName name="STL_LONG_EXPORT_10J">#REF!</definedName>
    <definedName name="STL_LONG_EXPORT_10M">#REF!</definedName>
    <definedName name="STL_LONG_EXPORT_10S">#REF!</definedName>
    <definedName name="STL_LONG_EXPORT_11D">#REF!</definedName>
    <definedName name="STL_LONG_EXPORT_11J">#REF!</definedName>
    <definedName name="STL_LONG_EXPORT_11M">#REF!</definedName>
    <definedName name="STL_LONG_EXPORT_11S">#REF!</definedName>
    <definedName name="STL_LONG_EXPORT_12D">#REF!</definedName>
    <definedName name="STL_LONG_EXPORT_12J">#REF!</definedName>
    <definedName name="STL_LONG_EXPORT_12M">#REF!</definedName>
    <definedName name="STL_LONG_EXPORT_12S">#REF!</definedName>
    <definedName name="STL_LONG_EXPORT_13D">#REF!</definedName>
    <definedName name="STL_LONG_EXPORT_13J">#REF!</definedName>
    <definedName name="STL_LONG_EXPORT_13M">#REF!</definedName>
    <definedName name="STL_LONG_EXPORT_13S">#REF!</definedName>
    <definedName name="STL_LONG_EXPORT_14D">#REF!</definedName>
    <definedName name="STL_LONG_EXPORT_14J">#REF!</definedName>
    <definedName name="STL_LONG_EXPORT_14M">#REF!</definedName>
    <definedName name="STL_LONG_EXPORT_14S">#REF!</definedName>
    <definedName name="STL_LONG_EXPORT_15D">#REF!</definedName>
    <definedName name="STL_LONG_EXPORT_15J">#REF!</definedName>
    <definedName name="STL_LONG_EXPORT_15M">#REF!</definedName>
    <definedName name="STL_LONG_EXPORT_15S">#REF!</definedName>
    <definedName name="STL_LONG_EXPORT_16D">#REF!</definedName>
    <definedName name="STL_LONG_EXPORT_16J">#REF!</definedName>
    <definedName name="STL_LONG_EXPORT_16M">#REF!</definedName>
    <definedName name="STL_LONG_EXPORT_16S">#REF!</definedName>
    <definedName name="STL_LONG_EXPORT_17D">#REF!</definedName>
    <definedName name="STL_LONG_EXPORT_17J">#REF!</definedName>
    <definedName name="STL_LONG_EXPORT_17M">#REF!</definedName>
    <definedName name="STL_LONG_EXPORT_17S">#REF!</definedName>
    <definedName name="STL_LONG_EXPORT_18D">#REF!</definedName>
    <definedName name="STL_LONG_EXPORT_18J">#REF!</definedName>
    <definedName name="STL_LONG_EXPORT_18M">#REF!</definedName>
    <definedName name="STL_LONG_EXPORT_18S">#REF!</definedName>
    <definedName name="STL_LONG_EXPORT_19D">#REF!</definedName>
    <definedName name="STL_LONG_EXPORT_19J">#REF!</definedName>
    <definedName name="STL_LONG_EXPORT_19M">#REF!</definedName>
    <definedName name="STL_LONG_EXPORT_19S">#REF!</definedName>
    <definedName name="STL_LONG_EXPORT_20D">#REF!</definedName>
    <definedName name="STL_LONG_EXPORT_20J">#REF!</definedName>
    <definedName name="STL_LONG_EXPORT_20M">#REF!</definedName>
    <definedName name="STL_LONG_EXPORT_20S">#REF!</definedName>
    <definedName name="STL_LONG_EXPORT_21D">#REF!</definedName>
    <definedName name="STL_LONG_EXPORT_21J">#REF!</definedName>
    <definedName name="STL_LONG_EXPORT_21M">#REF!</definedName>
    <definedName name="STL_LONG_EXPORT_21S">#REF!</definedName>
    <definedName name="STL_LONG_EXPORT_22D">#REF!</definedName>
    <definedName name="STL_LONG_EXPORT_22J">#REF!</definedName>
    <definedName name="STL_LONG_EXPORT_22M">#REF!</definedName>
    <definedName name="STL_LONG_EXPORT_22S">#REF!</definedName>
    <definedName name="STL_LONG_EXPORT_23D">#REF!</definedName>
    <definedName name="STL_LONG_EXPORT_23J">#REF!</definedName>
    <definedName name="STL_LONG_EXPORT_23M">#REF!</definedName>
    <definedName name="STL_LONG_EXPORT_23S">#REF!</definedName>
    <definedName name="STL_LONG_EXPORT_24D">#REF!</definedName>
    <definedName name="STL_LONG_EXPORT_24J">#REF!</definedName>
    <definedName name="STL_LONG_EXPORT_24M">#REF!</definedName>
    <definedName name="STL_LONG_EXPORT_24S">#REF!</definedName>
    <definedName name="STL_LONG_EXPORT_25D">#REF!</definedName>
    <definedName name="STL_LONG_EXPORT_25J">#REF!</definedName>
    <definedName name="STL_LONG_EXPORT_25M">#REF!</definedName>
    <definedName name="STL_LONG_EXPORT_25S">#REF!</definedName>
    <definedName name="STL_LONG_EXPORT_87D">#REF!</definedName>
    <definedName name="STL_LONG_EXPORT_87J">#REF!</definedName>
    <definedName name="STL_LONG_EXPORT_87M">#REF!</definedName>
    <definedName name="STL_LONG_EXPORT_87S">#REF!</definedName>
    <definedName name="STL_LONG_EXPORT_88D">#REF!</definedName>
    <definedName name="STL_LONG_EXPORT_88J">#REF!</definedName>
    <definedName name="STL_LONG_EXPORT_88M">#REF!</definedName>
    <definedName name="STL_LONG_EXPORT_88S">#REF!</definedName>
    <definedName name="STL_LONG_EXPORT_89D">#REF!</definedName>
    <definedName name="STL_LONG_EXPORT_89J">#REF!</definedName>
    <definedName name="STL_LONG_EXPORT_89M">#REF!</definedName>
    <definedName name="STL_LONG_EXPORT_89S">#REF!</definedName>
    <definedName name="STL_LONG_EXPORT_90D">#REF!</definedName>
    <definedName name="STL_LONG_EXPORT_90J">#REF!</definedName>
    <definedName name="STL_LONG_EXPORT_90M">#REF!</definedName>
    <definedName name="STL_LONG_EXPORT_90S">#REF!</definedName>
    <definedName name="STL_LONG_EXPORT_91D">#REF!</definedName>
    <definedName name="STL_LONG_EXPORT_91J">#REF!</definedName>
    <definedName name="STL_LONG_EXPORT_91M">#REF!</definedName>
    <definedName name="STL_LONG_EXPORT_91S">#REF!</definedName>
    <definedName name="STL_LONG_EXPORT_92D">#REF!</definedName>
    <definedName name="STL_LONG_EXPORT_92J">#REF!</definedName>
    <definedName name="STL_LONG_EXPORT_92M">#REF!</definedName>
    <definedName name="STL_LONG_EXPORT_92S">#REF!</definedName>
    <definedName name="STL_LONG_EXPORT_93D">#REF!</definedName>
    <definedName name="STL_LONG_EXPORT_93J">#REF!</definedName>
    <definedName name="STL_LONG_EXPORT_93M">#REF!</definedName>
    <definedName name="STL_LONG_EXPORT_93S">#REF!</definedName>
    <definedName name="STL_LONG_EXPORT_94D">#REF!</definedName>
    <definedName name="STL_LONG_EXPORT_94J">#REF!</definedName>
    <definedName name="STL_LONG_EXPORT_94M">#REF!</definedName>
    <definedName name="STL_LONG_EXPORT_94S">#REF!</definedName>
    <definedName name="STL_LONG_EXPORT_95D">#REF!</definedName>
    <definedName name="STL_LONG_EXPORT_95J">#REF!</definedName>
    <definedName name="STL_LONG_EXPORT_95M">#REF!</definedName>
    <definedName name="STL_LONG_EXPORT_95S">#REF!</definedName>
    <definedName name="STL_LONG_EXPORT_96D">#REF!</definedName>
    <definedName name="STL_LONG_EXPORT_96J">#REF!</definedName>
    <definedName name="STL_LONG_EXPORT_96M">#REF!</definedName>
    <definedName name="STL_LONG_EXPORT_96S">#REF!</definedName>
    <definedName name="STL_LONG_EXPORT_97D">#REF!</definedName>
    <definedName name="STL_LONG_EXPORT_97J">#REF!</definedName>
    <definedName name="STL_LONG_EXPORT_97M">#REF!</definedName>
    <definedName name="STL_LONG_EXPORT_97S">#REF!</definedName>
    <definedName name="STL_LONG_EXPORT_98D">#REF!</definedName>
    <definedName name="STL_LONG_EXPORT_98J">#REF!</definedName>
    <definedName name="STL_LONG_EXPORT_98M">#REF!</definedName>
    <definedName name="STL_LONG_EXPORT_98S">#REF!</definedName>
    <definedName name="STL_LONG_EXPORT_99D">#REF!</definedName>
    <definedName name="STL_LONG_EXPORT_99J">#REF!</definedName>
    <definedName name="STL_LONG_EXPORT_99M">#REF!</definedName>
    <definedName name="STL_LONG_EXPORT_99S">#REF!</definedName>
    <definedName name="STL_LONG_EXPORT_LT">#REF!</definedName>
    <definedName name="STL_OUT">#REF!</definedName>
    <definedName name="STL2_OUT">#REF!</definedName>
    <definedName name="STLC_OUT">#REF!</definedName>
    <definedName name="STLF_OUT">#REF!</definedName>
    <definedName name="STLL_OUT">#REF!</definedName>
    <definedName name="Stock_dividend">0</definedName>
    <definedName name="Stock_Range">INDIRECT("'Index Map'!$G$"&amp;#REF!&amp;":$G$"&amp;#REF!)</definedName>
    <definedName name="stock_ref">#REF!</definedName>
    <definedName name="StockCode">[17]首页!$C$6</definedName>
    <definedName name="StockData">#REF!</definedName>
    <definedName name="Stockholders__equity">#REF!</definedName>
    <definedName name="StockPrice">'[52]Sample Layout'!#REF!</definedName>
    <definedName name="StockPriceADR">#REF!</definedName>
    <definedName name="StockPriceGDR">#REF!</definedName>
    <definedName name="StockPriceLocal">#REF!</definedName>
    <definedName name="Stocks">#REF!</definedName>
    <definedName name="sTopic">#REF!</definedName>
    <definedName name="Straumsvik">#REF!</definedName>
    <definedName name="STRX_5YRGROWTH">#REF!</definedName>
    <definedName name="sty_beta">#REF!</definedName>
    <definedName name="sty_div">#REF!</definedName>
    <definedName name="sty_evebitda">#REF!</definedName>
    <definedName name="sty_evsales">#REF!</definedName>
    <definedName name="sty_gear">#REF!</definedName>
    <definedName name="sty_mv">#REF!</definedName>
    <definedName name="sty_pb">#REF!</definedName>
    <definedName name="sty_pcf">#REF!</definedName>
    <definedName name="sty_pe">#REF!</definedName>
    <definedName name="sty_peg">#REF!</definedName>
    <definedName name="sty_roa">#REF!</definedName>
    <definedName name="sty_roce">#REF!</definedName>
    <definedName name="sty_roe">#REF!</definedName>
    <definedName name="sty_vfo">#REF!</definedName>
    <definedName name="sub_adjust_04_06">#REF!</definedName>
    <definedName name="sub_adjust_2005">#REF!</definedName>
    <definedName name="Subadjustment_04_06">#REF!</definedName>
    <definedName name="subdisc">#REF!</definedName>
    <definedName name="Subs">#REF!</definedName>
    <definedName name="Subs_total">#REF!</definedName>
    <definedName name="subs02">#REF!</definedName>
    <definedName name="SuccessRate">#REF!</definedName>
    <definedName name="sum">#REF!</definedName>
    <definedName name="SUMM">#REF!</definedName>
    <definedName name="SUMMARY">#REF!</definedName>
    <definedName name="Summary_Date">#REF!</definedName>
    <definedName name="Summary_print">#REF!</definedName>
    <definedName name="SummaryIssuers">#REF!</definedName>
    <definedName name="SummaryTypes">#REF!</definedName>
    <definedName name="SUMMOD">#REF!</definedName>
    <definedName name="SumOf__Anodes">#REF!</definedName>
    <definedName name="SumOfAnodes_Reqd">#REF!</definedName>
    <definedName name="SumOfBA_Capacity">#REF!</definedName>
    <definedName name="SumOfBA_GJ">#REF!</definedName>
    <definedName name="SumOfBA_Men">#REF!</definedName>
    <definedName name="SumOfBA_RCC">#REF!</definedName>
    <definedName name="SumOfBC_Capacity">#REF!</definedName>
    <definedName name="SumOfBC_GJ">#REF!</definedName>
    <definedName name="SumOfBC_Kwh">#REF!</definedName>
    <definedName name="SumOfBC_Men">#REF!</definedName>
    <definedName name="SumOfBC_RCC">#REF!</definedName>
    <definedName name="SumOfButts">#REF!</definedName>
    <definedName name="SumOfCR_Capacity">#REF!</definedName>
    <definedName name="SumOfCR_GJ">#REF!</definedName>
    <definedName name="SumOfCR_Kwh">#REF!</definedName>
    <definedName name="SumOfCR_Men">#REF!</definedName>
    <definedName name="SumOfCR_RCC">#REF!</definedName>
    <definedName name="SumOfCS_Capacity">#REF!</definedName>
    <definedName name="SumOfCS_GJ">#REF!</definedName>
    <definedName name="SumOfCS_Kwh">#REF!</definedName>
    <definedName name="SumOfCS_Men">#REF!</definedName>
    <definedName name="SumOfCS_RCC">#REF!</definedName>
    <definedName name="SumOfFA_Capacity">#REF!</definedName>
    <definedName name="SumOfFA_GJ">#REF!</definedName>
    <definedName name="SumOfFA_Kwh">#REF!</definedName>
    <definedName name="SumOfFA_Men">#REF!</definedName>
    <definedName name="SumOfFA_RCC">#REF!</definedName>
    <definedName name="SumOfGA_Capacity">#REF!</definedName>
    <definedName name="SumOfGA_Men">#REF!</definedName>
    <definedName name="SumOfGA_RCC">#REF!</definedName>
    <definedName name="SumOfMP_Capacity">#REF!</definedName>
    <definedName name="SumOfMP_Men">#REF!</definedName>
    <definedName name="SumOfMP_RCC">#REF!</definedName>
    <definedName name="SumOfPaste_Use">#REF!</definedName>
    <definedName name="SumOfPM_AlF3_Required">#REF!</definedName>
    <definedName name="SumOfPM_Alumina_Use">#REF!</definedName>
    <definedName name="SumOfPM_Capacity">#REF!</definedName>
    <definedName name="SumOfPM_Cryolite_Required">#REF!</definedName>
    <definedName name="SumOfPM_Men">#REF!</definedName>
    <definedName name="SumOfPM_Petcoke">#REF!</definedName>
    <definedName name="SumOfPM_Pitch_Required">#REF!</definedName>
    <definedName name="SumOfPM_Power_Use">#REF!</definedName>
    <definedName name="SumOfPM_Production">#REF!</definedName>
    <definedName name="SumOfPM_RCC">#REF!</definedName>
    <definedName name="SumOfPM_Reline_Cost">#REF!</definedName>
    <definedName name="SumOfRA_Capacity">#REF!</definedName>
    <definedName name="SumOfRA_Men">#REF!</definedName>
    <definedName name="SumOfRA_RCC">#REF!</definedName>
    <definedName name="SumOfSC_Capacity">#REF!</definedName>
    <definedName name="SumOfSC_GJ">#REF!</definedName>
    <definedName name="SumOfSC_Kwh">#REF!</definedName>
    <definedName name="SumOfSC_Men">#REF!</definedName>
    <definedName name="SumOfSC_RCC">#REF!</definedName>
    <definedName name="SumOfSI_Capacity">#REF!</definedName>
    <definedName name="SumOfSI_GJ">#REF!</definedName>
    <definedName name="SumOfSI_Kwh">#REF!</definedName>
    <definedName name="SumOfSI_Men">#REF!</definedName>
    <definedName name="SumOfSI_RCC">#REF!</definedName>
    <definedName name="SumOfSM_AlF3_Required">#REF!</definedName>
    <definedName name="SumOfSM_Alumina_Use">#REF!</definedName>
    <definedName name="SumOfSM_Capacity">#REF!</definedName>
    <definedName name="SumOfSM_Cryolite_Required">#REF!</definedName>
    <definedName name="SumOfSM_Men">#REF!</definedName>
    <definedName name="SumOfSM_Petcoke">#REF!</definedName>
    <definedName name="SumOfSM_Pitch_Required">#REF!</definedName>
    <definedName name="SumOfSM_Power_Use">#REF!</definedName>
    <definedName name="SumOfSM_Production">#REF!</definedName>
    <definedName name="SumOfSM_RCC">#REF!</definedName>
    <definedName name="SumOfSM_Reline_Cost">#REF!</definedName>
    <definedName name="Sundsvall">#REF!</definedName>
    <definedName name="Sunndalsora">#REF!</definedName>
    <definedName name="Surplus_deficit">#REF!</definedName>
    <definedName name="swa">#REF!</definedName>
    <definedName name="Sweden_w">#REF!</definedName>
    <definedName name="swl">#REF!</definedName>
    <definedName name="sws">#REF!</definedName>
    <definedName name="sYesNo">#REF!</definedName>
    <definedName name="syn">#REF!</definedName>
    <definedName name="Synt">#REF!</definedName>
    <definedName name="SysCap_Pricing">#REF!</definedName>
    <definedName name="T_5YRGROWTH">#REF!</definedName>
    <definedName name="t_ebdit">#REF!</definedName>
    <definedName name="t_ebitda">#REF!</definedName>
    <definedName name="t_free_cash_flow">#REF!</definedName>
    <definedName name="t_tot_cash_earns">#REF!</definedName>
    <definedName name="t_tot_interest_payments">#REF!</definedName>
    <definedName name="t_tot_net_debt">#REF!</definedName>
    <definedName name="T2_rpt0297">#REF!</definedName>
    <definedName name="T6_rpt0297">#REF!</definedName>
    <definedName name="TA">#REF!</definedName>
    <definedName name="TAB">#REF!</definedName>
    <definedName name="TabBalSheet">#REF!</definedName>
    <definedName name="TabBalSheet97to2008">#REF!</definedName>
    <definedName name="TabCashFlow">#REF!</definedName>
    <definedName name="TAbCashFlow97to2008">#REF!</definedName>
    <definedName name="TabHYCashFlow">#REF!</definedName>
    <definedName name="TabHYPandL">#REF!</definedName>
    <definedName name="TablBalSheet">#REF!</definedName>
    <definedName name="Table">#REF!</definedName>
    <definedName name="Table_1__Global_Assumptions">'[41]Global Assumptions'!$B$2</definedName>
    <definedName name="Table_12___R_M_Volumes">#REF!</definedName>
    <definedName name="Table_15__Valuation">#REF!</definedName>
    <definedName name="Table_2__Consolidated_Income_Statement">#REF!</definedName>
    <definedName name="table_2001">#REF!</definedName>
    <definedName name="table_2002">#REF!</definedName>
    <definedName name="table_2003">#REF!</definedName>
    <definedName name="table_2004">#REF!</definedName>
    <definedName name="Table_4_1">#REF!</definedName>
    <definedName name="Table_7___E_P_Proven_Reserves">#REF!</definedName>
    <definedName name="Table_of_Contents">#REF!</definedName>
    <definedName name="Table_x__Implied_Valuation_ranges_for_Hoechst_Group__1998_valuation_base">#REF!</definedName>
    <definedName name="table1">#REF!</definedName>
    <definedName name="table11">#REF!</definedName>
    <definedName name="Table12_13">#REF!</definedName>
    <definedName name="Table14">#REF!</definedName>
    <definedName name="table15_16">#REF!</definedName>
    <definedName name="table19">#REF!</definedName>
    <definedName name="table2">#REF!</definedName>
    <definedName name="table3">#REF!</definedName>
    <definedName name="Table9_10">#REF!</definedName>
    <definedName name="Table9_10_11">#REF!</definedName>
    <definedName name="TableBS">#REF!</definedName>
    <definedName name="TableBSA">#REF!</definedName>
    <definedName name="TableCF">#REF!</definedName>
    <definedName name="TableContents">#REF!</definedName>
    <definedName name="TableE">#REF!</definedName>
    <definedName name="TableEPB">#REF!</definedName>
    <definedName name="TableFCF">#REF!</definedName>
    <definedName name="TableName">#REF!</definedName>
    <definedName name="TabPandL">#REF!</definedName>
    <definedName name="TabPandL97to2008">#REF!</definedName>
    <definedName name="TabRatios">#REF!</definedName>
    <definedName name="TAC_analog_postpaid_subs">#REF!</definedName>
    <definedName name="TAC_analog_prepaid_subs">#REF!</definedName>
    <definedName name="TAC_digital_postpaid_subs">#REF!</definedName>
    <definedName name="TAC_digital_prepaid_subs">#REF!</definedName>
    <definedName name="TAC_total_analog_subs">#REF!</definedName>
    <definedName name="TAC_total_digital_subs">#REF!</definedName>
    <definedName name="Tacoma">#REF!</definedName>
    <definedName name="TALK_95EBIT">#REF!</definedName>
    <definedName name="TALK_95EBITDA">#REF!</definedName>
    <definedName name="TALK_96EPS">#REF!</definedName>
    <definedName name="TALK_97EPS">#REF!</definedName>
    <definedName name="TALK_98EPS">#REF!</definedName>
    <definedName name="TALK_ASSET">#REF!</definedName>
    <definedName name="TALK_DEBT">#REF!</definedName>
    <definedName name="TALK_DIV">#REF!</definedName>
    <definedName name="TALK_INTANGIBLE">#REF!</definedName>
    <definedName name="TALK_LTMCAPEX">#REF!</definedName>
    <definedName name="TALK_LTMEBIT">#REF!</definedName>
    <definedName name="TALK_LTMEBITDA">#REF!</definedName>
    <definedName name="TALK_LTMINT">#REF!</definedName>
    <definedName name="TALK_LTMNI">#REF!</definedName>
    <definedName name="TALK_LTMREV">#REF!</definedName>
    <definedName name="TALK_LTMSGA">#REF!</definedName>
    <definedName name="talk_min">#REF!</definedName>
    <definedName name="TALK_name">#REF!</definedName>
    <definedName name="TALK_netdebt">#REF!</definedName>
    <definedName name="TALK_price">#REF!</definedName>
    <definedName name="TALK_SE">#REF!</definedName>
    <definedName name="TALK_share">#REF!</definedName>
    <definedName name="TALK_ticker">#REF!</definedName>
    <definedName name="Talum">#REF!</definedName>
    <definedName name="tangible">#REF!</definedName>
    <definedName name="Target_debt_to_capital">#REF!</definedName>
    <definedName name="Target_Net_Debt">"targ_netdebt"</definedName>
    <definedName name="targetprice">#REF!</definedName>
    <definedName name="tariff_discount">#REF!</definedName>
    <definedName name="Tax">#REF!</definedName>
    <definedName name="tax.2000">#REF!</definedName>
    <definedName name="tax.2001">#REF!</definedName>
    <definedName name="tax.99">#REF!</definedName>
    <definedName name="Tax_expense">#REF!</definedName>
    <definedName name="Tax_on_Non_Recur_Items">#REF!</definedName>
    <definedName name="Tax_Provided">#REF!</definedName>
    <definedName name="tax_rate">38%</definedName>
    <definedName name="Tax_rate_for_WACC">#REF!</definedName>
    <definedName name="TaxCredit">#REF!</definedName>
    <definedName name="Taxes_paid">#REF!</definedName>
    <definedName name="TaxG">#REF!</definedName>
    <definedName name="Taxmanagement">[20]NERD!$G$20:$N$20</definedName>
    <definedName name="Taxrate_00">#REF!</definedName>
    <definedName name="Taxrate_97">#REF!</definedName>
    <definedName name="Taxrate_98">#REF!</definedName>
    <definedName name="Taxrate_99">#REF!</definedName>
    <definedName name="taxrate00">#REF!</definedName>
    <definedName name="taxrate01">#REF!</definedName>
    <definedName name="taxrate93">#REF!</definedName>
    <definedName name="taxrate94">#REF!</definedName>
    <definedName name="taxrate95">#REF!</definedName>
    <definedName name="taxrate96">#REF!</definedName>
    <definedName name="taxrate97">#REF!</definedName>
    <definedName name="taxrate98">'[14]Consolidated Financials'!$H$43</definedName>
    <definedName name="taxrate99">'[33]Consolidated Financials'!$O$44</definedName>
    <definedName name="TaxS">#REF!</definedName>
    <definedName name="tbl_standardColours">#REF!</definedName>
    <definedName name="tci">#REF!</definedName>
    <definedName name="tcs">#REF!</definedName>
    <definedName name="TD">#REF!</definedName>
    <definedName name="TDCF94">#REF!</definedName>
    <definedName name="TDCF95">#REF!</definedName>
    <definedName name="TDF_OUT">#REF!</definedName>
    <definedName name="TDS_1yrEPS">#REF!</definedName>
    <definedName name="TDS_2yrEPS">#REF!</definedName>
    <definedName name="TDS_52HIGH">#REF!</definedName>
    <definedName name="TDS_5YRGROWTH">#REF!</definedName>
    <definedName name="TDS_96EPS">#REF!</definedName>
    <definedName name="TDS_97EPS">#REF!</definedName>
    <definedName name="TDS_98EPS">#REF!</definedName>
    <definedName name="TDS_LTMSGA">#REF!</definedName>
    <definedName name="TDS_PRICE">#REF!</definedName>
    <definedName name="TECH">#REF!</definedName>
    <definedName name="TELN_AssociatesMinorities">#REF!</definedName>
    <definedName name="TEM_AssociatesMinorities">#REF!</definedName>
    <definedName name="Tema__Valco">#REF!</definedName>
    <definedName name="temp" localSheetId="2" hidden="1">{"Print CRXLAND Assumptions",#N/A,FALSE,"CRXLAND Openings";"Print CRXLAND Openings",#N/A,FALSE,"CRXLAND Openings"}</definedName>
    <definedName name="temp" localSheetId="1" hidden="1">{"Print CRXLAND Assumptions",#N/A,FALSE,"CRXLAND Openings";"Print CRXLAND Openings",#N/A,FALSE,"CRXLAND Openings"}</definedName>
    <definedName name="temp" hidden="1">{"Print CRXLAND Assumptions",#N/A,FALSE,"CRXLAND Openings";"Print CRXLAND Openings",#N/A,FALSE,"CRXLAND Openings"}</definedName>
    <definedName name="temp_range">#REF!</definedName>
    <definedName name="temp2" localSheetId="2" hidden="1">{"Print CRXLAND Assumptions",#N/A,FALSE,"CRXLAND Openings";"Print CRXLAND Openings",#N/A,FALSE,"CRXLAND Openings"}</definedName>
    <definedName name="temp2" localSheetId="1" hidden="1">{"Print CRXLAND Assumptions",#N/A,FALSE,"CRXLAND Openings";"Print CRXLAND Openings",#N/A,FALSE,"CRXLAND Openings"}</definedName>
    <definedName name="temp2" hidden="1">{"Print CRXLAND Assumptions",#N/A,FALSE,"CRXLAND Openings";"Print CRXLAND Openings",#N/A,FALSE,"CRXLAND Openings"}</definedName>
    <definedName name="Template.WIRE">"DBACCESS"</definedName>
    <definedName name="tempor" localSheetId="2"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localSheetId="1"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rminal_ROE">#REF!</definedName>
    <definedName name="terp1">#REF!</definedName>
    <definedName name="TEST_price">#REF!</definedName>
    <definedName name="TestAdd">"Test RefersTo1"</definedName>
    <definedName name="tev">#REF!</definedName>
    <definedName name="tfc">#REF!</definedName>
    <definedName name="tfd">#REF!</definedName>
    <definedName name="tfo">#REF!</definedName>
    <definedName name="tfr">#REF!</definedName>
    <definedName name="TGO_1yrEPS">#REF!</definedName>
    <definedName name="TGO_2yrEPS">#REF!</definedName>
    <definedName name="TGO_52high">#REF!</definedName>
    <definedName name="TGO_5YRGROWTH">#REF!</definedName>
    <definedName name="TGO_95EBIT">#REF!</definedName>
    <definedName name="TGO_95EBITDA">#REF!</definedName>
    <definedName name="TGO_96EPS">#REF!</definedName>
    <definedName name="TGO_97EPS">#REF!</definedName>
    <definedName name="TGO_98EPS">#REF!</definedName>
    <definedName name="TGO_ASSET">#REF!</definedName>
    <definedName name="TGO_DEBT">#REF!</definedName>
    <definedName name="TGO_DIV">#REF!</definedName>
    <definedName name="TGO_INTANGIBLE">#REF!</definedName>
    <definedName name="TGO_LTMCAPEX">#REF!</definedName>
    <definedName name="TGO_LTMEBIT">#REF!</definedName>
    <definedName name="TGO_LTMEBITDA">#REF!</definedName>
    <definedName name="TGO_LTMINT">#REF!</definedName>
    <definedName name="TGO_LTMNI">#REF!</definedName>
    <definedName name="TGO_LTMREV">#REF!</definedName>
    <definedName name="TGO_LTMSGA">#REF!</definedName>
    <definedName name="tgo_min">#REF!</definedName>
    <definedName name="TGO_name">#REF!</definedName>
    <definedName name="TGO_netdebt">#REF!</definedName>
    <definedName name="TGO_price">#REF!</definedName>
    <definedName name="TGO_SE">#REF!</definedName>
    <definedName name="TGO_share">#REF!</definedName>
    <definedName name="TGO_ticker">#REF!</definedName>
    <definedName name="TGRP_1yrEPS">#REF!</definedName>
    <definedName name="TGRP_2yrEPS">#REF!</definedName>
    <definedName name="TGRP_52HIGH">#REF!</definedName>
    <definedName name="TGRP_5YRGROWTH">#REF!</definedName>
    <definedName name="TGRP_PRICE">#REF!</definedName>
    <definedName name="th_asean">#REF!</definedName>
    <definedName name="th_asean5">#REF!</definedName>
    <definedName name="th_asia">#REF!</definedName>
    <definedName name="the_caller">#N/A</definedName>
    <definedName name="This_Year">"1998E"</definedName>
    <definedName name="ThisEndYear">2014</definedName>
    <definedName name="ThisEstiDate">42264</definedName>
    <definedName name="ThisEstNum">3</definedName>
    <definedName name="ThisHasNew">"否"</definedName>
    <definedName name="ThisReportList">"2010;2011;2012;2013;2014"</definedName>
    <definedName name="ThisStYear">2010</definedName>
    <definedName name="ThisTransitionYear">0</definedName>
    <definedName name="ThisWindCode">"300383.SZ"</definedName>
    <definedName name="three_yr_dcf_debt">#REF!</definedName>
    <definedName name="Three_yr_EV">#REF!</definedName>
    <definedName name="Three_yr_implied_EBITDA_mult">#REF!</definedName>
    <definedName name="Three_yr_implied_TM">#REF!</definedName>
    <definedName name="three_yr_npv">#REF!</definedName>
    <definedName name="Three_yr_PerpG">#REF!</definedName>
    <definedName name="Three_yr_PV">#REF!</definedName>
    <definedName name="threeg">#REF!</definedName>
    <definedName name="threeG_capex_driver">#REF!</definedName>
    <definedName name="threeG_subs">#REF!</definedName>
    <definedName name="ticker">#REF!</definedName>
    <definedName name="TickerRef">#REF!</definedName>
    <definedName name="Tigr_Exhibit0207c51a_9b2c_48ac_a23a_4961d0adedfc" hidden="1">#REF!</definedName>
    <definedName name="Tigr_Exhibit045a16ad_65bd_4112_9584_7885e0058fe1" hidden="1">#REF!</definedName>
    <definedName name="Tigr_Exhibit05aee54d_27ae_42aa_8510_2cf8a399e7a3" hidden="1">#REF!</definedName>
    <definedName name="Tigr_Exhibit05af65fc_2c1d_44ab_b19a_c4d1c9c76b90" hidden="1">#REF!</definedName>
    <definedName name="Tigr_Exhibit05c3404a_1507_44ba_b3d9_cad29f216307" hidden="1">#REF!</definedName>
    <definedName name="Tigr_Exhibit07121249_4896_40cd_8a71_b9dca0fc9b8d" hidden="1">#REF!</definedName>
    <definedName name="Tigr_Exhibit0714d1bc_ef5d_460f_b13f_fcaf96b8be8e" hidden="1">#REF!</definedName>
    <definedName name="Tigr_Exhibit08a90334_a8fb_4127_9bb4_d106dd42e79d" hidden="1">#REF!</definedName>
    <definedName name="Tigr_Exhibit0a27448e_63cb_4f0f_b4c5_e7a23ce8dd23" hidden="1">#REF!</definedName>
    <definedName name="Tigr_Exhibit0b3540ef_23f6_421e_ac52_63af4451a526" hidden="1">#REF!</definedName>
    <definedName name="Tigr_Exhibit0c6a22a4_e157_4a2c_a157_a077edd1424a" hidden="1">#REF!</definedName>
    <definedName name="Tigr_Exhibit0c78d4e6_bf8a_4ab8_8d1a_03ecebfa7aaf" hidden="1">#REF!</definedName>
    <definedName name="Tigr_Exhibit0cb7280d_09dd_4de5_b021_62dcfbf41f15" hidden="1">#REF!</definedName>
    <definedName name="Tigr_Exhibit0d1d5728_2957_4081_b269_8fcb44605232" hidden="1">#REF!</definedName>
    <definedName name="Tigr_Exhibit0d74b164_bc9d_4495_bb3c_7ef86484c2f4" hidden="1">#REF!</definedName>
    <definedName name="Tigr_Exhibit0dbb0173_d177_4ed3_806b_c2b3c147ca5c" hidden="1">#REF!</definedName>
    <definedName name="Tigr_Exhibit0e09779e_8c65_4e7f_b552_77663919afad" hidden="1">#REF!</definedName>
    <definedName name="Tigr_Exhibit0e2e561b_2e8b_4133_a055_b43661233402" hidden="1">#REF!</definedName>
    <definedName name="Tigr_Exhibit0ef57e21_c8e9_4f27_a0b0_2415c0d89ad0" hidden="1">#REF!</definedName>
    <definedName name="Tigr_Exhibit0f9f6a87_49cb_4790_9ad5_39b1aef64406" hidden="1">#REF!</definedName>
    <definedName name="Tigr_Exhibit101000ba_89fd_4bfb_9890_7c822e0326b4" hidden="1">#REF!</definedName>
    <definedName name="Tigr_Exhibit1055812f_1c83_493f_8dcb_159c90d8a0db" hidden="1">#REF!</definedName>
    <definedName name="Tigr_Exhibit11f907d5_46cc_4f6a_96bf_0960e6509615" hidden="1">#REF!</definedName>
    <definedName name="Tigr_Exhibit12266ac1_5ff2_4e05_8d7f_d33cf7fd277a" hidden="1">#REF!</definedName>
    <definedName name="Tigr_Exhibit129312d2_fe88_4d3a_b9a5_e58a16adb01c" hidden="1">#REF!</definedName>
    <definedName name="Tigr_Exhibit12f11886_89a5_4dfd_bdaa_5ac90bc23f03" hidden="1">#REF!</definedName>
    <definedName name="Tigr_Exhibit136a6ac8_a76c_4b54_964a_4e6eac8dcc0f" hidden="1">#REF!</definedName>
    <definedName name="Tigr_Exhibit136ee4c9_9970_4797_b6af_9d17bb5753c0" hidden="1">#REF!</definedName>
    <definedName name="Tigr_Exhibit148aabe7_6b37_4759_93d4_54a1a369b904" hidden="1">#REF!</definedName>
    <definedName name="Tigr_Exhibit14a50481_6db0_4651_90b1_c9e6bdabcce8" hidden="1">#REF!</definedName>
    <definedName name="Tigr_Exhibit1544f1d1_4ffa_42c6_8aa5_4f883c3de945" hidden="1">#REF!</definedName>
    <definedName name="Tigr_Exhibit15942695_d80e_4436_9299_976eddfe6e0e" hidden="1">#REF!</definedName>
    <definedName name="Tigr_Exhibit15ab4ed1_23d3_417f_aef8_d8ed9fc22e67" hidden="1">#REF!</definedName>
    <definedName name="Tigr_Exhibit17f50cb8_6a63_4f36_b9cb_2da8ced75c99" hidden="1">#REF!</definedName>
    <definedName name="Tigr_Exhibit184565d8_3c0c_431b_a563_18432084d0a6" hidden="1">#REF!</definedName>
    <definedName name="Tigr_Exhibit1aa22b35_4495_4170_b465_180b74e87aaa" hidden="1">#REF!</definedName>
    <definedName name="Tigr_Exhibit1b7f59c2_affa_46ce_9f9e_9a8fd3b810bc" hidden="1">#REF!</definedName>
    <definedName name="Tigr_Exhibit1bde31f9_47f1_41c3_8449_dd7cc0d23157" hidden="1">#REF!</definedName>
    <definedName name="Tigr_Exhibit1d62fbb9_44ae_49cb_8d0a_be7950685eae" hidden="1">#REF!</definedName>
    <definedName name="Tigr_Exhibit1dba8f73_033a_4ed1_aef6_3e4ea9b63b4c" hidden="1">#REF!</definedName>
    <definedName name="Tigr_Exhibit1dbc89f5_1d4e_4f48_b558_0907fa56d017" hidden="1">#REF!</definedName>
    <definedName name="Tigr_Exhibit1ddc13b1_1a5f_469e_8b4e_f2f2ef2a9360" hidden="1">#REF!</definedName>
    <definedName name="Tigr_Exhibit1defbbf9_78c2_40bd_929b_b586b90733fb" hidden="1">#REF!</definedName>
    <definedName name="Tigr_Exhibit204870df_f992_4c1a_93d9_b65869f96f6c" hidden="1">#REF!</definedName>
    <definedName name="Tigr_Exhibit225d363b_b629_40c9_bda4_03f1eb4c167b" hidden="1">#REF!</definedName>
    <definedName name="Tigr_Exhibit22886661_153c_4397_ba1b_157cae4f2a46" hidden="1">#REF!</definedName>
    <definedName name="Tigr_Exhibit23355b5f_f880_4f7a_b47c_34996a982da9" hidden="1">#REF!</definedName>
    <definedName name="Tigr_Exhibit24e30e2e_48ac_476f_9a03_df5f03107e65" hidden="1">#REF!</definedName>
    <definedName name="Tigr_Exhibit25175e89_d029_4d1a_8ff7_d9b188687675" hidden="1">#REF!</definedName>
    <definedName name="Tigr_Exhibit261e08da_967a_4109_a2c7_02a2343f1212" hidden="1">#REF!</definedName>
    <definedName name="Tigr_Exhibit26d0657d_d08c_447d_a355_2d447927b946" hidden="1">#REF!</definedName>
    <definedName name="Tigr_Exhibit2773af8b_d802_435e_8f2d_c3e78bd6615d" hidden="1">#REF!</definedName>
    <definedName name="Tigr_Exhibit297c7da9_8cfc_4849_9043_e5f4b472204e" hidden="1">#REF!</definedName>
    <definedName name="Tigr_Exhibit2c9b4b1c_6a82_4f09_85c5_d2d4fca22555" hidden="1">#REF!</definedName>
    <definedName name="Tigr_Exhibit2daa0bea_316b_4d10_896b_e68fd550e5f1" hidden="1">#REF!</definedName>
    <definedName name="Tigr_Exhibit2f955b8e_bbeb_41bf_aca3_c34715ea9739" hidden="1">#REF!</definedName>
    <definedName name="Tigr_Exhibit30332b92_f522_448c_8d08_05ad83b707dd" hidden="1">#REF!</definedName>
    <definedName name="Tigr_Exhibit309b252b_d5db_48fb_9425_7ed3bc96a5fa" hidden="1">#REF!</definedName>
    <definedName name="Tigr_Exhibit30d3565e_bd45_4533_86d2_9ae2f22ea538" hidden="1">#REF!</definedName>
    <definedName name="Tigr_Exhibit33eeb5d6_b791_4174_8e80_6c8a12d7f089" hidden="1">#REF!</definedName>
    <definedName name="Tigr_Exhibit3442f1be_dbc9_4ec8_84a9_7238adf2d255" hidden="1">#REF!</definedName>
    <definedName name="Tigr_Exhibit354ab93b_eb57_44f3_8959_a83b94ea2e20" hidden="1">#REF!</definedName>
    <definedName name="Tigr_Exhibit3617f567_9b21_411c_9708_3ac049583282" hidden="1">#REF!</definedName>
    <definedName name="Tigr_Exhibit364f1bab_f617_4fe1_9cf7_0b344a48e77f" hidden="1">#REF!</definedName>
    <definedName name="Tigr_Exhibit369f6ec9_cc87_4819_bdd4_aa6b513eab27" hidden="1">#REF!</definedName>
    <definedName name="Tigr_Exhibit36b7380c_f9bd_4f11_93b2_58a3edd7e9a3" hidden="1">#REF!</definedName>
    <definedName name="Tigr_Exhibit3762e231_e900_4cee_b2cd_d68395f8d7cc" hidden="1">#REF!</definedName>
    <definedName name="Tigr_Exhibit3a2055db_21da_422a_8469_988e2a1cb3ce" hidden="1">#REF!</definedName>
    <definedName name="Tigr_Exhibit3a5174b4_7be4_4ec5_a341_48c98aac0f62" hidden="1">#REF!</definedName>
    <definedName name="Tigr_Exhibit3f25c700_0885_4070_9f18_9eb89e9e71da" hidden="1">#REF!</definedName>
    <definedName name="Tigr_Exhibit3f94e949_4cf3_4209_8e0f_74bb9a49e8ea" hidden="1">#REF!</definedName>
    <definedName name="Tigr_Exhibit3fe3ee12_3124_4be7_b81c_7d61d12bd632" hidden="1">#REF!</definedName>
    <definedName name="Tigr_Exhibit401fd841_ef39_4fa4_9ba2_b1e98e8e442e" hidden="1">#REF!</definedName>
    <definedName name="Tigr_Exhibit405240c5_023b_4e40_a675_6d92f91d17da" hidden="1">#REF!</definedName>
    <definedName name="Tigr_Exhibit40d17b65_e90c_4b2d_8f7e_16d844a21189" hidden="1">#REF!</definedName>
    <definedName name="Tigr_Exhibit428b5fe7_45a9_4806_9c2e_9d452ab841c9" hidden="1">#REF!</definedName>
    <definedName name="Tigr_Exhibit42bd8fe5_b20b_45ca_a48c_4661ccc368af" hidden="1">#REF!</definedName>
    <definedName name="Tigr_Exhibit43902f93_f23c_4ec2_981d_12932569b446" hidden="1">#REF!</definedName>
    <definedName name="Tigr_Exhibit43b17620_05d1_47ab_b1d3_cddc9156e61a" hidden="1">#REF!</definedName>
    <definedName name="Tigr_Exhibit43dee7d5_b099_47f4_9a2e_ef96fbb466ed" hidden="1">#REF!</definedName>
    <definedName name="Tigr_Exhibit43fddf9f_b99f_4150_afef_d4e4b4a0f5c7" hidden="1">#REF!</definedName>
    <definedName name="Tigr_Exhibit444dcd18_11ff_4c24_b9c8_406d7831a283" hidden="1">#REF!</definedName>
    <definedName name="Tigr_Exhibit44a3b337_ee60_4b49_92dc_5e9bee5ea319" hidden="1">#REF!</definedName>
    <definedName name="Tigr_Exhibit45fbac5f_801b_445f_9bb2_ec3649bcc66f" hidden="1">#REF!</definedName>
    <definedName name="Tigr_Exhibit461156eb_a736_4aed_be6c_ac3960b6ebbe" hidden="1">#REF!</definedName>
    <definedName name="Tigr_Exhibit465749f1_482f_4a88_9fac_98018a075f9b" hidden="1">#REF!</definedName>
    <definedName name="Tigr_Exhibit467d4e45_78a2_4228_8cad_525bab24d3b9" hidden="1">#REF!</definedName>
    <definedName name="Tigr_Exhibit46977339_b836_48a5_81ea_5853f2a7754c" hidden="1">#REF!</definedName>
    <definedName name="Tigr_Exhibit47159493_05b4_4150_9ef2_2478730e818a" hidden="1">#REF!</definedName>
    <definedName name="Tigr_Exhibit47420c10_f92f_447e_82b4_fabddf88bd76" hidden="1">#REF!</definedName>
    <definedName name="Tigr_Exhibit490c1156_b8ff_4301_be39_5e53e3ac9494" hidden="1">#REF!</definedName>
    <definedName name="Tigr_Exhibit491fea2e_bcd5_4f5c_b044_7b754e50849e" hidden="1">#REF!</definedName>
    <definedName name="Tigr_Exhibit4a03982a_3734_4ab2_bcc1_8c46ec56547a" hidden="1">#REF!</definedName>
    <definedName name="Tigr_Exhibit4be7acaa_093e_4701_98bb_5b71262c056b" hidden="1">#REF!</definedName>
    <definedName name="Tigr_Exhibit4c133b60_5017_4bbe_b0a2_ee3aab08bada" hidden="1">#REF!</definedName>
    <definedName name="Tigr_Exhibit4dfdd152_5131_41fb_91fa_f902703b1cc3" hidden="1">#REF!</definedName>
    <definedName name="Tigr_Exhibit4e13809c_9b64_48fd_b4a7_82d1964edaf1" hidden="1">#REF!</definedName>
    <definedName name="Tigr_Exhibit4e90632c_a71e_4a40_891c_bb819f73c41f" hidden="1">#REF!</definedName>
    <definedName name="Tigr_Exhibit4f173a3c_1c89_4acd_8b77_629c3291997b" hidden="1">#REF!</definedName>
    <definedName name="Tigr_Exhibit5058222b_5ae5_4de8_8e8a_7675bc511b9a" hidden="1">#REF!</definedName>
    <definedName name="Tigr_Exhibit52c584cd_a013_4708_96bf_c728d19e14bb" hidden="1">#REF!</definedName>
    <definedName name="Tigr_Exhibit538aac07_1314_4df5_8000_efbb3dafdcc1" hidden="1">#REF!</definedName>
    <definedName name="Tigr_Exhibit539c45b4_6ed6_4042_9645_34d891f17007" hidden="1">#REF!</definedName>
    <definedName name="Tigr_Exhibit53c80a97_e8ab_4437_8523_b5d758d3aead" hidden="1">#REF!</definedName>
    <definedName name="Tigr_Exhibit54624635_1cc5_4286_b499_44e290402b67" hidden="1">#REF!</definedName>
    <definedName name="Tigr_Exhibit55527c08_8ff2_4873_9a71_a3947ba0b240" hidden="1">#REF!</definedName>
    <definedName name="Tigr_Exhibit5597c49b_2493_41da_abf4_4c668328fd24" hidden="1">#REF!</definedName>
    <definedName name="Tigr_Exhibit55a00f5c_afbd_400e_8e37_5dbdc6aa7d1d" hidden="1">#REF!</definedName>
    <definedName name="Tigr_Exhibit55e206d0_7d01_4136_9183_49f708597ced" hidden="1">#REF!</definedName>
    <definedName name="Tigr_Exhibit57fbda6f_fb6d_43ee_adb7_b051584cb280" hidden="1">#REF!</definedName>
    <definedName name="Tigr_Exhibit59ace976_ba54_4914_8432_4d6da30d0c5e" hidden="1">#REF!</definedName>
    <definedName name="Tigr_Exhibit59bf714d_a71a_4f69_8229_bc9359f7a29b" hidden="1">#REF!</definedName>
    <definedName name="Tigr_Exhibit59c43263_c841_4532_9e4a_f62b982aeed4" hidden="1">#REF!</definedName>
    <definedName name="Tigr_Exhibit5a73608c_ecf2_4c0d_8700_60989782e274" hidden="1">#REF!</definedName>
    <definedName name="Tigr_Exhibit5b074cc7_3eb7_479a_ac62_c6918fc66dbc" hidden="1">#REF!</definedName>
    <definedName name="Tigr_Exhibit5b276ac0_ca01_41d5_a6ad_88af052db6fd" hidden="1">#REF!</definedName>
    <definedName name="Tigr_Exhibit5b5af231_e907_4e62_a2c8_dc127b61605f" hidden="1">#REF!</definedName>
    <definedName name="Tigr_Exhibit5c0f0127_df08_48a8_b5a8_9e76691a542d" hidden="1">#REF!</definedName>
    <definedName name="Tigr_Exhibit5c3a5d0b_e180_459f_af90_313f43fd040e" hidden="1">#REF!</definedName>
    <definedName name="Tigr_Exhibit5d219d41_0606_4280_98e3_37ed770c9002" hidden="1">#REF!</definedName>
    <definedName name="Tigr_Exhibit5d8a83be_9f17_406e_b977_1fa35d617542" hidden="1">#REF!</definedName>
    <definedName name="Tigr_Exhibit5e7ae420_e49f_432a_8ed9_5a77741d921d" hidden="1">#REF!</definedName>
    <definedName name="Tigr_Exhibit5ea805e3_f523_4b0f_84b1_d333a43f6787" hidden="1">#REF!</definedName>
    <definedName name="Tigr_Exhibit5ee0785a_b1fe_4f6d_acdb_d0b2a9eed270" hidden="1">#REF!</definedName>
    <definedName name="Tigr_Exhibit5f686be5_5bf0_4ff5_a109_0c8e6ca3daaa" hidden="1">#REF!</definedName>
    <definedName name="Tigr_Exhibit5fe171c4_5d0e_4ccd_b80f_506d10f023e7" hidden="1">#REF!</definedName>
    <definedName name="Tigr_Exhibit603bb22d_d3af_4ee2_a7ac_3378b1ac552d" hidden="1">#REF!</definedName>
    <definedName name="Tigr_Exhibit615bac92_f956_4836_b1d5_aee28253f595" hidden="1">#REF!</definedName>
    <definedName name="Tigr_Exhibit622520a0_f473_4ea0_9fd0_9601378f23c4" hidden="1">#REF!</definedName>
    <definedName name="Tigr_Exhibit633fb101_bc33_41c9_86c1_ad0f61f6edfb" hidden="1">#REF!</definedName>
    <definedName name="Tigr_Exhibit63e8c270_e41b_45f5_b39e_202c1b51de72" hidden="1">#REF!</definedName>
    <definedName name="Tigr_Exhibit6709a732_edfd_4837_92a2_32b79c8e0a77" hidden="1">#REF!</definedName>
    <definedName name="Tigr_Exhibit67cb966e_11ec_466a_a082_ede71f552b17" hidden="1">#REF!</definedName>
    <definedName name="Tigr_Exhibit68005cf3_c6ba_4eef_9e40_81b6d3bd6c9c" hidden="1">#REF!</definedName>
    <definedName name="Tigr_Exhibit6917a31f_63c8_478b_856a_29160ad7ea51" hidden="1">#REF!</definedName>
    <definedName name="Tigr_Exhibit6942afc8_116f_4db2_b62c_22556e1e5675" hidden="1">#REF!</definedName>
    <definedName name="Tigr_Exhibit699043c6_9efc_46ac_838e_759b652bb431" hidden="1">#REF!</definedName>
    <definedName name="Tigr_Exhibit6a00a33d_e76c_4bfb_a11f_a8f9fff59398" hidden="1">#REF!</definedName>
    <definedName name="Tigr_Exhibit6a96dcdb_15d2_41b1_8b83_24966febbddc" hidden="1">#REF!</definedName>
    <definedName name="Tigr_Exhibit6c2679a8_1be0_43b8_acdb_30d111466874" hidden="1">#REF!</definedName>
    <definedName name="Tigr_Exhibit6deae535_dd09_40d9_9f4f_2320fb9005c7" hidden="1">#REF!</definedName>
    <definedName name="Tigr_Exhibit6e7e60af_7d15_44df_bf0b_ed1cffb21e51" hidden="1">#REF!</definedName>
    <definedName name="Tigr_Exhibit6f6effb9_378d_4435_8df6_518e51927610" hidden="1">#REF!</definedName>
    <definedName name="Tigr_Exhibit710664cd_a092_4a91_96b8_a3d2050de745" hidden="1">#REF!</definedName>
    <definedName name="Tigr_Exhibit715a2b62_4a25_4ee4_bf56_7c9ff7bc83aa" hidden="1">#REF!</definedName>
    <definedName name="Tigr_Exhibit723ef4c1_b455_47c7_b2c7_22b59da032fc" hidden="1">#REF!</definedName>
    <definedName name="Tigr_Exhibit7269051e_fa8e_4bd1_9f03_df32c866cae5" hidden="1">#REF!</definedName>
    <definedName name="Tigr_Exhibit72fdd1cc_e46e_44f0_981e_457a0feb9fb3" hidden="1">#REF!</definedName>
    <definedName name="Tigr_Exhibit750438a4_da90_434d_9f40_a36c07e13057" hidden="1">#REF!</definedName>
    <definedName name="Tigr_Exhibit751cbace_d298_40ba_8b43_785bb5b6e37f" hidden="1">#REF!</definedName>
    <definedName name="Tigr_Exhibit753ecb69_ad3a_49e6_8663_bebd5db383f7" hidden="1">#REF!</definedName>
    <definedName name="Tigr_Exhibit75491141_6537_43f5_9b83_6864ae6c4456" hidden="1">#REF!</definedName>
    <definedName name="Tigr_Exhibit75ac3069_fea9_486f_9a08_ad0eca635c6c" hidden="1">#REF!</definedName>
    <definedName name="Tigr_Exhibit762abbc1_072c_4fec_acdb_4b4d65e1c8d1" hidden="1">#REF!</definedName>
    <definedName name="Tigr_Exhibit76627641_f80c_40f0_b33a_757b65da44a8" hidden="1">#REF!</definedName>
    <definedName name="Tigr_Exhibit774a35a0_0366_40f7_8202_199b4e84d186" hidden="1">#REF!</definedName>
    <definedName name="Tigr_Exhibit784ef638_abd4_4d80_a97a_5ea2bd5338ad" hidden="1">#REF!</definedName>
    <definedName name="Tigr_Exhibit786235c4_9096_42b8_a4e7_405d84c5f7a7" hidden="1">#REF!</definedName>
    <definedName name="Tigr_Exhibit79ba7c91_c001_4d93_b17d_8f819b3edcc7" hidden="1">#REF!</definedName>
    <definedName name="Tigr_Exhibit7a21d018_bbb7_458d_8ce1_bf9927dc8462" hidden="1">#REF!</definedName>
    <definedName name="Tigr_Exhibit7a698dc2_7c37_47bb_8261_e3f14117d966" hidden="1">#REF!</definedName>
    <definedName name="Tigr_Exhibit7ad06177_87e8_463c_b9d3_03cefe48ba5b" hidden="1">#REF!</definedName>
    <definedName name="Tigr_Exhibit7c035afe_08a8_4560_afdb_adca4fd1a9cd" hidden="1">#REF!</definedName>
    <definedName name="Tigr_Exhibit7c0449c7_dea1_47fd_9995_25b9c39bdf88" hidden="1">#REF!</definedName>
    <definedName name="Tigr_Exhibit7c53ffb6_11b2_47fc_ae02_7828f1e4e1a4" hidden="1">#REF!</definedName>
    <definedName name="Tigr_Exhibit7d69b849_4a34_4953_8988_cd44d4f03524" hidden="1">#REF!</definedName>
    <definedName name="Tigr_Exhibit7dbde956_1d83_46be_8ae0_59714f9f8ac6" hidden="1">#REF!</definedName>
    <definedName name="Tigr_Exhibit7e3d15ba_90c7_43bd_9115_fe82e938a54a" hidden="1">#REF!</definedName>
    <definedName name="Tigr_Exhibit7ed5de38_a5c9_4c53_b35d_dadcf86f3fdb" hidden="1">#REF!</definedName>
    <definedName name="Tigr_Exhibit8061f099_6007_4064_8051_6a9f331d97fe" hidden="1">#REF!</definedName>
    <definedName name="Tigr_Exhibit810ef529_3a58_4330_97a0_69829771bdcd" hidden="1">#REF!</definedName>
    <definedName name="Tigr_Exhibit81647a63_c20a_436c_9df3_8b6339201aed" hidden="1">#REF!</definedName>
    <definedName name="Tigr_Exhibit831d264a_a123_4f7c_bddb_a8250fc2c395" hidden="1">#REF!</definedName>
    <definedName name="Tigr_Exhibit836329e2_c455_47bc_b401_7c12b9d26b2b" hidden="1">#REF!</definedName>
    <definedName name="Tigr_Exhibit843bdcae_15b2_4f07_8448_f86deda6a984" hidden="1">#REF!</definedName>
    <definedName name="Tigr_Exhibit84eac13a_9a87_4f6e_b5c6_c0b1f8b20cc0" hidden="1">#REF!</definedName>
    <definedName name="Tigr_Exhibit8530e52f_4f35_4c6a_b977_d470d6c8ac7b" hidden="1">#REF!</definedName>
    <definedName name="Tigr_Exhibit86d997ca_6148_43bb_bc48_7aefe5663e8d" hidden="1">#REF!</definedName>
    <definedName name="Tigr_Exhibit87638e31_8199_48dd_aea5_2158506508b1" hidden="1">#REF!</definedName>
    <definedName name="Tigr_Exhibit87ba69bf_78e2_4de8_b7f8_25be4f0f8e34" hidden="1">#REF!</definedName>
    <definedName name="Tigr_Exhibit87eac385_a372_493b_9677_c4cca6597c20" hidden="1">#REF!</definedName>
    <definedName name="Tigr_Exhibit88a4b820_cb7b_4f8f_9817_4c0f0a6c95cd" hidden="1">#REF!</definedName>
    <definedName name="Tigr_Exhibit89291265_cb01_4ac2_aa4c_2f4ec85d75ed" hidden="1">#REF!</definedName>
    <definedName name="Tigr_Exhibit897e0188_d4cc_4558_a914_e2a82338f360" hidden="1">#REF!</definedName>
    <definedName name="Tigr_Exhibit8bb5ffb5_c39b_46d0_b24d_78cff2d57284" hidden="1">#REF!</definedName>
    <definedName name="Tigr_Exhibit8d8df5d0_f39c_4b28_8253_364877bb2b28" hidden="1">#REF!</definedName>
    <definedName name="Tigr_Exhibit8e3e3fbb_c91d_4d0c_98b3_d26708f0e66f" hidden="1">#REF!</definedName>
    <definedName name="Tigr_Exhibit8e587bf7_48d0_4bcf_bc77_74442a67fda6" hidden="1">#REF!</definedName>
    <definedName name="Tigr_Exhibit8f5a2d82_8c69_46fa_b032_347d87c93556" hidden="1">#REF!</definedName>
    <definedName name="Tigr_Exhibit8f7d6b23_b939_4339_aa39_aa088e303624" hidden="1">#REF!</definedName>
    <definedName name="Tigr_Exhibit901b50de_f936_4fd9_9a18_c167cf732d16" hidden="1">#REF!</definedName>
    <definedName name="Tigr_Exhibit92130b36_66da_467d_9ffc_397894202987" hidden="1">#REF!</definedName>
    <definedName name="Tigr_Exhibit921ff98e_bd5c_4f6a_82e1_aaaab8112ab5" hidden="1">#REF!</definedName>
    <definedName name="Tigr_Exhibit92bc3c24_9286_49c9_8b1e_4aadfd3ad4cd" hidden="1">#REF!</definedName>
    <definedName name="Tigr_Exhibit92c4658d_b692_428b_975e_638f359b03a7" hidden="1">#REF!</definedName>
    <definedName name="Tigr_Exhibit9361a43d_1834_4410_9269_8fddebad083b" hidden="1">#REF!</definedName>
    <definedName name="Tigr_Exhibit93682593_eb91_4857_8ea9_2ac564850c30" hidden="1">#REF!</definedName>
    <definedName name="Tigr_Exhibit94117c1f_a7c0_4200_87ce_a9041889b0ab" hidden="1">#REF!</definedName>
    <definedName name="Tigr_Exhibit943ddaf3_33ad_4afb_861e_22c06a82db62" hidden="1">#REF!</definedName>
    <definedName name="Tigr_Exhibit948dedd7_7431_4359_b561_87761394c9ca" hidden="1">#REF!</definedName>
    <definedName name="Tigr_Exhibit94b94cd8_6b66_4582_9596_35cd26f3ae4e" hidden="1">#REF!</definedName>
    <definedName name="Tigr_Exhibit970b26f9_9db6_406c_874e_8208c4ca32aa" hidden="1">#REF!</definedName>
    <definedName name="Tigr_Exhibit972c9192_b1f0_41d9_85fe_bbdde1439bfe" hidden="1">#REF!</definedName>
    <definedName name="Tigr_Exhibit973245d5_2362_42f7_b27a_e8ec2920304c" hidden="1">#REF!</definedName>
    <definedName name="Tigr_Exhibit97530b74_b82b_4331_8ace_aa039810b66e" hidden="1">#REF!</definedName>
    <definedName name="Tigr_Exhibit98eb5f5a_f103_4b27_a6dd_54e91daa7534" hidden="1">#REF!</definedName>
    <definedName name="Tigr_Exhibit9914bba5_3030_407b_8a4c_609ab28f5528" hidden="1">#REF!</definedName>
    <definedName name="Tigr_Exhibit99ca04e0_b8c0_4120_8827_dcf3bc1a7aa2" hidden="1">#REF!</definedName>
    <definedName name="Tigr_Exhibit9d2decde_7311_4d37_b86a_fc658438d57a" hidden="1">#REF!</definedName>
    <definedName name="Tigr_Exhibit9d875904_2fd4_46ec_89f7_9919fdb29ebc" hidden="1">#REF!</definedName>
    <definedName name="Tigr_Exhibit9d89ccda_a4e3_49cf_b667_285b95cbdb1a" hidden="1">#REF!</definedName>
    <definedName name="Tigr_Exhibit9dead8ed_66cb_43b2_9c12_d34230cd2f5b" hidden="1">#REF!</definedName>
    <definedName name="Tigr_Exhibit9e0c6f23_cefe_4ac2_ac4d_a809cc2f5f5e" hidden="1">#REF!</definedName>
    <definedName name="Tigr_Exhibit9ee8c01b_4119_4331_a875_bfa3122d06b0" hidden="1">#REF!</definedName>
    <definedName name="Tigr_Exhibit9f549e5b_9f8b_4cfa_bf3e_d637fcb256e3" hidden="1">#REF!</definedName>
    <definedName name="Tigr_Exhibit9ff26557_124b_4420_8f9b_bcd5662d1275" hidden="1">#REF!</definedName>
    <definedName name="Tigr_Exhibita0cb4acf_a2bc_4839_813d_e903d617d5f5" hidden="1">#REF!</definedName>
    <definedName name="Tigr_Exhibita2b2bbe0_8dba_4772_a43b_dda2caa808e8" hidden="1">#REF!</definedName>
    <definedName name="Tigr_Exhibita2bf8949_7672_406d_b80b_252f5efab730" hidden="1">#REF!</definedName>
    <definedName name="Tigr_Exhibita38c6276_75ee_4c8e_8507_2580e7b65ea1" hidden="1">#REF!</definedName>
    <definedName name="Tigr_Exhibita4617247_92a8_4c65_ac13_db7ba1c50483" hidden="1">#REF!</definedName>
    <definedName name="Tigr_Exhibita52e296d_2f9d_4730_bf7c_f6b284dbebed" hidden="1">#REF!</definedName>
    <definedName name="Tigr_Exhibita5619537_065a_43c9_a18b_b86d987d80aa" hidden="1">#REF!</definedName>
    <definedName name="Tigr_Exhibita5dc594f_fd6c_459f_bf7a_64c2a399beac" hidden="1">#REF!</definedName>
    <definedName name="Tigr_Exhibita7187608_f2f7_453f_a662_cc3fe74fbd91" hidden="1">#REF!</definedName>
    <definedName name="Tigr_Exhibita7759e47_cabd_4bf1_bf62_0c8cfb2dd88c" hidden="1">#REF!</definedName>
    <definedName name="Tigr_Exhibita9555099_8463_4e86_91d3_cb9a148d305d" hidden="1">#REF!</definedName>
    <definedName name="Tigr_Exhibita9bd6bf0_d13f_4632_92d4_2692791a89c5" hidden="1">#REF!</definedName>
    <definedName name="Tigr_Exhibitab784c45_5957_437e_a8a8_f30cb9383477" hidden="1">#REF!</definedName>
    <definedName name="Tigr_Exhibitacd94442_662c_4e02_8a10_71dd42ff1967" hidden="1">#REF!</definedName>
    <definedName name="Tigr_Exhibitad2f017d_fe82_4f5f_8daf_172b365fd341" hidden="1">#REF!</definedName>
    <definedName name="Tigr_Exhibitad6f23e4_eef8_4b8a_b3f7_4c4699689a6e" hidden="1">#REF!</definedName>
    <definedName name="Tigr_Exhibitade7b5f8_0b8c_4b33_ade9_3ab794482b59" hidden="1">#REF!</definedName>
    <definedName name="Tigr_Exhibitae97dc6c_ab4a_4d87_b98a_de2865aa5a36" hidden="1">#REF!</definedName>
    <definedName name="Tigr_Exhibitaead0cd9_1e12_47fc_bffd_a17cf72599c1" hidden="1">#REF!</definedName>
    <definedName name="Tigr_Exhibitaef4f47c_83d3_40d1_a5d5_a7b95a9658a7" hidden="1">#REF!</definedName>
    <definedName name="Tigr_Exhibitaf2114a2_372e_4753_aa38_02ba4b164b7d" hidden="1">#REF!</definedName>
    <definedName name="Tigr_Exhibitb1a5c13f_0c6d_464f_b3b8_9c3c722e4f2e" hidden="1">#REF!</definedName>
    <definedName name="Tigr_Exhibitb24cb3a3_5172_4ab1_8282_c619128671db" hidden="1">#REF!</definedName>
    <definedName name="Tigr_Exhibitb2988a22_87d4_4ae2_8f5f_65f65b01c9c2" hidden="1">#REF!</definedName>
    <definedName name="Tigr_Exhibitb4ab382b_cc3a_44bb_8ca0_7874d1787928" hidden="1">#REF!</definedName>
    <definedName name="Tigr_Exhibitb5d49a68_1b64_4c92_82d8_94c3e39249ff" hidden="1">#REF!</definedName>
    <definedName name="Tigr_Exhibitb6394b09_961a_4816_864b_fa5f7bbd0ef6" hidden="1">#REF!</definedName>
    <definedName name="Tigr_Exhibitb6d39734_9ebf_4a58_9917_ae8eb4ba9b23" hidden="1">#REF!</definedName>
    <definedName name="Tigr_Exhibitb8671de9_b65c_45da_bc3c_d2d5d4bc2b80" hidden="1">#REF!</definedName>
    <definedName name="Tigr_Exhibitb9e2d50c_8fd7_4436_9891_1e7a91d14f73" hidden="1">#REF!</definedName>
    <definedName name="Tigr_Exhibitba3a70f2_5a83_407a_bc2c_68bc48759b5e" hidden="1">#REF!</definedName>
    <definedName name="Tigr_Exhibitbb70490e_7882_441a_8baa_7842c9d97273" hidden="1">#REF!</definedName>
    <definedName name="Tigr_Exhibitbbb319f5_227d_4636_9509_3251f9f6dbb3" hidden="1">#REF!</definedName>
    <definedName name="Tigr_Exhibitbbe58ab3_473f_4d07_bc16_dfef58506d05" hidden="1">#REF!</definedName>
    <definedName name="Tigr_Exhibitbc7e386d_bb9f_4326_ab97_dd6acdc2b3d0" hidden="1">#REF!</definedName>
    <definedName name="Tigr_Exhibitbda9b313_b8ee_49f3_9869_a3978ce333f1" hidden="1">#REF!</definedName>
    <definedName name="Tigr_Exhibitc0984b3e_eb24_4c8a_9903_6c3910497ffd" hidden="1">#REF!</definedName>
    <definedName name="Tigr_Exhibitc10b79d2_10d1_4eb6_8cd8_8b1714cc5862" hidden="1">#REF!</definedName>
    <definedName name="Tigr_Exhibitc177466e_4fac_4940_af0f_de84c9527ca4" hidden="1">#REF!</definedName>
    <definedName name="Tigr_Exhibitc3427354_501a_4f67_8059_60b86d1903cf" hidden="1">#REF!</definedName>
    <definedName name="Tigr_Exhibitc4a7fa99_bf08_41fc_b8b3_e01e8b07a146" hidden="1">#REF!</definedName>
    <definedName name="Tigr_Exhibitc51b54ee_90d9_4476_80af_3eb44bb31c4d" hidden="1">#REF!</definedName>
    <definedName name="Tigr_Exhibitc67f68c2_49e1_40b6_84ef_4d97343b7cc8" hidden="1">#REF!</definedName>
    <definedName name="Tigr_Exhibitc6c453e9_829e_414e_9966_d9417e73fa54" hidden="1">#REF!</definedName>
    <definedName name="Tigr_Exhibitc6fe6cfc_3130_45d2_98fb_d1b209d3e00e" hidden="1">#REF!</definedName>
    <definedName name="Tigr_Exhibitc7137394_fbaa_47fb_9461_fcd92bf76721" hidden="1">#REF!</definedName>
    <definedName name="Tigr_Exhibitc7143719_1942_4b43_9602_0eee293c0a44" hidden="1">#REF!</definedName>
    <definedName name="Tigr_Exhibitc749c80e_6fca_49b9_9a81_80aa44b024e0" hidden="1">#REF!</definedName>
    <definedName name="Tigr_Exhibitc7b34e55_b80c_4646_bd53_fa450ea7cbc1" hidden="1">#REF!</definedName>
    <definedName name="Tigr_Exhibitc81bb838_0e67_4f66_9529_ff1a5a1ce04a" hidden="1">#REF!</definedName>
    <definedName name="Tigr_Exhibitc86f54db_909f_47e4_9a50_82f6e9e02f01" hidden="1">#REF!</definedName>
    <definedName name="Tigr_Exhibitc8f89a9f_d7e0_4a8e_82d4_8ec372c02ac8" hidden="1">#REF!</definedName>
    <definedName name="Tigr_Exhibitc91c3de1_3633_4ea2_88e8_eee84aea9f56" hidden="1">#REF!</definedName>
    <definedName name="Tigr_Exhibitc92a4f3d_2eee_436a_8da1_0b05b80d8cb6" hidden="1">#REF!</definedName>
    <definedName name="Tigr_Exhibitc92deff5_6b3a_4370_a4ad_e4e351cf3d3e" hidden="1">#REF!</definedName>
    <definedName name="Tigr_Exhibitc952fb6e_73b8_4eaf_a784_25ba93e9ceb2" hidden="1">#REF!</definedName>
    <definedName name="Tigr_Exhibitca6ea73b_a0af_4802_aeaf_9bd154d86bfe" hidden="1">#REF!</definedName>
    <definedName name="Tigr_Exhibitca72af8a_4fa2_496b_a7e1_9fab2a6c8e6f" hidden="1">#REF!</definedName>
    <definedName name="Tigr_Exhibitcb87112a_9234_4443_8a13_145849a695f0" hidden="1">#REF!</definedName>
    <definedName name="Tigr_Exhibitcd021188_f161_47a7_ae95_b656993b9228" hidden="1">#REF!</definedName>
    <definedName name="Tigr_Exhibitcd04c04a_4947_4003_be57_9f354be5185c" hidden="1">#REF!</definedName>
    <definedName name="Tigr_Exhibitcd481f79_27ae_4da9_a272_4812c5f6b4c0" hidden="1">#REF!</definedName>
    <definedName name="Tigr_Exhibitcdbfa897_055f_4af6_af17_54824b57deee" hidden="1">#REF!</definedName>
    <definedName name="Tigr_Exhibitce3ac541_3518_48a7_bec6_a509bd23c44a" hidden="1">#REF!</definedName>
    <definedName name="Tigr_Exhibitd1eb7957_5b03_4407_a36f_f216eda38b64" hidden="1">#REF!</definedName>
    <definedName name="Tigr_Exhibitd28bc345_5b7a_4649_8849_bfc26501e81d" hidden="1">#REF!</definedName>
    <definedName name="Tigr_Exhibitd48223ed_c866_4ceb_a5e5_bfca7a067198" hidden="1">#REF!</definedName>
    <definedName name="Tigr_Exhibitd4fda5a6_43f9_4092_9368_604c41fd0102" hidden="1">#REF!</definedName>
    <definedName name="Tigr_Exhibitd512de92_1593_4f5a_bca3_6ce61c839838" hidden="1">#REF!</definedName>
    <definedName name="Tigr_Exhibitd5bd8681_1fc8_4a05_9dec_89a0b895d78a" hidden="1">#REF!</definedName>
    <definedName name="Tigr_Exhibitd6af37b3_0882_41ba_83d0_5ef05096bef3" hidden="1">#REF!</definedName>
    <definedName name="Tigr_Exhibitd6dd7f13_9e29_49ff_ba23_eca1febb38a8" hidden="1">#REF!</definedName>
    <definedName name="Tigr_Exhibitd77f2a75_49de_42df_add6_95a481977b3e" hidden="1">#REF!</definedName>
    <definedName name="Tigr_Exhibitd88169c1_d1c7_479f_9510_6e6cb220dd31" hidden="1">#REF!</definedName>
    <definedName name="Tigr_Exhibitd900c04b_3feb_4131_8dab_40bad846ef89" hidden="1">#REF!</definedName>
    <definedName name="Tigr_Exhibitd95050e4_1b29_45b5_845d_62d321756d50" hidden="1">#REF!</definedName>
    <definedName name="Tigr_Exhibitda2fced5_33c5_4640_bc29_9c74e0c7b819" hidden="1">#REF!</definedName>
    <definedName name="Tigr_Exhibitdae4980b_daac_4c79_9293_5be844c130d6" hidden="1">#REF!</definedName>
    <definedName name="Tigr_Exhibitdcc25acd_09ce_430c_9828_5d37acfea755" hidden="1">#REF!</definedName>
    <definedName name="Tigr_Exhibitdef66c5a_8b51_4a24_b0c6_e4ec2ace4328" hidden="1">#REF!</definedName>
    <definedName name="Tigr_Exhibitdf133e85_3fbd_49bd_a843_6a5a350b1fa9" hidden="1">#REF!</definedName>
    <definedName name="Tigr_Exhibitdf638546_6101_4574_bfad_b618f6a78f23" hidden="1">#REF!</definedName>
    <definedName name="Tigr_Exhibitdf8e65b8_12a2_41ed_abf7_30e4dd9f7f6a" hidden="1">#REF!</definedName>
    <definedName name="Tigr_Exhibitdfff741d_9d43_4e75_a35c_43b9b53147d4" hidden="1">#REF!</definedName>
    <definedName name="Tigr_Exhibite083a5c8_b867_4aae_a87a_3552d2a99310" hidden="1">#REF!</definedName>
    <definedName name="Tigr_Exhibite2a86bfd_8784_4441_880e_2532c8226d0c" hidden="1">#REF!</definedName>
    <definedName name="Tigr_Exhibite380c7f5_8e28_4974_bb0c_50fb22b5edb3" hidden="1">#REF!</definedName>
    <definedName name="Tigr_Exhibite3868ea5_8c4a_4ccc_baf1_729df3d9ce05" hidden="1">#REF!</definedName>
    <definedName name="Tigr_Exhibite3ab0307_ad04_45ff_bc3f_16fba1fdcab9" hidden="1">#REF!</definedName>
    <definedName name="Tigr_Exhibite521152f_119e_454c_8b61_b6cd14ae0b75" hidden="1">#REF!</definedName>
    <definedName name="Tigr_Exhibite6763867_a069_4d38_a455_2f4079638686" hidden="1">#REF!</definedName>
    <definedName name="Tigr_Exhibite6f2e0fb_7807_4128_84e1_f5e747b54d9d" hidden="1">#REF!</definedName>
    <definedName name="Tigr_Exhibite7e0b77a_6ffd_48c6_bc54_e6adc938ad3c" hidden="1">#REF!</definedName>
    <definedName name="Tigr_Exhibite91b9dbe_b931_40b5_a3a5_f6f815e9f2e4" hidden="1">#REF!</definedName>
    <definedName name="Tigr_Exhibite9ed9e9d_b84d_44ab_97a5_1c75161505d1" hidden="1">#REF!</definedName>
    <definedName name="Tigr_Exhibitec7074db_0263_4cec_8290_0ee702a5775a" hidden="1">#REF!</definedName>
    <definedName name="Tigr_Exhibiteccfea67_12c5_4bfc_afca_f86b07b035c5" hidden="1">#REF!</definedName>
    <definedName name="Tigr_Exhibitee4e1e4b_8934_42e4_a8ca_649345512bbb" hidden="1">#REF!</definedName>
    <definedName name="Tigr_Exhibiteeb8e9e7_09d3_4e47_9773_a0ff9808e16e" hidden="1">#REF!</definedName>
    <definedName name="Tigr_Exhibitef321770_f125_4a70_b88b_11615d986fad" hidden="1">#REF!</definedName>
    <definedName name="Tigr_Exhibitf0071001_59af_40e6_8dd2_5ae866be5c79" hidden="1">#REF!</definedName>
    <definedName name="Tigr_Exhibitf06cc5ac_7882_4e3d_aa8f_e678ffe67cef" hidden="1">#REF!</definedName>
    <definedName name="Tigr_Exhibitf24a2b29_a1fe_4dcb_a567_f8e827a728a4" hidden="1">#REF!</definedName>
    <definedName name="Tigr_Exhibitf3282339_37ab_4f11_bbbf_1d5712170ffe" hidden="1">#REF!</definedName>
    <definedName name="Tigr_Exhibitf3348db5_b3c0_477c_a30a_4ef19e605316" hidden="1">#REF!</definedName>
    <definedName name="Tigr_Exhibitf49d36ee_74ba_4130_82ea_2df30ce41302" hidden="1">#REF!</definedName>
    <definedName name="Tigr_Exhibitf4b8ba6d_4cc9_4f20_82d9_ec5860954630" hidden="1">#REF!</definedName>
    <definedName name="Tigr_Exhibitf5786923_b99b_4379_ad51_ecf9d73b3914" hidden="1">#REF!</definedName>
    <definedName name="Tigr_Exhibitf59a6613_45af_47f7_bd1a_a09058bd14c3" hidden="1">#REF!</definedName>
    <definedName name="Tigr_Exhibitf6facee9_33bf_45df_af6d_9f1daa52fabc" hidden="1">#REF!</definedName>
    <definedName name="Tigr_Exhibitf7301b40_464c_4113_9f59_09b69e83bb67" hidden="1">#REF!</definedName>
    <definedName name="Tigr_Exhibitf769ea8e_6d9e_47b4_878a_52d3cd1a3276" hidden="1">#REF!</definedName>
    <definedName name="Tigr_Exhibitf76b93d0_dbfe_4c08_8d41_15c3a0fe02ad" hidden="1">#REF!</definedName>
    <definedName name="Tigr_Exhibitf78421ca_b15c_4c88_8a08_7724f11556a6" hidden="1">#REF!</definedName>
    <definedName name="Tigr_Exhibitf81d320d_ba0c_47a9_9c1f_408da91523dd" hidden="1">#REF!</definedName>
    <definedName name="Tigr_Exhibitf85257b6_bb45_4adf_9f69_3531b239b7df" hidden="1">#REF!</definedName>
    <definedName name="Tigr_Exhibitfa2e8c14_c524_42f3_a96b_66dcf9a3806a" hidden="1">#REF!</definedName>
    <definedName name="Tigr_Exhibitfa349244_459e_483a_bb7e_a104ea1e2c8f" hidden="1">#REF!</definedName>
    <definedName name="Tigr_Exhibitfa9152ea_c184_41e1_a6c7_94d3a1f8c41e" hidden="1">#REF!</definedName>
    <definedName name="Tigr_Exhibitfb13fbfa_6e1b_405c_a7e9_327d622ed234" hidden="1">#REF!</definedName>
    <definedName name="Tigr_Exhibitfb94b7f9_f598_466f_89e6_cdc8a9fcd922" hidden="1">#REF!</definedName>
    <definedName name="Tigr_Exhibitfc238b73_8d32_490c_a87d_0942efdf4ce9" hidden="1">#REF!</definedName>
    <definedName name="Tigr_Exhibitfc57c0d9_9b24_4484_ac62_b490f38a9dcc" hidden="1">#REF!</definedName>
    <definedName name="Tigr_Exhibitfc81614b_9a2e_40e1_baf9_642f8276df83" hidden="1">#REF!</definedName>
    <definedName name="Tigr_Exhibitfcab80ad_1da4_4cc0_a35f_c07080c23332" hidden="1">#REF!</definedName>
    <definedName name="Tigr_Exhibitfce4949f_19b1_4ffc_9ccd_96987401c6cb" hidden="1">#REF!</definedName>
    <definedName name="tim">#REF!</definedName>
    <definedName name="TIM_AdjustedEV">#REF!</definedName>
    <definedName name="TIM_AssociatesMinorities">#REF!</definedName>
    <definedName name="TIM_UnleveredFCF">#REF!</definedName>
    <definedName name="TimePeriodType">#REF!</definedName>
    <definedName name="TimeProdpr">#REF!</definedName>
    <definedName name="timestamp">#REF!</definedName>
    <definedName name="tin">#REF!</definedName>
    <definedName name="title">'[53]#REF'!#REF!</definedName>
    <definedName name="Titre">#REF!</definedName>
    <definedName name="Tiwai_Point">#REF!</definedName>
    <definedName name="TKCL_AdjustedEV">#REF!</definedName>
    <definedName name="TKCL_AssociatesMinorities">#REF!</definedName>
    <definedName name="TKCL_UnleveredFCF">#REF!</definedName>
    <definedName name="TLAB_10q_div">#REF!</definedName>
    <definedName name="TLAB_10q_shares">#REF!</definedName>
    <definedName name="tlab_5_yr_est">#REF!</definedName>
    <definedName name="tlab_52_wk">#REF!</definedName>
    <definedName name="TLAB_bk_cap">#REF!</definedName>
    <definedName name="TLAB_bk_equity">#REF!</definedName>
    <definedName name="TLAB_bs_conv_debt">#REF!</definedName>
    <definedName name="TLAB_bs_min_int">#REF!</definedName>
    <definedName name="TLAB_bs_pref">#REF!</definedName>
    <definedName name="TLAB_cash">#REF!</definedName>
    <definedName name="TLAB_code">#REF!</definedName>
    <definedName name="TLAB_conv_debt_pr">#REF!</definedName>
    <definedName name="TLAB_conv_pref_pr">#REF!</definedName>
    <definedName name="tlab_curr">#REF!</definedName>
    <definedName name="TLAB_dil_shares">#REF!</definedName>
    <definedName name="tlab_eps00">#REF!</definedName>
    <definedName name="tlab_eps98">#REF!</definedName>
    <definedName name="tlab_eps99">#REF!</definedName>
    <definedName name="TLAB_equity_mcap">#REF!</definedName>
    <definedName name="TLAB_fin_date">#REF!</definedName>
    <definedName name="TLAB_hist_d">#REF!</definedName>
    <definedName name="TLAB_hst_a">#REF!</definedName>
    <definedName name="TLAB_hst_cogs">#REF!</definedName>
    <definedName name="TLAB_hst_ebit">#REF!</definedName>
    <definedName name="TLAB_hst_ebt">#REF!</definedName>
    <definedName name="TLAB_hst_eps">#REF!</definedName>
    <definedName name="TLAB_hst_inc_b_m">#REF!</definedName>
    <definedName name="TLAB_hst_r_d">#REF!</definedName>
    <definedName name="TLAB_hst_rev">#REF!</definedName>
    <definedName name="TLAB_hst_sg_a">#REF!</definedName>
    <definedName name="TLAB_lev_mcap">#REF!</definedName>
    <definedName name="TLAB_LQ_ni">#REF!</definedName>
    <definedName name="TLAB_LQ_rev">#REF!</definedName>
    <definedName name="TLAB_lt_debt">#REF!</definedName>
    <definedName name="TLAB_ltm_a">#REF!</definedName>
    <definedName name="TLAB_ltm_cap_ex">#REF!</definedName>
    <definedName name="TLAB_ltm_cogs">#REF!</definedName>
    <definedName name="TLAB_ltm_csh_int">#REF!</definedName>
    <definedName name="TLAB_ltm_d">#REF!</definedName>
    <definedName name="TLAB_ltm_ebit">#REF!</definedName>
    <definedName name="TLAB_ltm_ebt">#REF!</definedName>
    <definedName name="TLAB_ltm_inc_b_m">#REF!</definedName>
    <definedName name="TLAB_ltm_int">#REF!</definedName>
    <definedName name="TLAB_ltm_min_int">#REF!</definedName>
    <definedName name="TLAB_ltm_pref_div">#REF!</definedName>
    <definedName name="TLAB_ltm_r_d">#REF!</definedName>
    <definedName name="TLAB_ltm_rev">#REF!</definedName>
    <definedName name="TLAB_ltm_sg_a">#REF!</definedName>
    <definedName name="TLAB_ltm_shares">#REF!</definedName>
    <definedName name="TLAB_ltm_tax">#REF!</definedName>
    <definedName name="TLAB_ltm_tax_rate">#REF!</definedName>
    <definedName name="TLAB_name">#REF!</definedName>
    <definedName name="TLAB_o_debt_1">#REF!</definedName>
    <definedName name="TLAB_o_debt_2">#REF!</definedName>
    <definedName name="TLAB_o_debt_3">#REF!</definedName>
    <definedName name="TLAB_option_n">#REF!</definedName>
    <definedName name="TLAB_option_pr">#REF!</definedName>
    <definedName name="TLAB_pq_ni">#REF!</definedName>
    <definedName name="TLAB_pq_rev">#REF!</definedName>
    <definedName name="tlab_pr">#REF!</definedName>
    <definedName name="TLAB_shares">#REF!</definedName>
    <definedName name="tlab_ticker">#REF!</definedName>
    <definedName name="TLAB_total_dt">#REF!</definedName>
    <definedName name="TLAB_YQ_ni">#REF!</definedName>
    <definedName name="TLAB_YQ_rev">#REF!</definedName>
    <definedName name="tnd">#REF!</definedName>
    <definedName name="Today">#REF!</definedName>
    <definedName name="TOG">#REF!</definedName>
    <definedName name="Tomago">#REF!</definedName>
    <definedName name="Tongchuan">#REF!</definedName>
    <definedName name="Topics">#REF!</definedName>
    <definedName name="TOPO" hidden="1">#REF!</definedName>
    <definedName name="tot_debt">#REF!</definedName>
    <definedName name="tot_fd_shares_actual">#REF!</definedName>
    <definedName name="tot_fd_shares_over">#REF!</definedName>
    <definedName name="tot_fd_shares_sum_sec">#REF!</definedName>
    <definedName name="tot_mkt_cap_actual">#REF!</definedName>
    <definedName name="tot_mkt_cap_calc">#REF!</definedName>
    <definedName name="tot_mkt_cap_ext">#REF!</definedName>
    <definedName name="tot_ud_shares_actual">#REF!</definedName>
    <definedName name="tot_ud_shares_over">#REF!</definedName>
    <definedName name="tot_ud_shares_sum_sec">#REF!</definedName>
    <definedName name="Total_amort_fore">#REF!</definedName>
    <definedName name="Total_Amortization">#REF!</definedName>
    <definedName name="Total_Amortization_fore">#REF!</definedName>
    <definedName name="Total_Assets">#REF!</definedName>
    <definedName name="Total_Assets_AVG">#REF!</definedName>
    <definedName name="Total_Assets_CB">#REF!</definedName>
    <definedName name="Total_Assets_OB">#REF!</definedName>
    <definedName name="Total_Capex">#REF!</definedName>
    <definedName name="Total_Change_in_Provisions">#REF!</definedName>
    <definedName name="Total_COS">#REF!</definedName>
    <definedName name="Total_COS_fore">#REF!</definedName>
    <definedName name="Total_COS_growth_fore">#REF!</definedName>
    <definedName name="Total_COS_net_DnA_fore">#REF!</definedName>
    <definedName name="Total_cost_of_services">'[4]P&amp;L'!$B$44:$AH$44</definedName>
    <definedName name="Total_Current_Assets">#REF!</definedName>
    <definedName name="Total_Current_Liabilities">#REF!</definedName>
    <definedName name="Total_debt">#REF!</definedName>
    <definedName name="Total_debt_DCF">#REF!</definedName>
    <definedName name="Total_debt_fore">#REF!</definedName>
    <definedName name="Total_debt_growth_fore">#REF!</definedName>
    <definedName name="Total_Equities_Liabilities">#REF!</definedName>
    <definedName name="Total_EV">#REF!</definedName>
    <definedName name="Total_Increase_in_EEs_fore">#REF!</definedName>
    <definedName name="Total_Intangible_Fixed_Assets">#REF!</definedName>
    <definedName name="Total_investments_and_other_assets">#REF!</definedName>
    <definedName name="Total_Liabilities_and_Stockholders__Funds">#REF!</definedName>
    <definedName name="Total_Long_term_debt">#REF!</definedName>
    <definedName name="Total_maintenance_capex">#REF!</definedName>
    <definedName name="total_network_voice_mins">#REF!</definedName>
    <definedName name="Total_Operating_Cashflow">#REF!</definedName>
    <definedName name="Total_operating_expenses">'[4]P&amp;L'!$B$54:$AH$54</definedName>
    <definedName name="total_opex">#REF!</definedName>
    <definedName name="Total_other_assets">#REF!</definedName>
    <definedName name="Total_other_income__expense">'[4]P&amp;L'!$B$59:$AH$59</definedName>
    <definedName name="Total_provisions">#REF!</definedName>
    <definedName name="Total_revenues">'[36]P&amp;L'!$B$12:$Z$12</definedName>
    <definedName name="total_revenues_pretelstra">#REF!</definedName>
    <definedName name="Total_stockholders__equity">#REF!</definedName>
    <definedName name="Total_Tangible_Fixed_Assets">#REF!</definedName>
    <definedName name="Total_Value_to_Equity_Claims">#REF!</definedName>
    <definedName name="TotalAsset_Consol">#REF!</definedName>
    <definedName name="TotalDebt">#REF!</definedName>
    <definedName name="TotalDebt_Consol">#REF!</definedName>
    <definedName name="TotalReqs">#REF!</definedName>
    <definedName name="TotalTime">#REF!</definedName>
    <definedName name="totass">#REF!</definedName>
    <definedName name="totcap">#REF!</definedName>
    <definedName name="TOTDEBT">#REF!</definedName>
    <definedName name="TotWeeklyStoreSales">#REF!</definedName>
    <definedName name="Trace">FALSE</definedName>
    <definedName name="trailing_revs">#REF!</definedName>
    <definedName name="Transferred_to_Reserves">#REF!</definedName>
    <definedName name="transpo_tax">#REF!</definedName>
    <definedName name="trc_CFPSGROWTH5YR">#REF!</definedName>
    <definedName name="trc_CFPSGRWPRV5YR">#REF!</definedName>
    <definedName name="trc_CurFY">#REF!</definedName>
    <definedName name="trc_DIVGROWTH5YR">#REF!</definedName>
    <definedName name="trc_DIVGRWPRV5YR">#REF!</definedName>
    <definedName name="trc_DocID">#REF!</definedName>
    <definedName name="trc_EBITDAGROWTH5YR">#REF!</definedName>
    <definedName name="trc_EBITDAGRWPRV5YR">#REF!</definedName>
    <definedName name="trc_EBITNXT5">#REF!</definedName>
    <definedName name="trc_EBITPRV5">#REF!</definedName>
    <definedName name="trc_EPSGRWPRV5YR">#REF!</definedName>
    <definedName name="trc_Flavor">#REF!</definedName>
    <definedName name="trc_NETGROWTH5YR">#REF!</definedName>
    <definedName name="trc_NETGRWPRV5YR">#REF!</definedName>
    <definedName name="trc_QDType">#REF!</definedName>
    <definedName name="trc_RATING">#REF!</definedName>
    <definedName name="trc_ReleaseDate">#REF!</definedName>
    <definedName name="trc_REVGROWTH5YR">#REF!</definedName>
    <definedName name="trc_REVGRWPRV5YR">#REF!</definedName>
    <definedName name="trc_RISK">#REF!</definedName>
    <definedName name="trc_SHARESOUT">#REF!</definedName>
    <definedName name="trc_SHROUTGROWTH5YR">#REF!</definedName>
    <definedName name="trc_SHROUTGRWPRV5YR">#REF!</definedName>
    <definedName name="trc_submitter">#REF!</definedName>
    <definedName name="trc_submittername">#REF!</definedName>
    <definedName name="trc_TARGET">#REF!</definedName>
    <definedName name="trc_TemplateID">#REF!</definedName>
    <definedName name="trc_TEV">#REF!</definedName>
    <definedName name="trc_Ticker">#REF!</definedName>
    <definedName name="trc_Version">#REF!</definedName>
    <definedName name="trc_XLS_DATASHEET_ProtectDate">36895.4265625</definedName>
    <definedName name="trc_Y1">#REF!</definedName>
    <definedName name="trc_Y1COMMONEQ">#REF!</definedName>
    <definedName name="trc_Y1DILSHR">#REF!</definedName>
    <definedName name="trc_Y1DPS">#REF!</definedName>
    <definedName name="trc_Y1EBIT">#REF!</definedName>
    <definedName name="trc_Y1EBITDA">#REF!</definedName>
    <definedName name="trc_Y1FREE_CFPS">#REF!</definedName>
    <definedName name="trc_Y1LTDEBT">#REF!</definedName>
    <definedName name="trc_Y1NETINC">#REF!</definedName>
    <definedName name="trc_Y1Q1">#REF!</definedName>
    <definedName name="trc_Y1Q2">#REF!</definedName>
    <definedName name="trc_Y1Q3">#REF!</definedName>
    <definedName name="trc_Y1Q4">#REF!</definedName>
    <definedName name="trc_Y1REVENUE">#REF!</definedName>
    <definedName name="trc_Y1ROE">#REF!</definedName>
    <definedName name="trc_Y1TAXRATE">#REF!</definedName>
    <definedName name="trc_Y1Total">#REF!</definedName>
    <definedName name="trc_Y2">#REF!</definedName>
    <definedName name="trc_Y2COMMONEQ">#REF!</definedName>
    <definedName name="trc_Y2DILSHR">#REF!</definedName>
    <definedName name="trc_Y2DPS">#REF!</definedName>
    <definedName name="trc_Y2EBIT">#REF!</definedName>
    <definedName name="trc_Y2EBITDA">#REF!</definedName>
    <definedName name="trc_Y2FREE_CFPS">#REF!</definedName>
    <definedName name="trc_Y2LTDEBT">#REF!</definedName>
    <definedName name="trc_Y2NETINC">#REF!</definedName>
    <definedName name="trc_Y2Q1">#REF!</definedName>
    <definedName name="trc_Y2Q2">#REF!</definedName>
    <definedName name="trc_Y2Q3">#REF!</definedName>
    <definedName name="trc_Y2Q4">#REF!</definedName>
    <definedName name="trc_Y2REVENUE">#REF!</definedName>
    <definedName name="trc_Y2ROE">#REF!</definedName>
    <definedName name="trc_Y2TAXRATE">#REF!</definedName>
    <definedName name="trc_Y2Total">#REF!</definedName>
    <definedName name="trc_Y3">#REF!</definedName>
    <definedName name="trc_Y3COMMONEQ">#REF!</definedName>
    <definedName name="trc_Y3DILSHR">#REF!</definedName>
    <definedName name="trc_Y3DPS">#REF!</definedName>
    <definedName name="trc_Y3EBIT">#REF!</definedName>
    <definedName name="trc_Y3EBITDA">#REF!</definedName>
    <definedName name="trc_Y3FREE_CFPS">#REF!</definedName>
    <definedName name="trc_Y3LTDEBT">#REF!</definedName>
    <definedName name="trc_Y3NETINC">#REF!</definedName>
    <definedName name="trc_Y3Q1">#REF!</definedName>
    <definedName name="trc_Y3Q2">#REF!</definedName>
    <definedName name="trc_Y3Q3">#REF!</definedName>
    <definedName name="trc_Y3Q4">#REF!</definedName>
    <definedName name="trc_Y3REVENUE">#REF!</definedName>
    <definedName name="trc_Y3ROE">#REF!</definedName>
    <definedName name="trc_Y3TAXRATE">#REF!</definedName>
    <definedName name="trc_Y3Total">#REF!</definedName>
    <definedName name="trc_Y4">#REF!</definedName>
    <definedName name="trc_Y4COMMONEQ">#REF!</definedName>
    <definedName name="trc_Y4DILSHR">#REF!</definedName>
    <definedName name="trc_Y4DPS">#REF!</definedName>
    <definedName name="trc_Y4EBIT">#REF!</definedName>
    <definedName name="trc_Y4EBITDA">#REF!</definedName>
    <definedName name="trc_Y4FREE_CFPS">#REF!</definedName>
    <definedName name="trc_Y4LTDEBT">#REF!</definedName>
    <definedName name="trc_Y4NETINC">#REF!</definedName>
    <definedName name="trc_Y4Q1">#REF!</definedName>
    <definedName name="trc_Y4Q2">#REF!</definedName>
    <definedName name="trc_Y4Q3">#REF!</definedName>
    <definedName name="trc_Y4Q4">#REF!</definedName>
    <definedName name="trc_Y4REVENUE">#REF!</definedName>
    <definedName name="trc_Y4ROE">#REF!</definedName>
    <definedName name="trc_Y4TAXRATE">#REF!</definedName>
    <definedName name="trc_Y4Total">#REF!</definedName>
    <definedName name="tre">#REF!</definedName>
    <definedName name="Treasury_Shares">#REF!</definedName>
    <definedName name="TRES_1yrEPS">#REF!</definedName>
    <definedName name="TRES_2yrEPS">#REF!</definedName>
    <definedName name="TRES_52HIGH">#REF!</definedName>
    <definedName name="TRES_5YRGROWTH">#REF!</definedName>
    <definedName name="TRES_ASSET">#REF!</definedName>
    <definedName name="TRES_DEBT">#REF!</definedName>
    <definedName name="TRES_DIV">#REF!</definedName>
    <definedName name="TRES_INTANGIBLE">#REF!</definedName>
    <definedName name="TRES_LTMCAPEX">#REF!</definedName>
    <definedName name="TRES_LTMEBIT">#REF!</definedName>
    <definedName name="TRES_LTMEBITDA">#REF!</definedName>
    <definedName name="TRES_LTMINT">#REF!</definedName>
    <definedName name="TRES_LTMNI">#REF!</definedName>
    <definedName name="TRES_LTMREV">#REF!</definedName>
    <definedName name="TRES_min">#REF!</definedName>
    <definedName name="TRES_name">#REF!</definedName>
    <definedName name="TRES_netdebt">#REF!</definedName>
    <definedName name="TRES_PRICE">#REF!</definedName>
    <definedName name="TRES_SE">#REF!</definedName>
    <definedName name="TRES_share">#REF!</definedName>
    <definedName name="TRES_ticker">#REF!</definedName>
    <definedName name="Trial" hidden="1">#REF!</definedName>
    <definedName name="Triton">#REF!</definedName>
    <definedName name="TRIVOL">8</definedName>
    <definedName name="Troutdale">#REF!</definedName>
    <definedName name="TRX">#REF!</definedName>
    <definedName name="tspcap93">#REF!</definedName>
    <definedName name="tspcap94">#REF!</definedName>
    <definedName name="tspcap95">#REF!</definedName>
    <definedName name="tspcap96">#REF!</definedName>
    <definedName name="tspcap97">#REF!</definedName>
    <definedName name="tspcap98">#REF!</definedName>
    <definedName name="tspdda93">#REF!</definedName>
    <definedName name="tspdda94">#REF!</definedName>
    <definedName name="tspdda95">#REF!</definedName>
    <definedName name="tspdda96">#REF!</definedName>
    <definedName name="tspdda97">#REF!</definedName>
    <definedName name="tspdda98">#REF!</definedName>
    <definedName name="tspdfd93">#REF!</definedName>
    <definedName name="tspdfd94">#REF!</definedName>
    <definedName name="tspdfd95">#REF!</definedName>
    <definedName name="tspdfd96">#REF!</definedName>
    <definedName name="tspdfd97">#REF!</definedName>
    <definedName name="tspdfd98">#REF!</definedName>
    <definedName name="tspga93">#REF!</definedName>
    <definedName name="tspga94">#REF!</definedName>
    <definedName name="tspga95">#REF!</definedName>
    <definedName name="tspga96">#REF!</definedName>
    <definedName name="tspga97">#REF!</definedName>
    <definedName name="tspga98">#REF!</definedName>
    <definedName name="tspint93">#REF!</definedName>
    <definedName name="tspint94">#REF!</definedName>
    <definedName name="tspint95">#REF!</definedName>
    <definedName name="tspint96">#REF!</definedName>
    <definedName name="tspint97">#REF!</definedName>
    <definedName name="tspint98">#REF!</definedName>
    <definedName name="tspoth93">#REF!</definedName>
    <definedName name="tspoth94">#REF!</definedName>
    <definedName name="tspoth95">#REF!</definedName>
    <definedName name="tspoth96">#REF!</definedName>
    <definedName name="tspoth97">#REF!</definedName>
    <definedName name="tspoth98">#REF!</definedName>
    <definedName name="tsptax93">#REF!</definedName>
    <definedName name="tsptax94">#REF!</definedName>
    <definedName name="tsptax95">#REF!</definedName>
    <definedName name="tsptax96">#REF!</definedName>
    <definedName name="tsptax97">#REF!</definedName>
    <definedName name="tsptax98">#REF!</definedName>
    <definedName name="TulceaCapacity">#REF!</definedName>
    <definedName name="TURIU_1Q98">#REF!</definedName>
    <definedName name="TURL_1Q98">#REF!</definedName>
    <definedName name="TURL_2Q98">#REF!</definedName>
    <definedName name="turnemoff">#N/A</definedName>
    <definedName name="TV">[15]Summary!#REF!</definedName>
    <definedName name="TV_METH">[15]Summary!$H$17</definedName>
    <definedName name="TV_METH1">[15]Summary!$D$20</definedName>
    <definedName name="TV_METH2">[15]Summary!$D$21</definedName>
    <definedName name="TV_METH3">[15]Summary!$D$22</definedName>
    <definedName name="TV_METH4">[15]Summary!#REF!</definedName>
    <definedName name="TV_METH5">[15]Summary!$D$23</definedName>
    <definedName name="TVMETH1">[15]Summary!$D$20</definedName>
    <definedName name="TVMETH2">[15]Summary!$D$21</definedName>
    <definedName name="TVMETH3">[15]Summary!#REF!</definedName>
    <definedName name="tw_asia">#REF!</definedName>
    <definedName name="tw_nie">#REF!</definedName>
    <definedName name="TXW_pct">#N/A</definedName>
    <definedName name="type">#REF!</definedName>
    <definedName name="UBSNetIncome">#REF!</definedName>
    <definedName name="UD_index">#REF!</definedName>
    <definedName name="UKCash">#REF!</definedName>
    <definedName name="UKFX">#REF!</definedName>
    <definedName name="UKUS">#REF!</definedName>
    <definedName name="UL">"               "</definedName>
    <definedName name="Unconsolidated_subsids">#REF!</definedName>
    <definedName name="Unconsolidated_subsids_and_other_investments">#REF!</definedName>
    <definedName name="underline">"              "</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Range_11">#REF!</definedName>
    <definedName name="UniqueRange_12">#REF!</definedName>
    <definedName name="UniqueRange_13">#REF!</definedName>
    <definedName name="UniqueRange_14">#REF!</definedName>
    <definedName name="UniqueRange_15">#REF!</definedName>
    <definedName name="UniqueRange_16">#REF!</definedName>
    <definedName name="UniqueRange_2">#REF!</definedName>
    <definedName name="UniqueRange_3">#REF!</definedName>
    <definedName name="UniqueRange_4">#REF!</definedName>
    <definedName name="UniqueRange_5">#REF!</definedName>
    <definedName name="UniqueRange_6">#REF!</definedName>
    <definedName name="UniqueRange_7">#REF!</definedName>
    <definedName name="UniqueRange_8">#REF!</definedName>
    <definedName name="UniqueRange_9">#REF!</definedName>
    <definedName name="unit">1000000</definedName>
    <definedName name="Unit_HYR">#REF!</definedName>
    <definedName name="Unit_QTR">#REF!</definedName>
    <definedName name="Unit_YR">#REF!</definedName>
    <definedName name="United_States_Breakdown__1990_1998E">#REF!</definedName>
    <definedName name="UnitedKingdom">#REF!</definedName>
    <definedName name="UNITS">#REF!</definedName>
    <definedName name="UNPH_10q_div">#REF!</definedName>
    <definedName name="UNPH_10q_shares">#REF!</definedName>
    <definedName name="UNPH_5_yr_est">#REF!</definedName>
    <definedName name="UNPH_52_wk">#REF!</definedName>
    <definedName name="UNPH_bk_cap">#REF!</definedName>
    <definedName name="UNPH_bk_equity">#REF!</definedName>
    <definedName name="UNPH_bs_conv_debt">#REF!</definedName>
    <definedName name="UNPH_bs_min_int">#REF!</definedName>
    <definedName name="UNPH_bs_pref">#REF!</definedName>
    <definedName name="UNPH_cash">#REF!</definedName>
    <definedName name="UNPH_conv_debt_pr">#REF!</definedName>
    <definedName name="UNPH_conv_pref_pr">#REF!</definedName>
    <definedName name="UNPH_curr">#REF!</definedName>
    <definedName name="UNPH_dil_shares">#REF!</definedName>
    <definedName name="unph_eps00">#REF!</definedName>
    <definedName name="unph_eps98">#REF!</definedName>
    <definedName name="unph_eps99">#REF!</definedName>
    <definedName name="UNPH_equity_mcap">#REF!</definedName>
    <definedName name="UNPH_fin_date">#REF!</definedName>
    <definedName name="UNPH_hist_d">#REF!</definedName>
    <definedName name="UNPH_hst_a">#REF!</definedName>
    <definedName name="UNPH_hst_cogs">#REF!</definedName>
    <definedName name="UNPH_hst_ebit">#REF!</definedName>
    <definedName name="UNPH_hst_ebt">#REF!</definedName>
    <definedName name="UNPH_hst_eps">#REF!</definedName>
    <definedName name="UNPH_hst_inc_b_m">#REF!</definedName>
    <definedName name="UNPH_hst_r_d">#REF!</definedName>
    <definedName name="UNPH_hst_rev">#REF!</definedName>
    <definedName name="UNPH_hst_sg_a">#REF!</definedName>
    <definedName name="UNPH_lev_mcap">#REF!</definedName>
    <definedName name="UNPH_lt_debt">#REF!</definedName>
    <definedName name="UNPH_ltm_a">#REF!</definedName>
    <definedName name="UNPH_ltm_cap_ex">#REF!</definedName>
    <definedName name="UNPH_ltm_cogs">#REF!</definedName>
    <definedName name="UNPH_ltm_csh_int">#REF!</definedName>
    <definedName name="UNPH_ltm_d">#REF!</definedName>
    <definedName name="UNPH_ltm_ebit">#REF!</definedName>
    <definedName name="UNPH_ltm_ebt">#REF!</definedName>
    <definedName name="UNPH_ltm_eps">#REF!</definedName>
    <definedName name="UNPH_ltm_inc_b_m">#REF!</definedName>
    <definedName name="UNPH_ltm_int">#REF!</definedName>
    <definedName name="UNPH_ltm_min_int">#REF!</definedName>
    <definedName name="UNPH_ltm_pref_div">#REF!</definedName>
    <definedName name="UNPH_ltm_r_d">#REF!</definedName>
    <definedName name="UNPH_ltm_rev">#REF!</definedName>
    <definedName name="UNPH_ltm_sg_a">#REF!</definedName>
    <definedName name="UNPH_ltm_tax">#REF!</definedName>
    <definedName name="UNPH_ltm_tax_rate">#REF!</definedName>
    <definedName name="UNPH_name">#REF!</definedName>
    <definedName name="UNPH_o_debt_1">#REF!</definedName>
    <definedName name="UNPH_o_debt_2">#REF!</definedName>
    <definedName name="UNPH_o_debt_3">#REF!</definedName>
    <definedName name="UNPH_option_n">#REF!</definedName>
    <definedName name="UNPH_option_pr">#REF!</definedName>
    <definedName name="UNPH_pr">#REF!</definedName>
    <definedName name="UNPH_shares">#REF!</definedName>
    <definedName name="UNPH_ticker">#REF!</definedName>
    <definedName name="UNPH_total_dt">#REF!</definedName>
    <definedName name="Unrestricted_equity">#REF!</definedName>
    <definedName name="Untaxed_reserves">#REF!</definedName>
    <definedName name="update_date">#REF!</definedName>
    <definedName name="update_id">#REF!</definedName>
    <definedName name="UpdatePeriod">#REF!</definedName>
    <definedName name="UpdatePeriodMOYR">#REF!</definedName>
    <definedName name="UpgradeVersion">"v3.54"</definedName>
    <definedName name="upper_left1">#REF!</definedName>
    <definedName name="upper_left2">#REF!</definedName>
    <definedName name="UpsideNPV10">#REF!</definedName>
    <definedName name="UpsideNPV12">#REF!</definedName>
    <definedName name="upstream">#REF!</definedName>
    <definedName name="Upstream_maintenance_capex">#REF!</definedName>
    <definedName name="Upstream_production">#REF!</definedName>
    <definedName name="Upstream_replacement_cost">#REF!</definedName>
    <definedName name="Upstream_reserve_replacement_cost">#REF!</definedName>
    <definedName name="Upstreammaintenance_capex">#REF!</definedName>
    <definedName name="UpTrend">#REF!</definedName>
    <definedName name="UR">#REF!</definedName>
    <definedName name="UR_00D">#REF!</definedName>
    <definedName name="UR_00J">#REF!</definedName>
    <definedName name="UR_00M">#REF!</definedName>
    <definedName name="UR_00S">#REF!</definedName>
    <definedName name="UR_01D">#REF!</definedName>
    <definedName name="UR_01J">#REF!</definedName>
    <definedName name="UR_01M">#REF!</definedName>
    <definedName name="UR_01S">#REF!</definedName>
    <definedName name="UR_02D">#REF!</definedName>
    <definedName name="UR_02J">#REF!</definedName>
    <definedName name="UR_02M">#REF!</definedName>
    <definedName name="UR_02S">#REF!</definedName>
    <definedName name="UR_03D">#REF!</definedName>
    <definedName name="UR_03J">#REF!</definedName>
    <definedName name="UR_03M">#REF!</definedName>
    <definedName name="UR_03S">#REF!</definedName>
    <definedName name="UR_04D">#REF!</definedName>
    <definedName name="UR_04J">#REF!</definedName>
    <definedName name="UR_04M">#REF!</definedName>
    <definedName name="UR_04S">#REF!</definedName>
    <definedName name="UR_05D">#REF!</definedName>
    <definedName name="UR_05J">#REF!</definedName>
    <definedName name="UR_05M">#REF!</definedName>
    <definedName name="UR_05S">#REF!</definedName>
    <definedName name="UR_06D">#REF!</definedName>
    <definedName name="UR_06J">#REF!</definedName>
    <definedName name="UR_06M">#REF!</definedName>
    <definedName name="UR_06S">#REF!</definedName>
    <definedName name="UR_07D">#REF!</definedName>
    <definedName name="UR_07J">#REF!</definedName>
    <definedName name="UR_07M">#REF!</definedName>
    <definedName name="UR_07S">#REF!</definedName>
    <definedName name="UR_08D">#REF!</definedName>
    <definedName name="UR_08J">#REF!</definedName>
    <definedName name="UR_08M">#REF!</definedName>
    <definedName name="UR_08S">#REF!</definedName>
    <definedName name="UR_09D">#REF!</definedName>
    <definedName name="UR_09J">#REF!</definedName>
    <definedName name="UR_09M">#REF!</definedName>
    <definedName name="UR_09S">#REF!</definedName>
    <definedName name="UR_10D">#REF!</definedName>
    <definedName name="UR_10J">#REF!</definedName>
    <definedName name="UR_10M">#REF!</definedName>
    <definedName name="UR_10S">#REF!</definedName>
    <definedName name="UR_11D">#REF!</definedName>
    <definedName name="UR_11J">#REF!</definedName>
    <definedName name="UR_11M">#REF!</definedName>
    <definedName name="UR_11S">#REF!</definedName>
    <definedName name="UR_12D">#REF!</definedName>
    <definedName name="UR_12J">#REF!</definedName>
    <definedName name="UR_12M">#REF!</definedName>
    <definedName name="UR_12S">#REF!</definedName>
    <definedName name="UR_13D">#REF!</definedName>
    <definedName name="UR_13J">#REF!</definedName>
    <definedName name="UR_13M">#REF!</definedName>
    <definedName name="UR_13S">#REF!</definedName>
    <definedName name="UR_14D">#REF!</definedName>
    <definedName name="UR_14J">#REF!</definedName>
    <definedName name="UR_14M">#REF!</definedName>
    <definedName name="UR_14S">#REF!</definedName>
    <definedName name="UR_15D">#REF!</definedName>
    <definedName name="UR_15J">#REF!</definedName>
    <definedName name="UR_15M">#REF!</definedName>
    <definedName name="UR_15S">#REF!</definedName>
    <definedName name="UR_16D">#REF!</definedName>
    <definedName name="UR_16J">#REF!</definedName>
    <definedName name="UR_16M">#REF!</definedName>
    <definedName name="UR_16S">#REF!</definedName>
    <definedName name="UR_17D">#REF!</definedName>
    <definedName name="UR_17J">#REF!</definedName>
    <definedName name="UR_17M">#REF!</definedName>
    <definedName name="UR_17S">#REF!</definedName>
    <definedName name="UR_18D">#REF!</definedName>
    <definedName name="UR_18J">#REF!</definedName>
    <definedName name="UR_18M">#REF!</definedName>
    <definedName name="UR_18S">#REF!</definedName>
    <definedName name="UR_19D">#REF!</definedName>
    <definedName name="UR_19J">#REF!</definedName>
    <definedName name="UR_19M">#REF!</definedName>
    <definedName name="UR_19S">#REF!</definedName>
    <definedName name="UR_20D">#REF!</definedName>
    <definedName name="UR_20J">#REF!</definedName>
    <definedName name="UR_20M">#REF!</definedName>
    <definedName name="UR_20S">#REF!</definedName>
    <definedName name="UR_21D">#REF!</definedName>
    <definedName name="UR_21J">#REF!</definedName>
    <definedName name="UR_21M">#REF!</definedName>
    <definedName name="UR_21S">#REF!</definedName>
    <definedName name="UR_22D">#REF!</definedName>
    <definedName name="UR_22J">#REF!</definedName>
    <definedName name="UR_22M">#REF!</definedName>
    <definedName name="UR_22S">#REF!</definedName>
    <definedName name="UR_23D">#REF!</definedName>
    <definedName name="UR_23J">#REF!</definedName>
    <definedName name="UR_23M">#REF!</definedName>
    <definedName name="UR_23S">#REF!</definedName>
    <definedName name="UR_24D">#REF!</definedName>
    <definedName name="UR_24J">#REF!</definedName>
    <definedName name="UR_24M">#REF!</definedName>
    <definedName name="UR_24S">#REF!</definedName>
    <definedName name="UR_25D">#REF!</definedName>
    <definedName name="UR_25J">#REF!</definedName>
    <definedName name="UR_25M">#REF!</definedName>
    <definedName name="UR_25S">#REF!</definedName>
    <definedName name="UR_87D">#REF!</definedName>
    <definedName name="UR_87J">#REF!</definedName>
    <definedName name="UR_87M">#REF!</definedName>
    <definedName name="UR_87S">#REF!</definedName>
    <definedName name="UR_88D">#REF!</definedName>
    <definedName name="UR_88J">#REF!</definedName>
    <definedName name="UR_88M">#REF!</definedName>
    <definedName name="UR_88S">#REF!</definedName>
    <definedName name="UR_89D">#REF!</definedName>
    <definedName name="UR_89J">#REF!</definedName>
    <definedName name="UR_89M">#REF!</definedName>
    <definedName name="UR_89S">#REF!</definedName>
    <definedName name="UR_90D">#REF!</definedName>
    <definedName name="UR_90J">#REF!</definedName>
    <definedName name="UR_90M">#REF!</definedName>
    <definedName name="UR_90S">#REF!</definedName>
    <definedName name="UR_91D">#REF!</definedName>
    <definedName name="UR_91J">#REF!</definedName>
    <definedName name="UR_91M">#REF!</definedName>
    <definedName name="UR_91S">#REF!</definedName>
    <definedName name="UR_92D">#REF!</definedName>
    <definedName name="UR_92J">#REF!</definedName>
    <definedName name="UR_92M">#REF!</definedName>
    <definedName name="UR_92S">#REF!</definedName>
    <definedName name="UR_93D">#REF!</definedName>
    <definedName name="UR_93J">#REF!</definedName>
    <definedName name="UR_93M">#REF!</definedName>
    <definedName name="UR_93S">#REF!</definedName>
    <definedName name="UR_94D">#REF!</definedName>
    <definedName name="UR_94J">#REF!</definedName>
    <definedName name="UR_94M">#REF!</definedName>
    <definedName name="UR_94S">#REF!</definedName>
    <definedName name="UR_95D">#REF!</definedName>
    <definedName name="UR_95J">#REF!</definedName>
    <definedName name="UR_95M">#REF!</definedName>
    <definedName name="UR_95S">#REF!</definedName>
    <definedName name="UR_96D">#REF!</definedName>
    <definedName name="UR_96J">#REF!</definedName>
    <definedName name="UR_96M">#REF!</definedName>
    <definedName name="UR_96S">#REF!</definedName>
    <definedName name="UR_97D">#REF!</definedName>
    <definedName name="UR_97J">#REF!</definedName>
    <definedName name="UR_97M">#REF!</definedName>
    <definedName name="UR_97S">#REF!</definedName>
    <definedName name="UR_98D">#REF!</definedName>
    <definedName name="UR_98J">#REF!</definedName>
    <definedName name="UR_98M">#REF!</definedName>
    <definedName name="UR_98S">#REF!</definedName>
    <definedName name="UR_99D">#REF!</definedName>
    <definedName name="UR_99J">#REF!</definedName>
    <definedName name="UR_99M">#REF!</definedName>
    <definedName name="UR_99S">#REF!</definedName>
    <definedName name="UR_LT">#REF!</definedName>
    <definedName name="UR_OUT">#REF!</definedName>
    <definedName name="UR_Spot">#REF!</definedName>
    <definedName name="Uralsky">#REF!</definedName>
    <definedName name="UralskyCapacity">#REF!</definedName>
    <definedName name="URS_00D">#REF!</definedName>
    <definedName name="URS_00J">#REF!</definedName>
    <definedName name="URS_00M">#REF!</definedName>
    <definedName name="URS_00S">#REF!</definedName>
    <definedName name="URS_01D">#REF!</definedName>
    <definedName name="URS_01J">#REF!</definedName>
    <definedName name="URS_01M">#REF!</definedName>
    <definedName name="URS_01S">#REF!</definedName>
    <definedName name="URS_02D">#REF!</definedName>
    <definedName name="URS_02J">#REF!</definedName>
    <definedName name="URS_02M">#REF!</definedName>
    <definedName name="URS_02S">#REF!</definedName>
    <definedName name="URS_03D">#REF!</definedName>
    <definedName name="URS_03J">#REF!</definedName>
    <definedName name="URS_03M">#REF!</definedName>
    <definedName name="URS_03S">#REF!</definedName>
    <definedName name="URS_04D">#REF!</definedName>
    <definedName name="URS_04J">#REF!</definedName>
    <definedName name="URS_04M">#REF!</definedName>
    <definedName name="URS_04S">#REF!</definedName>
    <definedName name="URS_05D">#REF!</definedName>
    <definedName name="URS_05J">#REF!</definedName>
    <definedName name="URS_05M">#REF!</definedName>
    <definedName name="URS_05S">#REF!</definedName>
    <definedName name="URS_06D">#REF!</definedName>
    <definedName name="URS_06J">#REF!</definedName>
    <definedName name="URS_06M">#REF!</definedName>
    <definedName name="URS_06S">#REF!</definedName>
    <definedName name="URS_07D">#REF!</definedName>
    <definedName name="URS_07J">#REF!</definedName>
    <definedName name="URS_07M">#REF!</definedName>
    <definedName name="URS_07S">#REF!</definedName>
    <definedName name="URS_08D">#REF!</definedName>
    <definedName name="URS_08J">#REF!</definedName>
    <definedName name="URS_08M">#REF!</definedName>
    <definedName name="URS_08S">#REF!</definedName>
    <definedName name="URS_09D">#REF!</definedName>
    <definedName name="URS_09J">#REF!</definedName>
    <definedName name="URS_09M">#REF!</definedName>
    <definedName name="URS_09S">#REF!</definedName>
    <definedName name="URS_10D">#REF!</definedName>
    <definedName name="URS_10J">#REF!</definedName>
    <definedName name="URS_10M">#REF!</definedName>
    <definedName name="URS_10S">#REF!</definedName>
    <definedName name="URS_11D">#REF!</definedName>
    <definedName name="URS_11J">#REF!</definedName>
    <definedName name="URS_11M">#REF!</definedName>
    <definedName name="URS_11S">#REF!</definedName>
    <definedName name="URS_12D">#REF!</definedName>
    <definedName name="URS_12J">#REF!</definedName>
    <definedName name="URS_12M">#REF!</definedName>
    <definedName name="URS_12S">#REF!</definedName>
    <definedName name="URS_13D">#REF!</definedName>
    <definedName name="URS_13J">#REF!</definedName>
    <definedName name="URS_13M">#REF!</definedName>
    <definedName name="URS_13S">#REF!</definedName>
    <definedName name="URS_14D">#REF!</definedName>
    <definedName name="URS_14J">#REF!</definedName>
    <definedName name="URS_14M">#REF!</definedName>
    <definedName name="URS_14S">#REF!</definedName>
    <definedName name="URS_15D">#REF!</definedName>
    <definedName name="URS_15J">#REF!</definedName>
    <definedName name="URS_15M">#REF!</definedName>
    <definedName name="URS_15S">#REF!</definedName>
    <definedName name="URS_16D">#REF!</definedName>
    <definedName name="URS_16J">#REF!</definedName>
    <definedName name="URS_16M">#REF!</definedName>
    <definedName name="URS_16S">#REF!</definedName>
    <definedName name="URS_17D">#REF!</definedName>
    <definedName name="URS_17J">#REF!</definedName>
    <definedName name="URS_17M">#REF!</definedName>
    <definedName name="URS_17S">#REF!</definedName>
    <definedName name="URS_18D">#REF!</definedName>
    <definedName name="URS_18J">#REF!</definedName>
    <definedName name="URS_18M">#REF!</definedName>
    <definedName name="URS_18S">#REF!</definedName>
    <definedName name="URS_19D">#REF!</definedName>
    <definedName name="URS_19J">#REF!</definedName>
    <definedName name="URS_19M">#REF!</definedName>
    <definedName name="URS_19S">#REF!</definedName>
    <definedName name="URS_20D">#REF!</definedName>
    <definedName name="URS_20J">#REF!</definedName>
    <definedName name="URS_20M">#REF!</definedName>
    <definedName name="URS_20S">#REF!</definedName>
    <definedName name="URS_21D">#REF!</definedName>
    <definedName name="URS_21J">#REF!</definedName>
    <definedName name="URS_21M">#REF!</definedName>
    <definedName name="URS_21S">#REF!</definedName>
    <definedName name="URS_22D">#REF!</definedName>
    <definedName name="URS_22J">#REF!</definedName>
    <definedName name="URS_22M">#REF!</definedName>
    <definedName name="URS_22S">#REF!</definedName>
    <definedName name="URS_23D">#REF!</definedName>
    <definedName name="URS_23J">#REF!</definedName>
    <definedName name="URS_23M">#REF!</definedName>
    <definedName name="URS_23S">#REF!</definedName>
    <definedName name="URS_24D">#REF!</definedName>
    <definedName name="URS_24J">#REF!</definedName>
    <definedName name="URS_24M">#REF!</definedName>
    <definedName name="URS_24S">#REF!</definedName>
    <definedName name="URS_25D">#REF!</definedName>
    <definedName name="URS_25J">#REF!</definedName>
    <definedName name="URS_25M">#REF!</definedName>
    <definedName name="URS_25S">#REF!</definedName>
    <definedName name="URS_87D">#REF!</definedName>
    <definedName name="URS_87J">#REF!</definedName>
    <definedName name="URS_87M">#REF!</definedName>
    <definedName name="URS_87S">#REF!</definedName>
    <definedName name="URS_88D">#REF!</definedName>
    <definedName name="URS_88J">#REF!</definedName>
    <definedName name="URS_88M">#REF!</definedName>
    <definedName name="URS_88S">#REF!</definedName>
    <definedName name="URS_89D">#REF!</definedName>
    <definedName name="URS_89J">#REF!</definedName>
    <definedName name="URS_89M">#REF!</definedName>
    <definedName name="URS_89S">#REF!</definedName>
    <definedName name="URS_90D">#REF!</definedName>
    <definedName name="URS_90J">#REF!</definedName>
    <definedName name="URS_90M">#REF!</definedName>
    <definedName name="URS_90S">#REF!</definedName>
    <definedName name="URS_91D">#REF!</definedName>
    <definedName name="URS_91J">#REF!</definedName>
    <definedName name="URS_91M">#REF!</definedName>
    <definedName name="URS_91S">#REF!</definedName>
    <definedName name="URS_92D">#REF!</definedName>
    <definedName name="URS_92J">#REF!</definedName>
    <definedName name="URS_92M">#REF!</definedName>
    <definedName name="URS_92S">#REF!</definedName>
    <definedName name="URS_93D">#REF!</definedName>
    <definedName name="URS_93J">#REF!</definedName>
    <definedName name="URS_93M">#REF!</definedName>
    <definedName name="URS_93S">#REF!</definedName>
    <definedName name="URS_94D">#REF!</definedName>
    <definedName name="URS_94J">#REF!</definedName>
    <definedName name="URS_94M">#REF!</definedName>
    <definedName name="URS_94S">#REF!</definedName>
    <definedName name="URS_95D">#REF!</definedName>
    <definedName name="URS_95J">#REF!</definedName>
    <definedName name="URS_95M">#REF!</definedName>
    <definedName name="URS_95S">#REF!</definedName>
    <definedName name="URS_96D">#REF!</definedName>
    <definedName name="URS_96J">#REF!</definedName>
    <definedName name="URS_96M">#REF!</definedName>
    <definedName name="URS_96S">#REF!</definedName>
    <definedName name="URS_97D">#REF!</definedName>
    <definedName name="URS_97J">#REF!</definedName>
    <definedName name="URS_97M">#REF!</definedName>
    <definedName name="URS_97S">#REF!</definedName>
    <definedName name="URS_98D">#REF!</definedName>
    <definedName name="URS_98J">#REF!</definedName>
    <definedName name="URS_98M">#REF!</definedName>
    <definedName name="URS_98S">#REF!</definedName>
    <definedName name="URS_99D">#REF!</definedName>
    <definedName name="URS_99J">#REF!</definedName>
    <definedName name="URS_99M">#REF!</definedName>
    <definedName name="URS_99S">#REF!</definedName>
    <definedName name="URS_LT">#REF!</definedName>
    <definedName name="US">#REF!</definedName>
    <definedName name="us_gaap_eps_used_flag">#REF!</definedName>
    <definedName name="US_Value_Tables">#REF!,#REF!</definedName>
    <definedName name="USCAP94">#REF!</definedName>
    <definedName name="USCAP95">#REF!</definedName>
    <definedName name="USCAP96">#REF!</definedName>
    <definedName name="USCAP97">#REF!</definedName>
    <definedName name="USCAP98">#REF!</definedName>
    <definedName name="USCash">#REF!</definedName>
    <definedName name="uscf00">#REF!</definedName>
    <definedName name="uscf01">#REF!</definedName>
    <definedName name="uscf93">#REF!</definedName>
    <definedName name="uscf94">#REF!</definedName>
    <definedName name="uscf95">#REF!</definedName>
    <definedName name="uscf96">#REF!</definedName>
    <definedName name="uscf97">#REF!</definedName>
    <definedName name="uscf98">#REF!</definedName>
    <definedName name="uscf99">#REF!</definedName>
    <definedName name="USD_EUR">[40]FXRATES!$D$3</definedName>
    <definedName name="usdcfps93">#REF!</definedName>
    <definedName name="usdcfps94">#REF!</definedName>
    <definedName name="usdcfps95">#REF!</definedName>
    <definedName name="usdcfps96">#REF!</definedName>
    <definedName name="usdcfps97">#REF!</definedName>
    <definedName name="usdcfps98">#REF!</definedName>
    <definedName name="USDDA93">#REF!</definedName>
    <definedName name="USDDA94">#REF!</definedName>
    <definedName name="USDDA95">#REF!</definedName>
    <definedName name="USDDA96">#REF!</definedName>
    <definedName name="USDDA97">#REF!</definedName>
    <definedName name="USDDA98">#REF!</definedName>
    <definedName name="usdeps93">#REF!</definedName>
    <definedName name="usdeps94">#REF!</definedName>
    <definedName name="usdeps95">#REF!</definedName>
    <definedName name="usdeps96">#REF!</definedName>
    <definedName name="usdeps97">#REF!</definedName>
    <definedName name="usdeps98">#REF!</definedName>
    <definedName name="USDFD93">#REF!</definedName>
    <definedName name="USDFD94">#REF!</definedName>
    <definedName name="USDFD95">#REF!</definedName>
    <definedName name="USDFD96">#REF!</definedName>
    <definedName name="USDFD97">#REF!</definedName>
    <definedName name="USDFD98">#REF!</definedName>
    <definedName name="USDIDR">#REF!</definedName>
    <definedName name="usdni00">#REF!</definedName>
    <definedName name="usdni01">#REF!</definedName>
    <definedName name="usdni93">#REF!</definedName>
    <definedName name="usdni94">#REF!</definedName>
    <definedName name="usdni95">#REF!</definedName>
    <definedName name="usdni96">#REF!</definedName>
    <definedName name="usdni97">#REF!</definedName>
    <definedName name="usdni98">#REF!</definedName>
    <definedName name="usdni99">#REF!</definedName>
    <definedName name="USDRMB">#REF!</definedName>
    <definedName name="uses93">#REF!</definedName>
    <definedName name="uses94">#REF!</definedName>
    <definedName name="uses95">#REF!</definedName>
    <definedName name="uses96">#REF!</definedName>
    <definedName name="uses97">#REF!</definedName>
    <definedName name="uses98">#REF!</definedName>
    <definedName name="USEXPL93">#REF!</definedName>
    <definedName name="USEXPL94">#REF!</definedName>
    <definedName name="USEXPL95">#REF!</definedName>
    <definedName name="USEXPL96">#REF!</definedName>
    <definedName name="USEXPL97">#REF!</definedName>
    <definedName name="USEXPL98">#REF!</definedName>
    <definedName name="USF">"USF"</definedName>
    <definedName name="usfcf93">#REF!</definedName>
    <definedName name="usfcf94">#REF!</definedName>
    <definedName name="usfcf95">#REF!</definedName>
    <definedName name="usfcf96">#REF!</definedName>
    <definedName name="usfcf97">#REF!</definedName>
    <definedName name="usfcf98">#REF!</definedName>
    <definedName name="usfcfps93">#REF!</definedName>
    <definedName name="usfcfps94">#REF!</definedName>
    <definedName name="usfcfps95">#REF!</definedName>
    <definedName name="usfcfps96">#REF!</definedName>
    <definedName name="usfcfps97">#REF!</definedName>
    <definedName name="usfcfps98">#REF!</definedName>
    <definedName name="USFX93">#REF!</definedName>
    <definedName name="USFX94">#REF!</definedName>
    <definedName name="USFX95">#REF!</definedName>
    <definedName name="USFX96">#REF!</definedName>
    <definedName name="USFX97">#REF!</definedName>
    <definedName name="USFX98">#REF!</definedName>
    <definedName name="USGA93">#REF!</definedName>
    <definedName name="USGA94">#REF!</definedName>
    <definedName name="USGA95">#REF!</definedName>
    <definedName name="USGA96">#REF!</definedName>
    <definedName name="USGA97">#REF!</definedName>
    <definedName name="USGA98">#REF!</definedName>
    <definedName name="USINT93">#REF!</definedName>
    <definedName name="USINT94">#REF!</definedName>
    <definedName name="USINT95">#REF!</definedName>
    <definedName name="USINT96">#REF!</definedName>
    <definedName name="USINT97">#REF!</definedName>
    <definedName name="USINT98">#REF!</definedName>
    <definedName name="USK_01J">#REF!</definedName>
    <definedName name="USK_01M">#REF!</definedName>
    <definedName name="USK_01S">#REF!</definedName>
    <definedName name="USK_02D">#REF!</definedName>
    <definedName name="USK_02J">#REF!</definedName>
    <definedName name="USK_02M">#REF!</definedName>
    <definedName name="USK_02S">#REF!</definedName>
    <definedName name="USK_03D">#REF!</definedName>
    <definedName name="USK_03J">#REF!</definedName>
    <definedName name="USK_03M">#REF!</definedName>
    <definedName name="USK_03S">#REF!</definedName>
    <definedName name="USK_04D">#REF!</definedName>
    <definedName name="USK_04J">#REF!</definedName>
    <definedName name="USK_04M">#REF!</definedName>
    <definedName name="USK_04S">#REF!</definedName>
    <definedName name="USK_05D">#REF!</definedName>
    <definedName name="USK_05J">#REF!</definedName>
    <definedName name="USK_05M">#REF!</definedName>
    <definedName name="USK_05S">#REF!</definedName>
    <definedName name="USK_06D">#REF!</definedName>
    <definedName name="USK_06J">#REF!</definedName>
    <definedName name="USK_06M">#REF!</definedName>
    <definedName name="USK_06S">#REF!</definedName>
    <definedName name="USK_07D">#REF!</definedName>
    <definedName name="USK_07J">#REF!</definedName>
    <definedName name="USK_07M">#REF!</definedName>
    <definedName name="USK_07S">#REF!</definedName>
    <definedName name="USK_08D">#REF!</definedName>
    <definedName name="USK_08J">#REF!</definedName>
    <definedName name="USK_08M">#REF!</definedName>
    <definedName name="USK_08S">#REF!</definedName>
    <definedName name="USK_09D">#REF!</definedName>
    <definedName name="USK_09J">#REF!</definedName>
    <definedName name="USK_09M">#REF!</definedName>
    <definedName name="USK_09S">#REF!</definedName>
    <definedName name="USK_10D">#REF!</definedName>
    <definedName name="USK_10J">#REF!</definedName>
    <definedName name="USK_10M">#REF!</definedName>
    <definedName name="USK_10S">#REF!</definedName>
    <definedName name="USK_11D">#REF!</definedName>
    <definedName name="USK_11J">#REF!</definedName>
    <definedName name="USK_11M">#REF!</definedName>
    <definedName name="USK_11S">#REF!</definedName>
    <definedName name="USK_12D">#REF!</definedName>
    <definedName name="USK_12J">#REF!</definedName>
    <definedName name="USK_12M">#REF!</definedName>
    <definedName name="USK_12S">#REF!</definedName>
    <definedName name="USK_13D">#REF!</definedName>
    <definedName name="USK_13J">#REF!</definedName>
    <definedName name="USK_13M">#REF!</definedName>
    <definedName name="USK_13S">#REF!</definedName>
    <definedName name="USK_14D">#REF!</definedName>
    <definedName name="USK_14J">#REF!</definedName>
    <definedName name="USK_14M">#REF!</definedName>
    <definedName name="USK_14S">#REF!</definedName>
    <definedName name="USK_15D">#REF!</definedName>
    <definedName name="USK_15J">#REF!</definedName>
    <definedName name="USK_15M">#REF!</definedName>
    <definedName name="USK_15S">#REF!</definedName>
    <definedName name="USK_16D">#REF!</definedName>
    <definedName name="USK_16J">#REF!</definedName>
    <definedName name="USK_16M">#REF!</definedName>
    <definedName name="USK_16S">#REF!</definedName>
    <definedName name="USK_17D">#REF!</definedName>
    <definedName name="USK_17J">#REF!</definedName>
    <definedName name="USK_17M">#REF!</definedName>
    <definedName name="USK_17S">#REF!</definedName>
    <definedName name="USK_18D">#REF!</definedName>
    <definedName name="USK_18J">#REF!</definedName>
    <definedName name="USK_18M">#REF!</definedName>
    <definedName name="USK_18S">#REF!</definedName>
    <definedName name="USK_19D">#REF!</definedName>
    <definedName name="USK_19J">#REF!</definedName>
    <definedName name="USK_19M">#REF!</definedName>
    <definedName name="USK_19S">#REF!</definedName>
    <definedName name="USK_20D">#REF!</definedName>
    <definedName name="USK_20J">#REF!</definedName>
    <definedName name="USK_20M">#REF!</definedName>
    <definedName name="USK_20S">#REF!</definedName>
    <definedName name="USK_21D">#REF!</definedName>
    <definedName name="USK_21J">#REF!</definedName>
    <definedName name="USK_21M">#REF!</definedName>
    <definedName name="USK_21S">#REF!</definedName>
    <definedName name="USK_22D">#REF!</definedName>
    <definedName name="USK_22J">#REF!</definedName>
    <definedName name="USK_22M">#REF!</definedName>
    <definedName name="USK_22S">#REF!</definedName>
    <definedName name="USK_23D">#REF!</definedName>
    <definedName name="USK_23J">#REF!</definedName>
    <definedName name="USK_23M">#REF!</definedName>
    <definedName name="USK_23S">#REF!</definedName>
    <definedName name="USK_24D">#REF!</definedName>
    <definedName name="USK_24J">#REF!</definedName>
    <definedName name="USK_24M">#REF!</definedName>
    <definedName name="USK_24S">#REF!</definedName>
    <definedName name="USK_25D">#REF!</definedName>
    <definedName name="USK_25J">#REF!</definedName>
    <definedName name="USK_25M">#REF!</definedName>
    <definedName name="USK_25S">#REF!</definedName>
    <definedName name="USK_87">#REF!</definedName>
    <definedName name="USK_87D">#REF!</definedName>
    <definedName name="USK_87J">#REF!</definedName>
    <definedName name="USK_87M">#REF!</definedName>
    <definedName name="USK_87S">#REF!</definedName>
    <definedName name="USK_88D">#REF!</definedName>
    <definedName name="USK_88J">#REF!</definedName>
    <definedName name="USK_88M">#REF!</definedName>
    <definedName name="USK_88S">#REF!</definedName>
    <definedName name="USK_89D">#REF!</definedName>
    <definedName name="USK_89J">#REF!</definedName>
    <definedName name="USK_89M">#REF!</definedName>
    <definedName name="USK_89S">#REF!</definedName>
    <definedName name="USK_90D">#REF!</definedName>
    <definedName name="USK_90J">#REF!</definedName>
    <definedName name="USK_90M">#REF!</definedName>
    <definedName name="USK_90S">#REF!</definedName>
    <definedName name="USK_91D">#REF!</definedName>
    <definedName name="USK_91J">#REF!</definedName>
    <definedName name="USK_91M">#REF!</definedName>
    <definedName name="USK_91S">#REF!</definedName>
    <definedName name="USK_92D">#REF!</definedName>
    <definedName name="USK_92J">#REF!</definedName>
    <definedName name="USK_92M">#REF!</definedName>
    <definedName name="USK_92S">#REF!</definedName>
    <definedName name="USK_93D">#REF!</definedName>
    <definedName name="USK_93J">#REF!</definedName>
    <definedName name="USK_93M">#REF!</definedName>
    <definedName name="USK_93S">#REF!</definedName>
    <definedName name="USK_94D">#REF!</definedName>
    <definedName name="USK_94J">#REF!</definedName>
    <definedName name="USK_94M">#REF!</definedName>
    <definedName name="USK_94S">#REF!</definedName>
    <definedName name="USK_95D">#REF!</definedName>
    <definedName name="USK_95J">#REF!</definedName>
    <definedName name="USK_95M">#REF!</definedName>
    <definedName name="USK_95S">#REF!</definedName>
    <definedName name="USK_96D">#REF!</definedName>
    <definedName name="USK_96J">#REF!</definedName>
    <definedName name="USK_96M">#REF!</definedName>
    <definedName name="USK_96S">#REF!</definedName>
    <definedName name="USK_97D">#REF!</definedName>
    <definedName name="USK_97J">#REF!</definedName>
    <definedName name="USK_97M">#REF!</definedName>
    <definedName name="USK_97S">#REF!</definedName>
    <definedName name="USK_98D">#REF!</definedName>
    <definedName name="USK_98J">#REF!</definedName>
    <definedName name="USK_98M">#REF!</definedName>
    <definedName name="USK_98S">#REF!</definedName>
    <definedName name="USK_99D">#REF!</definedName>
    <definedName name="USK_99J">#REF!</definedName>
    <definedName name="USK_99M">#REF!</definedName>
    <definedName name="USK_99S">#REF!</definedName>
    <definedName name="USLD_1yrEPS">#REF!</definedName>
    <definedName name="USLD_2yrEPS">#REF!</definedName>
    <definedName name="USLD_52high">#REF!</definedName>
    <definedName name="USLD_5YRGROWTH">#REF!</definedName>
    <definedName name="USLD_95EBIT">#REF!</definedName>
    <definedName name="USLD_95EBITDA">#REF!</definedName>
    <definedName name="USLD_96EPS">#REF!</definedName>
    <definedName name="USLD_97EPS">#REF!</definedName>
    <definedName name="USLD_98EPS">#REF!</definedName>
    <definedName name="USLD_ASSET">#REF!</definedName>
    <definedName name="USLD_DEBT">#REF!</definedName>
    <definedName name="USLD_DIV">#REF!</definedName>
    <definedName name="USLD_INTANGIBLE">#REF!</definedName>
    <definedName name="USLD_LTMCAPEX">#REF!</definedName>
    <definedName name="USLD_LTMEBIT">#REF!</definedName>
    <definedName name="USLD_LTMEBITDA">#REF!</definedName>
    <definedName name="USLD_LTMINT">#REF!</definedName>
    <definedName name="USLD_LTMNI">#REF!</definedName>
    <definedName name="USLD_LTMREV">#REF!</definedName>
    <definedName name="USLD_LTMSGA">#REF!</definedName>
    <definedName name="usld_min">#REF!</definedName>
    <definedName name="USLD_name">#REF!</definedName>
    <definedName name="USLD_netdebt">#REF!</definedName>
    <definedName name="USLD_price">#REF!</definedName>
    <definedName name="USLD_SE">#REF!</definedName>
    <definedName name="USLD_share">#REF!</definedName>
    <definedName name="USLD_ticker">#REF!</definedName>
    <definedName name="USOPCOST93">#REF!</definedName>
    <definedName name="USOPCOST94">#REF!</definedName>
    <definedName name="USOPCOST95">#REF!</definedName>
    <definedName name="USOPCOST96">#REF!</definedName>
    <definedName name="USOPCOST97">#REF!</definedName>
    <definedName name="USOPCOST98">#REF!</definedName>
    <definedName name="USOTH93">#REF!</definedName>
    <definedName name="USOTH94">#REF!</definedName>
    <definedName name="USOTH95">#REF!</definedName>
    <definedName name="USOTH96">#REF!</definedName>
    <definedName name="USOTH97">#REF!</definedName>
    <definedName name="USOTH98">#REF!</definedName>
    <definedName name="USREV93">#REF!</definedName>
    <definedName name="USREV94">#REF!</definedName>
    <definedName name="USREV95">#REF!</definedName>
    <definedName name="USREV96">#REF!</definedName>
    <definedName name="USREV97">#REF!</definedName>
    <definedName name="USREV98">#REF!</definedName>
    <definedName name="USROYALTY93">#REF!</definedName>
    <definedName name="USROYALTY94">#REF!</definedName>
    <definedName name="USROYALTY95">#REF!</definedName>
    <definedName name="USROYALTY96">#REF!</definedName>
    <definedName name="USROYALTY97">#REF!</definedName>
    <definedName name="USROYALTY98">#REF!</definedName>
    <definedName name="USTAX93">#REF!</definedName>
    <definedName name="USTAX94">#REF!</definedName>
    <definedName name="USTAX95">#REF!</definedName>
    <definedName name="USTAX96">#REF!</definedName>
    <definedName name="USTAX97">#REF!</definedName>
    <definedName name="USTAX98">#REF!</definedName>
    <definedName name="USW_1yrEPS">#REF!</definedName>
    <definedName name="USW_2yrEPS">#REF!</definedName>
    <definedName name="USW_52high">#REF!</definedName>
    <definedName name="USW_5YRGROWTH">#REF!</definedName>
    <definedName name="USW_96EPS">#REF!</definedName>
    <definedName name="USW_97EPS">#REF!</definedName>
    <definedName name="USW_98EPS">#REF!</definedName>
    <definedName name="USW_LTMSGA">#REF!</definedName>
    <definedName name="USW_price">#REF!</definedName>
    <definedName name="V_ALL_000157.SZ">#REF!</definedName>
    <definedName name="V_ALL_001300.KS">#REF!</definedName>
    <definedName name="V_ALL_002008.SZ">#REF!</definedName>
    <definedName name="V_ALL_002050.SZ">#REF!</definedName>
    <definedName name="V_ALL_002179.SZ">#REF!</definedName>
    <definedName name="V_ALL_002518.SZ">#REF!</definedName>
    <definedName name="V_ALL_002527.SZ">#REF!</definedName>
    <definedName name="V_ALL_002747.SZ">#REF!</definedName>
    <definedName name="V_ALL_006400.KS">#REF!</definedName>
    <definedName name="V_ALL_009830.KS">#REF!</definedName>
    <definedName name="V_ALL_010950.KS">#REF!</definedName>
    <definedName name="V_ALL_011170.KS">#REF!</definedName>
    <definedName name="V_ALL_0347.HK">#REF!</definedName>
    <definedName name="V_ALL_0358.HK">#REF!</definedName>
    <definedName name="V_ALL_0586.HK">#REF!</definedName>
    <definedName name="V_ALL_0658.HK">#REF!</definedName>
    <definedName name="V_ALL_0669.HK">#REF!</definedName>
    <definedName name="V_ALL_0750.HK">#REF!</definedName>
    <definedName name="V_ALL_078930.KS">#REF!</definedName>
    <definedName name="V_ALL_0956.HK">#REF!</definedName>
    <definedName name="V_ALL_096770.KS">#REF!</definedName>
    <definedName name="V_ALL_1157.HK">#REF!</definedName>
    <definedName name="V_ALL_1193.HK">#REF!</definedName>
    <definedName name="V_ALL_1208.HK">#REF!</definedName>
    <definedName name="V_ALL_1619.HK">#REF!</definedName>
    <definedName name="V_ALL_1766.HK">#REF!</definedName>
    <definedName name="V_ALL_2600.HK">#REF!</definedName>
    <definedName name="V_ALL_300012.SZ">#REF!</definedName>
    <definedName name="V_ALL_300024.SZ">#REF!</definedName>
    <definedName name="V_ALL_300124.SZ">#REF!</definedName>
    <definedName name="V_ALL_300450.SZ">#REF!</definedName>
    <definedName name="V_ALL_300747.SZ">#REF!</definedName>
    <definedName name="V_ALL_300750.SZ">#REF!</definedName>
    <definedName name="V_ALL_3800.HK">#REF!</definedName>
    <definedName name="V_ALL_3993.HK">#REF!</definedName>
    <definedName name="V_ALL_600019.SS">#REF!</definedName>
    <definedName name="V_ALL_600761.SS">#REF!</definedName>
    <definedName name="V_ALL_601012.SS">#REF!</definedName>
    <definedName name="V_ALL_603659.SS">#REF!</definedName>
    <definedName name="V_ALL_688686.SS">#REF!</definedName>
    <definedName name="V_ALL_AALI.JK">#REF!</definedName>
    <definedName name="V_ALL_CSIQ">#REF!</definedName>
    <definedName name="V_ALL_FRLD.SI">#REF!</definedName>
    <definedName name="V_ALL_HOLI">#REF!</definedName>
    <definedName name="V_ALL_JASO">#REF!</definedName>
    <definedName name="V_ALL_JKS">#REF!</definedName>
    <definedName name="V_ALL_KEYWORDS_TYPE_ScalarContributed_EQTY_200005264">#REF!,#REF!</definedName>
    <definedName name="V_ALL_KEYWORDS_TYPE_ScalarContributed_EQTY_200005566">#REF!,#REF!</definedName>
    <definedName name="V_ALL_KEYWORDS_TYPE_ScalarContributed_EQTY_200006225">#REF!,#REF!</definedName>
    <definedName name="V_ALL_KEYWORDS_TYPE_ScalarContributed_EQTY_200006858">#REF!,#REF!</definedName>
    <definedName name="V_ALL_KEYWORDS_TYPE_ScalarContributed_EQTY_200006887">#REF!,#REF!</definedName>
    <definedName name="V_ALL_KEYWORDS_TYPE_ScalarContributed_EQTY_200007026">#REF!,#REF!</definedName>
    <definedName name="V_ALL_KEYWORDS_TYPE_ScalarContributed_EQTY_200008494">#REF!,#REF!</definedName>
    <definedName name="V_ALL_KEYWORDS_TYPE_ScalarContributed_EQTY_200008521">#REF!,#REF!</definedName>
    <definedName name="V_ALL_KEYWORDS_TYPE_ScalarContributed_EQTY_200009581">#REF!,#REF!</definedName>
    <definedName name="V_ALL_KEYWORDS_TYPE_ScalarContributed_EQTY_200009654">#REF!,#REF!</definedName>
    <definedName name="V_ALL_KEYWORDS_TYPE_ScalarContributed_EQTY_200009655">#REF!,#REF!</definedName>
    <definedName name="V_ALL_KEYWORDS_TYPE_ScalarContributed_EQTY_200009737">#REF!,#REF!</definedName>
    <definedName name="V_ALL_KEYWORDS_TYPE_ScalarContributed_EQTY_200009791">#REF!,#REF!</definedName>
    <definedName name="V_ALL_KEYWORDS_TYPE_ScalarContributed_EQTY_200009867">#REF!,#REF!</definedName>
    <definedName name="V_ALL_KEYWORDS_TYPE_ScalarContributed_EQTY_200009998">#REF!,#REF!</definedName>
    <definedName name="V_ALL_KEYWORDS_TYPE_ScalarContributed_EQTY_200010001">#REF!,#REF!</definedName>
    <definedName name="V_ALL_KEYWORDS_TYPE_ScalarContributed_EQTY_200011150">#REF!,#REF!</definedName>
    <definedName name="V_ALL_KEYWORDS_TYPE_ScalarContributed_EQTY_200011151">#REF!,#REF!</definedName>
    <definedName name="V_ALL_KEYWORDS_TYPE_ScalarContributed_EQTY_200011619">#REF!,#REF!</definedName>
    <definedName name="V_ALL_KEYWORDS_TYPE_ScalarContributed_EQTY_200012041">#REF!,#REF!</definedName>
    <definedName name="V_ALL_KEYWORDS_TYPE_ScalarContributed_EQTY_200012053">#REF!,#REF!</definedName>
    <definedName name="V_ALL_KEYWORDS_TYPE_ScalarContributed_EQTY_200012667">#REF!,#REF!</definedName>
    <definedName name="V_ALL_KEYWORDS_TYPE_ScalarContributed_EQTY_200012890">#REF!,#REF!</definedName>
    <definedName name="V_ALL_KEYWORDS_TYPE_ScalarContributed_EQTY_200013301">#REF!,#REF!</definedName>
    <definedName name="V_ALL_KEYWORDS_TYPE_ScalarContributed_EQTY_200013639">#REF!,#REF!</definedName>
    <definedName name="V_ALL_KEYWORDS_TYPE_ScalarContributed_EQTY_200014649">#REF!,#REF!</definedName>
    <definedName name="V_ALL_KEYWORDS_TYPE_ScalarContributed_EQTY_200015601">#REF!,#REF!</definedName>
    <definedName name="V_ALL_KEYWORDS_TYPE_ScalarContributed_EQTY_200015873">#REF!,#REF!</definedName>
    <definedName name="V_ALL_KEYWORDS_TYPE_ScalarContributed_EQTY_200016577">#REF!,#REF!</definedName>
    <definedName name="V_ALL_KEYWORDS_TYPE_ScalarContributed_EQTY_200016618">#REF!,#REF!</definedName>
    <definedName name="V_ALL_KEYWORDS_TYPE_ScalarContributed_EQTY_200016905">#REF!,#REF!</definedName>
    <definedName name="V_ALL_KEYWORDS_TYPE_ScalarContributed_EQTY_200017327">#REF!,#REF!</definedName>
    <definedName name="V_ALL_KEYWORDS_TYPE_ScalarContributed_EQTY_200018275">#REF!,#REF!,#REF!</definedName>
    <definedName name="V_ALL_KEYWORDS_TYPE_ScalarContributed_EQTY_200018291">#REF!,#REF!</definedName>
    <definedName name="V_ALL_KEYWORDS_TYPE_ScalarContributed_EQTY_200018294">#REF!,#REF!</definedName>
    <definedName name="V_ALL_KEYWORDS_TYPE_ScalarContributed_EQTY_200019280">#REF!,#REF!</definedName>
    <definedName name="V_ALL_KEYWORDS_TYPE_ScalarContributed_ISSR_208001579">#REF!,#REF!</definedName>
    <definedName name="V_ALL_KEYWORDS_TYPE_ScalarContributed_ISSR_208002524">#REF!,#REF!</definedName>
    <definedName name="V_ALL_KEYWORDS_TYPE_ScalarContributed_ISSR_208007494">#REF!,#REF!</definedName>
    <definedName name="V_ALL_KEYWORDS_TYPE_ScalarContributed_ISSR_208007541">#REF!,#REF!</definedName>
    <definedName name="V_ALL_KEYWORDS_TYPE_ScalarContributed_ISSR_208008538">#REF!,#REF!</definedName>
    <definedName name="V_ALL_KEYWORDS_TYPE_ScalarContributed_ISSR_208008539">#REF!,#REF!</definedName>
    <definedName name="V_ALL_KEYWORDS_TYPE_ScalarContributed_ISSR_208009490">#REF!,#REF!</definedName>
    <definedName name="V_ALL_KEYWORDS_TYPE_ScalarContributed_ISSR_208010512">#REF!,#REF!</definedName>
    <definedName name="V_ALL_KEYWORDS_TYPE_Vector_EQTY_200005264">#REF!,#REF!,#REF!,#REF!,#REF!</definedName>
    <definedName name="V_ALL_KEYWORDS_TYPE_Vector_EQTY_200005566">#REF!,#REF!,#REF!,#REF!,#REF!</definedName>
    <definedName name="V_ALL_KEYWORDS_TYPE_Vector_EQTY_200006225">#REF!,#REF!,#REF!,#REF!,#REF!</definedName>
    <definedName name="V_ALL_KEYWORDS_TYPE_Vector_EQTY_200006858">#REF!,#REF!,#REF!,#REF!,#REF!</definedName>
    <definedName name="V_ALL_KEYWORDS_TYPE_Vector_EQTY_200006887">#REF!,#REF!,#REF!,#REF!,#REF!</definedName>
    <definedName name="V_ALL_KEYWORDS_TYPE_Vector_EQTY_200007026">#REF!,#REF!,#REF!,#REF!,#REF!</definedName>
    <definedName name="V_ALL_KEYWORDS_TYPE_Vector_EQTY_200007202">#REF!,#REF!,#REF!,#REF!,#REF!</definedName>
    <definedName name="V_ALL_KEYWORDS_TYPE_Vector_EQTY_200008494">#REF!,#REF!,#REF!,#REF!,#REF!</definedName>
    <definedName name="V_ALL_KEYWORDS_TYPE_Vector_EQTY_200008521">#REF!,#REF!,#REF!,#REF!,#REF!</definedName>
    <definedName name="V_ALL_KEYWORDS_TYPE_Vector_EQTY_200009581">#REF!,#REF!,#REF!,#REF!,#REF!</definedName>
    <definedName name="V_ALL_KEYWORDS_TYPE_Vector_EQTY_200009654">#REF!,#REF!,#REF!,#REF!,#REF!</definedName>
    <definedName name="V_ALL_KEYWORDS_TYPE_Vector_EQTY_200009655">#REF!,#REF!,#REF!,#REF!,#REF!</definedName>
    <definedName name="V_ALL_KEYWORDS_TYPE_Vector_EQTY_200009737">#REF!,#REF!,#REF!,#REF!,#REF!</definedName>
    <definedName name="V_ALL_KEYWORDS_TYPE_Vector_EQTY_200009791">#REF!,#REF!,#REF!,#REF!,#REF!</definedName>
    <definedName name="V_ALL_KEYWORDS_TYPE_Vector_EQTY_200009867">#REF!,#REF!,#REF!,#REF!,#REF!</definedName>
    <definedName name="V_ALL_KEYWORDS_TYPE_Vector_EQTY_200011150">#REF!,#REF!,#REF!,#REF!,#REF!,#REF!</definedName>
    <definedName name="V_ALL_KEYWORDS_TYPE_Vector_EQTY_200011151">#REF!,#REF!,#REF!,#REF!,#REF!,#REF!</definedName>
    <definedName name="V_ALL_KEYWORDS_TYPE_Vector_EQTY_200012496">#REF!,#REF!,#REF!,#REF!,#REF!</definedName>
    <definedName name="V_ALL_KEYWORDS_TYPE_Vector_EQTY_200012554">#REF!,#REF!,#REF!,#REF!,#REF!</definedName>
    <definedName name="V_ALL_KEYWORDS_TYPE_Vector_EQTY_200012667">#REF!,#REF!,#REF!,#REF!,#REF!,#REF!</definedName>
    <definedName name="V_ALL_KEYWORDS_TYPE_Vector_EQTY_200015216">#REF!,#REF!,#REF!,#REF!,#REF!,#REF!</definedName>
    <definedName name="V_ALL_KEYWORDS_TYPE_Vector_EQTY_200015601">#REF!,#REF!,#REF!,#REF!,#REF!</definedName>
    <definedName name="V_ALL_KEYWORDS_TYPE_Vector_EQTY_200015873">#REF!,#REF!,#REF!,#REF!,#REF!</definedName>
    <definedName name="V_ALL_KEYWORDS_TYPE_Vector_EQTY_200016577">#REF!,#REF!,#REF!,#REF!,#REF!</definedName>
    <definedName name="V_ALL_KEYWORDS_TYPE_Vector_EQTY_200016618">#REF!,#REF!,#REF!,#REF!,#REF!</definedName>
    <definedName name="V_ALL_KEYWORDS_TYPE_Vector_EQTY_200016786">#REF!,#REF!,#REF!,#REF!,#REF!</definedName>
    <definedName name="V_ALL_KEYWORDS_TYPE_Vector_EQTY_200016787">#REF!,#REF!,#REF!,#REF!,#REF!</definedName>
    <definedName name="V_ALL_KEYWORDS_TYPE_Vector_EQTY_200018291">#REF!,#REF!,#REF!,#REF!,#REF!,#REF!</definedName>
    <definedName name="V_ALL_KEYWORDS_TYPE_Vector_EQTY_200018294">#REF!,#REF!,#REF!,#REF!,#REF!,#REF!</definedName>
    <definedName name="V_ALL_KEYWORDS_TYPE_Vector_EQTY_200019639">#REF!,#REF!,#REF!,#REF!,#REF!,#REF!</definedName>
    <definedName name="V_ALL_KEYWORDS_TYPE_Vector_ISSR_208001579">#REF!,#REF!,#REF!,#REF!,#REF!,#REF!,#REF!,#REF!,#REF!,#REF!,#REF!,#REF!,#REF!,#REF!</definedName>
    <definedName name="V_ALL_KEYWORDS_TYPE_Vector_ISSR_208014816">#REF!,#REF!,#REF!,#REF!,#REF!,#REF!,#REF!,#REF!,#REF!,#REF!,#REF!,#REF!</definedName>
    <definedName name="V_ALL_KEYWORDS_TYPE_Vector_ISSR_208016097">#REF!,#REF!,#REF!,#REF!,#REF!,#REF!,#REF!,#REF!,#REF!,#REF!,#REF!,#REF!,#REF!,#REF!,#REF!,#REF!,#REF!</definedName>
    <definedName name="V_ALL_KEYWORDS_TYPE_Vector_ISSR_208016100">#REF!,#REF!,#REF!,#REF!,#REF!,#REF!,#REF!,#REF!,#REF!,#REF!,#REF!,#REF!,#REF!,#REF!,#REF!,#REF!</definedName>
    <definedName name="V_ALL_KEYWORDS_TYPE_Vector_ISSR_208018230">#REF!,#REF!,#REF!,#REF!,#REF!,#REF!,#REF!,#REF!,#REF!,#REF!,#REF!,#REF!,#REF!,#REF!,#REF!</definedName>
    <definedName name="V_ALL_SECTION_KEYWORDS_EQTY_200013596_13K">#REF!</definedName>
    <definedName name="V_ALL_SECTION_KEYWORDS_ISSR_208001154_13A">#REF!,#REF!</definedName>
    <definedName name="V_ALL_SECTION_KEYWORDS_ISSR_208001154_13V">#REF!,#REF!</definedName>
    <definedName name="V_ALL_SECTION_KEYWORDS_ISSR_208001156_136E">#REF!,#REF!</definedName>
    <definedName name="V_ALL_SECTION_KEYWORDS_ISSR_208001156_13A">#REF!,#REF!</definedName>
    <definedName name="V_ALL_SECTION_KEYWORDS_ISSR_208001156_13V">#REF!,#REF!</definedName>
    <definedName name="V_ALL_SECTION_KEYWORDS_ISSR_208001501_136E">#REF!,#REF!</definedName>
    <definedName name="V_ALL_SECTION_KEYWORDS_ISSR_208001501_13A">#REF!,#REF!</definedName>
    <definedName name="V_ALL_SECTION_KEYWORDS_ISSR_208001501_13V">#REF!,#REF!</definedName>
    <definedName name="V_ALL_SECTION_KEYWORDS_ISSR_208001579_136E">#REF!,#REF!</definedName>
    <definedName name="V_ALL_SECTION_KEYWORDS_ISSR_208001579_13A">#REF!,#REF!</definedName>
    <definedName name="V_ALL_SECTION_KEYWORDS_ISSR_208001579_13V">#REF!,#REF!</definedName>
    <definedName name="V_ALL_SECTION_KEYWORDS_ISSR_208002524_13V">#REF!,#REF!</definedName>
    <definedName name="V_ALL_SECTION_KEYWORDS_ISSR_208007494_136E">#REF!,#REF!</definedName>
    <definedName name="V_ALL_SECTION_KEYWORDS_ISSR_208007494_13A">#REF!,#REF!</definedName>
    <definedName name="V_ALL_SECTION_KEYWORDS_ISSR_208007494_13V">#REF!,#REF!</definedName>
    <definedName name="V_ALL_SECTION_KEYWORDS_ISSR_208007541_13V">#REF!,#REF!</definedName>
    <definedName name="V_ALL_SECTION_KEYWORDS_ISSR_208009490_13V">#REF!,#REF!</definedName>
    <definedName name="V_ALL_SECTION_KEYWORDS_ISSR_208010512_1314">#REF!</definedName>
    <definedName name="V_ALL_SECTION_KEYWORDS_ISSR_208010512_1316S">#REF!,#REF!</definedName>
    <definedName name="V_ALL_SECTION_KEYWORDS_ISSR_208010512_1319">#REF!</definedName>
    <definedName name="V_ALL_SECTION_KEYWORDS_ISSR_208010512_131E">#REF!</definedName>
    <definedName name="V_ALL_SECTION_KEYWORDS_ISSR_208010512_13V">#REF!,#REF!</definedName>
    <definedName name="V_ALL_SECTION_KEYWORDS_ISSR_208014120_13168">#REF!</definedName>
    <definedName name="V_ALL_SECTION_KEYWORDS_ISSR_208014120_1316T">#REF!</definedName>
    <definedName name="V_ALL_SECTION_KEYWORDS_ISSR_208014120_1319">#REF!</definedName>
    <definedName name="V_ALL_SECTION_KEYWORDS_ISSR_208016097_13V">#REF!,#REF!</definedName>
    <definedName name="V_ALL_SECTION_KEYWORDS_ISSR_208016100_136E">#REF!,#REF!</definedName>
    <definedName name="V_ALL_SECTION_KEYWORDS_ISSR_208016100_13V">#REF!,#REF!</definedName>
    <definedName name="V_ALL_SECTION_KEYWORDS_ISSR_208018230_13V">#REF!,#REF!</definedName>
    <definedName name="V_ALL_SECTIONS_EQTY_200001447">#REF!,#REF!,#REF!,#REF!,#REF!,#REF!,#REF!,#REF!,#REF!,#REF!</definedName>
    <definedName name="V_ALL_SECTIONS_EQTY_200002809">#REF!,#REF!,#REF!,#REF!,#REF!,#REF!,#REF!,#REF!</definedName>
    <definedName name="V_ALL_SECTIONS_EQTY_200003565">#REF!,#REF!,#REF!,#REF!,#REF!,#REF!,#REF!,#REF!</definedName>
    <definedName name="V_ALL_SECTIONS_EQTY_200006225">#REF!,#REF!,#REF!,#REF!,#REF!,#REF!,#REF!,#REF!</definedName>
    <definedName name="V_ALL_SECTIONS_EQTY_200006858">#REF!,#REF!,#REF!,#REF!,#REF!,#REF!,#REF!,#REF!</definedName>
    <definedName name="V_ALL_SECTIONS_EQTY_200006887">#REF!,#REF!,#REF!,#REF!,#REF!,#REF!,#REF!,#REF!</definedName>
    <definedName name="V_ALL_SECTIONS_EQTY_200007202">#REF!,#REF!,#REF!,#REF!,#REF!,#REF!,#REF!,#REF!</definedName>
    <definedName name="V_ALL_SECTIONS_EQTY_200008521">#REF!,#REF!,#REF!,#REF!,#REF!,#REF!,#REF!,#REF!</definedName>
    <definedName name="V_ALL_SECTIONS_EQTY_200009581">#REF!,#REF!,#REF!,#REF!,#REF!,#REF!,#REF!,#REF!</definedName>
    <definedName name="V_ALL_SECTIONS_EQTY_200009654">#REF!,#REF!,#REF!,#REF!,#REF!,#REF!,#REF!,#REF!</definedName>
    <definedName name="V_ALL_SECTIONS_EQTY_200009655">#REF!,#REF!,#REF!,#REF!,#REF!,#REF!,#REF!,#REF!</definedName>
    <definedName name="V_ALL_SECTIONS_EQTY_200009867">#REF!,#REF!,#REF!,#REF!,#REF!,#REF!,#REF!,#REF!</definedName>
    <definedName name="V_ALL_SECTIONS_EQTY_200009998">#REF!,#REF!,#REF!,#REF!,#REF!,#REF!,#REF!,#REF!,#REF!</definedName>
    <definedName name="V_ALL_SECTIONS_EQTY_200010001">#REF!,#REF!,#REF!,#REF!,#REF!,#REF!,#REF!,#REF!,#REF!</definedName>
    <definedName name="V_ALL_SECTIONS_EQTY_200011150">#REF!,#REF!,#REF!,#REF!,#REF!,#REF!,#REF!,#REF!,#REF!</definedName>
    <definedName name="V_ALL_SECTIONS_EQTY_200011151">#REF!,#REF!,#REF!,#REF!,#REF!,#REF!,#REF!,#REF!,#REF!</definedName>
    <definedName name="V_ALL_SECTIONS_EQTY_200012667">#REF!,#REF!,#REF!,#REF!,#REF!,#REF!,#REF!,#REF!,#REF!</definedName>
    <definedName name="V_ALL_SECTIONS_EQTY_200012890">#REF!,#REF!,#REF!,#REF!,#REF!,#REF!,#REF!,#REF!,#REF!</definedName>
    <definedName name="V_ALL_SECTIONS_EQTY_200015873">#REF!,#REF!,#REF!,#REF!,#REF!,#REF!,#REF!,#REF!</definedName>
    <definedName name="V_ALL_SECTIONS_EQTY_200016577">#REF!,#REF!,#REF!,#REF!,#REF!,#REF!,#REF!,#REF!</definedName>
    <definedName name="V_ALL_SECTIONS_EQTY_200016618">#REF!,#REF!,#REF!,#REF!,#REF!,#REF!,#REF!,#REF!</definedName>
    <definedName name="V_ALL_SECTIONS_ISSR_208008538">#REF!,#REF!,#REF!,#REF!,#REF!,#REF!,#REF!,#REF!,#REF!,#REF!</definedName>
    <definedName name="V_ALL_SECTIONS_ISSR_208008539">#REF!,#REF!,#REF!,#REF!,#REF!,#REF!,#REF!,#REF!,#REF!,#REF!</definedName>
    <definedName name="V_ALL_SECTIONS_ISSR_208009120">#REF!,#REF!,#REF!,#REF!,#REF!,#REF!,#REF!,#REF!,#REF!,#REF!</definedName>
    <definedName name="V_ALL_SECTIONS_ISSR_208009639">#REF!,#REF!,#REF!,#REF!,#REF!,#REF!,#REF!,#REF!,#REF!</definedName>
    <definedName name="V_ALL_SECTIONS_ISSR_208009891">#REF!,#REF!,#REF!,#REF!,#REF!,#REF!,#REF!,#REF!,#REF!</definedName>
    <definedName name="V_ALL_SECTIONS_ISSR_208012783">#REF!,#REF!,#REF!,#REF!,#REF!,#REF!,#REF!,#REF!,#REF!</definedName>
    <definedName name="V_ALL_YGE">#REF!</definedName>
    <definedName name="V_KEYWORD_EQTY_200011150_BVPS">#REF!</definedName>
    <definedName name="V_KEYWORD_EQTY_200011150_BVPS_PUB">#REF!</definedName>
    <definedName name="V_KEYWORD_EQTY_200011150_CATALYST1_DATE">#REF!</definedName>
    <definedName name="V_KEYWORD_EQTY_200011150_CATALYST1_EVENT">#REF!</definedName>
    <definedName name="V_KEYWORD_EQTY_200011150_CATALYST2_DATE">#REF!</definedName>
    <definedName name="V_KEYWORD_EQTY_200011150_CATALYST2_EVENT">#REF!</definedName>
    <definedName name="V_KEYWORD_EQTY_200011150_CATALYST3_DATE">#REF!</definedName>
    <definedName name="V_KEYWORD_EQTY_200011150_CATALYST3_EVENT">#REF!</definedName>
    <definedName name="V_KEYWORD_EQTY_200011150_CATALYST4_DATE">#REF!</definedName>
    <definedName name="V_KEYWORD_EQTY_200011150_CATALYST4_EVENT">#REF!</definedName>
    <definedName name="V_KEYWORD_EQTY_200011150_CATALYST5_DATE">#REF!</definedName>
    <definedName name="V_KEYWORD_EQTY_200011150_CATALYST5_EVENT">#REF!</definedName>
    <definedName name="V_KEYWORD_EQTY_200011150_CF_NI_PRE_PREF">#REF!</definedName>
    <definedName name="V_KEYWORD_EQTY_200011150_COMMON_DIV_PAID">#REF!</definedName>
    <definedName name="V_KEYWORD_EQTY_200011150_CURRENCY_ISO">#REF!</definedName>
    <definedName name="V_KEYWORD_EQTY_200011150_DILUTE_SHARES">#REF!</definedName>
    <definedName name="V_KEYWORD_EQTY_200011150_DPS">#REF!</definedName>
    <definedName name="V_KEYWORD_EQTY_200011150_DPS_PUB">#REF!</definedName>
    <definedName name="V_KEYWORD_EQTY_200011150_EBIT_PUB">#REF!</definedName>
    <definedName name="V_KEYWORD_EQTY_200011150_EBITDA_PUB">#REF!</definedName>
    <definedName name="V_KEYWORD_EQTY_200011150_EPS">#REF!</definedName>
    <definedName name="V_KEYWORD_EQTY_200011150_EPS_CONS_PUB">#REF!</definedName>
    <definedName name="V_KEYWORD_EQTY_200011150_EPS_FUL_DIL">#REF!</definedName>
    <definedName name="V_KEYWORD_EQTY_200011150_EPS_POST_BASIC">#REF!</definedName>
    <definedName name="V_KEYWORD_EQTY_200011150_EPS_PUB">#REF!</definedName>
    <definedName name="V_KEYWORD_EQTY_200011150_EQ_PUB">#REF!</definedName>
    <definedName name="V_KEYWORD_EQTY_200011150_EV_ADJ_PUB">#REF!</definedName>
    <definedName name="V_KEYWORD_EQTY_200011150_FOREIGN_HOLDNG">#REF!</definedName>
    <definedName name="V_KEYWORD_EQTY_200011150_FREE_FLOAT">#REF!</definedName>
    <definedName name="V_KEYWORD_EQTY_200011150_FULLY_DIL_EPS">#REF!</definedName>
    <definedName name="V_KEYWORD_EQTY_200011150_INC_MINORITY">#REF!</definedName>
    <definedName name="V_KEYWORD_EQTY_200011150_Interim_Type">#REF!</definedName>
    <definedName name="V_KEYWORD_EQTY_200011150_LEGAL_RATING">#REF!</definedName>
    <definedName name="V_KEYWORD_EQTY_200011150_MARGIN_TAX_RATE">#REF!</definedName>
    <definedName name="V_KEYWORD_EQTY_200011150_MKT_EQ_RISK_PREM">#REF!</definedName>
    <definedName name="V_KEYWORD_EQTY_200011150_NET_DEBT_PUB">#REF!</definedName>
    <definedName name="V_KEYWORD_EQTY_200011150_NET_EARNING">#REF!</definedName>
    <definedName name="V_KEYWORD_EQTY_200011150_NET_INC">#REF!</definedName>
    <definedName name="V_KEYWORD_EQTY_200011150_NI_CONS">#REF!</definedName>
    <definedName name="V_KEYWORD_EQTY_200011150_NI_PRE_PREF">#REF!</definedName>
    <definedName name="V_KEYWORD_EQTY_200011150_NI_PUB">#REF!</definedName>
    <definedName name="V_KEYWORD_EQTY_200011150_NON_OP_ADD">#REF!</definedName>
    <definedName name="V_KEYWORD_EQTY_200011150_NUM_SH">#REF!</definedName>
    <definedName name="V_KEYWORD_EQTY_200011150_PREF_DIV">#REF!</definedName>
    <definedName name="V_KEYWORD_EQTY_200011150_PRI_TARG_METH">#REF!</definedName>
    <definedName name="V_KEYWORD_EQTY_200011150_PRI_TARG_MULT">#REF!</definedName>
    <definedName name="V_KEYWORD_EQTY_200011150_PRICE_CURRENCY_ISO">#REF!</definedName>
    <definedName name="V_KEYWORD_EQTY_200011150_PROV_INC_TAX">#REF!</definedName>
    <definedName name="V_KEYWORD_EQTY_200011150_PTP_PUB">#REF!</definedName>
    <definedName name="V_KEYWORD_EQTY_200011150_PUB_CURRENCY_ISO">#REF!</definedName>
    <definedName name="V_KEYWORD_EQTY_200011150_REV_ELEC_MECHANICAL_AEJ_CAP_GDS">#REF!</definedName>
    <definedName name="V_KEYWORD_EQTY_200011150_REV_HYDRO_AEJ_CAP_GDS">#REF!</definedName>
    <definedName name="V_KEYWORD_EQTY_200011150_REV_NUCLEAR_AEJ_CAP_GDS">#REF!</definedName>
    <definedName name="V_KEYWORD_EQTY_200011150_REV_OTHER_AEJ_CAP_GDS">#REF!</definedName>
    <definedName name="V_KEYWORD_EQTY_200011150_REV_THERMAL_AEJ_CAP_GDS">#REF!</definedName>
    <definedName name="V_KEYWORD_EQTY_200011150_REV_WIND_AEJ_CAP_GDS">#REF!</definedName>
    <definedName name="V_KEYWORD_EQTY_200011150_REVS_PUB">#REF!</definedName>
    <definedName name="V_KEYWORD_EQTY_200011150_RISK_FR_RATE">#REF!</definedName>
    <definedName name="V_KEYWORD_EQTY_200011150_Security_Name">#REF!</definedName>
    <definedName name="V_KEYWORD_EQTY_200011150_SH">#REF!</definedName>
    <definedName name="V_KEYWORD_EQTY_200011150_TARGET_PRICE">#REF!</definedName>
    <definedName name="V_KEYWORD_EQTY_200011150_TAX_EXC">#REF!</definedName>
    <definedName name="V_KEYWORD_EQTY_200011150_Ticker">#REF!</definedName>
    <definedName name="V_KEYWORD_EQTY_200011150_TP_PERIOD">#REF!</definedName>
    <definedName name="V_KEYWORD_ISSR_208008538_ACC_PAY_GQ">#REF!</definedName>
    <definedName name="V_KEYWORD_ISSR_208008538_ACQ">#REF!</definedName>
    <definedName name="V_KEYWORD_ISSR_208008538_ADJ_UNF_PENS_GOOD">#REF!</definedName>
    <definedName name="V_KEYWORD_ISSR_208008538_AMKT_PCT_GROUP_SALES">#REF!</definedName>
    <definedName name="V_KEYWORD_ISSR_208008538_ASSOC_JV_ADDBK">#REF!</definedName>
    <definedName name="V_KEYWORD_ISSR_208008538_ASSOCIATE">#REF!</definedName>
    <definedName name="V_KEYWORD_ISSR_208008538_ASSOCIATE_OP">#REF!</definedName>
    <definedName name="V_KEYWORD_ISSR_208008538_BAL_MINO_INT">#REF!</definedName>
    <definedName name="V_KEYWORD_ISSR_208008538_CAP_LEASES">#REF!</definedName>
    <definedName name="V_KEYWORD_ISSR_208008538_CAPEX">#REF!</definedName>
    <definedName name="V_KEYWORD_ISSR_208008538_CAPEX_EXPANSION">#REF!</definedName>
    <definedName name="V_KEYWORD_ISSR_208008538_CAPEX_MAINTENANCE">#REF!</definedName>
    <definedName name="V_KEYWORD_ISSR_208008538_CASH_EQ">#REF!</definedName>
    <definedName name="V_KEYWORD_ISSR_208008538_CASH_INT_EXP">#REF!</definedName>
    <definedName name="V_KEYWORD_ISSR_208008538_CASH_TAX_EXP">#REF!</definedName>
    <definedName name="V_KEYWORD_ISSR_208008538_CF_FIN">#REF!</definedName>
    <definedName name="V_KEYWORD_ISSR_208008538_CF_INC_MINORITY">#REF!</definedName>
    <definedName name="V_KEYWORD_ISSR_208008538_CF_INV">#REF!</definedName>
    <definedName name="V_KEYWORD_ISSR_208008538_CF_OPS">#REF!</definedName>
    <definedName name="V_KEYWORD_ISSR_208008538_CHG_LT_DEBT">#REF!</definedName>
    <definedName name="V_KEYWORD_ISSR_208008538_CO_BOR_MARGIN">#REF!</definedName>
    <definedName name="V_KEYWORD_ISSR_208008538_CONTRIB_MARGIN_RATIO">#REF!</definedName>
    <definedName name="V_KEYWORD_ISSR_208008538_COST_GD_SD">#REF!</definedName>
    <definedName name="V_KEYWORD_ISSR_208008538_CUR_ASS">#REF!</definedName>
    <definedName name="V_KEYWORD_ISSR_208008538_CURRENCY_ISO">#REF!</definedName>
    <definedName name="V_KEYWORD_ISSR_208008538_CYCL_ADJ_CROCI">#REF!</definedName>
    <definedName name="V_KEYWORD_ISSR_208008538_CYCL_GRTH_EMKT">#REF!</definedName>
    <definedName name="V_KEYWORD_ISSR_208008538_DEBTORS">#REF!</definedName>
    <definedName name="V_KEYWORD_ISSR_208008538_DEF_INC_TAX">#REF!</definedName>
    <definedName name="V_KEYWORD_ISSR_208008538_DEPR_AMORT">#REF!</definedName>
    <definedName name="V_KEYWORD_ISSR_208008538_DEPREC">#REF!</definedName>
    <definedName name="V_KEYWORD_ISSR_208008538_DISTR_SCORE">#REF!</definedName>
    <definedName name="V_KEYWORD_ISSR_208008538_DIV_PAID">#REF!</definedName>
    <definedName name="V_KEYWORD_ISSR_208008538_DIVDS_ASSOC_JV">#REF!</definedName>
    <definedName name="V_KEYWORD_ISSR_208008538_DIVDS_PD_MINORITIES">#REF!</definedName>
    <definedName name="V_KEYWORD_ISSR_208008538_DIVEST">#REF!</definedName>
    <definedName name="V_KEYWORD_ISSR_208008538_EBIT">#REF!</definedName>
    <definedName name="V_KEYWORD_ISSR_208008538_EBITDA_CALC">#REF!</definedName>
    <definedName name="V_KEYWORD_ISSR_208008538_EMPLOYEES">#REF!</definedName>
    <definedName name="V_KEYWORD_ISSR_208008538_EQ">#REF!</definedName>
    <definedName name="V_KEYWORD_ISSR_208008538_EXP_ALUMINIUM">#REF!</definedName>
    <definedName name="V_KEYWORD_ISSR_208008538_EXP_CEMENT">#REF!</definedName>
    <definedName name="V_KEYWORD_ISSR_208008538_EXP_COPPER">#REF!</definedName>
    <definedName name="V_KEYWORD_ISSR_208008538_EXP_DIAMONDS">#REF!</definedName>
    <definedName name="V_KEYWORD_ISSR_208008538_EXP_FERROCHROME">#REF!</definedName>
    <definedName name="V_KEYWORD_ISSR_208008538_EXP_GLASS">#REF!</definedName>
    <definedName name="V_KEYWORD_ISSR_208008538_EXP_GOLD">#REF!</definedName>
    <definedName name="V_KEYWORD_ISSR_208008538_EXP_IRON_ORE">#REF!</definedName>
    <definedName name="V_KEYWORD_ISSR_208008538_EXP_LUMBER">#REF!</definedName>
    <definedName name="V_KEYWORD_ISSR_208008538_EXP_NAT_GAS">#REF!</definedName>
    <definedName name="V_KEYWORD_ISSR_208008538_EXP_NICKEL">#REF!</definedName>
    <definedName name="V_KEYWORD_ISSR_208008538_EXP_OIL_DERIV_NGLS_PLASTICS">#REF!</definedName>
    <definedName name="V_KEYWORD_ISSR_208008538_EXP_OIL_PETRO_FUEL">#REF!</definedName>
    <definedName name="V_KEYWORD_ISSR_208008538_EXP_OTH_COMMODITY">#REF!</definedName>
    <definedName name="V_KEYWORD_ISSR_208008538_EXP_OTH_COST">#REF!</definedName>
    <definedName name="V_KEYWORD_ISSR_208008538_EXP_PALLADIUM">#REF!</definedName>
    <definedName name="V_KEYWORD_ISSR_208008538_EXP_PAPER_PULP">#REF!</definedName>
    <definedName name="V_KEYWORD_ISSR_208008538_EXP_PLATINUM">#REF!</definedName>
    <definedName name="V_KEYWORD_ISSR_208008538_EXP_RUBBER">#REF!</definedName>
    <definedName name="V_KEYWORD_ISSR_208008538_EXP_SILVER">#REF!</definedName>
    <definedName name="V_KEYWORD_ISSR_208008538_EXP_STEEL">#REF!</definedName>
    <definedName name="V_KEYWORD_ISSR_208008538_EXP_TIN">#REF!</definedName>
    <definedName name="V_KEYWORD_ISSR_208008538_EXP_WATER">#REF!</definedName>
    <definedName name="V_KEYWORD_ISSR_208008538_EXP_ZINC">#REF!</definedName>
    <definedName name="V_KEYWORD_ISSR_208008538_FIX_ASS_INV">#REF!</definedName>
    <definedName name="V_KEYWORD_ISSR_208008538_GCI_INFL">#REF!</definedName>
    <definedName name="V_KEYWORD_ISSR_208008538_GOODWILL_AMORT">#REF!</definedName>
    <definedName name="V_KEYWORD_ISSR_208008538_GR_FIX_ASS">#REF!</definedName>
    <definedName name="V_KEYWORD_ISSR_208008538_GR_INTANG">#REF!</definedName>
    <definedName name="V_KEYWORD_ISSR_208008538_GROUP_OGS">#REF!</definedName>
    <definedName name="V_KEYWORD_ISSR_208008538_GROUP_SALES_PCT_BIG_NO_TWO">#REF!</definedName>
    <definedName name="V_KEYWORD_ISSR_208008538_GROUP_SALES_PCT_SHRD_NO_ONE">#REF!</definedName>
    <definedName name="V_KEYWORD_ISSR_208008538_GROUP_SALES_PCT_TOP_THREE">#REF!</definedName>
    <definedName name="V_KEYWORD_ISSR_208008538_INT_EXP_IND">#REF!</definedName>
    <definedName name="V_KEYWORD_ISSR_208008538_INT_INC_IND">#REF!</definedName>
    <definedName name="V_KEYWORD_ISSR_208008538_INV_SECUR">#REF!</definedName>
    <definedName name="V_KEYWORD_ISSR_208008538_Issuer_Name">#REF!</definedName>
    <definedName name="V_KEYWORD_ISSR_208008538_LEASE_DEEM_DEPR">#REF!</definedName>
    <definedName name="V_KEYWORD_ISSR_208008538_LEASE_DEEM_INT">#REF!</definedName>
    <definedName name="V_KEYWORD_ISSR_208008538_LEASE_PAY">#REF!</definedName>
    <definedName name="V_KEYWORD_ISSR_208008538_LT_DEBT">#REF!</definedName>
    <definedName name="V_KEYWORD_ISSR_208008538_MINORITIES">#REF!</definedName>
    <definedName name="V_KEYWORD_ISSR_208008538_MV_ASSOCIATES">#REF!</definedName>
    <definedName name="V_KEYWORD_ISSR_208008538_NET_DEBT">#REF!</definedName>
    <definedName name="V_KEYWORD_ISSR_208008538_NET_DEBT_ADJ">#REF!</definedName>
    <definedName name="V_KEYWORD_ISSR_208008538_NET_FIX_ASS">#REF!</definedName>
    <definedName name="V_KEYWORD_ISSR_208008538_NET_INT_CH">#REF!</definedName>
    <definedName name="V_KEYWORD_ISSR_208008538_NET_INT_EXP">#REF!</definedName>
    <definedName name="V_KEYWORD_ISSR_208008538_NET_INTANG">#REF!</definedName>
    <definedName name="V_KEYWORD_ISSR_208008538_NONPPE_CAPEX">#REF!</definedName>
    <definedName name="V_KEYWORD_ISSR_208008538_OP_COST">#REF!</definedName>
    <definedName name="V_KEYWORD_ISSR_208008538_ORD_SH_FUND">#REF!</definedName>
    <definedName name="V_KEYWORD_ISSR_208008538_OTH_COST_INC">#REF!</definedName>
    <definedName name="V_KEYWORD_ISSR_208008538_OTH_CUR_ASS">#REF!</definedName>
    <definedName name="V_KEYWORD_ISSR_208008538_OTH_CUR_LIABS">#REF!</definedName>
    <definedName name="V_KEYWORD_ISSR_208008538_OTH_DACF_ADJ">#REF!</definedName>
    <definedName name="V_KEYWORD_ISSR_208008538_OTH_FIN_CF">#REF!</definedName>
    <definedName name="V_KEYWORD_ISSR_208008538_OTH_GCI_ADJ">#REF!</definedName>
    <definedName name="V_KEYWORD_ISSR_208008538_OTH_INV_CF">#REF!</definedName>
    <definedName name="V_KEYWORD_ISSR_208008538_OTH_LT_ASS">#REF!</definedName>
    <definedName name="V_KEYWORD_ISSR_208008538_OTH_LT_CRED_GQ">#REF!</definedName>
    <definedName name="V_KEYWORD_ISSR_208008538_OTH_NONCASH_ADJ">#REF!</definedName>
    <definedName name="V_KEYWORD_ISSR_208008538_OTH_OP_CF">#REF!</definedName>
    <definedName name="V_KEYWORD_ISSR_208008538_OTH_OP_INC_EXP">#REF!</definedName>
    <definedName name="V_KEYWORD_ISSR_208008538_PERIOD_MILESTONE">#REF!</definedName>
    <definedName name="V_KEYWORD_ISSR_208008538_PERSONNEL">#REF!</definedName>
    <definedName name="V_KEYWORD_ISSR_208008538_PL_SALE_ASSETS">#REF!</definedName>
    <definedName name="V_KEYWORD_ISSR_208008538_PREF_SH">#REF!</definedName>
    <definedName name="V_KEYWORD_ISSR_208008538_PROFIT_ON_DISP">#REF!</definedName>
    <definedName name="V_KEYWORD_ISSR_208008538_PT_PROF">#REF!</definedName>
    <definedName name="V_KEYWORD_ISSR_208008538_RD_EXP">#REF!</definedName>
    <definedName name="V_KEYWORD_ISSR_208008538_SALES">#REF!</definedName>
    <definedName name="V_KEYWORD_ISSR_208008538_SALES_AGRI_EMKT_ASIAEXCHINA">#REF!</definedName>
    <definedName name="V_KEYWORD_ISSR_208008538_SALES_AGRI_EMKT_CHINA">#REF!</definedName>
    <definedName name="V_KEYWORD_ISSR_208008538_SALES_AGRI_EMKT_EAME">#REF!</definedName>
    <definedName name="V_KEYWORD_ISSR_208008538_SALES_AGRI_EMKT_GLOBAL">#REF!</definedName>
    <definedName name="V_KEYWORD_ISSR_208008538_SALES_AGRI_EMKT_NO_AMERICA">#REF!</definedName>
    <definedName name="V_KEYWORD_ISSR_208008538_SALES_AGRI_EMKT_SO_AMERICA">#REF!</definedName>
    <definedName name="V_KEYWORD_ISSR_208008538_SALES_ALUMINIUM">#REF!</definedName>
    <definedName name="V_KEYWORD_ISSR_208008538_SALES_AMKT_EMKT_GLOBAL">#REF!</definedName>
    <definedName name="V_KEYWORD_ISSR_208008538_SALES_AUTOMTV_EMKT_ASIAEXCHINA">#REF!</definedName>
    <definedName name="V_KEYWORD_ISSR_208008538_SALES_AUTOMTV_EMKT_CHINA">#REF!</definedName>
    <definedName name="V_KEYWORD_ISSR_208008538_SALES_AUTOMTV_EMKT_EAME">#REF!</definedName>
    <definedName name="V_KEYWORD_ISSR_208008538_SALES_AUTOMTV_EMKT_GLOBAL">#REF!</definedName>
    <definedName name="V_KEYWORD_ISSR_208008538_SALES_AUTOMTV_EMKT_NO_AMERICA">#REF!</definedName>
    <definedName name="V_KEYWORD_ISSR_208008538_SALES_AUTOMTV_EMKT_SO_AMERICA">#REF!</definedName>
    <definedName name="V_KEYWORD_ISSR_208008538_SALES_BRAZIL">#REF!</definedName>
    <definedName name="V_KEYWORD_ISSR_208008538_SALES_CEE">#REF!</definedName>
    <definedName name="V_KEYWORD_ISSR_208008538_SALES_CEMENT">#REF!</definedName>
    <definedName name="V_KEYWORD_ISSR_208008538_SALES_CHINA">#REF!</definedName>
    <definedName name="V_KEYWORD_ISSR_208008538_SALES_COAL_MET">#REF!</definedName>
    <definedName name="V_KEYWORD_ISSR_208008538_SALES_COAL_THERMAL">#REF!</definedName>
    <definedName name="V_KEYWORD_ISSR_208008538_SALES_CONS">#REF!</definedName>
    <definedName name="V_KEYWORD_ISSR_208008538_SALES_CONS_EMKT_ASIAEXCHINA">#REF!</definedName>
    <definedName name="V_KEYWORD_ISSR_208008538_SALES_CONS_EMKT_CHINA">#REF!</definedName>
    <definedName name="V_KEYWORD_ISSR_208008538_SALES_CONS_EMKT_EAME">#REF!</definedName>
    <definedName name="V_KEYWORD_ISSR_208008538_SALES_CONS_EMKT_GLOBAL">#REF!</definedName>
    <definedName name="V_KEYWORD_ISSR_208008538_SALES_CONS_EMKT_NO_AMERICA">#REF!</definedName>
    <definedName name="V_KEYWORD_ISSR_208008538_SALES_CONS_EMKT_SO_AMERICA">#REF!</definedName>
    <definedName name="V_KEYWORD_ISSR_208008538_SALES_CONSRT_EMKT_ASIAEXCHINA">#REF!</definedName>
    <definedName name="V_KEYWORD_ISSR_208008538_SALES_CONSRT_EMKT_CHINA">#REF!</definedName>
    <definedName name="V_KEYWORD_ISSR_208008538_SALES_CONSRT_EMKT_EAME">#REF!</definedName>
    <definedName name="V_KEYWORD_ISSR_208008538_SALES_CONSRT_EMKT_GLOBAL">#REF!</definedName>
    <definedName name="V_KEYWORD_ISSR_208008538_SALES_CONSRT_EMKT_NO_AMERICA">#REF!</definedName>
    <definedName name="V_KEYWORD_ISSR_208008538_SALES_CONSRT_EMKT_SO_AMERICA">#REF!</definedName>
    <definedName name="V_KEYWORD_ISSR_208008538_SALES_COPPER">#REF!</definedName>
    <definedName name="V_KEYWORD_ISSR_208008538_SALES_DIAMONDS">#REF!</definedName>
    <definedName name="V_KEYWORD_ISSR_208008538_SALES_EU_EX_UK">#REF!</definedName>
    <definedName name="V_KEYWORD_ISSR_208008538_SALES_FERROCHROME">#REF!</definedName>
    <definedName name="V_KEYWORD_ISSR_208008538_SALES_FINAN">#REF!</definedName>
    <definedName name="V_KEYWORD_ISSR_208008538_SALES_FX_BRL">#REF!</definedName>
    <definedName name="V_KEYWORD_ISSR_208008538_SALES_FX_CNY">#REF!</definedName>
    <definedName name="V_KEYWORD_ISSR_208008538_SALES_FX_EUR">#REF!</definedName>
    <definedName name="V_KEYWORD_ISSR_208008538_SALES_FX_GPB">#REF!</definedName>
    <definedName name="V_KEYWORD_ISSR_208008538_SALES_FX_INR">#REF!</definedName>
    <definedName name="V_KEYWORD_ISSR_208008538_SALES_FX_KRW">#REF!</definedName>
    <definedName name="V_KEYWORD_ISSR_208008538_SALES_FX_OTH">#REF!</definedName>
    <definedName name="V_KEYWORD_ISSR_208008538_SALES_FX_RUB">#REF!</definedName>
    <definedName name="V_KEYWORD_ISSR_208008538_SALES_FX_TWD">#REF!</definedName>
    <definedName name="V_KEYWORD_ISSR_208008538_SALES_FX_USD">#REF!</definedName>
    <definedName name="V_KEYWORD_ISSR_208008538_SALES_FX_YEN">#REF!</definedName>
    <definedName name="V_KEYWORD_ISSR_208008538_SALES_GLASS">#REF!</definedName>
    <definedName name="V_KEYWORD_ISSR_208008538_SALES_GNRL_IND_EMKT_ASIAEXCHINA">#REF!</definedName>
    <definedName name="V_KEYWORD_ISSR_208008538_SALES_GNRL_IND_EMKT_CHINA">#REF!</definedName>
    <definedName name="V_KEYWORD_ISSR_208008538_SALES_GNRL_IND_EMKT_EAME">#REF!</definedName>
    <definedName name="V_KEYWORD_ISSR_208008538_SALES_GNRL_IND_EMKT_GLOBAL">#REF!</definedName>
    <definedName name="V_KEYWORD_ISSR_208008538_SALES_GNRL_IND_EMKT_NO_AMERICA">#REF!</definedName>
    <definedName name="V_KEYWORD_ISSR_208008538_SALES_GNRL_IND_EMKT_SO_AMERICA">#REF!</definedName>
    <definedName name="V_KEYWORD_ISSR_208008538_SALES_GOLD">#REF!</definedName>
    <definedName name="V_KEYWORD_ISSR_208008538_SALES_GOV">#REF!</definedName>
    <definedName name="V_KEYWORD_ISSR_208008538_SALES_IND">#REF!</definedName>
    <definedName name="V_KEYWORD_ISSR_208008538_SALES_INDIA">#REF!</definedName>
    <definedName name="V_KEYWORD_ISSR_208008538_SALES_IRON_ORE">#REF!</definedName>
    <definedName name="V_KEYWORD_ISSR_208008538_SALES_JAPAN">#REF!</definedName>
    <definedName name="V_KEYWORD_ISSR_208008538_SALES_ME">#REF!</definedName>
    <definedName name="V_KEYWORD_ISSR_208008538_SALES_MINING_EMKT_ASIAEXCHINA">#REF!</definedName>
    <definedName name="V_KEYWORD_ISSR_208008538_SALES_MINING_EMKT_CHINA">#REF!</definedName>
    <definedName name="V_KEYWORD_ISSR_208008538_SALES_MINING_EMKT_EAME">#REF!</definedName>
    <definedName name="V_KEYWORD_ISSR_208008538_SALES_MINING_EMKT_GLOBAL">#REF!</definedName>
    <definedName name="V_KEYWORD_ISSR_208008538_SALES_MINING_EMKT_NO_AMERICA">#REF!</definedName>
    <definedName name="V_KEYWORD_ISSR_208008538_SALES_MINING_EMKT_SO_AMERICA">#REF!</definedName>
    <definedName name="V_KEYWORD_ISSR_208008538_SALES_NAT_GAS">#REF!</definedName>
    <definedName name="V_KEYWORD_ISSR_208008538_SALES_NICKEL">#REF!</definedName>
    <definedName name="V_KEYWORD_ISSR_208008538_SALES_OIL_DERIV_NGLS_PLASTICS">#REF!</definedName>
    <definedName name="V_KEYWORD_ISSR_208008538_SALES_OIL_GAS_EMKT_ASIAEXCHINA">#REF!</definedName>
    <definedName name="V_KEYWORD_ISSR_208008538_SALES_OIL_GAS_EMKT_CHINA">#REF!</definedName>
    <definedName name="V_KEYWORD_ISSR_208008538_SALES_OIL_GAS_EMKT_EAME">#REF!</definedName>
    <definedName name="V_KEYWORD_ISSR_208008538_SALES_OIL_GAS_EMKT_GLOBAL">#REF!</definedName>
    <definedName name="V_KEYWORD_ISSR_208008538_SALES_OIL_GAS_EMKT_NO_AMERICA">#REF!</definedName>
    <definedName name="V_KEYWORD_ISSR_208008538_SALES_OIL_GAS_EMKT_SO_AMERICA">#REF!</definedName>
    <definedName name="V_KEYWORD_ISSR_208008538_SALES_OIL_PETRO_FUEL">#REF!</definedName>
    <definedName name="V_KEYWORD_ISSR_208008538_SALES_OTH_AEJ">#REF!</definedName>
    <definedName name="V_KEYWORD_ISSR_208008538_SALES_OTH_AM">#REF!</definedName>
    <definedName name="V_KEYWORD_ISSR_208008538_SALES_OTH_COMMODITY">#REF!</definedName>
    <definedName name="V_KEYWORD_ISSR_208008538_SALES_OTH_EMEA">#REF!</definedName>
    <definedName name="V_KEYWORD_ISSR_208008538_SALES_OTH_SALES_SOURCES">#REF!</definedName>
    <definedName name="V_KEYWORD_ISSR_208008538_SALES_OTHER">#REF!</definedName>
    <definedName name="V_KEYWORD_ISSR_208008538_SALES_PALLADIUM">#REF!</definedName>
    <definedName name="V_KEYWORD_ISSR_208008538_SALES_PALM_OIL">#REF!</definedName>
    <definedName name="V_KEYWORD_ISSR_208008538_SALES_PAPER_PULP">#REF!</definedName>
    <definedName name="V_KEYWORD_ISSR_208008538_SALES_PLATINUM">#REF!</definedName>
    <definedName name="V_KEYWORD_ISSR_208008538_SALES_PWR_GEN_EMKT_ASIAEXCHINA">#REF!</definedName>
    <definedName name="V_KEYWORD_ISSR_208008538_SALES_PWR_GEN_EMKT_CHINA">#REF!</definedName>
    <definedName name="V_KEYWORD_ISSR_208008538_SALES_PWR_GEN_EMKT_EAME">#REF!</definedName>
    <definedName name="V_KEYWORD_ISSR_208008538_SALES_PWR_GEN_EMKT_GLOBAL">#REF!</definedName>
    <definedName name="V_KEYWORD_ISSR_208008538_SALES_PWR_GEN_EMKT_NO_AMERICA">#REF!</definedName>
    <definedName name="V_KEYWORD_ISSR_208008538_SALES_PWR_GEN_EMKT_SO_AMERICA">#REF!</definedName>
    <definedName name="V_KEYWORD_ISSR_208008538_SALES_RAIL_EMKT_ASIAEXCHINA">#REF!</definedName>
    <definedName name="V_KEYWORD_ISSR_208008538_SALES_RAIL_EMKT_CHINA">#REF!</definedName>
    <definedName name="V_KEYWORD_ISSR_208008538_SALES_RAIL_EMKT_EAME">#REF!</definedName>
    <definedName name="V_KEYWORD_ISSR_208008538_SALES_RAIL_EMKT_GLOBAL">#REF!</definedName>
    <definedName name="V_KEYWORD_ISSR_208008538_SALES_RAIL_EMKT_NO_AMERICA">#REF!</definedName>
    <definedName name="V_KEYWORD_ISSR_208008538_SALES_RAIL_EMKT_SO_AMERICA">#REF!</definedName>
    <definedName name="V_KEYWORD_ISSR_208008538_SALES_RUSSIA">#REF!</definedName>
    <definedName name="V_KEYWORD_ISSR_208008538_SALES_SILVER">#REF!</definedName>
    <definedName name="V_KEYWORD_ISSR_208008538_SALES_SK">#REF!</definedName>
    <definedName name="V_KEYWORD_ISSR_208008538_SALES_STEEL">#REF!</definedName>
    <definedName name="V_KEYWORD_ISSR_208008538_SALES_TAIWAN">#REF!</definedName>
    <definedName name="V_KEYWORD_ISSR_208008538_SALES_TECH_EMKT_ASIAEXCHINA">#REF!</definedName>
    <definedName name="V_KEYWORD_ISSR_208008538_SALES_TECH_EMKT_CHINA">#REF!</definedName>
    <definedName name="V_KEYWORD_ISSR_208008538_SALES_TECH_EMKT_EAME">#REF!</definedName>
    <definedName name="V_KEYWORD_ISSR_208008538_SALES_TECH_EMKT_GLOBAL">#REF!</definedName>
    <definedName name="V_KEYWORD_ISSR_208008538_SALES_TECH_EMKT_NO_AMERICA">#REF!</definedName>
    <definedName name="V_KEYWORD_ISSR_208008538_SALES_TECH_EMKT_SO_AMERICA">#REF!</definedName>
    <definedName name="V_KEYWORD_ISSR_208008538_SALES_TIN">#REF!</definedName>
    <definedName name="V_KEYWORD_ISSR_208008538_SALES_TOT_AFRICA">#REF!</definedName>
    <definedName name="V_KEYWORD_ISSR_208008538_SALES_TOT_AM">#REF!</definedName>
    <definedName name="V_KEYWORD_ISSR_208008538_SALES_TOT_ASIA">#REF!</definedName>
    <definedName name="V_KEYWORD_ISSR_208008538_SALES_TOT_EMEA">#REF!</definedName>
    <definedName name="V_KEYWORD_ISSR_208008538_SALES_TRN_DIST_EMKT_ASIAEXCHINA">#REF!</definedName>
    <definedName name="V_KEYWORD_ISSR_208008538_SALES_TRN_DIST_EMKT_CHINA">#REF!</definedName>
    <definedName name="V_KEYWORD_ISSR_208008538_SALES_TRN_DIST_EMKT_EAME">#REF!</definedName>
    <definedName name="V_KEYWORD_ISSR_208008538_SALES_TRN_DIST_EMKT_GLOBAL">#REF!</definedName>
    <definedName name="V_KEYWORD_ISSR_208008538_SALES_TRN_DIST_EMKT_NO_AMERICA">#REF!</definedName>
    <definedName name="V_KEYWORD_ISSR_208008538_SALES_TRN_DIST_EMKT_SO_AMERICA">#REF!</definedName>
    <definedName name="V_KEYWORD_ISSR_208008538_SALES_UK">#REF!</definedName>
    <definedName name="V_KEYWORD_ISSR_208008538_SALES_US">#REF!</definedName>
    <definedName name="V_KEYWORD_ISSR_208008538_SALES_ZINC">#REF!</definedName>
    <definedName name="V_KEYWORD_ISSR_208008538_SEL_GL_AD">#REF!</definedName>
    <definedName name="V_KEYWORD_ISSR_208008538_SH_REPUR">#REF!</definedName>
    <definedName name="V_KEYWORD_ISSR_208008538_SHORT_T_DEBT">#REF!</definedName>
    <definedName name="V_KEYWORD_ISSR_208008538_SHORT_TERM_LIABS">#REF!</definedName>
    <definedName name="V_KEYWORD_ISSR_208008538_STOCKS">#REF!</definedName>
    <definedName name="V_KEYWORD_ISSR_208008538_STRCTL_GRTH_PROD_CTGRY">#REF!</definedName>
    <definedName name="V_KEYWORD_ISSR_208008538_TOT_ASSET">#REF!</definedName>
    <definedName name="V_KEYWORD_ISSR_208008538_TOT_CF">#REF!</definedName>
    <definedName name="V_KEYWORD_ISSR_208008538_TOT_LIAB">#REF!</definedName>
    <definedName name="V_KEYWORD_ISSR_208008538_TOT_LIAB_EQ">#REF!</definedName>
    <definedName name="V_KEYWORD_ISSR_208008538_TOT_LT_LIAB">#REF!</definedName>
    <definedName name="V_KEYWORD_ISSR_208008538_TOT_OPS_EXP">#REF!</definedName>
    <definedName name="V_KEYWORD_ISSR_208008538_TOT_OPS_EXP_DDA">#REF!</definedName>
    <definedName name="V_KEYWORD_ISSR_208008538_UNF_PENS">#REF!</definedName>
    <definedName name="V_KEYWORD_ISSR_208008538_UNF_PENS_LIAB_OTH">#REF!</definedName>
    <definedName name="V_KEYWORD_ISSR_208008538_UNF_PENS_OFF">#REF!</definedName>
    <definedName name="V_KEYWORD_ISSR_208008538_WORK_CAP">#REF!</definedName>
    <definedName name="V_KEYWORD_ISSR_208012783_OP_INDIA">#REF!</definedName>
    <definedName name="V_PERIOD_2009_H2">#REF!</definedName>
    <definedName name="V_PERIOD_2010_H2">#REF!</definedName>
    <definedName name="V_PERIOD_2012_H1">#REF!</definedName>
    <definedName name="V_PERIOD_2012_H2">#REF!</definedName>
    <definedName name="V_SECTION_EQTY_200011150_131P">#REF!</definedName>
    <definedName name="V_SECTION_EQTY_200011150_13A">#REF!</definedName>
    <definedName name="V_SECTION_EQTY_200011150_13K">#REF!</definedName>
    <definedName name="V_SECTION_EQTY_200011150_13U">#REF!</definedName>
    <definedName name="V_SECTION_EQTY_200011150_13V">#REF!</definedName>
    <definedName name="V_SECTION_EQTY_200011150_Reference_Data">#REF!</definedName>
    <definedName name="V_SECTION_ISSR_208008538_1316S">#REF!</definedName>
    <definedName name="V_SECTION_ISSR_208008538_1316T">#REF!</definedName>
    <definedName name="V_SECTION_ISSR_208008538_1316U">#REF!</definedName>
    <definedName name="V_SECTION_ISSR_208008538_13173">#REF!</definedName>
    <definedName name="V_SECTION_ISSR_208008538_1319">#REF!</definedName>
    <definedName name="V_SECTION_ISSR_208008538_131E">#REF!</definedName>
    <definedName name="V_SECTION_ISSR_208008538_131J">#REF!</definedName>
    <definedName name="V_SECTION_ISSR_208008538_131O">#REF!</definedName>
    <definedName name="V_SECTION_ISSR_208008538_136J">#REF!</definedName>
    <definedName name="V_SECTION_ISSR_208008538_13U">#REF!</definedName>
    <definedName name="V_SECTION_ISSR_208008538_13V">#REF!</definedName>
    <definedName name="V_SECTION_ISSR_208008538_Reference_Data">#REF!</definedName>
    <definedName name="vae">#REF!</definedName>
    <definedName name="val_1">#REF!</definedName>
    <definedName name="val_2">#REF!</definedName>
    <definedName name="Val_Compare">#REF!</definedName>
    <definedName name="VAL_Q">#REF!</definedName>
    <definedName name="val_UD_index">#REF!</definedName>
    <definedName name="ValAll">#REF!</definedName>
    <definedName name="VALID_FORMATS">#REF!</definedName>
    <definedName name="Valname">#REF!</definedName>
    <definedName name="valsheet_f">#REF!</definedName>
    <definedName name="valu">#REF!</definedName>
    <definedName name="Valuation_1">#REF!</definedName>
    <definedName name="ValuationAdjustmentsOther">0</definedName>
    <definedName name="ValuationAdjustmentsValue">0</definedName>
    <definedName name="ValuationCellularValue">0</definedName>
    <definedName name="ValuationDate">#REF!</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lue_of_Equity">#REF!</definedName>
    <definedName name="value_of_non_core_assets">#REF!</definedName>
    <definedName name="Value_RNK_index">#REF!</definedName>
    <definedName name="Value_Score">#REF!</definedName>
    <definedName name="value1">#REF!</definedName>
    <definedName name="value2">#REF!</definedName>
    <definedName name="value3">#REF!</definedName>
    <definedName name="values_are_primary">#REF!</definedName>
    <definedName name="Vancouver">#REF!</definedName>
    <definedName name="Vat">#REF!</definedName>
    <definedName name="vay">#REF!</definedName>
    <definedName name="vbv">#REF!</definedName>
    <definedName name="vcf">#REF!</definedName>
    <definedName name="vdp">#REF!</definedName>
    <definedName name="veb">#REF!</definedName>
    <definedName name="veg">#REF!</definedName>
    <definedName name="Venalum">#REF!</definedName>
    <definedName name="vep">#REF!</definedName>
    <definedName name="Veracruz">#REF!</definedName>
    <definedName name="version">#REF!</definedName>
    <definedName name="Version.WIRE">1</definedName>
    <definedName name="vev">#REF!</definedName>
    <definedName name="vey">#REF!</definedName>
    <definedName name="vfa">#REF!</definedName>
    <definedName name="via">#REF!</definedName>
    <definedName name="vio">#REF!</definedName>
    <definedName name="Vlissingen">#REF!</definedName>
    <definedName name="vmv">#REF!</definedName>
    <definedName name="VNB">#REF!</definedName>
    <definedName name="vnd">#REF!</definedName>
    <definedName name="VNWK_10q_div">#REF!</definedName>
    <definedName name="VNWK_10q_shares">#REF!</definedName>
    <definedName name="VNWK_5_yr_est">#REF!</definedName>
    <definedName name="VNWK_52_wk">#REF!</definedName>
    <definedName name="VNWK_bk_cap">#REF!</definedName>
    <definedName name="VNWK_bk_equity">#REF!</definedName>
    <definedName name="VNWK_bs_conv_debt">#REF!</definedName>
    <definedName name="VNWK_bs_min_int">#REF!</definedName>
    <definedName name="VNWK_bs_pref">#REF!</definedName>
    <definedName name="VNWK_cash">#REF!</definedName>
    <definedName name="VNWK_conv_debt_pr">#REF!</definedName>
    <definedName name="VNWK_conv_pref_pr">#REF!</definedName>
    <definedName name="VNWK_curr">#REF!</definedName>
    <definedName name="VNWK_dil_shares">#REF!</definedName>
    <definedName name="VNWK_eps00">#REF!</definedName>
    <definedName name="VNWK_eps98">#REF!</definedName>
    <definedName name="VNWK_eps99">#REF!</definedName>
    <definedName name="VNWK_equity_mcap">#REF!</definedName>
    <definedName name="VNWK_fin_date">#REF!</definedName>
    <definedName name="VNWK_lev_mcap">#REF!</definedName>
    <definedName name="VNWK_LQ_ni">#REF!</definedName>
    <definedName name="VNWK_LQ_rev">#REF!</definedName>
    <definedName name="VNWK_lt_debt">#REF!</definedName>
    <definedName name="VNWK_ltm_a">#REF!</definedName>
    <definedName name="VNWK_ltm_cap_ex">#REF!</definedName>
    <definedName name="VNWK_ltm_cogs">#REF!</definedName>
    <definedName name="VNWK_ltm_csh_int">#REF!</definedName>
    <definedName name="VNWK_ltm_d">#REF!</definedName>
    <definedName name="VNWK_ltm_ebit">#REF!</definedName>
    <definedName name="VNWK_ltm_ebt">#REF!</definedName>
    <definedName name="VNWK_ltm_inc_b_m">#REF!</definedName>
    <definedName name="VNWK_ltm_int">#REF!</definedName>
    <definedName name="VNWK_ltm_min_int">#REF!</definedName>
    <definedName name="VNWK_ltm_pref_div">#REF!</definedName>
    <definedName name="VNWK_ltm_r_d">#REF!</definedName>
    <definedName name="VNWK_ltm_rev">#REF!</definedName>
    <definedName name="VNWK_ltm_sg_a">#REF!</definedName>
    <definedName name="VNWK_ltm_shares">#REF!</definedName>
    <definedName name="VNWK_ltm_tax">#REF!</definedName>
    <definedName name="VNWK_ltm_tax_rate">#REF!</definedName>
    <definedName name="VNWK_name">#REF!</definedName>
    <definedName name="VNWK_o_debt_1">#REF!</definedName>
    <definedName name="VNWK_o_debt_2">#REF!</definedName>
    <definedName name="VNWK_o_debt_3">#REF!</definedName>
    <definedName name="VNWK_option_n">#REF!</definedName>
    <definedName name="VNWK_option_pr">#REF!</definedName>
    <definedName name="VNWK_pq_ni">#REF!</definedName>
    <definedName name="VNWK_pq_rev">#REF!</definedName>
    <definedName name="VNWK_pr">#REF!</definedName>
    <definedName name="VNWK_shares">#REF!</definedName>
    <definedName name="VNWK_ticker">#REF!</definedName>
    <definedName name="VNWK_total_dt">#REF!</definedName>
    <definedName name="VNWK_YQ_ni">#REF!</definedName>
    <definedName name="VNWK_YQ_rev">#REF!</definedName>
    <definedName name="VOD_AdjustedEV">#REF!</definedName>
    <definedName name="VOD_AssociatesMinorities">#REF!</definedName>
    <definedName name="VOD_LTMSGA">#REF!</definedName>
    <definedName name="VOD_UnleveredFCF">#REF!</definedName>
    <definedName name="Voerde">#REF!</definedName>
    <definedName name="VOL">#REF!</definedName>
    <definedName name="Volgograd">#REF!</definedName>
    <definedName name="Volkhov">#REF!</definedName>
    <definedName name="vpx">#REF!</definedName>
    <definedName name="vrn">#REF!</definedName>
    <definedName name="vsp">#REF!</definedName>
    <definedName name="vva">#REF!</definedName>
    <definedName name="VYTL_1yrEPS">#REF!</definedName>
    <definedName name="VYTL_2yrEPS">#REF!</definedName>
    <definedName name="VYTL_52HIGH">#REF!</definedName>
    <definedName name="VYTL_5YRGROWTH">#REF!</definedName>
    <definedName name="VYTL_PRICE">#REF!</definedName>
    <definedName name="w" localSheetId="2" hidden="1">{"Print CRXLAND Assumptions",#N/A,FALSE,"CRXLAND Openings";"Print CRXLAND Openings",#N/A,FALSE,"CRXLAND Openings"}</definedName>
    <definedName name="w" localSheetId="1" hidden="1">{"Print CRXLAND Assumptions",#N/A,FALSE,"CRXLAND Openings";"Print CRXLAND Openings",#N/A,FALSE,"CRXLAND Openings"}</definedName>
    <definedName name="w" hidden="1">{"Print CRXLAND Assumptions",#N/A,FALSE,"CRXLAND Openings";"Print CRXLAND Openings",#N/A,FALSE,"CRXLAND Openings"}</definedName>
    <definedName name="wacc" localSheetId="2">#REF!</definedName>
    <definedName name="wacc">[54]Valuation!$P$9</definedName>
    <definedName name="WACC_fore">#REF!</definedName>
    <definedName name="WACC_P">#REF!</definedName>
    <definedName name="WACC_P_1">#REF!</definedName>
    <definedName name="WACC_P_8">#REF!</definedName>
    <definedName name="Wacc_tax_rate">#REF!</definedName>
    <definedName name="WACC2000">#REF!</definedName>
    <definedName name="Wafer_ASP">#REF!</definedName>
    <definedName name="waferprice">#REF!</definedName>
    <definedName name="WagerupCapacity">#REF!</definedName>
    <definedName name="Wages_incl_soc.costs">#REF!</definedName>
    <definedName name="Warrick">#REF!</definedName>
    <definedName name="Watch">#REF!</definedName>
    <definedName name="watch_delta">#REF!</definedName>
    <definedName name="watch_delta_sd">#REF!</definedName>
    <definedName name="watch_name">#REF!</definedName>
    <definedName name="watch_sd">#REF!</definedName>
    <definedName name="watch_sign">#REF!</definedName>
    <definedName name="WCap">#REF!</definedName>
    <definedName name="wcap92">#REF!</definedName>
    <definedName name="wcap93">#REF!</definedName>
    <definedName name="wcap94">#REF!</definedName>
    <definedName name="wcap95">#REF!</definedName>
    <definedName name="Wcapchgoth">#REF!</definedName>
    <definedName name="Wcapchng">#REF!</definedName>
    <definedName name="WCHP_ED_01D">#REF!</definedName>
    <definedName name="WCHP_ED_01J">#REF!</definedName>
    <definedName name="WCHP_ED_01M">#REF!</definedName>
    <definedName name="WCHP_ED_01S">#REF!</definedName>
    <definedName name="WCHP_ED_02D">#REF!</definedName>
    <definedName name="WCHP_ED_02J">#REF!</definedName>
    <definedName name="WCHP_ED_02M">#REF!</definedName>
    <definedName name="WCHP_ED_02S">#REF!</definedName>
    <definedName name="WCHP_ED_03D">#REF!</definedName>
    <definedName name="WCHP_ED_03J">#REF!</definedName>
    <definedName name="WCHP_ED_03M">#REF!</definedName>
    <definedName name="WCHP_ED_03S">#REF!</definedName>
    <definedName name="WCHP_ED_04D">#REF!</definedName>
    <definedName name="WCHP_ED_04J">#REF!</definedName>
    <definedName name="WCHP_ED_04M">#REF!</definedName>
    <definedName name="WCHP_ED_04S">#REF!</definedName>
    <definedName name="WCHP_ED_05D">#REF!</definedName>
    <definedName name="WCHP_ED_05J">#REF!</definedName>
    <definedName name="WCHP_ED_05M">#REF!</definedName>
    <definedName name="WCHP_ED_05S">#REF!</definedName>
    <definedName name="WCHP_ED_06D">#REF!</definedName>
    <definedName name="WCHP_ED_06J">#REF!</definedName>
    <definedName name="WCHP_ED_06M">#REF!</definedName>
    <definedName name="WCHP_ED_06S">#REF!</definedName>
    <definedName name="WCHP_ED_07D">#REF!</definedName>
    <definedName name="WCHP_ED_07J">#REF!</definedName>
    <definedName name="WCHP_ED_07M">#REF!</definedName>
    <definedName name="WCHP_ED_07S">#REF!</definedName>
    <definedName name="WCHP_ED_08D">#REF!</definedName>
    <definedName name="WCHP_ED_08J">#REF!</definedName>
    <definedName name="WCHP_ED_08M">#REF!</definedName>
    <definedName name="WCHP_ED_08S">#REF!</definedName>
    <definedName name="WCHP_ED_09D">#REF!</definedName>
    <definedName name="WCHP_ED_09J">#REF!</definedName>
    <definedName name="WCHP_ED_09M">#REF!</definedName>
    <definedName name="WCHP_ED_09S">#REF!</definedName>
    <definedName name="WCHP_ED_10D">#REF!</definedName>
    <definedName name="WCHP_ED_10J">#REF!</definedName>
    <definedName name="WCHP_ED_10M">#REF!</definedName>
    <definedName name="WCHP_ED_10S">#REF!</definedName>
    <definedName name="WCHP_ED_11D">#REF!</definedName>
    <definedName name="WCHP_ED_11J">#REF!</definedName>
    <definedName name="WCHP_ED_11M">#REF!</definedName>
    <definedName name="WCHP_ED_11S">#REF!</definedName>
    <definedName name="WCHP_ED_12D">#REF!</definedName>
    <definedName name="WCHP_ED_12J">#REF!</definedName>
    <definedName name="WCHP_ED_12M">#REF!</definedName>
    <definedName name="WCHP_ED_12S">#REF!</definedName>
    <definedName name="WCHP_ED_13D">#REF!</definedName>
    <definedName name="WCHP_ED_13J">#REF!</definedName>
    <definedName name="WCHP_ED_13M">#REF!</definedName>
    <definedName name="WCHP_ED_13S">#REF!</definedName>
    <definedName name="WCHP_ED_14D">#REF!</definedName>
    <definedName name="WCHP_ED_14J">#REF!</definedName>
    <definedName name="WCHP_ED_14M">#REF!</definedName>
    <definedName name="WCHP_ED_14S">#REF!</definedName>
    <definedName name="WCHP_ED_15D">#REF!</definedName>
    <definedName name="WCHP_ED_15J">#REF!</definedName>
    <definedName name="WCHP_ED_15M">#REF!</definedName>
    <definedName name="WCHP_ED_15S">#REF!</definedName>
    <definedName name="WCHP_ED_16D">#REF!</definedName>
    <definedName name="WCHP_ED_16J">#REF!</definedName>
    <definedName name="WCHP_ED_16M">#REF!</definedName>
    <definedName name="WCHP_ED_16S">#REF!</definedName>
    <definedName name="WCHP_ED_17D">#REF!</definedName>
    <definedName name="WCHP_ED_17J">#REF!</definedName>
    <definedName name="WCHP_ED_17M">#REF!</definedName>
    <definedName name="WCHP_ED_17S">#REF!</definedName>
    <definedName name="WCHP_ED_18D">#REF!</definedName>
    <definedName name="WCHP_ED_18J">#REF!</definedName>
    <definedName name="WCHP_ED_18M">#REF!</definedName>
    <definedName name="WCHP_ED_18S">#REF!</definedName>
    <definedName name="WCHP_ED_19D">#REF!</definedName>
    <definedName name="WCHP_ED_19J">#REF!</definedName>
    <definedName name="WCHP_ED_19M">#REF!</definedName>
    <definedName name="WCHP_ED_19S">#REF!</definedName>
    <definedName name="WCHP_ED_20D">#REF!</definedName>
    <definedName name="WCHP_ED_20J">#REF!</definedName>
    <definedName name="WCHP_ED_20M">#REF!</definedName>
    <definedName name="WCHP_ED_20S">#REF!</definedName>
    <definedName name="WCHP_ED_21D">#REF!</definedName>
    <definedName name="WCHP_ED_21J">#REF!</definedName>
    <definedName name="WCHP_ED_21M">#REF!</definedName>
    <definedName name="WCHP_ED_21S">#REF!</definedName>
    <definedName name="WCHP_ED_22D">#REF!</definedName>
    <definedName name="WCHP_ED_22J">#REF!</definedName>
    <definedName name="WCHP_ED_22M">#REF!</definedName>
    <definedName name="WCHP_ED_22S">#REF!</definedName>
    <definedName name="WCHP_ED_23D">#REF!</definedName>
    <definedName name="WCHP_ED_23J">#REF!</definedName>
    <definedName name="WCHP_ED_23M">#REF!</definedName>
    <definedName name="WCHP_ED_23S">#REF!</definedName>
    <definedName name="WCHP_ED_24D">#REF!</definedName>
    <definedName name="WCHP_ED_24J">#REF!</definedName>
    <definedName name="WCHP_ED_24M">#REF!</definedName>
    <definedName name="WCHP_ED_24S">#REF!</definedName>
    <definedName name="WCHP_ED_25D">#REF!</definedName>
    <definedName name="WCHP_ED_25J">#REF!</definedName>
    <definedName name="WCHP_ED_25M">#REF!</definedName>
    <definedName name="WCHP_ED_25S">#REF!</definedName>
    <definedName name="WCHP_ED_87D">#REF!</definedName>
    <definedName name="WCHP_ED_87J">#REF!</definedName>
    <definedName name="WCHP_ED_87M">#REF!</definedName>
    <definedName name="WCHP_ED_87S">#REF!</definedName>
    <definedName name="WCHP_ED_88D">#REF!</definedName>
    <definedName name="WCHP_ED_88J">#REF!</definedName>
    <definedName name="WCHP_ED_88M">#REF!</definedName>
    <definedName name="WCHP_ED_88S">#REF!</definedName>
    <definedName name="WCHP_ED_89D">#REF!</definedName>
    <definedName name="WCHP_ED_89J">#REF!</definedName>
    <definedName name="WCHP_ED_89M">#REF!</definedName>
    <definedName name="WCHP_ED_89S">#REF!</definedName>
    <definedName name="WCHP_ED_90D">#REF!</definedName>
    <definedName name="WCHP_ED_90J">#REF!</definedName>
    <definedName name="WCHP_ED_90M">#REF!</definedName>
    <definedName name="WCHP_ED_90S">#REF!</definedName>
    <definedName name="WCHP_ED_91D">#REF!</definedName>
    <definedName name="WCHP_ED_91J">#REF!</definedName>
    <definedName name="WCHP_ED_91M">#REF!</definedName>
    <definedName name="WCHP_ED_91S">#REF!</definedName>
    <definedName name="WCHP_ED_92D">#REF!</definedName>
    <definedName name="WCHP_ED_92J">#REF!</definedName>
    <definedName name="WCHP_ED_92M">#REF!</definedName>
    <definedName name="WCHP_ED_92S">#REF!</definedName>
    <definedName name="WCHP_ED_93D">#REF!</definedName>
    <definedName name="WCHP_ED_93J">#REF!</definedName>
    <definedName name="WCHP_ED_93M">#REF!</definedName>
    <definedName name="WCHP_ED_93S">#REF!</definedName>
    <definedName name="WCHP_ED_94D">#REF!</definedName>
    <definedName name="WCHP_ED_94J">#REF!</definedName>
    <definedName name="WCHP_ED_94M">#REF!</definedName>
    <definedName name="WCHP_ED_94S">#REF!</definedName>
    <definedName name="WCHP_ED_95D">#REF!</definedName>
    <definedName name="WCHP_ED_95J">#REF!</definedName>
    <definedName name="WCHP_ED_95M">#REF!</definedName>
    <definedName name="WCHP_ED_95S">#REF!</definedName>
    <definedName name="WCHP_ED_96D">#REF!</definedName>
    <definedName name="WCHP_ED_96J">#REF!</definedName>
    <definedName name="WCHP_ED_96M">#REF!</definedName>
    <definedName name="WCHP_ED_96S">#REF!</definedName>
    <definedName name="WCHP_ED_97D">#REF!</definedName>
    <definedName name="WCHP_ED_97J">#REF!</definedName>
    <definedName name="WCHP_ED_97M">#REF!</definedName>
    <definedName name="WCHP_ED_97S">#REF!</definedName>
    <definedName name="WCHP_ED_98D">#REF!</definedName>
    <definedName name="WCHP_ED_98J">#REF!</definedName>
    <definedName name="WCHP_ED_98M">#REF!</definedName>
    <definedName name="WCHP_ED_98S">#REF!</definedName>
    <definedName name="WCHP_ED_99D">#REF!</definedName>
    <definedName name="WCHP_ED_99J">#REF!</definedName>
    <definedName name="WCHP_ED_99M">#REF!</definedName>
    <definedName name="WCHP_ED_99S">#REF!</definedName>
    <definedName name="WCHP_ED_LT">#REF!</definedName>
    <definedName name="WCHP_EE_00D">#REF!</definedName>
    <definedName name="WCHP_EE_00J">#REF!</definedName>
    <definedName name="WCHP_EE_00M">#REF!</definedName>
    <definedName name="WCHP_EE_00S">#REF!</definedName>
    <definedName name="WCHP_EE_01D">#REF!</definedName>
    <definedName name="WCHP_EE_01J">#REF!</definedName>
    <definedName name="WCHP_EE_01M">#REF!</definedName>
    <definedName name="WCHP_EE_01S">#REF!</definedName>
    <definedName name="WCHP_EE_02D">#REF!</definedName>
    <definedName name="WCHP_EE_02J">#REF!</definedName>
    <definedName name="WCHP_EE_02M">#REF!</definedName>
    <definedName name="WCHP_EE_02S">#REF!</definedName>
    <definedName name="WCHP_EE_03D">#REF!</definedName>
    <definedName name="WCHP_EE_03J">#REF!</definedName>
    <definedName name="WCHP_EE_03M">#REF!</definedName>
    <definedName name="WCHP_EE_03S">#REF!</definedName>
    <definedName name="WCHP_EE_04D">#REF!</definedName>
    <definedName name="WCHP_EE_04J">#REF!</definedName>
    <definedName name="WCHP_EE_04M">#REF!</definedName>
    <definedName name="WCHP_EE_04S">#REF!</definedName>
    <definedName name="WCHP_EE_05D">#REF!</definedName>
    <definedName name="WCHP_EE_05J">#REF!</definedName>
    <definedName name="WCHP_EE_05M">#REF!</definedName>
    <definedName name="WCHP_EE_05S">#REF!</definedName>
    <definedName name="WCHP_EE_06D">#REF!</definedName>
    <definedName name="WCHP_EE_06J">#REF!</definedName>
    <definedName name="WCHP_EE_06M">#REF!</definedName>
    <definedName name="WCHP_EE_06S">#REF!</definedName>
    <definedName name="WCHP_EE_07D">#REF!</definedName>
    <definedName name="WCHP_EE_07J">#REF!</definedName>
    <definedName name="WCHP_EE_07M">#REF!</definedName>
    <definedName name="WCHP_EE_07S">#REF!</definedName>
    <definedName name="WCHP_EE_08D">#REF!</definedName>
    <definedName name="WCHP_EE_08J">#REF!</definedName>
    <definedName name="WCHP_EE_08M">#REF!</definedName>
    <definedName name="WCHP_EE_08S">#REF!</definedName>
    <definedName name="WCHP_EE_09D">#REF!</definedName>
    <definedName name="WCHP_EE_09J">#REF!</definedName>
    <definedName name="WCHP_EE_09M">#REF!</definedName>
    <definedName name="WCHP_EE_09S">#REF!</definedName>
    <definedName name="WCHP_EE_10D">#REF!</definedName>
    <definedName name="WCHP_EE_10J">#REF!</definedName>
    <definedName name="WCHP_EE_10M">#REF!</definedName>
    <definedName name="WCHP_EE_10S">#REF!</definedName>
    <definedName name="WCHP_EE_11D">#REF!</definedName>
    <definedName name="WCHP_EE_11J">#REF!</definedName>
    <definedName name="WCHP_EE_11M">#REF!</definedName>
    <definedName name="WCHP_EE_11S">#REF!</definedName>
    <definedName name="WCHP_EE_12D">#REF!</definedName>
    <definedName name="WCHP_EE_12J">#REF!</definedName>
    <definedName name="WCHP_EE_12M">#REF!</definedName>
    <definedName name="WCHP_EE_12S">#REF!</definedName>
    <definedName name="WCHP_EE_13D">#REF!</definedName>
    <definedName name="WCHP_EE_13J">#REF!</definedName>
    <definedName name="WCHP_EE_13M">#REF!</definedName>
    <definedName name="WCHP_EE_13S">#REF!</definedName>
    <definedName name="WCHP_EE_14D">#REF!</definedName>
    <definedName name="WCHP_EE_14J">#REF!</definedName>
    <definedName name="WCHP_EE_14M">#REF!</definedName>
    <definedName name="WCHP_EE_14S">#REF!</definedName>
    <definedName name="WCHP_EE_15D">#REF!</definedName>
    <definedName name="WCHP_EE_15J">#REF!</definedName>
    <definedName name="WCHP_EE_15M">#REF!</definedName>
    <definedName name="WCHP_EE_15S">#REF!</definedName>
    <definedName name="WCHP_EE_16D">#REF!</definedName>
    <definedName name="WCHP_EE_16J">#REF!</definedName>
    <definedName name="WCHP_EE_16M">#REF!</definedName>
    <definedName name="WCHP_EE_16S">#REF!</definedName>
    <definedName name="WCHP_EE_17D">#REF!</definedName>
    <definedName name="WCHP_EE_17J">#REF!</definedName>
    <definedName name="WCHP_EE_17M">#REF!</definedName>
    <definedName name="WCHP_EE_17S">#REF!</definedName>
    <definedName name="WCHP_EE_18D">#REF!</definedName>
    <definedName name="WCHP_EE_18J">#REF!</definedName>
    <definedName name="WCHP_EE_18M">#REF!</definedName>
    <definedName name="WCHP_EE_18S">#REF!</definedName>
    <definedName name="WCHP_EE_19D">#REF!</definedName>
    <definedName name="WCHP_EE_19J">#REF!</definedName>
    <definedName name="WCHP_EE_19M">#REF!</definedName>
    <definedName name="WCHP_EE_19S">#REF!</definedName>
    <definedName name="WCHP_EE_20D">#REF!</definedName>
    <definedName name="WCHP_EE_20J">#REF!</definedName>
    <definedName name="WCHP_EE_20M">#REF!</definedName>
    <definedName name="WCHP_EE_20S">#REF!</definedName>
    <definedName name="WCHP_EE_21D">#REF!</definedName>
    <definedName name="WCHP_EE_21J">#REF!</definedName>
    <definedName name="WCHP_EE_21M">#REF!</definedName>
    <definedName name="WCHP_EE_21S">#REF!</definedName>
    <definedName name="WCHP_EE_22D">#REF!</definedName>
    <definedName name="WCHP_EE_22J">#REF!</definedName>
    <definedName name="WCHP_EE_22M">#REF!</definedName>
    <definedName name="WCHP_EE_22S">#REF!</definedName>
    <definedName name="WCHP_EE_23D">#REF!</definedName>
    <definedName name="WCHP_EE_23J">#REF!</definedName>
    <definedName name="WCHP_EE_23M">#REF!</definedName>
    <definedName name="WCHP_EE_23S">#REF!</definedName>
    <definedName name="WCHP_EE_24D">#REF!</definedName>
    <definedName name="WCHP_EE_24J">#REF!</definedName>
    <definedName name="WCHP_EE_24M">#REF!</definedName>
    <definedName name="WCHP_EE_24S">#REF!</definedName>
    <definedName name="WCHP_EE_25D">#REF!</definedName>
    <definedName name="WCHP_EE_25J">#REF!</definedName>
    <definedName name="WCHP_EE_25M">#REF!</definedName>
    <definedName name="WCHP_EE_25S">#REF!</definedName>
    <definedName name="WCHP_EE_87D">#REF!</definedName>
    <definedName name="WCHP_EE_87J">#REF!</definedName>
    <definedName name="WCHP_EE_87M">#REF!</definedName>
    <definedName name="WCHP_EE_87S">#REF!</definedName>
    <definedName name="WCHP_EE_88D">#REF!</definedName>
    <definedName name="WCHP_EE_88J">#REF!</definedName>
    <definedName name="WCHP_EE_88M">#REF!</definedName>
    <definedName name="WCHP_EE_88S">#REF!</definedName>
    <definedName name="WCHP_EE_89D">#REF!</definedName>
    <definedName name="WCHP_EE_89J">#REF!</definedName>
    <definedName name="WCHP_EE_89M">#REF!</definedName>
    <definedName name="WCHP_EE_89S">#REF!</definedName>
    <definedName name="WCHP_EE_90D">#REF!</definedName>
    <definedName name="WCHP_EE_90J">#REF!</definedName>
    <definedName name="WCHP_EE_90M">#REF!</definedName>
    <definedName name="WCHP_EE_90S">#REF!</definedName>
    <definedName name="WCHP_EE_91D">#REF!</definedName>
    <definedName name="WCHP_EE_91J">#REF!</definedName>
    <definedName name="WCHP_EE_91M">#REF!</definedName>
    <definedName name="WCHP_EE_91S">#REF!</definedName>
    <definedName name="WCHP_EE_92D">#REF!</definedName>
    <definedName name="WCHP_EE_92J">#REF!</definedName>
    <definedName name="WCHP_EE_92M">#REF!</definedName>
    <definedName name="WCHP_EE_92S">#REF!</definedName>
    <definedName name="WCHP_EE_93D">#REF!</definedName>
    <definedName name="WCHP_EE_93J">#REF!</definedName>
    <definedName name="WCHP_EE_93M">#REF!</definedName>
    <definedName name="WCHP_EE_93S">#REF!</definedName>
    <definedName name="WCHP_EE_94D">#REF!</definedName>
    <definedName name="WCHP_EE_94J">#REF!</definedName>
    <definedName name="WCHP_EE_94M">#REF!</definedName>
    <definedName name="WCHP_EE_94S">#REF!</definedName>
    <definedName name="WCHP_EE_95D">#REF!</definedName>
    <definedName name="WCHP_EE_95J">#REF!</definedName>
    <definedName name="WCHP_EE_95M">#REF!</definedName>
    <definedName name="WCHP_EE_95S">#REF!</definedName>
    <definedName name="WCHP_EE_96D">#REF!</definedName>
    <definedName name="WCHP_EE_96J">#REF!</definedName>
    <definedName name="WCHP_EE_96M">#REF!</definedName>
    <definedName name="WCHP_EE_96S">#REF!</definedName>
    <definedName name="WCHP_EE_97D">#REF!</definedName>
    <definedName name="WCHP_EE_97J">#REF!</definedName>
    <definedName name="WCHP_EE_97M">#REF!</definedName>
    <definedName name="WCHP_EE_97S">#REF!</definedName>
    <definedName name="WCHP_EE_98D">#REF!</definedName>
    <definedName name="WCHP_EE_98J">#REF!</definedName>
    <definedName name="WCHP_EE_98M">#REF!</definedName>
    <definedName name="WCHP_EE_98S">#REF!</definedName>
    <definedName name="WCHP_EE_99D">#REF!</definedName>
    <definedName name="WCHP_EE_99J">#REF!</definedName>
    <definedName name="WCHP_EE_99M">#REF!</definedName>
    <definedName name="WCHP_EE_99S">#REF!</definedName>
    <definedName name="WCHP_EE_LT">#REF!</definedName>
    <definedName name="WCHP_HD_00D">#REF!</definedName>
    <definedName name="WCHP_HD_00J">#REF!</definedName>
    <definedName name="WCHP_HD_00M">#REF!</definedName>
    <definedName name="WCHP_HD_00S">#REF!</definedName>
    <definedName name="WCHP_HD_01D">#REF!</definedName>
    <definedName name="WCHP_HD_01J">#REF!</definedName>
    <definedName name="WCHP_HD_01M">#REF!</definedName>
    <definedName name="WCHP_HD_01S">#REF!</definedName>
    <definedName name="WCHP_HD_02D">#REF!</definedName>
    <definedName name="WCHP_HD_02J">#REF!</definedName>
    <definedName name="WCHP_HD_02M">#REF!</definedName>
    <definedName name="WCHP_HD_02S">#REF!</definedName>
    <definedName name="WCHP_HD_03D">#REF!</definedName>
    <definedName name="WCHP_HD_03J">#REF!</definedName>
    <definedName name="WCHP_HD_03M">#REF!</definedName>
    <definedName name="WCHP_HD_03S">#REF!</definedName>
    <definedName name="WCHP_HD_04D">#REF!</definedName>
    <definedName name="WCHP_HD_04J">#REF!</definedName>
    <definedName name="WCHP_HD_04M">#REF!</definedName>
    <definedName name="WCHP_HD_04S">#REF!</definedName>
    <definedName name="WCHP_HD_05D">#REF!</definedName>
    <definedName name="WCHP_HD_05J">#REF!</definedName>
    <definedName name="WCHP_HD_05M">#REF!</definedName>
    <definedName name="WCHP_HD_05S">#REF!</definedName>
    <definedName name="WCHP_HD_06D">#REF!</definedName>
    <definedName name="WCHP_HD_06J">#REF!</definedName>
    <definedName name="WCHP_HD_06M">#REF!</definedName>
    <definedName name="WCHP_HD_06S">#REF!</definedName>
    <definedName name="WCHP_HD_07D">#REF!</definedName>
    <definedName name="WCHP_HD_07J">#REF!</definedName>
    <definedName name="WCHP_HD_07M">#REF!</definedName>
    <definedName name="WCHP_HD_07S">#REF!</definedName>
    <definedName name="WCHP_HD_08D">#REF!</definedName>
    <definedName name="WCHP_HD_08J">#REF!</definedName>
    <definedName name="WCHP_HD_08M">#REF!</definedName>
    <definedName name="WCHP_HD_08S">#REF!</definedName>
    <definedName name="WCHP_HD_09D">#REF!</definedName>
    <definedName name="WCHP_HD_09J">#REF!</definedName>
    <definedName name="WCHP_HD_09M">#REF!</definedName>
    <definedName name="WCHP_HD_09S">#REF!</definedName>
    <definedName name="WCHP_HD_10D">#REF!</definedName>
    <definedName name="WCHP_HD_10J">#REF!</definedName>
    <definedName name="WCHP_HD_10M">#REF!</definedName>
    <definedName name="WCHP_HD_10S">#REF!</definedName>
    <definedName name="WCHP_HD_11D">#REF!</definedName>
    <definedName name="WCHP_HD_11J">#REF!</definedName>
    <definedName name="WCHP_HD_11M">#REF!</definedName>
    <definedName name="WCHP_HD_11S">#REF!</definedName>
    <definedName name="WCHP_HD_12D">#REF!</definedName>
    <definedName name="WCHP_HD_12J">#REF!</definedName>
    <definedName name="WCHP_HD_12M">#REF!</definedName>
    <definedName name="WCHP_HD_12S">#REF!</definedName>
    <definedName name="WCHP_HD_13D">#REF!</definedName>
    <definedName name="WCHP_HD_13J">#REF!</definedName>
    <definedName name="WCHP_HD_13M">#REF!</definedName>
    <definedName name="WCHP_HD_13S">#REF!</definedName>
    <definedName name="WCHP_HD_14D">#REF!</definedName>
    <definedName name="WCHP_HD_14J">#REF!</definedName>
    <definedName name="WCHP_HD_14M">#REF!</definedName>
    <definedName name="WCHP_HD_14S">#REF!</definedName>
    <definedName name="WCHP_HD_15D">#REF!</definedName>
    <definedName name="WCHP_HD_15J">#REF!</definedName>
    <definedName name="WCHP_HD_15M">#REF!</definedName>
    <definedName name="WCHP_HD_15S">#REF!</definedName>
    <definedName name="WCHP_HD_16D">#REF!</definedName>
    <definedName name="WCHP_HD_16J">#REF!</definedName>
    <definedName name="WCHP_HD_16M">#REF!</definedName>
    <definedName name="WCHP_HD_16S">#REF!</definedName>
    <definedName name="WCHP_HD_17D">#REF!</definedName>
    <definedName name="WCHP_HD_17J">#REF!</definedName>
    <definedName name="WCHP_HD_17M">#REF!</definedName>
    <definedName name="WCHP_HD_17S">#REF!</definedName>
    <definedName name="WCHP_HD_18D">#REF!</definedName>
    <definedName name="WCHP_HD_18J">#REF!</definedName>
    <definedName name="WCHP_HD_18M">#REF!</definedName>
    <definedName name="WCHP_HD_18S">#REF!</definedName>
    <definedName name="WCHP_HD_19D">#REF!</definedName>
    <definedName name="WCHP_HD_19J">#REF!</definedName>
    <definedName name="WCHP_HD_19M">#REF!</definedName>
    <definedName name="WCHP_HD_19S">#REF!</definedName>
    <definedName name="WCHP_HD_20D">#REF!</definedName>
    <definedName name="WCHP_HD_20J">#REF!</definedName>
    <definedName name="WCHP_HD_20M">#REF!</definedName>
    <definedName name="WCHP_HD_20S">#REF!</definedName>
    <definedName name="WCHP_HD_21D">#REF!</definedName>
    <definedName name="WCHP_HD_21J">#REF!</definedName>
    <definedName name="WCHP_HD_21M">#REF!</definedName>
    <definedName name="WCHP_HD_21S">#REF!</definedName>
    <definedName name="WCHP_HD_22D">#REF!</definedName>
    <definedName name="WCHP_HD_22J">#REF!</definedName>
    <definedName name="WCHP_HD_22M">#REF!</definedName>
    <definedName name="WCHP_HD_22S">#REF!</definedName>
    <definedName name="WCHP_HD_23D">#REF!</definedName>
    <definedName name="WCHP_HD_23J">#REF!</definedName>
    <definedName name="WCHP_HD_23M">#REF!</definedName>
    <definedName name="WCHP_HD_23S">#REF!</definedName>
    <definedName name="WCHP_HD_24D">#REF!</definedName>
    <definedName name="WCHP_HD_24J">#REF!</definedName>
    <definedName name="WCHP_HD_24M">#REF!</definedName>
    <definedName name="WCHP_HD_24S">#REF!</definedName>
    <definedName name="WCHP_HD_25D">#REF!</definedName>
    <definedName name="WCHP_HD_25J">#REF!</definedName>
    <definedName name="WCHP_HD_25M">#REF!</definedName>
    <definedName name="WCHP_HD_25S">#REF!</definedName>
    <definedName name="WCHP_HD_87D">#REF!</definedName>
    <definedName name="WCHP_HD_87J">#REF!</definedName>
    <definedName name="WCHP_HD_87M">#REF!</definedName>
    <definedName name="WCHP_HD_87S">#REF!</definedName>
    <definedName name="WCHP_HD_88D">#REF!</definedName>
    <definedName name="WCHP_HD_88J">#REF!</definedName>
    <definedName name="WCHP_HD_88M">#REF!</definedName>
    <definedName name="WCHP_HD_88S">#REF!</definedName>
    <definedName name="WCHP_HD_89D">#REF!</definedName>
    <definedName name="WCHP_HD_89J">#REF!</definedName>
    <definedName name="WCHP_HD_89M">#REF!</definedName>
    <definedName name="WCHP_HD_89S">#REF!</definedName>
    <definedName name="WCHP_HD_90D">#REF!</definedName>
    <definedName name="WCHP_HD_90J">#REF!</definedName>
    <definedName name="WCHP_HD_90M">#REF!</definedName>
    <definedName name="WCHP_HD_90S">#REF!</definedName>
    <definedName name="WCHP_HD_91D">#REF!</definedName>
    <definedName name="WCHP_HD_91J">#REF!</definedName>
    <definedName name="WCHP_HD_91M">#REF!</definedName>
    <definedName name="WCHP_HD_91S">#REF!</definedName>
    <definedName name="WCHP_HD_92D">#REF!</definedName>
    <definedName name="WCHP_HD_92J">#REF!</definedName>
    <definedName name="WCHP_HD_92M">#REF!</definedName>
    <definedName name="WCHP_HD_92S">#REF!</definedName>
    <definedName name="WCHP_HD_93D">#REF!</definedName>
    <definedName name="WCHP_HD_93J">#REF!</definedName>
    <definedName name="WCHP_HD_93M">#REF!</definedName>
    <definedName name="WCHP_HD_93S">#REF!</definedName>
    <definedName name="WCHP_HD_94D">#REF!</definedName>
    <definedName name="WCHP_HD_94J">#REF!</definedName>
    <definedName name="WCHP_HD_94M">#REF!</definedName>
    <definedName name="WCHP_HD_94S">#REF!</definedName>
    <definedName name="WCHP_HD_95D">#REF!</definedName>
    <definedName name="WCHP_HD_95J">#REF!</definedName>
    <definedName name="WCHP_HD_95M">#REF!</definedName>
    <definedName name="WCHP_HD_95S">#REF!</definedName>
    <definedName name="WCHP_HD_96D">#REF!</definedName>
    <definedName name="WCHP_HD_96J">#REF!</definedName>
    <definedName name="WCHP_HD_96M">#REF!</definedName>
    <definedName name="WCHP_HD_96S">#REF!</definedName>
    <definedName name="WCHP_HD_97D">#REF!</definedName>
    <definedName name="WCHP_HD_97J">#REF!</definedName>
    <definedName name="WCHP_HD_97M">#REF!</definedName>
    <definedName name="WCHP_HD_97S">#REF!</definedName>
    <definedName name="WCHP_HD_98D">#REF!</definedName>
    <definedName name="WCHP_HD_98J">#REF!</definedName>
    <definedName name="WCHP_HD_98M">#REF!</definedName>
    <definedName name="WCHP_HD_98S">#REF!</definedName>
    <definedName name="WCHP_HD_99D">#REF!</definedName>
    <definedName name="WCHP_HD_99J">#REF!</definedName>
    <definedName name="WCHP_HD_99M">#REF!</definedName>
    <definedName name="WCHP_HD_99S">#REF!</definedName>
    <definedName name="WCHP_HD_LT">#REF!</definedName>
    <definedName name="WCHP_OUT">#REF!</definedName>
    <definedName name="WCHP_P_00D">#REF!</definedName>
    <definedName name="WCHP_P_00J">#REF!</definedName>
    <definedName name="WCHP_P_00M">#REF!</definedName>
    <definedName name="WCHP_P_00S">#REF!</definedName>
    <definedName name="WCHP_P_01D">#REF!</definedName>
    <definedName name="WCHP_P_01J">#REF!</definedName>
    <definedName name="WCHP_P_01M">#REF!</definedName>
    <definedName name="WCHP_P_01S">#REF!</definedName>
    <definedName name="WCHP_P_02D">#REF!</definedName>
    <definedName name="WCHP_P_02J">#REF!</definedName>
    <definedName name="WCHP_P_02M">#REF!</definedName>
    <definedName name="WCHP_P_02S">#REF!</definedName>
    <definedName name="WCHP_P_03D">#REF!</definedName>
    <definedName name="WCHP_P_03J">#REF!</definedName>
    <definedName name="WCHP_P_03M">#REF!</definedName>
    <definedName name="WCHP_P_03S">#REF!</definedName>
    <definedName name="WCHP_P_04D">#REF!</definedName>
    <definedName name="WCHP_P_04J">#REF!</definedName>
    <definedName name="WCHP_P_04M">#REF!</definedName>
    <definedName name="WCHP_P_04S">#REF!</definedName>
    <definedName name="WCHP_P_05D">#REF!</definedName>
    <definedName name="WCHP_P_05J">#REF!</definedName>
    <definedName name="WCHP_P_05M">#REF!</definedName>
    <definedName name="WCHP_P_05S">#REF!</definedName>
    <definedName name="WCHP_P_06D">#REF!</definedName>
    <definedName name="WCHP_P_06J">#REF!</definedName>
    <definedName name="WCHP_P_06M">#REF!</definedName>
    <definedName name="WCHP_P_06S">#REF!</definedName>
    <definedName name="WCHP_P_07D">#REF!</definedName>
    <definedName name="WCHP_P_07J">#REF!</definedName>
    <definedName name="WCHP_P_07M">#REF!</definedName>
    <definedName name="WCHP_P_07S">#REF!</definedName>
    <definedName name="WCHP_P_08D">#REF!</definedName>
    <definedName name="WCHP_P_08J">#REF!</definedName>
    <definedName name="WCHP_P_08M">#REF!</definedName>
    <definedName name="WCHP_P_08S">#REF!</definedName>
    <definedName name="WCHP_P_09D">#REF!</definedName>
    <definedName name="WCHP_P_09J">#REF!</definedName>
    <definedName name="WCHP_P_09M">#REF!</definedName>
    <definedName name="WCHP_P_09S">#REF!</definedName>
    <definedName name="WCHP_P_10D">#REF!</definedName>
    <definedName name="WCHP_P_10J">#REF!</definedName>
    <definedName name="WCHP_P_10M">#REF!</definedName>
    <definedName name="WCHP_P_10S">#REF!</definedName>
    <definedName name="WCHP_P_11D">#REF!</definedName>
    <definedName name="WCHP_P_11J">#REF!</definedName>
    <definedName name="WCHP_P_11M">#REF!</definedName>
    <definedName name="WCHP_P_11S">#REF!</definedName>
    <definedName name="WCHP_P_12D">#REF!</definedName>
    <definedName name="WCHP_P_12J">#REF!</definedName>
    <definedName name="WCHP_P_12M">#REF!</definedName>
    <definedName name="WCHP_P_12S">#REF!</definedName>
    <definedName name="WCHP_P_13D">#REF!</definedName>
    <definedName name="WCHP_P_13J">#REF!</definedName>
    <definedName name="WCHP_P_13M">#REF!</definedName>
    <definedName name="WCHP_P_13S">#REF!</definedName>
    <definedName name="WCHP_P_14D">#REF!</definedName>
    <definedName name="WCHP_P_14J">#REF!</definedName>
    <definedName name="WCHP_P_14M">#REF!</definedName>
    <definedName name="WCHP_P_14S">#REF!</definedName>
    <definedName name="WCHP_P_15D">#REF!</definedName>
    <definedName name="WCHP_P_15J">#REF!</definedName>
    <definedName name="WCHP_P_15M">#REF!</definedName>
    <definedName name="WCHP_P_15S">#REF!</definedName>
    <definedName name="WCHP_P_16D">#REF!</definedName>
    <definedName name="WCHP_P_16J">#REF!</definedName>
    <definedName name="WCHP_P_16M">#REF!</definedName>
    <definedName name="WCHP_P_16S">#REF!</definedName>
    <definedName name="WCHP_P_17D">#REF!</definedName>
    <definedName name="WCHP_P_17J">#REF!</definedName>
    <definedName name="WCHP_P_17M">#REF!</definedName>
    <definedName name="WCHP_P_17S">#REF!</definedName>
    <definedName name="WCHP_P_18D">#REF!</definedName>
    <definedName name="WCHP_P_18J">#REF!</definedName>
    <definedName name="WCHP_P_18M">#REF!</definedName>
    <definedName name="WCHP_P_18S">#REF!</definedName>
    <definedName name="WCHP_P_19D">#REF!</definedName>
    <definedName name="WCHP_P_19J">#REF!</definedName>
    <definedName name="WCHP_P_19M">#REF!</definedName>
    <definedName name="WCHP_P_19S">#REF!</definedName>
    <definedName name="WCHP_P_20D">#REF!</definedName>
    <definedName name="WCHP_P_20J">#REF!</definedName>
    <definedName name="WCHP_P_20M">#REF!</definedName>
    <definedName name="WCHP_P_20S">#REF!</definedName>
    <definedName name="WCHP_P_21D">#REF!</definedName>
    <definedName name="WCHP_P_21J">#REF!</definedName>
    <definedName name="WCHP_P_21M">#REF!</definedName>
    <definedName name="WCHP_P_21S">#REF!</definedName>
    <definedName name="WCHP_P_22D">#REF!</definedName>
    <definedName name="WCHP_P_22J">#REF!</definedName>
    <definedName name="WCHP_P_22M">#REF!</definedName>
    <definedName name="WCHP_P_22S">#REF!</definedName>
    <definedName name="WCHP_P_23D">#REF!</definedName>
    <definedName name="WCHP_P_23J">#REF!</definedName>
    <definedName name="WCHP_P_23M">#REF!</definedName>
    <definedName name="WCHP_P_23S">#REF!</definedName>
    <definedName name="WCHP_P_24D">#REF!</definedName>
    <definedName name="WCHP_P_24J">#REF!</definedName>
    <definedName name="WCHP_P_24M">#REF!</definedName>
    <definedName name="WCHP_P_24S">#REF!</definedName>
    <definedName name="WCHP_P_25D">#REF!</definedName>
    <definedName name="WCHP_P_25J">#REF!</definedName>
    <definedName name="WCHP_P_25M">#REF!</definedName>
    <definedName name="WCHP_P_25S">#REF!</definedName>
    <definedName name="WCHP_P_87D">#REF!</definedName>
    <definedName name="WCHP_P_87J">#REF!</definedName>
    <definedName name="WCHP_P_87M">#REF!</definedName>
    <definedName name="WCHP_P_87S">#REF!</definedName>
    <definedName name="WCHP_P_88D">#REF!</definedName>
    <definedName name="WCHP_P_88J">#REF!</definedName>
    <definedName name="WCHP_P_88M">#REF!</definedName>
    <definedName name="WCHP_P_88S">#REF!</definedName>
    <definedName name="WCHP_P_89D">#REF!</definedName>
    <definedName name="WCHP_P_89J">#REF!</definedName>
    <definedName name="WCHP_P_89M">#REF!</definedName>
    <definedName name="WCHP_P_89S">#REF!</definedName>
    <definedName name="WCHP_P_90D">#REF!</definedName>
    <definedName name="WCHP_P_90J">#REF!</definedName>
    <definedName name="WCHP_P_90M">#REF!</definedName>
    <definedName name="WCHP_P_90S">#REF!</definedName>
    <definedName name="WCHP_P_91D">#REF!</definedName>
    <definedName name="WCHP_P_91J">#REF!</definedName>
    <definedName name="WCHP_P_91M">#REF!</definedName>
    <definedName name="WCHP_P_91S">#REF!</definedName>
    <definedName name="WCHP_P_92D">#REF!</definedName>
    <definedName name="WCHP_P_92J">#REF!</definedName>
    <definedName name="WCHP_P_92M">#REF!</definedName>
    <definedName name="WCHP_P_92S">#REF!</definedName>
    <definedName name="WCHP_P_93D">#REF!</definedName>
    <definedName name="WCHP_P_93J">#REF!</definedName>
    <definedName name="WCHP_P_93M">#REF!</definedName>
    <definedName name="WCHP_P_93S">#REF!</definedName>
    <definedName name="WCHP_P_94D">#REF!</definedName>
    <definedName name="WCHP_P_94J">#REF!</definedName>
    <definedName name="WCHP_P_94M">#REF!</definedName>
    <definedName name="WCHP_P_94S">#REF!</definedName>
    <definedName name="WCHP_P_95D">#REF!</definedName>
    <definedName name="WCHP_P_95J">#REF!</definedName>
    <definedName name="WCHP_P_95M">#REF!</definedName>
    <definedName name="WCHP_P_95S">#REF!</definedName>
    <definedName name="WCHP_P_96D">#REF!</definedName>
    <definedName name="WCHP_P_96J">#REF!</definedName>
    <definedName name="WCHP_P_96M">#REF!</definedName>
    <definedName name="WCHP_P_96S">#REF!</definedName>
    <definedName name="WCHP_P_97D">#REF!</definedName>
    <definedName name="WCHP_P_97J">#REF!</definedName>
    <definedName name="WCHP_P_97M">#REF!</definedName>
    <definedName name="WCHP_P_97S">#REF!</definedName>
    <definedName name="WCHP_P_98D">#REF!</definedName>
    <definedName name="WCHP_P_98J">#REF!</definedName>
    <definedName name="WCHP_P_98M">#REF!</definedName>
    <definedName name="WCHP_P_98S">#REF!</definedName>
    <definedName name="WCHP_P_99D">#REF!</definedName>
    <definedName name="WCHP_P_99J">#REF!</definedName>
    <definedName name="WCHP_P_99M">#REF!</definedName>
    <definedName name="WCHP_P_99S">#REF!</definedName>
    <definedName name="WCHP_P_LT">#REF!</definedName>
    <definedName name="wcinfl">#REF!</definedName>
    <definedName name="WCOM_1yrEPS">#REF!</definedName>
    <definedName name="WCOM_2yrEPS">#REF!</definedName>
    <definedName name="WCOM_52high">#REF!</definedName>
    <definedName name="WCOM_5YRGROWTH">#REF!</definedName>
    <definedName name="WCOM_96EPS">#REF!</definedName>
    <definedName name="WCOM_97EPS">#REF!</definedName>
    <definedName name="WCOM_98EPS">#REF!</definedName>
    <definedName name="wcom_g">#REF!</definedName>
    <definedName name="wcom_is">#REF!</definedName>
    <definedName name="WCOM_LTMSGA">#REF!</definedName>
    <definedName name="WCOM_plant">#REF!</definedName>
    <definedName name="WCOM_price">#REF!</definedName>
    <definedName name="wcom_tracker">#REF!</definedName>
    <definedName name="WCOMgrpBS_print">#REF!</definedName>
    <definedName name="WCOMgrpCF_print">#REF!</definedName>
    <definedName name="WCOMgrpIS_print">#REF!</definedName>
    <definedName name="WDALCONS">#N/A</definedName>
    <definedName name="WDALPROD">#N/A</definedName>
    <definedName name="Wdays">#REF!</definedName>
    <definedName name="WEALCONS">#N/A</definedName>
    <definedName name="WEALPROD">#N/A</definedName>
    <definedName name="weeks_in_qtr">#REF!</definedName>
    <definedName name="weeks_in_year">#REF!</definedName>
    <definedName name="wei_beta">#REF!</definedName>
    <definedName name="wei_div">#REF!</definedName>
    <definedName name="wei_evebitda">#REF!</definedName>
    <definedName name="wei_evsales">#REF!</definedName>
    <definedName name="wei_gear">#REF!</definedName>
    <definedName name="wei_mv">#REF!</definedName>
    <definedName name="wei_pb">#REF!</definedName>
    <definedName name="wei_pcf">#REF!</definedName>
    <definedName name="wei_pe">#REF!</definedName>
    <definedName name="wei_peg">#REF!</definedName>
    <definedName name="wei_roa">#REF!</definedName>
    <definedName name="wei_roce">#REF!</definedName>
    <definedName name="wei_roe">#REF!</definedName>
    <definedName name="wei_vfo">#REF!</definedName>
    <definedName name="Weighted_average_shares">'[4]P&amp;L'!$B$68:$AH$68</definedName>
    <definedName name="Wenatchee">#REF!</definedName>
    <definedName name="west">#REF!</definedName>
    <definedName name="WestHemisDutyFree">#REF!</definedName>
    <definedName name="WGT_PD1">#REF!</definedName>
    <definedName name="WGT_PD2">#REF!</definedName>
    <definedName name="WGT_PD3">#REF!</definedName>
    <definedName name="wgtd_shares">#REF!</definedName>
    <definedName name="wl_p3">#REF!</definedName>
    <definedName name="wls">#REF!</definedName>
    <definedName name="WO_OUT">#REF!</definedName>
    <definedName name="woodchip_range">#REF!</definedName>
    <definedName name="wordWarrantsConvs">[55]SMR!#REF!</definedName>
    <definedName name="world1">#REF!</definedName>
    <definedName name="world2">#REF!</definedName>
    <definedName name="world3">#REF!</definedName>
    <definedName name="world4">#REF!</definedName>
    <definedName name="world5">#REF!</definedName>
    <definedName name="world6">#REF!</definedName>
    <definedName name="WORSLEY_NPV">#REF!</definedName>
    <definedName name="WorsleyCapacity">#REF!</definedName>
    <definedName name="Worst">#REF!</definedName>
    <definedName name="WPI">#REF!</definedName>
    <definedName name="Wrapper">#N/A</definedName>
    <definedName name="wrn.Accounts.">{"turnover",#N/A,FALSE;"profits",#N/A,FALSE;"cash",#N/A,FALSE}</definedName>
    <definedName name="wrn.All."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pages.">{#N/A,#N/A,TRUE,"Historicals";#N/A,#N/A,TRUE,"Charts";#N/A,#N/A,TRUE,"Forecasts"}</definedName>
    <definedName name="wrn.CHART2._.detail." localSheetId="2" hidden="1">{#N/A,#N/A,FALSE,"Chart 2 by Prop Type"}</definedName>
    <definedName name="wrn.CHART2._.detail." localSheetId="1" hidden="1">{#N/A,#N/A,FALSE,"Chart 2 by Prop Type"}</definedName>
    <definedName name="wrn.CHART2._.detail." hidden="1">{#N/A,#N/A,FALSE,"Chart 2 by Prop Type"}</definedName>
    <definedName name="wrn.Comcast.">{"EPS_one",#N/A,FALSE,"96-02 EPS";"EPS_two",#N/A,FALSE,"96-02 EPS";"Newrev_one",#N/A,FALSE,"New rev 97 - 02";"Newrev_two",#N/A,FALSE,"New rev 97 - 02";"cable_one",#N/A,FALSE,"cable 96-02";"cable_two",#N/A,FALSE,"cable 96-02";"data.page",#N/A,FALSE,"Data_page"}</definedName>
    <definedName name="wrn.Consolidated._.Statements.">{"view1",#N/A,FALSE,"EARN (US$)";"view1",#N/A,FALSE,"DASTBS (US$)";"view1",#N/A,FALSE,"DASTCF (US$)"}</definedName>
    <definedName name="wrn.Covers.">{"view1",#N/A,FALSE,"MOTEARN";"view1",#N/A,FALSE,"Bal Sht";"view1",#N/A,FALSE,"Cash Flows"}</definedName>
    <definedName name="wrn.daily." localSheetId="2" hidden="1">{#N/A,#N/A,FALSE,"Major v. River";#N/A,#N/A,FALSE,"Large Operators";#N/A,#N/A,FALSE,"Smaller Operators";#N/A,#N/A,FALSE,"Equip. Supply";#N/A,#N/A,FALSE,"EBITDA"}</definedName>
    <definedName name="wrn.daily." localSheetId="1"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ull._.Financials." localSheetId="2" hidden="1">{#N/A,#N/A,TRUE,"Financials";#N/A,#N/A,TRUE,"Operating Statistics";#N/A,#N/A,TRUE,"Capex &amp; Depreciation";#N/A,#N/A,TRUE,"Debt"}</definedName>
    <definedName name="wrn.Full._.Financials." localSheetId="1"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2" hidden="1">{"Assumptions",#N/A,FALSE,"Sheet1";"Main Report",#N/A,FALSE,"Sheet1";"Results",#N/A,FALSE,"Sheet1";"Advances",#N/A,FALSE,"Sheet1"}</definedName>
    <definedName name="wrn.Full._.Report." localSheetId="1" hidden="1">{"Assumptions",#N/A,FALSE,"Sheet1";"Main Report",#N/A,FALSE,"Sheet1";"Results",#N/A,FALSE,"Sheet1";"Advances",#N/A,FALSE,"Sheet1"}</definedName>
    <definedName name="wrn.Full._.Report." hidden="1">{"Assumptions",#N/A,FALSE,"Sheet1";"Main Report",#N/A,FALSE,"Sheet1";"Results",#N/A,FALSE,"Sheet1";"Advances",#N/A,FALSE,"Sheet1"}</definedName>
    <definedName name="wrn.IGT._.Model." localSheetId="2" hidden="1">{#N/A,#N/A,TRUE,"IGT";#N/A,#N/A,TRUE,"IGTSLOT"}</definedName>
    <definedName name="wrn.IGT._.Model." localSheetId="1" hidden="1">{#N/A,#N/A,TRUE,"IGT";#N/A,#N/A,TRUE,"IGTSLOT"}</definedName>
    <definedName name="wrn.IGT._.Model." hidden="1">{#N/A,#N/A,TRUE,"IGT";#N/A,#N/A,TRUE,"IGTSLOT"}</definedName>
    <definedName name="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ases.xls.">{#N/A,#N/A,FALSE,"Initial Year";#N/A,#N/A,FALSE,"Historical";#N/A,#N/A,FALSE,"balsheet";#N/A,#N/A,FALSE,"incstate";#N/A,#N/A,FALSE,"Fleet"}</definedName>
    <definedName name="wrn.Lodging." localSheetId="2" hidden="1">{#N/A,#N/A,FALSE,"EPS";#N/A,#N/A,FALSE,"EBITDA"}</definedName>
    <definedName name="wrn.Lodging." localSheetId="1" hidden="1">{#N/A,#N/A,FALSE,"EPS";#N/A,#N/A,FALSE,"EBITDA"}</definedName>
    <definedName name="wrn.Lodging." hidden="1">{#N/A,#N/A,FALSE,"EPS";#N/A,#N/A,FALSE,"EBITDA"}</definedName>
    <definedName name="wrn.mirBellagio." localSheetId="2" hidden="1">{#N/A,#N/A,FALSE,"MIR";#N/A,#N/A,FALSE,"NYNY"}</definedName>
    <definedName name="wrn.mirBellagio." localSheetId="1" hidden="1">{#N/A,#N/A,FALSE,"MIR";#N/A,#N/A,FALSE,"NYNY"}</definedName>
    <definedName name="wrn.mirBellagio." hidden="1">{#N/A,#N/A,FALSE,"MIR";#N/A,#N/A,FALSE,"NYNY"}</definedName>
    <definedName name="wrn.Model." localSheetId="2">{#N/A,#N/A,FALSE,"Cover";#N/A,#N/A,FALSE,"LUMI";#N/A,#N/A,FALSE,"COMD";#N/A,#N/A,FALSE,"Valuation";#N/A,#N/A,FALSE,"Assumptions";#N/A,#N/A,FALSE,"Pooling";#N/A,#N/A,FALSE,"BalanceSheet"}</definedName>
    <definedName name="wrn.Model." localSheetId="1" hidden="1">{#N/A,#N/A,FALSE,"PRH";#N/A,#N/A,FALSE,"Units"}</definedName>
    <definedName name="wrn.Model." hidden="1">{#N/A,#N/A,FALSE,"PRH";#N/A,#N/A,FALSE,"Units"}</definedName>
    <definedName name="wrn.Models.">{"cable_one",#N/A,FALSE,"cable 96-02";"cable_two",#N/A,FALSE,"cable 96-02";"Newrev_one",#N/A,FALSE,"New rev 97 - 02";"Newrev_two",#N/A,FALSE,"New rev 97 - 02"}</definedName>
    <definedName name="wrn.monthly." localSheetId="2" hidden="1">{#N/A,#N/A,FALSE,"Running Total";#N/A,#N/A,FALSE,"Oct 96";#N/A,#N/A,FALSE,"Nov 96";#N/A,#N/A,FALSE,"Dec 96";#N/A,#N/A,FALSE,"Jan 97";#N/A,#N/A,FALSE,"Feb 97";#N/A,#N/A,FALSE,"Mar 97";#N/A,#N/A,FALSE,"Apr 97";#N/A,#N/A,FALSE,"May 97";#N/A,#N/A,FALSE,"June 97";#N/A,#N/A,FALSE,"July 97"}</definedName>
    <definedName name="wrn.monthly." localSheetId="1"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One._.Pager._.plus._.Technicals." localSheetId="2" hidden="1">{#N/A,#N/A,FALSE,"One Pager";#N/A,#N/A,FALSE,"Technical"}</definedName>
    <definedName name="wrn.One._.Pager._.plus._.Technicals." localSheetId="1" hidden="1">{#N/A,#N/A,FALSE,"One Pager";#N/A,#N/A,FALSE,"Technical"}</definedName>
    <definedName name="wrn.One._.Pager._.plus._.Technicals." hidden="1">{#N/A,#N/A,FALSE,"One Pager";#N/A,#N/A,FALSE,"Technical"}</definedName>
    <definedName name="wrn.OUTPUT." localSheetId="2" hidden="1">{"DCF","UPSIDE CASE",FALSE,"Sheet1";"DCF","BASE CASE",FALSE,"Sheet1";"DCF","DOWNSIDE CASE",FALSE,"Sheet1"}</definedName>
    <definedName name="wrn.OUTPUT." localSheetId="1" hidden="1">{"DCF","UPSIDE CASE",FALSE,"Sheet1";"DCF","BASE CASE",FALSE,"Sheet1";"DCF","DOWNSIDE CASE",FALSE,"Sheet1"}</definedName>
    <definedName name="wrn.OUTPUT." hidden="1">{"DCF","UPSIDE CASE",FALSE,"Sheet1";"DCF","BASE CASE",FALSE,"Sheet1";"DCF","DOWNSIDE CASE",FALSE,"Sheet1"}</definedName>
    <definedName name="wrn.pres." localSheetId="2" hidden="1">{#N/A,#N/A,FALSE,"Major v. River";#N/A,#N/A,FALSE,"Industry";#N/A,#N/A,FALSE,"Large Operators";#N/A,#N/A,FALSE,"Smaller Operators";#N/A,#N/A,FALSE,"Equip. Supply";#N/A,#N/A,FALSE,"EBITDA";#N/A,#N/A,FALSE,"States";#N/A,#N/A,FALSE,"LV Detail"}</definedName>
    <definedName name="wrn.pres." localSheetId="1"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_.24.">{#N/A,#N/A,FALSE,"Index";"Stmts_Qtrs",#N/A,FALSE,"Summary";"Stmts_24 mo",#N/A,FALSE,"Summary";"Summary_24",#N/A,FALSE,"Revenue";"Month_24",#N/A,FALSE,"Engineering";"Month_24",#N/A,FALSE,"Marketing";"Month_24",#N/A,FALSE,"G &amp; A";"Month_24",#N/A,FALSE,"Manufacturing"}</definedName>
    <definedName name="wrn.Print._.CRXLAND._.Openings." localSheetId="2" hidden="1">{"Print CRXLAND Assumptions",#N/A,FALSE,"CRXLAND Openings";"Print CRXLAND Openings",#N/A,FALSE,"CRXLAND Openings"}</definedName>
    <definedName name="wrn.Print._.CRXLAND._.Openings." localSheetId="1" hidden="1">{"Print CRXLAND Assumptions",#N/A,FALSE,"CRXLAND Openings";"Print CRXLAND Openings",#N/A,FALSE,"CRXLAND Openings"}</definedName>
    <definedName name="wrn.Print._.CRXLAND._.Openings." hidden="1">{"Print CRXLAND Assumptions",#N/A,FALSE,"CRXLAND Openings";"Print CRXLAND Openings",#N/A,FALSE,"CRXLAND Openings"}</definedName>
    <definedName name="wrn.Print._.Everything." localSheetId="2"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localSheetId="1"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graphs." localSheetId="2" hidden="1">{"cap_structure",#N/A,FALSE,"Graph-Mkt Cap";"price",#N/A,FALSE,"Graph-Price";"ebit",#N/A,FALSE,"Graph-EBITDA";"ebitda",#N/A,FALSE,"Graph-EBITDA"}</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Inc.._.Statement._.and._.Stats.." localSheetId="2" hidden="1">{"print annual inc. statement",#N/A,FALSE,"Summary";"print annual stats",#N/A,FALSE,"Summary";"print quarterly inc. statement",#N/A,FALSE,"Summary";"print quarterly stats",#N/A,FALSE,"Summary"}</definedName>
    <definedName name="wrn.Print._.Inc.._.Statement._.and._.Stats.." localSheetId="1" hidden="1">{"print annual inc. statement",#N/A,FALSE,"Summary";"print annual stats",#N/A,FALSE,"Summary";"print quarterly inc. statement",#N/A,FALSE,"Summary";"print quarterly stats",#N/A,FALSE,"Summary"}</definedName>
    <definedName name="wrn.Print._.Inc.._.Statement._.and._.Stats.." hidden="1">{"print annual inc. statement",#N/A,FALSE,"Summary";"print annual stats",#N/A,FALSE,"Summary";"print quarterly inc. statement",#N/A,FALSE,"Summary";"print quarterly stats",#N/A,FALSE,"Summary"}</definedName>
    <definedName name="wrn.print._.raw._.data._.entry." localSheetId="2" hidden="1">{"inputs raw data",#N/A,TRUE,"INPUT"}</definedName>
    <definedName name="wrn.print._.raw._.data._.entry." localSheetId="1" hidden="1">{"inputs raw data",#N/A,TRUE,"INPUT"}</definedName>
    <definedName name="wrn.print._.raw._.data._.entry." hidden="1">{"inputs raw data",#N/A,TRUE,"INPUT"}</definedName>
    <definedName name="wrn.Print._.Report." localSheetId="2" hidden="1">{"annual",#N/A,FALSE,"Sheet2";"quarters",#N/A,FALSE,"Sheet2"}</definedName>
    <definedName name="wrn.Print._.Report." localSheetId="1" hidden="1">{"annual",#N/A,FALSE,"Sheet2";"quarters",#N/A,FALSE,"Sheet2"}</definedName>
    <definedName name="wrn.Print._.Report." hidden="1">{"annual",#N/A,FALSE,"Sheet2";"quarters",#N/A,FALSE,"Sheet2"}</definedName>
    <definedName name="wrn.Print._.SPHI._.Openings." localSheetId="2" hidden="1">{"Print SPHI Assumptions",#N/A,FALSE,"SPHI Openings";"Print SPHI Openings",#N/A,FALSE,"SPHI Openings"}</definedName>
    <definedName name="wrn.Print._.SPHI._.Openings." localSheetId="1" hidden="1">{"Print SPHI Assumptions",#N/A,FALSE,"SPHI Openings";"Print SPHI Openings",#N/A,FALSE,"SPHI Openings"}</definedName>
    <definedName name="wrn.Print._.SPHI._.Openings." hidden="1">{"Print SPHI Assumptions",#N/A,FALSE,"SPHI Openings";"Print SPHI Openings",#N/A,FALSE,"SPHI Openings"}</definedName>
    <definedName name="wrn.Print._.STAY._.Openings." localSheetId="2" hidden="1">{"print STAY opening assumptions",#N/A,FALSE,"STAY Openings";"print STAY openings",#N/A,FALSE,"STAY Openings"}</definedName>
    <definedName name="wrn.Print._.STAY._.Openings." localSheetId="1" hidden="1">{"print STAY opening assumptions",#N/A,FALSE,"STAY Openings";"print STAY openings",#N/A,FALSE,"STAY Openings"}</definedName>
    <definedName name="wrn.Print._.STAY._.Openings." hidden="1">{"print STAY opening assumptions",#N/A,FALSE,"STAY Openings";"print STAY openings",#N/A,FALSE,"STAY Openings"}</definedName>
    <definedName name="wrn.print._.summary._.sheets." localSheetId="2" hidden="1">{"summary1",#N/A,TRUE,"Comps";"summary2",#N/A,TRUE,"Comps";"summary3",#N/A,TRUE,"Comps"}</definedName>
    <definedName name="wrn.print._.summary._.sheets." localSheetId="1" hidden="1">{"summary1",#N/A,TRUE,"Comps";"summary2",#N/A,TRUE,"Comps";"summary3",#N/A,TRUE,"Comps"}</definedName>
    <definedName name="wrn.print._.summary._.sheets." hidden="1">{"summary1",#N/A,TRUE,"Comps";"summary2",#N/A,TRUE,"Comps";"summary3",#N/A,TRUE,"Comps"}</definedName>
    <definedName name="wrn.Print._.Three._.Page._.Model." localSheetId="2" hidden="1">{"Page One",#N/A,FALSE,"Model";"Page 2",#N/A,FALSE,"Model";"Page 3",#N/A,FALSE,"Model"}</definedName>
    <definedName name="wrn.Print._.Three._.Page._.Model." localSheetId="1" hidden="1">{"Page One",#N/A,FALSE,"Model";"Page 2",#N/A,FALSE,"Model";"Page 3",#N/A,FALSE,"Model"}</definedName>
    <definedName name="wrn.Print._.Three._.Page._.Model." hidden="1">{"Page One",#N/A,FALSE,"Model";"Page 2",#N/A,FALSE,"Model";"Page 3",#N/A,FALSE,"Model"}</definedName>
    <definedName name="wrn.Publish.">{"Contents",#N/A,FALSE,"Comparisons";"ShareInfo",#N/A,FALSE,"Comparisons";"Profitability",#N/A,FALSE,"Comparisons";"FirmValue",#N/A,FALSE,"Comparisons";"Labour",#N/A,FALSE,"Comparisons";"Capital",#N/A,FALSE,"Comparisons"}</definedName>
    <definedName name="wrn.Refining." localSheetId="2" hidden="1">{"Refining 1",#N/A,FALSE,"Detailed cost - crude";"Refining 2",#N/A,FALSE,"Detailed cost - crude"}</definedName>
    <definedName name="wrn.Refining." localSheetId="1" hidden="1">{"Refining 1",#N/A,FALSE,"Detailed cost - crude";"Refining 2",#N/A,FALSE,"Detailed cost - crude"}</definedName>
    <definedName name="wrn.Refining." hidden="1">{"Refining 1",#N/A,FALSE,"Detailed cost - crude";"Refining 2",#N/A,FALSE,"Detailed cost - crude"}</definedName>
    <definedName name="wrn.Segments.">{"view1",#N/A,FALSE,"Consolidated";"view2",#N/A,FALSE,"Consolidated (sum)";"view1",#N/A,FALSE,"Gen Sys";"view1",#N/A,FALSE,"Semicon";"view1",#N/A,FALSE,"Mess|Med";"view1",#N/A,FALSE,"Land Mob";"view1",#N/A,FALSE,"Other Prod";"view1",#N/A,FALSE,"Adj|Elim"}</definedName>
    <definedName name="wrn.SunModel." localSheetId="2" hidden="1">{#N/A,#N/A,FALSE,"summary";#N/A,#N/A,FALSE,"SIH";#N/A,#N/A,FALSE,"SIH Value";#N/A,#N/A,FALSE,"tax est.";#N/A,#N/A,FALSE,"Mohegan";#N/A,#N/A,FALSE,"Resorts";#N/A,#N/A,FALSE,"Win Per Day";#N/A,#N/A,FALSE,"CapStr"}</definedName>
    <definedName name="wrn.SunModel." localSheetId="1"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ables.">{"view1",#N/A,FALSE,"Tables";"view2",#N/A,FALSE,"Tables";"view3",#N/A,FALSE,"Tables"}</definedName>
    <definedName name="wrn.twxmodel.">{"twx1",#N/A,FALSE,"twltm.xls";"twx2",#N/A,FALSE,"twltm.xls";"twx3",#N/A,FALSE,"twltm.xls"}</definedName>
    <definedName name="wrn.weekly." localSheetId="2" hidden="1">{#N/A,#N/A,FALSE,"Large Operators";#N/A,#N/A,FALSE,"Smaller Operators";#N/A,#N/A,FALSE,"Equip. Supply";#N/A,#N/A,FALSE,"EBITDA";#N/A,#N/A,FALSE,"perform"}</definedName>
    <definedName name="wrn.weekly." localSheetId="1"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stl_52_wk">#REF!</definedName>
    <definedName name="WSTL_bk_cap">#REF!</definedName>
    <definedName name="WSTL_bk_equity">#REF!</definedName>
    <definedName name="WSTL_bs_conv_debt">#REF!</definedName>
    <definedName name="WSTL_bs_min_int">#REF!</definedName>
    <definedName name="WSTL_bs_pref">#REF!</definedName>
    <definedName name="WSTL_cash">#REF!</definedName>
    <definedName name="WSTL_code">#REF!</definedName>
    <definedName name="WSTL_conv_debt_pr">#REF!</definedName>
    <definedName name="WSTL_conv_pref_pr">#REF!</definedName>
    <definedName name="wstl_curr">#REF!</definedName>
    <definedName name="WSTL_dil_shares">#REF!</definedName>
    <definedName name="wstl_eps00">#REF!</definedName>
    <definedName name="wstl_eps98">#REF!</definedName>
    <definedName name="wstl_eps99">#REF!</definedName>
    <definedName name="WSTL_equity_mcap">#REF!</definedName>
    <definedName name="WSTL_fin_date">#REF!</definedName>
    <definedName name="WSTL_lev_mcap">#REF!</definedName>
    <definedName name="WSTL_LQ_ni">#REF!</definedName>
    <definedName name="WSTL_LQ_rev">#REF!</definedName>
    <definedName name="WSTL_lt_debt">#REF!</definedName>
    <definedName name="WSTL_ltm_a">#REF!</definedName>
    <definedName name="WSTL_ltm_cap_ex">#REF!</definedName>
    <definedName name="WSTL_ltm_cogs">#REF!</definedName>
    <definedName name="WSTL_ltm_csh_int">#REF!</definedName>
    <definedName name="WSTL_ltm_d">#REF!</definedName>
    <definedName name="WSTL_ltm_ebit">#REF!</definedName>
    <definedName name="WSTL_ltm_ebt">#REF!</definedName>
    <definedName name="WSTL_ltm_eps">#REF!</definedName>
    <definedName name="WSTL_ltm_inc_b_m">#REF!</definedName>
    <definedName name="WSTL_ltm_int">#REF!</definedName>
    <definedName name="WSTL_ltm_min_int">#REF!</definedName>
    <definedName name="WSTL_ltm_pref_div">#REF!</definedName>
    <definedName name="WSTL_ltm_r_d">#REF!</definedName>
    <definedName name="WSTL_ltm_rev">#REF!</definedName>
    <definedName name="WSTL_ltm_sg_a">#REF!</definedName>
    <definedName name="WSTL_ltm_tax">#REF!</definedName>
    <definedName name="WSTL_ltm_tax_rate">#REF!</definedName>
    <definedName name="WSTL_name">#REF!</definedName>
    <definedName name="WSTL_o_debt_1">#REF!</definedName>
    <definedName name="WSTL_o_debt_2">#REF!</definedName>
    <definedName name="WSTL_o_debt_3">#REF!</definedName>
    <definedName name="WSTL_option_n">#REF!</definedName>
    <definedName name="WSTL_option_pr">#REF!</definedName>
    <definedName name="WSTL_PQ_rev">#REF!</definedName>
    <definedName name="wstl_pr">#REF!</definedName>
    <definedName name="WSTL_shares">#REF!</definedName>
    <definedName name="wstl_ticker">#REF!</definedName>
    <definedName name="WSTL_total_dt">#REF!</definedName>
    <definedName name="WSTL_YQ_ni">#REF!</definedName>
    <definedName name="WSTL_YQ_rev">#REF!</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ww">#REF!</definedName>
    <definedName name="xer">#REF!</definedName>
    <definedName name="xfx">#REF!</definedName>
    <definedName name="xigan">#REF!</definedName>
    <definedName name="Xingtai_MI">#REF!</definedName>
    <definedName name="Xinjiang">#REF!</definedName>
    <definedName name="xitem">#REF!</definedName>
    <definedName name="xjll_xhdk" localSheetId="2">[27]现金流量!#REF!</definedName>
    <definedName name="xjll_xhdk">[27]现金流量!#REF!</definedName>
    <definedName name="xjll_xhdklj" localSheetId="2">[27]现金流量!#REF!</definedName>
    <definedName name="xjll_xhdklj">[27]现金流量!#REF!</definedName>
    <definedName name="xoe">#REF!</definedName>
    <definedName name="xpr">#REF!</definedName>
    <definedName name="xunits">#REF!</definedName>
    <definedName name="xxExport">#REF!</definedName>
    <definedName name="xxForecast">#REF!</definedName>
    <definedName name="xysz">{TRUE,TRUE,-1.25,-15.5,456.75,279.75,FALSE,FALSE,TRUE,TRUE,0,1,21,1,127,6,3,4,TRUE,TRUE,3,TRUE,1,TRUE,100,"Swvu.profits.","ACwvu.profits.",1,FALSE,FALSE,0.511811023622047,0.511811023622047,0.511811023622047,0.511811023622047,1,"","",FALSE,FALSE,FALSE,FALSE,1,#N/A,1,1,#DIV/0!,FALSE,"Rwvu.profits.",#N/A,FALSE,FALSE}</definedName>
    <definedName name="xz_ED">#REF!</definedName>
    <definedName name="xz_PD">#REF!</definedName>
    <definedName name="y_y_growth">'[4]P&amp;L'!$B$25:$AH$25</definedName>
    <definedName name="Y2_C_EBITDA">#REF!</definedName>
    <definedName name="Y2_C_EPS">#REF!</definedName>
    <definedName name="Y2_C_ND">#REF!</definedName>
    <definedName name="Y2_C_NP">#REF!</definedName>
    <definedName name="Y2_C_OP">#REF!</definedName>
    <definedName name="Y2_C_PP">#REF!</definedName>
    <definedName name="Y2_C_RP">#REF!</definedName>
    <definedName name="Y2_C_S">#REF!</definedName>
    <definedName name="Y2_C_SE">#REF!</definedName>
    <definedName name="Y2_Div">#REF!</definedName>
    <definedName name="Y2_FY1">#REF!</definedName>
    <definedName name="Y2_P_Capex">#REF!</definedName>
    <definedName name="Y2_P_Depr">#REF!</definedName>
    <definedName name="Y2_P_EBITDA">#REF!</definedName>
    <definedName name="Y2_P_EPS">#REF!</definedName>
    <definedName name="Y2_P_EPS_D">#REF!</definedName>
    <definedName name="Y2_P_ND">#REF!</definedName>
    <definedName name="Y2_P_NP">#REF!</definedName>
    <definedName name="Y2_P_OP">#REF!</definedName>
    <definedName name="Y2_P_PP">#REF!</definedName>
    <definedName name="Y2_P_RP">#REF!</definedName>
    <definedName name="Y2_P_S">#REF!</definedName>
    <definedName name="Y2_P_SE">#REF!</definedName>
    <definedName name="Y6_C_EPS">#REF!</definedName>
    <definedName name="Y6_C_NP">#REF!</definedName>
    <definedName name="Y6_C_OP">#REF!</definedName>
    <definedName name="Y6_C_RP">#REF!</definedName>
    <definedName name="Y6_C_S">#REF!</definedName>
    <definedName name="Y6_FY">#REF!</definedName>
    <definedName name="Y6_FY1">#REF!</definedName>
    <definedName name="Y6_P_EPS">#REF!</definedName>
    <definedName name="Y6_P_NP">#REF!</definedName>
    <definedName name="Y6_P_OP">#REF!</definedName>
    <definedName name="Y6_P_RP">#REF!</definedName>
    <definedName name="Y6_P_S">#REF!</definedName>
    <definedName name="Y7_C_Capex">#REF!</definedName>
    <definedName name="Y7_C_CF">#REF!</definedName>
    <definedName name="Y7_C_Depr">#REF!</definedName>
    <definedName name="Y7_C_EBITDA">#REF!</definedName>
    <definedName name="Y7_C_EPS">#REF!</definedName>
    <definedName name="Y7_C_FCF">#REF!</definedName>
    <definedName name="Y7_C_ND">#REF!</definedName>
    <definedName name="Y7_C_NP">#REF!</definedName>
    <definedName name="Y7_C_OP">#REF!</definedName>
    <definedName name="Y7_C_RP">#REF!</definedName>
    <definedName name="Y7_C_S">#REF!</definedName>
    <definedName name="Y7_C_SE">#REF!</definedName>
    <definedName name="Y7_C_SHR">#REF!</definedName>
    <definedName name="Y7_Div">#REF!</definedName>
    <definedName name="Y7_FY">#REF!</definedName>
    <definedName name="Y7_FY1">#REF!</definedName>
    <definedName name="Y7_P_Capex">#REF!</definedName>
    <definedName name="Y7_P_CF">#REF!</definedName>
    <definedName name="Y7_P_Depr">#REF!</definedName>
    <definedName name="Y7_P_EBITDA">#REF!</definedName>
    <definedName name="Y7_P_EPS">#REF!</definedName>
    <definedName name="Y7_P_FCF">#REF!</definedName>
    <definedName name="Y7_P_ND">#REF!</definedName>
    <definedName name="Y7_P_NP">#REF!</definedName>
    <definedName name="Y7_P_OP">#REF!</definedName>
    <definedName name="Y7_P_RP">#REF!</definedName>
    <definedName name="Y7_P_S">#REF!</definedName>
    <definedName name="Y7_P_SE">#REF!</definedName>
    <definedName name="Y7_P_SHR">#REF!</definedName>
    <definedName name="Ydays">#REF!</definedName>
    <definedName name="YE">#REF!</definedName>
    <definedName name="Year">[20]NERD!$G$7:$N$7</definedName>
    <definedName name="Year_2010_40">#REF!</definedName>
    <definedName name="Year_End">1988</definedName>
    <definedName name="year_end_month">#REF!</definedName>
    <definedName name="Year_end_no_of_Shares">#REF!</definedName>
    <definedName name="Year_ended_31_Dec">#REF!</definedName>
    <definedName name="Year_row">#REF!</definedName>
    <definedName name="YEAR2">#REF!</definedName>
    <definedName name="YearQtr_title">#N/A</definedName>
    <definedName name="YearsHistoric">#REF!</definedName>
    <definedName name="Yen">#REF!</definedName>
    <definedName name="YenUS">#REF!</definedName>
    <definedName name="YesNo">#REF!</definedName>
    <definedName name="Yield">#REF!</definedName>
    <definedName name="Yield_rel">#REF!</definedName>
    <definedName name="yr_1997">#REF!</definedName>
    <definedName name="yr_1998">#REF!</definedName>
    <definedName name="yr_1999">#REF!</definedName>
    <definedName name="yr_2000">#REF!</definedName>
    <definedName name="yr_2001">#REF!</definedName>
    <definedName name="yr_2002">#REF!</definedName>
    <definedName name="yr_2003">#REF!</definedName>
    <definedName name="yr_2004">#REF!</definedName>
    <definedName name="yr_2005">#REF!</definedName>
    <definedName name="yr_2006">#REF!</definedName>
    <definedName name="yr_2007">#REF!</definedName>
    <definedName name="yr_2008">#REF!</definedName>
    <definedName name="yr_ago_rev">#REF!</definedName>
    <definedName name="yr_end_exch_rate_usd">#REF!</definedName>
    <definedName name="Yr0">#REF!</definedName>
    <definedName name="YRA3MTH">7</definedName>
    <definedName name="YRACYTD">10</definedName>
    <definedName name="YRAMTH">3</definedName>
    <definedName name="YRAMYTD">13</definedName>
    <definedName name="YRAVOL">5</definedName>
    <definedName name="YRAWEEK">3</definedName>
    <definedName name="YrEnd_FFr_USD">0.1767</definedName>
    <definedName name="yrendlist">#REF!</definedName>
    <definedName name="Yunnan">#REF!</definedName>
    <definedName name="yyyy" hidden="1">#REF!</definedName>
    <definedName name="Z_60FA13F0_C7AB_11D5_82BE_0060B0F04987_.wvu.Rows" hidden="1">#REF!</definedName>
    <definedName name="Z_FY">#REF!</definedName>
    <definedName name="Z_FY1">#REF!</definedName>
    <definedName name="Z1_P_Capex">#REF!</definedName>
    <definedName name="Z1_P_CF">#REF!</definedName>
    <definedName name="Z1_P_Depr">#REF!</definedName>
    <definedName name="Z1_P_Div">#REF!</definedName>
    <definedName name="Z1_P_EBITDA">#REF!</definedName>
    <definedName name="Z1_P_FCF">#REF!</definedName>
    <definedName name="Z1_P_ND">#REF!</definedName>
    <definedName name="Z2_FY">#REF!</definedName>
    <definedName name="Z2_FY1">#REF!</definedName>
    <definedName name="Z2_P_Capex">#REF!</definedName>
    <definedName name="Z2_P_CF">#REF!</definedName>
    <definedName name="Z2_P_Depr">#REF!</definedName>
    <definedName name="Z2_P_EBITDA">#REF!</definedName>
    <definedName name="Z2_P_EPS">#REF!</definedName>
    <definedName name="Z2_P_FCF">#REF!</definedName>
    <definedName name="Z2_P_RP">#REF!</definedName>
    <definedName name="Z2_P_SHR">#REF!</definedName>
    <definedName name="Z4_C_Capex">#REF!</definedName>
    <definedName name="Z4_C_CF">#REF!</definedName>
    <definedName name="Z4_C_Depr">#REF!</definedName>
    <definedName name="Z4_C_EBITDA">#REF!</definedName>
    <definedName name="Z4_C_EPS">#REF!</definedName>
    <definedName name="Z4_C_FCF">#REF!</definedName>
    <definedName name="Z4_C_ND">#REF!</definedName>
    <definedName name="Z4_C_NP">#REF!</definedName>
    <definedName name="Z4_C_OP">#REF!</definedName>
    <definedName name="Z4_C_RP">#REF!</definedName>
    <definedName name="Z4_C_S">#REF!</definedName>
    <definedName name="Z4_C_SE">#REF!</definedName>
    <definedName name="Z4_C_SHR">#REF!</definedName>
    <definedName name="Z4_FY">#REF!</definedName>
    <definedName name="Z4_FY1">#REF!</definedName>
    <definedName name="Z4_P_Capex">#REF!</definedName>
    <definedName name="Z4_P_CF">#REF!</definedName>
    <definedName name="Z4_P_Depr">#REF!</definedName>
    <definedName name="Z4_P_Div">#REF!</definedName>
    <definedName name="Z4_P_EBITDA">#REF!</definedName>
    <definedName name="Z4_P_EPS">#REF!</definedName>
    <definedName name="Z4_P_FCF">#REF!</definedName>
    <definedName name="Z4_P_ND">#REF!</definedName>
    <definedName name="Z4_P_NP">#REF!</definedName>
    <definedName name="Z4_P_OP">#REF!</definedName>
    <definedName name="Z4_P_RP">#REF!</definedName>
    <definedName name="Z4_P_S">#REF!</definedName>
    <definedName name="Z4_P_SE">#REF!</definedName>
    <definedName name="Z4_P_SHR">#REF!</definedName>
    <definedName name="ZAR_00J">#REF!</definedName>
    <definedName name="ZAR_00M">#REF!</definedName>
    <definedName name="ZAR_00S">#REF!</definedName>
    <definedName name="ZAR_01D">#REF!</definedName>
    <definedName name="ZAR_01J">#REF!</definedName>
    <definedName name="ZAR_01M">#REF!</definedName>
    <definedName name="ZAR_01S">#REF!</definedName>
    <definedName name="ZAR_02D">#REF!</definedName>
    <definedName name="ZAR_02J">#REF!</definedName>
    <definedName name="ZAR_02M">#REF!</definedName>
    <definedName name="ZAR_02S">#REF!</definedName>
    <definedName name="ZAR_03D">#REF!</definedName>
    <definedName name="ZAR_03J">#REF!</definedName>
    <definedName name="ZAR_03M">#REF!</definedName>
    <definedName name="ZAR_03S">#REF!</definedName>
    <definedName name="ZAR_04D">#REF!</definedName>
    <definedName name="ZAR_04J">#REF!</definedName>
    <definedName name="ZAR_04M">#REF!</definedName>
    <definedName name="ZAR_04S">#REF!</definedName>
    <definedName name="ZAR_05D">#REF!</definedName>
    <definedName name="ZAR_05J">#REF!</definedName>
    <definedName name="ZAR_05M">#REF!</definedName>
    <definedName name="ZAR_05S">#REF!</definedName>
    <definedName name="ZAR_06D">#REF!</definedName>
    <definedName name="ZAR_06J">#REF!</definedName>
    <definedName name="ZAR_06M">#REF!</definedName>
    <definedName name="ZAR_06S">#REF!</definedName>
    <definedName name="ZAR_07D">#REF!</definedName>
    <definedName name="ZAR_07J">#REF!</definedName>
    <definedName name="ZAR_07M">#REF!</definedName>
    <definedName name="ZAR_07S">#REF!</definedName>
    <definedName name="ZAR_08D">#REF!</definedName>
    <definedName name="ZAR_08J">#REF!</definedName>
    <definedName name="ZAR_08M">#REF!</definedName>
    <definedName name="ZAR_08S">#REF!</definedName>
    <definedName name="ZAR_09D">#REF!</definedName>
    <definedName name="ZAR_09J">#REF!</definedName>
    <definedName name="ZAR_09M">#REF!</definedName>
    <definedName name="ZAR_09S">#REF!</definedName>
    <definedName name="ZAR_10D">#REF!</definedName>
    <definedName name="ZAR_10J">#REF!</definedName>
    <definedName name="ZAR_10M">#REF!</definedName>
    <definedName name="ZAR_10S">#REF!</definedName>
    <definedName name="ZAR_11D">#REF!</definedName>
    <definedName name="ZAR_11J">#REF!</definedName>
    <definedName name="ZAR_11M">#REF!</definedName>
    <definedName name="ZAR_11S">#REF!</definedName>
    <definedName name="ZAR_12D">#REF!</definedName>
    <definedName name="ZAR_12J">#REF!</definedName>
    <definedName name="ZAR_12M">#REF!</definedName>
    <definedName name="ZAR_12S">#REF!</definedName>
    <definedName name="ZAR_13D">#REF!</definedName>
    <definedName name="ZAR_13J">#REF!</definedName>
    <definedName name="ZAR_13M">#REF!</definedName>
    <definedName name="ZAR_13S">#REF!</definedName>
    <definedName name="ZAR_14D">#REF!</definedName>
    <definedName name="ZAR_14J">#REF!</definedName>
    <definedName name="ZAR_14M">#REF!</definedName>
    <definedName name="ZAR_14S">#REF!</definedName>
    <definedName name="ZAR_15D">#REF!</definedName>
    <definedName name="ZAR_15J">#REF!</definedName>
    <definedName name="ZAR_15M">#REF!</definedName>
    <definedName name="ZAR_15S">#REF!</definedName>
    <definedName name="ZAR_16D">#REF!</definedName>
    <definedName name="ZAR_16J">#REF!</definedName>
    <definedName name="ZAR_16M">#REF!</definedName>
    <definedName name="ZAR_16S">#REF!</definedName>
    <definedName name="ZAR_17D">#REF!</definedName>
    <definedName name="ZAR_17J">#REF!</definedName>
    <definedName name="ZAR_17M">#REF!</definedName>
    <definedName name="ZAR_17S">#REF!</definedName>
    <definedName name="ZAR_18D">#REF!</definedName>
    <definedName name="ZAR_18J">#REF!</definedName>
    <definedName name="ZAR_18M">#REF!</definedName>
    <definedName name="ZAR_18S">#REF!</definedName>
    <definedName name="ZAR_19D">#REF!</definedName>
    <definedName name="ZAR_19J">#REF!</definedName>
    <definedName name="ZAR_19M">#REF!</definedName>
    <definedName name="ZAR_19S">#REF!</definedName>
    <definedName name="ZAR_20D">#REF!</definedName>
    <definedName name="ZAR_20J">#REF!</definedName>
    <definedName name="ZAR_20M">#REF!</definedName>
    <definedName name="ZAR_20S">#REF!</definedName>
    <definedName name="ZAR_21D">#REF!</definedName>
    <definedName name="ZAR_21J">#REF!</definedName>
    <definedName name="ZAR_21M">#REF!</definedName>
    <definedName name="ZAR_21S">#REF!</definedName>
    <definedName name="ZAR_22D">#REF!</definedName>
    <definedName name="ZAR_22J">#REF!</definedName>
    <definedName name="ZAR_22M">#REF!</definedName>
    <definedName name="ZAR_22S">#REF!</definedName>
    <definedName name="ZAR_23D">#REF!</definedName>
    <definedName name="ZAR_23J">#REF!</definedName>
    <definedName name="ZAR_23M">#REF!</definedName>
    <definedName name="ZAR_23S">#REF!</definedName>
    <definedName name="ZAR_24D">#REF!</definedName>
    <definedName name="ZAR_24J">#REF!</definedName>
    <definedName name="ZAR_24M">#REF!</definedName>
    <definedName name="ZAR_24S">#REF!</definedName>
    <definedName name="ZAR_25D">#REF!</definedName>
    <definedName name="ZAR_25J">#REF!</definedName>
    <definedName name="ZAR_25M">#REF!</definedName>
    <definedName name="ZAR_25S">#REF!</definedName>
    <definedName name="ZAR_87D">#REF!</definedName>
    <definedName name="ZAR_87J">#REF!</definedName>
    <definedName name="ZAR_87M">#REF!</definedName>
    <definedName name="ZAR_87S">#REF!</definedName>
    <definedName name="ZAR_88D">#REF!</definedName>
    <definedName name="ZAR_88J">#REF!</definedName>
    <definedName name="ZAR_88M">#REF!</definedName>
    <definedName name="ZAR_88S">#REF!</definedName>
    <definedName name="ZAR_89D">#REF!</definedName>
    <definedName name="ZAR_89J">#REF!</definedName>
    <definedName name="ZAR_89M">#REF!</definedName>
    <definedName name="ZAR_89S">#REF!</definedName>
    <definedName name="ZAR_90D">#REF!</definedName>
    <definedName name="ZAR_90J">#REF!</definedName>
    <definedName name="ZAR_90M">#REF!</definedName>
    <definedName name="ZAR_90S">#REF!</definedName>
    <definedName name="ZAR_91D">#REF!</definedName>
    <definedName name="ZAR_91J">#REF!</definedName>
    <definedName name="ZAR_91M">#REF!</definedName>
    <definedName name="ZAR_91S">#REF!</definedName>
    <definedName name="ZAR_92D">#REF!</definedName>
    <definedName name="ZAR_92J">#REF!</definedName>
    <definedName name="ZAR_92M">#REF!</definedName>
    <definedName name="ZAR_92S">#REF!</definedName>
    <definedName name="ZAR_93D">#REF!</definedName>
    <definedName name="ZAR_93J">#REF!</definedName>
    <definedName name="ZAR_93M">#REF!</definedName>
    <definedName name="ZAR_93S">#REF!</definedName>
    <definedName name="ZAR_94D">#REF!</definedName>
    <definedName name="ZAR_94J">#REF!</definedName>
    <definedName name="ZAR_94M">#REF!</definedName>
    <definedName name="ZAR_94S">#REF!</definedName>
    <definedName name="ZAR_95D">#REF!</definedName>
    <definedName name="ZAR_95J">#REF!</definedName>
    <definedName name="ZAR_95M">#REF!</definedName>
    <definedName name="ZAR_95S">#REF!</definedName>
    <definedName name="ZAR_96D">#REF!</definedName>
    <definedName name="ZAR_96J">#REF!</definedName>
    <definedName name="ZAR_96M">#REF!</definedName>
    <definedName name="ZAR_96S">#REF!</definedName>
    <definedName name="ZAR_97D">#REF!</definedName>
    <definedName name="ZAR_97J">#REF!</definedName>
    <definedName name="ZAR_97M">#REF!</definedName>
    <definedName name="ZAR_97S">#REF!</definedName>
    <definedName name="ZAR_98D">#REF!</definedName>
    <definedName name="ZAR_98J">#REF!</definedName>
    <definedName name="ZAR_98M">#REF!</definedName>
    <definedName name="ZAR_98S">#REF!</definedName>
    <definedName name="ZAR_99D">#REF!</definedName>
    <definedName name="ZAR_99J">#REF!</definedName>
    <definedName name="ZAR_99M">#REF!</definedName>
    <definedName name="ZAR_99S">#REF!</definedName>
    <definedName name="Zara_Stores_France_as_Percentage_of_Total_Stores">#REF!</definedName>
    <definedName name="Zara_Stores_Germany_as_Percentage_of_Total_Stores">#REF!</definedName>
    <definedName name="Zara_Stores_Spain_as_Percentage_of_Total_Stores">#REF!</definedName>
    <definedName name="Zara_Stores_UK_as_Percentage_of_Total_Stores">#REF!</definedName>
    <definedName name="Zara_Stores_USA_as_Percentage_of_Total_Stores">#REF!</definedName>
    <definedName name="ZASH91">#REF!</definedName>
    <definedName name="ZASH92">#REF!</definedName>
    <definedName name="ZASH93">#REF!</definedName>
    <definedName name="ZASH94">#REF!</definedName>
    <definedName name="ZASH95">#REF!</definedName>
    <definedName name="ZASH96">#REF!</definedName>
    <definedName name="ZASH97">#REF!</definedName>
    <definedName name="ZASH98">#REF!</definedName>
    <definedName name="ZASH99">#REF!</definedName>
    <definedName name="ZASY91">#REF!</definedName>
    <definedName name="ZASY92">#REF!</definedName>
    <definedName name="ZASY93">#REF!</definedName>
    <definedName name="ZASY94">#REF!</definedName>
    <definedName name="ZASY95">#REF!</definedName>
    <definedName name="ZASY96">#REF!</definedName>
    <definedName name="ZASY97">#REF!</definedName>
    <definedName name="ZASY98">#REF!</definedName>
    <definedName name="ZASY99">#REF!</definedName>
    <definedName name="zbtz_gdzcczl">[27]资本投资!$B$3</definedName>
    <definedName name="zbtz_gdzcjjl">[27]资本投资!$B$4</definedName>
    <definedName name="zbtz_qccqdtfy" localSheetId="2">[27]资本投资!#REF!</definedName>
    <definedName name="zbtz_qccqdtfy">[27]资本投资!#REF!</definedName>
    <definedName name="zbtz_qcwxzc" localSheetId="2">[27]资本投资!#REF!</definedName>
    <definedName name="zbtz_qcwxzc">[27]资本投资!#REF!</definedName>
    <definedName name="zbtz_xjgdzczjl">[27]资本投资!$B$5</definedName>
    <definedName name="zcfz_yqzc" localSheetId="2">[27]资产负债!#REF!</definedName>
    <definedName name="zcfz_yqzc">[27]资产负债!#REF!</definedName>
    <definedName name="ZE_H91">#REF!</definedName>
    <definedName name="ZE_H92">#REF!</definedName>
    <definedName name="ZE_H93">#REF!</definedName>
    <definedName name="ZE_H94">#REF!</definedName>
    <definedName name="ZE_H95">#REF!</definedName>
    <definedName name="ZE_H96">#REF!</definedName>
    <definedName name="ZE_H97">#REF!</definedName>
    <definedName name="ZE_H98">#REF!</definedName>
    <definedName name="ZE_H99">#REF!</definedName>
    <definedName name="ZE_Y91">#REF!</definedName>
    <definedName name="ZE_Y92">#REF!</definedName>
    <definedName name="ZE_Y93">#REF!</definedName>
    <definedName name="ZE_Y94">#REF!</definedName>
    <definedName name="ZE_Y95">#REF!</definedName>
    <definedName name="ZE_Y96">#REF!</definedName>
    <definedName name="ZE_Y97">#REF!</definedName>
    <definedName name="ZE_Y98">#REF!</definedName>
    <definedName name="ZE_Y99">#REF!</definedName>
    <definedName name="ZEAGH91">#REF!</definedName>
    <definedName name="ZEAGH92">#REF!</definedName>
    <definedName name="ZEAGH93">#REF!</definedName>
    <definedName name="ZEAGH94">#REF!</definedName>
    <definedName name="ZEAGH95">#REF!</definedName>
    <definedName name="ZEAGH96">#REF!</definedName>
    <definedName name="ZEAGH97">#REF!</definedName>
    <definedName name="ZEAGH98">#REF!</definedName>
    <definedName name="ZEAGH99">#REF!</definedName>
    <definedName name="ZEAGY91">#REF!</definedName>
    <definedName name="ZEAGY92">#REF!</definedName>
    <definedName name="ZEAGY93">#REF!</definedName>
    <definedName name="ZEAGY94">#REF!</definedName>
    <definedName name="ZEAGY95">#REF!</definedName>
    <definedName name="ZEAGY96">#REF!</definedName>
    <definedName name="ZEAGY97">#REF!</definedName>
    <definedName name="ZEAGY98">#REF!</definedName>
    <definedName name="ZEAGY99">#REF!</definedName>
    <definedName name="ZECH91">#REF!</definedName>
    <definedName name="ZECH92">#REF!</definedName>
    <definedName name="ZECH93">#REF!</definedName>
    <definedName name="ZECH94">#REF!</definedName>
    <definedName name="ZECH95">#REF!</definedName>
    <definedName name="ZECH96">#REF!</definedName>
    <definedName name="ZECH97">#REF!</definedName>
    <definedName name="ZECH98">#REF!</definedName>
    <definedName name="ZECH99">#REF!</definedName>
    <definedName name="ZECY91">#REF!</definedName>
    <definedName name="ZECY92">#REF!</definedName>
    <definedName name="ZECY93">#REF!</definedName>
    <definedName name="ZECY94">#REF!</definedName>
    <definedName name="ZECY95">#REF!</definedName>
    <definedName name="ZECY96">#REF!</definedName>
    <definedName name="ZECY97">#REF!</definedName>
    <definedName name="ZECY98">#REF!</definedName>
    <definedName name="ZECY99">#REF!</definedName>
    <definedName name="ZEPH91">#REF!</definedName>
    <definedName name="ZEPH92">#REF!</definedName>
    <definedName name="ZEPH93">#REF!</definedName>
    <definedName name="ZEPH94">#REF!</definedName>
    <definedName name="ZEPH95">#REF!</definedName>
    <definedName name="ZEPH96">#REF!</definedName>
    <definedName name="ZEPH97">#REF!</definedName>
    <definedName name="ZEPH98">#REF!</definedName>
    <definedName name="ZEPH99">#REF!</definedName>
    <definedName name="ZEPY91">#REF!</definedName>
    <definedName name="ZEPY92">#REF!</definedName>
    <definedName name="ZEPY93">#REF!</definedName>
    <definedName name="ZEPY94">#REF!</definedName>
    <definedName name="ZEPY95">#REF!</definedName>
    <definedName name="ZEPY96">#REF!</definedName>
    <definedName name="ZEPY97">#REF!</definedName>
    <definedName name="ZEPY98">#REF!</definedName>
    <definedName name="ZEPY99">#REF!</definedName>
    <definedName name="Zero">#REF!</definedName>
    <definedName name="Zhengzhou">#REF!</definedName>
    <definedName name="ZhengzhouCapacity">#REF!</definedName>
    <definedName name="ZhongzhouCapacity">#REF!</definedName>
    <definedName name="Ziar_nad_Hronom">#REF!</definedName>
    <definedName name="ZIIH91">#REF!</definedName>
    <definedName name="ZIIH92">#REF!</definedName>
    <definedName name="ZIIH93">#REF!</definedName>
    <definedName name="ZIIH94">#REF!</definedName>
    <definedName name="ZIIH95">#REF!</definedName>
    <definedName name="ZIIH96">#REF!</definedName>
    <definedName name="ZIIH97">#REF!</definedName>
    <definedName name="ZIIH98">#REF!</definedName>
    <definedName name="ZIIH99">#REF!</definedName>
    <definedName name="ZIIY91">#REF!</definedName>
    <definedName name="ZIIY92">#REF!</definedName>
    <definedName name="ZIIY93">#REF!</definedName>
    <definedName name="ZIIY94">#REF!</definedName>
    <definedName name="ZIIY95">#REF!</definedName>
    <definedName name="ZIIY96">#REF!</definedName>
    <definedName name="ZIIY97">#REF!</definedName>
    <definedName name="ZIIY98">#REF!</definedName>
    <definedName name="ZIIY99">#REF!</definedName>
    <definedName name="zinc_price">#REF!</definedName>
    <definedName name="ZLPH91">#REF!</definedName>
    <definedName name="ZLPH92">#REF!</definedName>
    <definedName name="ZLPH93">#REF!</definedName>
    <definedName name="ZLPH94">#REF!</definedName>
    <definedName name="ZLPH95">#REF!</definedName>
    <definedName name="ZLPH96">#REF!</definedName>
    <definedName name="ZLPH97">#REF!</definedName>
    <definedName name="ZLPH98">#REF!</definedName>
    <definedName name="ZLPH99">#REF!</definedName>
    <definedName name="ZLPY91">#REF!</definedName>
    <definedName name="ZLPY92">#REF!</definedName>
    <definedName name="ZLPY93">#REF!</definedName>
    <definedName name="ZLPY94">#REF!</definedName>
    <definedName name="ZLPY95">#REF!</definedName>
    <definedName name="ZLPY96">#REF!</definedName>
    <definedName name="ZLPY97">#REF!</definedName>
    <definedName name="ZLPY98">#REF!</definedName>
    <definedName name="ZLPY99">#REF!</definedName>
    <definedName name="ZLSH91">#REF!</definedName>
    <definedName name="ZLSH92">#REF!</definedName>
    <definedName name="ZLSH93">#REF!</definedName>
    <definedName name="ZLSH94">#REF!</definedName>
    <definedName name="ZLSH95">#REF!</definedName>
    <definedName name="ZLSH96">#REF!</definedName>
    <definedName name="ZLSH97">#REF!</definedName>
    <definedName name="ZLSH98">#REF!</definedName>
    <definedName name="ZLSH99">#REF!</definedName>
    <definedName name="ZLSY91">#REF!</definedName>
    <definedName name="ZLSY92">#REF!</definedName>
    <definedName name="ZLSY93">#REF!</definedName>
    <definedName name="ZLSY94">#REF!</definedName>
    <definedName name="ZLSY95">#REF!</definedName>
    <definedName name="ZLSY96">#REF!</definedName>
    <definedName name="ZLSY97">#REF!</definedName>
    <definedName name="ZLSY98">#REF!</definedName>
    <definedName name="ZLSY99">#REF!</definedName>
    <definedName name="ZMIH91">#REF!</definedName>
    <definedName name="ZMIH92">#REF!</definedName>
    <definedName name="ZMIH93">#REF!</definedName>
    <definedName name="ZMIH94">#REF!</definedName>
    <definedName name="ZMIH95">#REF!</definedName>
    <definedName name="ZMIH96">#REF!</definedName>
    <definedName name="ZMIH97">#REF!</definedName>
    <definedName name="ZMIH98">#REF!</definedName>
    <definedName name="ZMIH99">#REF!</definedName>
    <definedName name="ZMIY91">#REF!</definedName>
    <definedName name="ZMIY92">#REF!</definedName>
    <definedName name="ZMIY93">#REF!</definedName>
    <definedName name="ZMIY94">#REF!</definedName>
    <definedName name="ZMIY95">#REF!</definedName>
    <definedName name="ZMIY96">#REF!</definedName>
    <definedName name="ZMIY97">#REF!</definedName>
    <definedName name="ZMIY98">#REF!</definedName>
    <definedName name="ZMIY99">#REF!</definedName>
    <definedName name="ZN_00D">#REF!</definedName>
    <definedName name="ZN_00J">#REF!</definedName>
    <definedName name="ZN_00M">#REF!</definedName>
    <definedName name="ZN_00S">#REF!</definedName>
    <definedName name="ZN_01D">#REF!</definedName>
    <definedName name="ZN_01J">#REF!</definedName>
    <definedName name="ZN_01M">#REF!</definedName>
    <definedName name="ZN_01S">#REF!</definedName>
    <definedName name="ZN_02D">#REF!</definedName>
    <definedName name="ZN_02J">#REF!</definedName>
    <definedName name="ZN_02M">#REF!</definedName>
    <definedName name="ZN_02S">#REF!</definedName>
    <definedName name="ZN_03D">#REF!</definedName>
    <definedName name="ZN_03J">#REF!</definedName>
    <definedName name="ZN_03M">#REF!</definedName>
    <definedName name="ZN_03S">#REF!</definedName>
    <definedName name="ZN_04D">#REF!</definedName>
    <definedName name="ZN_04J">#REF!</definedName>
    <definedName name="ZN_04M">#REF!</definedName>
    <definedName name="ZN_04S">#REF!</definedName>
    <definedName name="ZN_05D">#REF!</definedName>
    <definedName name="ZN_05J">#REF!</definedName>
    <definedName name="ZN_05M">#REF!</definedName>
    <definedName name="ZN_05S">#REF!</definedName>
    <definedName name="ZN_06D">#REF!</definedName>
    <definedName name="ZN_06J">#REF!</definedName>
    <definedName name="ZN_06M">#REF!</definedName>
    <definedName name="ZN_06S">#REF!</definedName>
    <definedName name="ZN_07D">#REF!</definedName>
    <definedName name="ZN_07J">#REF!</definedName>
    <definedName name="ZN_07M">#REF!</definedName>
    <definedName name="ZN_07S">#REF!</definedName>
    <definedName name="ZN_08D">#REF!</definedName>
    <definedName name="ZN_08J">#REF!</definedName>
    <definedName name="ZN_08M">#REF!</definedName>
    <definedName name="ZN_08S">#REF!</definedName>
    <definedName name="ZN_09D">#REF!</definedName>
    <definedName name="ZN_09J">#REF!</definedName>
    <definedName name="ZN_09M">#REF!</definedName>
    <definedName name="ZN_09S">#REF!</definedName>
    <definedName name="ZN_10D">#REF!</definedName>
    <definedName name="ZN_10J">#REF!</definedName>
    <definedName name="ZN_10M">#REF!</definedName>
    <definedName name="ZN_10S">#REF!</definedName>
    <definedName name="ZN_11D">#REF!</definedName>
    <definedName name="ZN_11J">#REF!</definedName>
    <definedName name="ZN_11M">#REF!</definedName>
    <definedName name="ZN_11S">#REF!</definedName>
    <definedName name="ZN_12D">#REF!</definedName>
    <definedName name="ZN_12J">#REF!</definedName>
    <definedName name="ZN_12M">#REF!</definedName>
    <definedName name="ZN_12S">#REF!</definedName>
    <definedName name="ZN_13D">#REF!</definedName>
    <definedName name="ZN_13J">#REF!</definedName>
    <definedName name="ZN_13M">#REF!</definedName>
    <definedName name="ZN_13S">#REF!</definedName>
    <definedName name="ZN_14D">#REF!</definedName>
    <definedName name="ZN_14J">#REF!</definedName>
    <definedName name="ZN_14M">#REF!</definedName>
    <definedName name="ZN_14S">#REF!</definedName>
    <definedName name="ZN_15D">#REF!</definedName>
    <definedName name="ZN_15J">#REF!</definedName>
    <definedName name="ZN_15M">#REF!</definedName>
    <definedName name="ZN_15S">#REF!</definedName>
    <definedName name="ZN_16D">#REF!</definedName>
    <definedName name="ZN_16J">#REF!</definedName>
    <definedName name="ZN_16M">#REF!</definedName>
    <definedName name="ZN_16S">#REF!</definedName>
    <definedName name="ZN_17D">#REF!</definedName>
    <definedName name="ZN_17J">#REF!</definedName>
    <definedName name="ZN_17M">#REF!</definedName>
    <definedName name="ZN_17S">#REF!</definedName>
    <definedName name="ZN_18D">#REF!</definedName>
    <definedName name="ZN_18J">#REF!</definedName>
    <definedName name="ZN_18M">#REF!</definedName>
    <definedName name="ZN_18S">#REF!</definedName>
    <definedName name="ZN_19D">#REF!</definedName>
    <definedName name="ZN_19J">#REF!</definedName>
    <definedName name="ZN_19M">#REF!</definedName>
    <definedName name="ZN_19S">#REF!</definedName>
    <definedName name="ZN_20D">#REF!</definedName>
    <definedName name="ZN_20J">#REF!</definedName>
    <definedName name="ZN_20M">#REF!</definedName>
    <definedName name="ZN_20S">#REF!</definedName>
    <definedName name="ZN_21D">#REF!</definedName>
    <definedName name="ZN_21J">#REF!</definedName>
    <definedName name="ZN_21M">#REF!</definedName>
    <definedName name="ZN_21S">#REF!</definedName>
    <definedName name="ZN_22D">#REF!</definedName>
    <definedName name="ZN_22J">#REF!</definedName>
    <definedName name="ZN_22M">#REF!</definedName>
    <definedName name="ZN_22S">#REF!</definedName>
    <definedName name="ZN_23D">#REF!</definedName>
    <definedName name="ZN_23J">#REF!</definedName>
    <definedName name="ZN_23M">#REF!</definedName>
    <definedName name="ZN_23S">#REF!</definedName>
    <definedName name="ZN_24D">#REF!</definedName>
    <definedName name="ZN_24J">#REF!</definedName>
    <definedName name="ZN_24M">#REF!</definedName>
    <definedName name="ZN_24S">#REF!</definedName>
    <definedName name="ZN_25D">#REF!</definedName>
    <definedName name="ZN_25J">#REF!</definedName>
    <definedName name="ZN_25M">#REF!</definedName>
    <definedName name="ZN_25S">#REF!</definedName>
    <definedName name="ZN_87D">#REF!</definedName>
    <definedName name="ZN_87J">#REF!</definedName>
    <definedName name="ZN_87M">#REF!</definedName>
    <definedName name="ZN_87S">#REF!</definedName>
    <definedName name="ZN_88D">#REF!</definedName>
    <definedName name="ZN_88J">#REF!</definedName>
    <definedName name="ZN_88M">#REF!</definedName>
    <definedName name="ZN_88S">#REF!</definedName>
    <definedName name="ZN_89D">#REF!</definedName>
    <definedName name="ZN_89J">#REF!</definedName>
    <definedName name="ZN_89M">#REF!</definedName>
    <definedName name="ZN_89S">#REF!</definedName>
    <definedName name="ZN_90D">#REF!</definedName>
    <definedName name="ZN_90J">#REF!</definedName>
    <definedName name="ZN_90M">#REF!</definedName>
    <definedName name="ZN_90S">#REF!</definedName>
    <definedName name="ZN_91D">#REF!</definedName>
    <definedName name="ZN_91J">#REF!</definedName>
    <definedName name="ZN_91M">#REF!</definedName>
    <definedName name="ZN_91S">#REF!</definedName>
    <definedName name="ZN_92D">#REF!</definedName>
    <definedName name="ZN_92J">#REF!</definedName>
    <definedName name="ZN_92M">#REF!</definedName>
    <definedName name="ZN_92S">#REF!</definedName>
    <definedName name="ZN_93D">#REF!</definedName>
    <definedName name="ZN_93J">#REF!</definedName>
    <definedName name="ZN_93M">#REF!</definedName>
    <definedName name="ZN_93S">#REF!</definedName>
    <definedName name="ZN_94D">#REF!</definedName>
    <definedName name="ZN_94J">#REF!</definedName>
    <definedName name="ZN_94M">#REF!</definedName>
    <definedName name="ZN_94S">#REF!</definedName>
    <definedName name="ZN_95D">#REF!</definedName>
    <definedName name="ZN_95J">#REF!</definedName>
    <definedName name="ZN_95M">#REF!</definedName>
    <definedName name="ZN_95S">#REF!</definedName>
    <definedName name="ZN_96D">#REF!</definedName>
    <definedName name="ZN_96J">#REF!</definedName>
    <definedName name="ZN_96M">#REF!</definedName>
    <definedName name="ZN_96S">#REF!</definedName>
    <definedName name="ZN_97D">#REF!</definedName>
    <definedName name="ZN_97J">#REF!</definedName>
    <definedName name="ZN_97M">#REF!</definedName>
    <definedName name="ZN_97S">#REF!</definedName>
    <definedName name="ZN_98D">#REF!</definedName>
    <definedName name="ZN_98J">#REF!</definedName>
    <definedName name="ZN_98M">#REF!</definedName>
    <definedName name="ZN_98S">#REF!</definedName>
    <definedName name="ZN_99D">#REF!</definedName>
    <definedName name="ZN_99J">#REF!</definedName>
    <definedName name="ZN_99M">#REF!</definedName>
    <definedName name="ZN_99S">#REF!</definedName>
    <definedName name="ZN_LT">#REF!</definedName>
    <definedName name="ZN_TC_00S">#REF!</definedName>
    <definedName name="ZN_TC_01D">#REF!</definedName>
    <definedName name="ZN_TC_01J">#REF!</definedName>
    <definedName name="ZN_TC_01M">#REF!</definedName>
    <definedName name="ZN_TC_01S">#REF!</definedName>
    <definedName name="ZN_TC_02D">#REF!</definedName>
    <definedName name="ZN_TC_02J">#REF!</definedName>
    <definedName name="ZN_TC_02M">#REF!</definedName>
    <definedName name="ZN_TC_02S">#REF!</definedName>
    <definedName name="ZN_TC_03D">#REF!</definedName>
    <definedName name="ZN_TC_03J">#REF!</definedName>
    <definedName name="ZN_TC_03M">#REF!</definedName>
    <definedName name="ZN_TC_03S">#REF!</definedName>
    <definedName name="ZN_TC_04D">#REF!</definedName>
    <definedName name="ZN_TC_04J">#REF!</definedName>
    <definedName name="ZN_TC_04M">#REF!</definedName>
    <definedName name="ZN_TC_04S">#REF!</definedName>
    <definedName name="ZN_TC_05D">#REF!</definedName>
    <definedName name="ZN_TC_05J">#REF!</definedName>
    <definedName name="ZN_TC_05M">#REF!</definedName>
    <definedName name="ZN_TC_05S">#REF!</definedName>
    <definedName name="ZN_TC_06D">#REF!</definedName>
    <definedName name="ZN_TC_06J">#REF!</definedName>
    <definedName name="ZN_TC_06M">#REF!</definedName>
    <definedName name="ZN_TC_06S">#REF!</definedName>
    <definedName name="ZN_TC_07D">#REF!</definedName>
    <definedName name="ZN_TC_07J">#REF!</definedName>
    <definedName name="ZN_TC_07M">#REF!</definedName>
    <definedName name="ZN_TC_07S">#REF!</definedName>
    <definedName name="ZN_TC_08D">#REF!</definedName>
    <definedName name="ZN_TC_08J">#REF!</definedName>
    <definedName name="ZN_TC_08M">#REF!</definedName>
    <definedName name="ZN_TC_08S">#REF!</definedName>
    <definedName name="ZN_TC_09D">#REF!</definedName>
    <definedName name="ZN_TC_09J">#REF!</definedName>
    <definedName name="ZN_TC_09M">#REF!</definedName>
    <definedName name="ZN_TC_09S">#REF!</definedName>
    <definedName name="ZN_TC_10D">#REF!</definedName>
    <definedName name="ZN_TC_10J">#REF!</definedName>
    <definedName name="ZN_TC_10M">#REF!</definedName>
    <definedName name="ZN_TC_10S">#REF!</definedName>
    <definedName name="ZN_TC_11D">#REF!</definedName>
    <definedName name="ZN_TC_11J">#REF!</definedName>
    <definedName name="ZN_TC_11M">#REF!</definedName>
    <definedName name="ZN_TC_11S">#REF!</definedName>
    <definedName name="ZN_TC_12D">#REF!</definedName>
    <definedName name="ZN_TC_12J">#REF!</definedName>
    <definedName name="ZN_TC_12M">#REF!</definedName>
    <definedName name="ZN_TC_12S">#REF!</definedName>
    <definedName name="ZN_TC_13D">#REF!</definedName>
    <definedName name="ZN_TC_13J">#REF!</definedName>
    <definedName name="ZN_TC_13M">#REF!</definedName>
    <definedName name="ZN_TC_13S">#REF!</definedName>
    <definedName name="ZN_TC_14D">#REF!</definedName>
    <definedName name="ZN_TC_14J">#REF!</definedName>
    <definedName name="ZN_TC_14M">#REF!</definedName>
    <definedName name="ZN_TC_14S">#REF!</definedName>
    <definedName name="ZN_TC_15D">#REF!</definedName>
    <definedName name="ZN_TC_15J">#REF!</definedName>
    <definedName name="ZN_TC_15M">#REF!</definedName>
    <definedName name="ZN_TC_15S">#REF!</definedName>
    <definedName name="ZN_TC_16D">#REF!</definedName>
    <definedName name="ZN_TC_16J">#REF!</definedName>
    <definedName name="ZN_TC_16M">#REF!</definedName>
    <definedName name="ZN_TC_16S">#REF!</definedName>
    <definedName name="ZN_TC_17D">#REF!</definedName>
    <definedName name="ZN_TC_17J">#REF!</definedName>
    <definedName name="ZN_TC_17M">#REF!</definedName>
    <definedName name="ZN_TC_17S">#REF!</definedName>
    <definedName name="ZN_TC_18D">#REF!</definedName>
    <definedName name="ZN_TC_18J">#REF!</definedName>
    <definedName name="ZN_TC_18M">#REF!</definedName>
    <definedName name="ZN_TC_18S">#REF!</definedName>
    <definedName name="ZN_TC_19D">#REF!</definedName>
    <definedName name="ZN_TC_19J">#REF!</definedName>
    <definedName name="ZN_TC_19M">#REF!</definedName>
    <definedName name="ZN_TC_19S">#REF!</definedName>
    <definedName name="ZN_TC_20D">#REF!</definedName>
    <definedName name="ZN_TC_20J">#REF!</definedName>
    <definedName name="ZN_TC_20M">#REF!</definedName>
    <definedName name="ZN_TC_20S">#REF!</definedName>
    <definedName name="ZN_TC_21D">#REF!</definedName>
    <definedName name="ZN_TC_21J">#REF!</definedName>
    <definedName name="ZN_TC_21M">#REF!</definedName>
    <definedName name="ZN_TC_21S">#REF!</definedName>
    <definedName name="ZN_TC_22D">#REF!</definedName>
    <definedName name="ZN_TC_22J">#REF!</definedName>
    <definedName name="ZN_TC_22M">#REF!</definedName>
    <definedName name="ZN_TC_22S">#REF!</definedName>
    <definedName name="ZN_TC_23D">#REF!</definedName>
    <definedName name="ZN_TC_23J">#REF!</definedName>
    <definedName name="ZN_TC_23M">#REF!</definedName>
    <definedName name="ZN_TC_23S">#REF!</definedName>
    <definedName name="ZN_TC_24D">#REF!</definedName>
    <definedName name="ZN_TC_24J">#REF!</definedName>
    <definedName name="ZN_TC_24M">#REF!</definedName>
    <definedName name="ZN_TC_24S">#REF!</definedName>
    <definedName name="ZN_TC_25D">#REF!</definedName>
    <definedName name="ZN_TC_25J">#REF!</definedName>
    <definedName name="ZN_TC_25M">#REF!</definedName>
    <definedName name="ZN_TC_25S">#REF!</definedName>
    <definedName name="ZN_TC_87D">#REF!</definedName>
    <definedName name="ZN_TC_87J">#REF!</definedName>
    <definedName name="ZN_TC_87M">#REF!</definedName>
    <definedName name="ZN_TC_87S">#REF!</definedName>
    <definedName name="ZN_TC_88D">#REF!</definedName>
    <definedName name="ZN_TC_88J">#REF!</definedName>
    <definedName name="ZN_TC_88M">#REF!</definedName>
    <definedName name="ZN_TC_88S">#REF!</definedName>
    <definedName name="ZN_TC_89D">#REF!</definedName>
    <definedName name="ZN_TC_89J">#REF!</definedName>
    <definedName name="ZN_TC_89M">#REF!</definedName>
    <definedName name="ZN_TC_89S">#REF!</definedName>
    <definedName name="ZN_TC_90D">#REF!</definedName>
    <definedName name="ZN_TC_90J">#REF!</definedName>
    <definedName name="ZN_TC_90M">#REF!</definedName>
    <definedName name="ZN_TC_90S">#REF!</definedName>
    <definedName name="ZN_TC_91D">#REF!</definedName>
    <definedName name="ZN_TC_91J">#REF!</definedName>
    <definedName name="ZN_TC_91M">#REF!</definedName>
    <definedName name="ZN_TC_91S">#REF!</definedName>
    <definedName name="ZN_TC_92D">#REF!</definedName>
    <definedName name="ZN_TC_92J">#REF!</definedName>
    <definedName name="ZN_TC_92M">#REF!</definedName>
    <definedName name="ZN_TC_92S">#REF!</definedName>
    <definedName name="ZN_TC_93D">#REF!</definedName>
    <definedName name="ZN_TC_93J">#REF!</definedName>
    <definedName name="ZN_TC_93M">#REF!</definedName>
    <definedName name="ZN_TC_93S">#REF!</definedName>
    <definedName name="ZN_TC_94D">#REF!</definedName>
    <definedName name="ZN_TC_94J">#REF!</definedName>
    <definedName name="ZN_TC_94M">#REF!</definedName>
    <definedName name="ZN_TC_94S">#REF!</definedName>
    <definedName name="ZN_TC_95D">#REF!</definedName>
    <definedName name="ZN_TC_95J">#REF!</definedName>
    <definedName name="ZN_TC_95M">#REF!</definedName>
    <definedName name="ZN_TC_95S">#REF!</definedName>
    <definedName name="ZN_TC_96D">#REF!</definedName>
    <definedName name="ZN_TC_96J">#REF!</definedName>
    <definedName name="ZN_TC_96M">#REF!</definedName>
    <definedName name="ZN_TC_96S">#REF!</definedName>
    <definedName name="ZN_TC_97D">#REF!</definedName>
    <definedName name="ZN_TC_97J">#REF!</definedName>
    <definedName name="ZN_TC_97M">#REF!</definedName>
    <definedName name="ZN_TC_97S">#REF!</definedName>
    <definedName name="ZN_TC_98D">#REF!</definedName>
    <definedName name="ZN_TC_98J">#REF!</definedName>
    <definedName name="ZN_TC_98M">#REF!</definedName>
    <definedName name="ZN_TC_98S">#REF!</definedName>
    <definedName name="ZN_TC_99D">#REF!</definedName>
    <definedName name="ZN_TC_99J">#REF!</definedName>
    <definedName name="ZN_TC_99M">#REF!</definedName>
    <definedName name="ZN_TC_99S">#REF!</definedName>
    <definedName name="ZN_TC_BASIC_00D">#REF!</definedName>
    <definedName name="ZN_TC_BASIC_00J">#REF!</definedName>
    <definedName name="ZN_TC_BASIC_00M">#REF!</definedName>
    <definedName name="ZN_TC_BASIC_00S">#REF!</definedName>
    <definedName name="ZN_TC_BASIC_01D">#REF!</definedName>
    <definedName name="ZN_TC_BASIC_01J">#REF!</definedName>
    <definedName name="ZN_TC_BASIC_01M">#REF!</definedName>
    <definedName name="ZN_TC_BASIC_01S">#REF!</definedName>
    <definedName name="ZN_TC_BASIC_02D">#REF!</definedName>
    <definedName name="ZN_TC_BASIC_02J">#REF!</definedName>
    <definedName name="ZN_TC_BASIC_02M">#REF!</definedName>
    <definedName name="ZN_TC_BASIC_02S">#REF!</definedName>
    <definedName name="ZN_TC_BASIC_03D">#REF!</definedName>
    <definedName name="ZN_TC_BASIC_03J">#REF!</definedName>
    <definedName name="ZN_TC_BASIC_03M">#REF!</definedName>
    <definedName name="ZN_TC_BASIC_03S">#REF!</definedName>
    <definedName name="ZN_TC_BASIC_04D">#REF!</definedName>
    <definedName name="ZN_TC_BASIC_04J">#REF!</definedName>
    <definedName name="ZN_TC_BASIC_04M">#REF!</definedName>
    <definedName name="ZN_TC_BASIC_04S">#REF!</definedName>
    <definedName name="ZN_TC_BASIC_05D">#REF!</definedName>
    <definedName name="ZN_TC_BASIC_05J">#REF!</definedName>
    <definedName name="ZN_TC_BASIC_05M">#REF!</definedName>
    <definedName name="ZN_TC_BASIC_05S">#REF!</definedName>
    <definedName name="ZN_TC_BASIC_06D">#REF!</definedName>
    <definedName name="ZN_TC_BASIC_06J">#REF!</definedName>
    <definedName name="ZN_TC_BASIC_06M">#REF!</definedName>
    <definedName name="ZN_TC_BASIC_06S">#REF!</definedName>
    <definedName name="ZN_TC_BASIC_07D">#REF!</definedName>
    <definedName name="ZN_TC_BASIC_07J">#REF!</definedName>
    <definedName name="ZN_TC_BASIC_07M">#REF!</definedName>
    <definedName name="ZN_TC_BASIC_07S">#REF!</definedName>
    <definedName name="ZN_TC_BASIC_08D">#REF!</definedName>
    <definedName name="ZN_TC_BASIC_08J">#REF!</definedName>
    <definedName name="ZN_TC_BASIC_08M">#REF!</definedName>
    <definedName name="ZN_TC_BASIC_08S">#REF!</definedName>
    <definedName name="ZN_TC_BASIC_09D">#REF!</definedName>
    <definedName name="ZN_TC_BASIC_09J">#REF!</definedName>
    <definedName name="ZN_TC_BASIC_09M">#REF!</definedName>
    <definedName name="ZN_TC_BASIC_09S">#REF!</definedName>
    <definedName name="ZN_TC_BASIC_10D">#REF!</definedName>
    <definedName name="ZN_TC_BASIC_10J">#REF!</definedName>
    <definedName name="ZN_TC_BASIC_10M">#REF!</definedName>
    <definedName name="ZN_TC_BASIC_10S">#REF!</definedName>
    <definedName name="ZN_TC_BASIC_11D">#REF!</definedName>
    <definedName name="ZN_TC_BASIC_11J">#REF!</definedName>
    <definedName name="ZN_TC_BASIC_11M">#REF!</definedName>
    <definedName name="ZN_TC_BASIC_11S">#REF!</definedName>
    <definedName name="ZN_TC_BASIC_12D">#REF!</definedName>
    <definedName name="ZN_TC_BASIC_12J">#REF!</definedName>
    <definedName name="ZN_TC_BASIC_12M">#REF!</definedName>
    <definedName name="ZN_TC_BASIC_12S">#REF!</definedName>
    <definedName name="ZN_TC_BASIC_13D">#REF!</definedName>
    <definedName name="ZN_TC_BASIC_13J">#REF!</definedName>
    <definedName name="ZN_TC_BASIC_13M">#REF!</definedName>
    <definedName name="ZN_TC_BASIC_13S">#REF!</definedName>
    <definedName name="ZN_TC_BASIC_14D">#REF!</definedName>
    <definedName name="ZN_TC_BASIC_14J">#REF!</definedName>
    <definedName name="ZN_TC_BASIC_14M">#REF!</definedName>
    <definedName name="ZN_TC_BASIC_14S">#REF!</definedName>
    <definedName name="ZN_TC_BASIC_15D">#REF!</definedName>
    <definedName name="ZN_TC_BASIC_15J">#REF!</definedName>
    <definedName name="ZN_TC_BASIC_15M">#REF!</definedName>
    <definedName name="ZN_TC_BASIC_15S">#REF!</definedName>
    <definedName name="ZN_TC_BASIC_16D">#REF!</definedName>
    <definedName name="ZN_TC_BASIC_16J">#REF!</definedName>
    <definedName name="ZN_TC_BASIC_16M">#REF!</definedName>
    <definedName name="ZN_TC_BASIC_16S">#REF!</definedName>
    <definedName name="ZN_TC_BASIC_17D">#REF!</definedName>
    <definedName name="ZN_TC_BASIC_17J">#REF!</definedName>
    <definedName name="ZN_TC_BASIC_17M">#REF!</definedName>
    <definedName name="ZN_TC_BASIC_17S">#REF!</definedName>
    <definedName name="ZN_TC_BASIC_18D">#REF!</definedName>
    <definedName name="ZN_TC_BASIC_18J">#REF!</definedName>
    <definedName name="ZN_TC_BASIC_18M">#REF!</definedName>
    <definedName name="ZN_TC_BASIC_18S">#REF!</definedName>
    <definedName name="ZN_TC_BASIC_19D">#REF!</definedName>
    <definedName name="ZN_TC_BASIC_19J">#REF!</definedName>
    <definedName name="ZN_TC_BASIC_19M">#REF!</definedName>
    <definedName name="ZN_TC_BASIC_19S">#REF!</definedName>
    <definedName name="ZN_TC_BASIC_20D">#REF!</definedName>
    <definedName name="ZN_TC_BASIC_20J">#REF!</definedName>
    <definedName name="ZN_TC_BASIC_20M">#REF!</definedName>
    <definedName name="ZN_TC_BASIC_20S">#REF!</definedName>
    <definedName name="ZN_TC_BASIC_21D">#REF!</definedName>
    <definedName name="ZN_TC_BASIC_21J">#REF!</definedName>
    <definedName name="ZN_TC_BASIC_21M">#REF!</definedName>
    <definedName name="ZN_TC_BASIC_21S">#REF!</definedName>
    <definedName name="ZN_TC_BASIC_22D">#REF!</definedName>
    <definedName name="ZN_TC_BASIC_22J">#REF!</definedName>
    <definedName name="ZN_TC_BASIC_22M">#REF!</definedName>
    <definedName name="ZN_TC_BASIC_22S">#REF!</definedName>
    <definedName name="ZN_TC_BASIC_23D">#REF!</definedName>
    <definedName name="ZN_TC_BASIC_23J">#REF!</definedName>
    <definedName name="ZN_TC_BASIC_23M">#REF!</definedName>
    <definedName name="ZN_TC_BASIC_23S">#REF!</definedName>
    <definedName name="ZN_TC_BASIC_24D">#REF!</definedName>
    <definedName name="ZN_TC_BASIC_24J">#REF!</definedName>
    <definedName name="ZN_TC_BASIC_24M">#REF!</definedName>
    <definedName name="ZN_TC_BASIC_24S">#REF!</definedName>
    <definedName name="ZN_TC_BASIC_25D">#REF!</definedName>
    <definedName name="ZN_TC_BASIC_25J">#REF!</definedName>
    <definedName name="ZN_TC_BASIC_25M">#REF!</definedName>
    <definedName name="ZN_TC_BASIC_25S">#REF!</definedName>
    <definedName name="ZN_TC_BASIC_99D">#REF!</definedName>
    <definedName name="ZN_TC_BASIC_99J">#REF!</definedName>
    <definedName name="ZN_TC_BASIC_99M">#REF!</definedName>
    <definedName name="ZN_TC_BASIC_99S">#REF!</definedName>
    <definedName name="ZN_TC_BASIC_Code">#REF!</definedName>
    <definedName name="ZN_TC_BASIC_LT">#REF!</definedName>
    <definedName name="ZN_TC_LT">#REF!</definedName>
    <definedName name="ZN_TC_PR1_00D">#REF!</definedName>
    <definedName name="ZN_TC_PR1_00J">#REF!</definedName>
    <definedName name="ZN_TC_PR1_00M">#REF!</definedName>
    <definedName name="ZN_TC_PR1_00S">#REF!</definedName>
    <definedName name="ZN_TC_PR1_01D">#REF!</definedName>
    <definedName name="ZN_TC_PR1_01J">#REF!</definedName>
    <definedName name="ZN_TC_PR1_01M">#REF!</definedName>
    <definedName name="ZN_TC_PR1_01S">#REF!</definedName>
    <definedName name="ZN_TC_PR1_02D">#REF!</definedName>
    <definedName name="ZN_TC_PR1_02J">#REF!</definedName>
    <definedName name="ZN_TC_PR1_02M">#REF!</definedName>
    <definedName name="ZN_TC_PR1_02S">#REF!</definedName>
    <definedName name="ZN_TC_PR1_03D">#REF!</definedName>
    <definedName name="ZN_TC_PR1_03J">#REF!</definedName>
    <definedName name="ZN_TC_PR1_03M">#REF!</definedName>
    <definedName name="ZN_TC_PR1_03S">#REF!</definedName>
    <definedName name="ZN_TC_PR1_04D">#REF!</definedName>
    <definedName name="ZN_TC_PR1_04J">#REF!</definedName>
    <definedName name="ZN_TC_PR1_04M">#REF!</definedName>
    <definedName name="ZN_TC_PR1_04S">#REF!</definedName>
    <definedName name="ZN_TC_PR1_05D">#REF!</definedName>
    <definedName name="ZN_TC_PR1_05J">#REF!</definedName>
    <definedName name="ZN_TC_PR1_05M">#REF!</definedName>
    <definedName name="ZN_TC_PR1_05S">#REF!</definedName>
    <definedName name="ZN_TC_PR1_06D">#REF!</definedName>
    <definedName name="ZN_TC_PR1_06J">#REF!</definedName>
    <definedName name="ZN_TC_PR1_06M">#REF!</definedName>
    <definedName name="ZN_TC_PR1_06S">#REF!</definedName>
    <definedName name="ZN_TC_PR1_07D">#REF!</definedName>
    <definedName name="ZN_TC_PR1_07J">#REF!</definedName>
    <definedName name="ZN_TC_PR1_07M">#REF!</definedName>
    <definedName name="ZN_TC_PR1_07S">#REF!</definedName>
    <definedName name="ZN_TC_PR1_08D">#REF!</definedName>
    <definedName name="ZN_TC_PR1_08J">#REF!</definedName>
    <definedName name="ZN_TC_PR1_08M">#REF!</definedName>
    <definedName name="ZN_TC_PR1_08S">#REF!</definedName>
    <definedName name="ZN_TC_PR1_09D">#REF!</definedName>
    <definedName name="ZN_TC_PR1_09J">#REF!</definedName>
    <definedName name="ZN_TC_PR1_09M">#REF!</definedName>
    <definedName name="ZN_TC_PR1_09S">#REF!</definedName>
    <definedName name="ZN_TC_PR1_10D">#REF!</definedName>
    <definedName name="ZN_TC_PR1_10J">#REF!</definedName>
    <definedName name="ZN_TC_PR1_10M">#REF!</definedName>
    <definedName name="ZN_TC_PR1_10S">#REF!</definedName>
    <definedName name="ZN_TC_PR1_11D">#REF!</definedName>
    <definedName name="ZN_TC_PR1_11J">#REF!</definedName>
    <definedName name="ZN_TC_PR1_11M">#REF!</definedName>
    <definedName name="ZN_TC_PR1_11S">#REF!</definedName>
    <definedName name="ZN_TC_PR1_12D">#REF!</definedName>
    <definedName name="ZN_TC_PR1_12J">#REF!</definedName>
    <definedName name="ZN_TC_PR1_12M">#REF!</definedName>
    <definedName name="ZN_TC_PR1_12S">#REF!</definedName>
    <definedName name="ZN_TC_PR1_13D">#REF!</definedName>
    <definedName name="ZN_TC_PR1_13J">#REF!</definedName>
    <definedName name="ZN_TC_PR1_13M">#REF!</definedName>
    <definedName name="ZN_TC_PR1_13S">#REF!</definedName>
    <definedName name="ZN_TC_PR1_14D">#REF!</definedName>
    <definedName name="ZN_TC_PR1_14J">#REF!</definedName>
    <definedName name="ZN_TC_PR1_14M">#REF!</definedName>
    <definedName name="ZN_TC_PR1_14S">#REF!</definedName>
    <definedName name="ZN_TC_PR1_15D">#REF!</definedName>
    <definedName name="ZN_TC_PR1_15J">#REF!</definedName>
    <definedName name="ZN_TC_PR1_15M">#REF!</definedName>
    <definedName name="ZN_TC_PR1_15S">#REF!</definedName>
    <definedName name="ZN_TC_PR1_16D">#REF!</definedName>
    <definedName name="ZN_TC_PR1_16J">#REF!</definedName>
    <definedName name="ZN_TC_PR1_16M">#REF!</definedName>
    <definedName name="ZN_TC_PR1_16S">#REF!</definedName>
    <definedName name="ZN_TC_PR1_17D">#REF!</definedName>
    <definedName name="ZN_TC_PR1_17J">#REF!</definedName>
    <definedName name="ZN_TC_PR1_17M">#REF!</definedName>
    <definedName name="ZN_TC_PR1_17S">#REF!</definedName>
    <definedName name="ZN_TC_PR1_18D">#REF!</definedName>
    <definedName name="ZN_TC_PR1_18J">#REF!</definedName>
    <definedName name="ZN_TC_PR1_18M">#REF!</definedName>
    <definedName name="ZN_TC_PR1_18S">#REF!</definedName>
    <definedName name="ZN_TC_PR1_19D">#REF!</definedName>
    <definedName name="ZN_TC_PR1_19J">#REF!</definedName>
    <definedName name="ZN_TC_PR1_19M">#REF!</definedName>
    <definedName name="ZN_TC_PR1_19S">#REF!</definedName>
    <definedName name="ZN_TC_PR1_20D">#REF!</definedName>
    <definedName name="ZN_TC_PR1_20J">#REF!</definedName>
    <definedName name="ZN_TC_PR1_20M">#REF!</definedName>
    <definedName name="ZN_TC_PR1_20S">#REF!</definedName>
    <definedName name="ZN_TC_PR1_21D">#REF!</definedName>
    <definedName name="ZN_TC_PR1_21J">#REF!</definedName>
    <definedName name="ZN_TC_PR1_21M">#REF!</definedName>
    <definedName name="ZN_TC_PR1_21S">#REF!</definedName>
    <definedName name="ZN_TC_PR1_22D">#REF!</definedName>
    <definedName name="ZN_TC_PR1_22J">#REF!</definedName>
    <definedName name="ZN_TC_PR1_22M">#REF!</definedName>
    <definedName name="ZN_TC_PR1_22S">#REF!</definedName>
    <definedName name="ZN_TC_PR1_23D">#REF!</definedName>
    <definedName name="ZN_TC_PR1_23J">#REF!</definedName>
    <definedName name="ZN_TC_PR1_23M">#REF!</definedName>
    <definedName name="ZN_TC_PR1_23S">#REF!</definedName>
    <definedName name="ZN_TC_PR1_24D">#REF!</definedName>
    <definedName name="ZN_TC_PR1_24J">#REF!</definedName>
    <definedName name="ZN_TC_PR1_24M">#REF!</definedName>
    <definedName name="ZN_TC_PR1_24S">#REF!</definedName>
    <definedName name="ZN_TC_PR1_25D">#REF!</definedName>
    <definedName name="ZN_TC_PR1_25J">#REF!</definedName>
    <definedName name="ZN_TC_PR1_25M">#REF!</definedName>
    <definedName name="ZN_TC_PR1_25S">#REF!</definedName>
    <definedName name="ZN_TC_PR1_99D">#REF!</definedName>
    <definedName name="ZN_TC_PR1_99J">#REF!</definedName>
    <definedName name="ZN_TC_PR1_99M">#REF!</definedName>
    <definedName name="ZN_TC_PR1_99S">#REF!</definedName>
    <definedName name="ZN_TC_PR1_LT">#REF!</definedName>
    <definedName name="ZN_TC_PR2_00D">#REF!</definedName>
    <definedName name="ZN_TC_PR2_00J">#REF!</definedName>
    <definedName name="ZN_TC_PR2_00M">#REF!</definedName>
    <definedName name="ZN_TC_PR2_00S">#REF!</definedName>
    <definedName name="ZN_TC_PR2_01D">#REF!</definedName>
    <definedName name="ZN_TC_PR2_01J">#REF!</definedName>
    <definedName name="ZN_TC_PR2_01M">#REF!</definedName>
    <definedName name="ZN_TC_PR2_01S">#REF!</definedName>
    <definedName name="ZN_TC_PR2_02D">#REF!</definedName>
    <definedName name="ZN_TC_PR2_02J">#REF!</definedName>
    <definedName name="ZN_TC_PR2_02M">#REF!</definedName>
    <definedName name="ZN_TC_PR2_02S">#REF!</definedName>
    <definedName name="ZN_TC_PR2_03D">#REF!</definedName>
    <definedName name="ZN_TC_PR2_03J">#REF!</definedName>
    <definedName name="ZN_TC_PR2_03M">#REF!</definedName>
    <definedName name="ZN_TC_PR2_03S">#REF!</definedName>
    <definedName name="ZN_TC_PR2_04D">#REF!</definedName>
    <definedName name="ZN_TC_PR2_04J">#REF!</definedName>
    <definedName name="ZN_TC_PR2_04M">#REF!</definedName>
    <definedName name="ZN_TC_PR2_04S">#REF!</definedName>
    <definedName name="ZN_TC_PR2_05D">#REF!</definedName>
    <definedName name="ZN_TC_PR2_05J">#REF!</definedName>
    <definedName name="ZN_TC_PR2_05M">#REF!</definedName>
    <definedName name="ZN_TC_PR2_05S">#REF!</definedName>
    <definedName name="ZN_TC_PR2_06D">#REF!</definedName>
    <definedName name="ZN_TC_PR2_06J">#REF!</definedName>
    <definedName name="ZN_TC_PR2_06M">#REF!</definedName>
    <definedName name="ZN_TC_PR2_06S">#REF!</definedName>
    <definedName name="ZN_TC_PR2_07D">#REF!</definedName>
    <definedName name="ZN_TC_PR2_07J">#REF!</definedName>
    <definedName name="ZN_TC_PR2_07M">#REF!</definedName>
    <definedName name="ZN_TC_PR2_07S">#REF!</definedName>
    <definedName name="ZN_TC_PR2_08D">#REF!</definedName>
    <definedName name="ZN_TC_PR2_08J">#REF!</definedName>
    <definedName name="ZN_TC_PR2_08M">#REF!</definedName>
    <definedName name="ZN_TC_PR2_08S">#REF!</definedName>
    <definedName name="ZN_TC_PR2_09D">#REF!</definedName>
    <definedName name="ZN_TC_PR2_09J">#REF!</definedName>
    <definedName name="ZN_TC_PR2_09M">#REF!</definedName>
    <definedName name="ZN_TC_PR2_09S">#REF!</definedName>
    <definedName name="ZN_TC_PR2_10D">#REF!</definedName>
    <definedName name="ZN_TC_PR2_10J">#REF!</definedName>
    <definedName name="ZN_TC_PR2_10M">#REF!</definedName>
    <definedName name="ZN_TC_PR2_10S">#REF!</definedName>
    <definedName name="ZN_TC_PR2_11D">#REF!</definedName>
    <definedName name="ZN_TC_PR2_11J">#REF!</definedName>
    <definedName name="ZN_TC_PR2_11M">#REF!</definedName>
    <definedName name="ZN_TC_PR2_11S">#REF!</definedName>
    <definedName name="ZN_TC_PR2_12D">#REF!</definedName>
    <definedName name="ZN_TC_PR2_12J">#REF!</definedName>
    <definedName name="ZN_TC_PR2_12M">#REF!</definedName>
    <definedName name="ZN_TC_PR2_12S">#REF!</definedName>
    <definedName name="ZN_TC_PR2_13D">#REF!</definedName>
    <definedName name="ZN_TC_PR2_13J">#REF!</definedName>
    <definedName name="ZN_TC_PR2_13M">#REF!</definedName>
    <definedName name="ZN_TC_PR2_13S">#REF!</definedName>
    <definedName name="ZN_TC_PR2_14D">#REF!</definedName>
    <definedName name="ZN_TC_PR2_14J">#REF!</definedName>
    <definedName name="ZN_TC_PR2_14M">#REF!</definedName>
    <definedName name="ZN_TC_PR2_14S">#REF!</definedName>
    <definedName name="ZN_TC_PR2_15D">#REF!</definedName>
    <definedName name="ZN_TC_PR2_15J">#REF!</definedName>
    <definedName name="ZN_TC_PR2_15M">#REF!</definedName>
    <definedName name="ZN_TC_PR2_15S">#REF!</definedName>
    <definedName name="ZN_TC_PR2_16D">#REF!</definedName>
    <definedName name="ZN_TC_PR2_16J">#REF!</definedName>
    <definedName name="ZN_TC_PR2_16M">#REF!</definedName>
    <definedName name="ZN_TC_PR2_16S">#REF!</definedName>
    <definedName name="ZN_TC_PR2_17D">#REF!</definedName>
    <definedName name="ZN_TC_PR2_17J">#REF!</definedName>
    <definedName name="ZN_TC_PR2_17M">#REF!</definedName>
    <definedName name="ZN_TC_PR2_17S">#REF!</definedName>
    <definedName name="ZN_TC_PR2_18D">#REF!</definedName>
    <definedName name="ZN_TC_PR2_18J">#REF!</definedName>
    <definedName name="ZN_TC_PR2_18M">#REF!</definedName>
    <definedName name="ZN_TC_PR2_18S">#REF!</definedName>
    <definedName name="ZN_TC_PR2_19D">#REF!</definedName>
    <definedName name="ZN_TC_PR2_19J">#REF!</definedName>
    <definedName name="ZN_TC_PR2_19M">#REF!</definedName>
    <definedName name="ZN_TC_PR2_19S">#REF!</definedName>
    <definedName name="ZN_TC_PR2_20D">#REF!</definedName>
    <definedName name="ZN_TC_PR2_20J">#REF!</definedName>
    <definedName name="ZN_TC_PR2_20M">#REF!</definedName>
    <definedName name="ZN_TC_PR2_20S">#REF!</definedName>
    <definedName name="ZN_TC_PR2_21D">#REF!</definedName>
    <definedName name="ZN_TC_PR2_21J">#REF!</definedName>
    <definedName name="ZN_TC_PR2_21M">#REF!</definedName>
    <definedName name="ZN_TC_PR2_21S">#REF!</definedName>
    <definedName name="ZN_TC_PR2_22D">#REF!</definedName>
    <definedName name="ZN_TC_PR2_22J">#REF!</definedName>
    <definedName name="ZN_TC_PR2_22M">#REF!</definedName>
    <definedName name="ZN_TC_PR2_22S">#REF!</definedName>
    <definedName name="ZN_TC_PR2_23D">#REF!</definedName>
    <definedName name="ZN_TC_PR2_23J">#REF!</definedName>
    <definedName name="ZN_TC_PR2_23M">#REF!</definedName>
    <definedName name="ZN_TC_PR2_23S">#REF!</definedName>
    <definedName name="ZN_TC_PR2_24D">#REF!</definedName>
    <definedName name="ZN_TC_PR2_24J">#REF!</definedName>
    <definedName name="ZN_TC_PR2_24M">#REF!</definedName>
    <definedName name="ZN_TC_PR2_24S">#REF!</definedName>
    <definedName name="ZN_TC_PR2_25D">#REF!</definedName>
    <definedName name="ZN_TC_PR2_25J">#REF!</definedName>
    <definedName name="ZN_TC_PR2_25M">#REF!</definedName>
    <definedName name="ZN_TC_PR2_25S">#REF!</definedName>
    <definedName name="ZN_TC_PR2_99D">#REF!</definedName>
    <definedName name="ZN_TC_PR2_99J">#REF!</definedName>
    <definedName name="ZN_TC_PR2_99M">#REF!</definedName>
    <definedName name="ZN_TC_PR2_99S">#REF!</definedName>
    <definedName name="ZN_TC_PR2_LT">#REF!</definedName>
    <definedName name="ZN_TC_PR3_00D">#REF!</definedName>
    <definedName name="ZN_TC_PR3_00J">#REF!</definedName>
    <definedName name="ZN_TC_PR3_00M">#REF!</definedName>
    <definedName name="ZN_TC_PR3_00S">#REF!</definedName>
    <definedName name="ZN_TC_PR3_01D">#REF!</definedName>
    <definedName name="ZN_TC_PR3_01J">#REF!</definedName>
    <definedName name="ZN_TC_PR3_01M">#REF!</definedName>
    <definedName name="ZN_TC_PR3_01S">#REF!</definedName>
    <definedName name="ZN_TC_PR3_02D">#REF!</definedName>
    <definedName name="ZN_TC_PR3_02J">#REF!</definedName>
    <definedName name="ZN_TC_PR3_02M">#REF!</definedName>
    <definedName name="ZN_TC_PR3_02S">#REF!</definedName>
    <definedName name="ZN_TC_PR3_03D">#REF!</definedName>
    <definedName name="ZN_TC_PR3_03J">#REF!</definedName>
    <definedName name="ZN_TC_PR3_03M">#REF!</definedName>
    <definedName name="ZN_TC_PR3_03S">#REF!</definedName>
    <definedName name="ZN_TC_PR3_04D">#REF!</definedName>
    <definedName name="ZN_TC_PR3_04J">#REF!</definedName>
    <definedName name="ZN_TC_PR3_04M">#REF!</definedName>
    <definedName name="ZN_TC_PR3_04S">#REF!</definedName>
    <definedName name="ZN_TC_PR3_05D">#REF!</definedName>
    <definedName name="ZN_TC_PR3_05J">#REF!</definedName>
    <definedName name="ZN_TC_PR3_05M">#REF!</definedName>
    <definedName name="ZN_TC_PR3_05S">#REF!</definedName>
    <definedName name="ZN_TC_PR3_06D">#REF!</definedName>
    <definedName name="ZN_TC_PR3_06J">#REF!</definedName>
    <definedName name="ZN_TC_PR3_06M">#REF!</definedName>
    <definedName name="ZN_TC_PR3_06S">#REF!</definedName>
    <definedName name="ZN_TC_PR3_07D">#REF!</definedName>
    <definedName name="ZN_TC_PR3_07J">#REF!</definedName>
    <definedName name="ZN_TC_PR3_07M">#REF!</definedName>
    <definedName name="ZN_TC_PR3_07S">#REF!</definedName>
    <definedName name="ZN_TC_PR3_08D">#REF!</definedName>
    <definedName name="ZN_TC_PR3_08J">#REF!</definedName>
    <definedName name="ZN_TC_PR3_08M">#REF!</definedName>
    <definedName name="ZN_TC_PR3_08S">#REF!</definedName>
    <definedName name="ZN_TC_PR3_09D">#REF!</definedName>
    <definedName name="ZN_TC_PR3_09J">#REF!</definedName>
    <definedName name="ZN_TC_PR3_09M">#REF!</definedName>
    <definedName name="ZN_TC_PR3_09S">#REF!</definedName>
    <definedName name="ZN_TC_PR3_10D">#REF!</definedName>
    <definedName name="ZN_TC_PR3_10J">#REF!</definedName>
    <definedName name="ZN_TC_PR3_10M">#REF!</definedName>
    <definedName name="ZN_TC_PR3_10S">#REF!</definedName>
    <definedName name="ZN_TC_PR3_11D">#REF!</definedName>
    <definedName name="ZN_TC_PR3_11J">#REF!</definedName>
    <definedName name="ZN_TC_PR3_11M">#REF!</definedName>
    <definedName name="ZN_TC_PR3_11S">#REF!</definedName>
    <definedName name="ZN_TC_PR3_12D">#REF!</definedName>
    <definedName name="ZN_TC_PR3_12J">#REF!</definedName>
    <definedName name="ZN_TC_PR3_12M">#REF!</definedName>
    <definedName name="ZN_TC_PR3_12S">#REF!</definedName>
    <definedName name="ZN_TC_PR3_13D">#REF!</definedName>
    <definedName name="ZN_TC_PR3_13J">#REF!</definedName>
    <definedName name="ZN_TC_PR3_13M">#REF!</definedName>
    <definedName name="ZN_TC_PR3_13S">#REF!</definedName>
    <definedName name="ZN_TC_PR3_14D">#REF!</definedName>
    <definedName name="ZN_TC_PR3_14J">#REF!</definedName>
    <definedName name="ZN_TC_PR3_14M">#REF!</definedName>
    <definedName name="ZN_TC_PR3_14S">#REF!</definedName>
    <definedName name="ZN_TC_PR3_15D">#REF!</definedName>
    <definedName name="ZN_TC_PR3_15J">#REF!</definedName>
    <definedName name="ZN_TC_PR3_15M">#REF!</definedName>
    <definedName name="ZN_TC_PR3_15S">#REF!</definedName>
    <definedName name="ZN_TC_PR3_16D">#REF!</definedName>
    <definedName name="ZN_TC_PR3_16J">#REF!</definedName>
    <definedName name="ZN_TC_PR3_16M">#REF!</definedName>
    <definedName name="ZN_TC_PR3_16S">#REF!</definedName>
    <definedName name="ZN_TC_PR3_17D">#REF!</definedName>
    <definedName name="ZN_TC_PR3_17J">#REF!</definedName>
    <definedName name="ZN_TC_PR3_17M">#REF!</definedName>
    <definedName name="ZN_TC_PR3_17S">#REF!</definedName>
    <definedName name="ZN_TC_PR3_18D">#REF!</definedName>
    <definedName name="ZN_TC_PR3_18J">#REF!</definedName>
    <definedName name="ZN_TC_PR3_18M">#REF!</definedName>
    <definedName name="ZN_TC_PR3_18S">#REF!</definedName>
    <definedName name="ZN_TC_PR3_19D">#REF!</definedName>
    <definedName name="ZN_TC_PR3_19J">#REF!</definedName>
    <definedName name="ZN_TC_PR3_19M">#REF!</definedName>
    <definedName name="ZN_TC_PR3_19S">#REF!</definedName>
    <definedName name="ZN_TC_PR3_20D">#REF!</definedName>
    <definedName name="ZN_TC_PR3_20J">#REF!</definedName>
    <definedName name="ZN_TC_PR3_20M">#REF!</definedName>
    <definedName name="ZN_TC_PR3_20S">#REF!</definedName>
    <definedName name="ZN_TC_PR3_21D">#REF!</definedName>
    <definedName name="ZN_TC_PR3_21J">#REF!</definedName>
    <definedName name="ZN_TC_PR3_21M">#REF!</definedName>
    <definedName name="ZN_TC_PR3_21S">#REF!</definedName>
    <definedName name="ZN_TC_PR3_22D">#REF!</definedName>
    <definedName name="ZN_TC_PR3_22J">#REF!</definedName>
    <definedName name="ZN_TC_PR3_22M">#REF!</definedName>
    <definedName name="ZN_TC_PR3_22S">#REF!</definedName>
    <definedName name="ZN_TC_PR3_23D">#REF!</definedName>
    <definedName name="ZN_TC_PR3_23J">#REF!</definedName>
    <definedName name="ZN_TC_PR3_23M">#REF!</definedName>
    <definedName name="ZN_TC_PR3_23S">#REF!</definedName>
    <definedName name="ZN_TC_PR3_24D">#REF!</definedName>
    <definedName name="ZN_TC_PR3_24J">#REF!</definedName>
    <definedName name="ZN_TC_PR3_24M">#REF!</definedName>
    <definedName name="ZN_TC_PR3_24S">#REF!</definedName>
    <definedName name="ZN_TC_PR3_25D">#REF!</definedName>
    <definedName name="ZN_TC_PR3_25J">#REF!</definedName>
    <definedName name="ZN_TC_PR3_25M">#REF!</definedName>
    <definedName name="ZN_TC_PR3_25S">#REF!</definedName>
    <definedName name="ZN_TC_PR3_99D">#REF!</definedName>
    <definedName name="ZN_TC_PR3_99J">#REF!</definedName>
    <definedName name="ZN_TC_PR3_99M">#REF!</definedName>
    <definedName name="ZN_TC_PR3_99S">#REF!</definedName>
    <definedName name="ZN_TC_PR3_LT">#REF!</definedName>
    <definedName name="ZN_TC_PR4_00D">#REF!</definedName>
    <definedName name="ZN_TC_PR4_00J">#REF!</definedName>
    <definedName name="ZN_TC_PR4_00M">#REF!</definedName>
    <definedName name="ZN_TC_PR4_00S">#REF!</definedName>
    <definedName name="ZN_TC_PR4_01D">#REF!</definedName>
    <definedName name="ZN_TC_PR4_01J">#REF!</definedName>
    <definedName name="ZN_TC_PR4_01M">#REF!</definedName>
    <definedName name="ZN_TC_PR4_01S">#REF!</definedName>
    <definedName name="ZN_TC_PR4_02D">#REF!</definedName>
    <definedName name="ZN_TC_PR4_02J">#REF!</definedName>
    <definedName name="ZN_TC_PR4_02M">#REF!</definedName>
    <definedName name="ZN_TC_PR4_02S">#REF!</definedName>
    <definedName name="ZN_TC_PR4_03D">#REF!</definedName>
    <definedName name="ZN_TC_PR4_03J">#REF!</definedName>
    <definedName name="ZN_TC_PR4_03M">#REF!</definedName>
    <definedName name="ZN_TC_PR4_03S">#REF!</definedName>
    <definedName name="ZN_TC_PR4_04D">#REF!</definedName>
    <definedName name="ZN_TC_PR4_04J">#REF!</definedName>
    <definedName name="ZN_TC_PR4_04M">#REF!</definedName>
    <definedName name="ZN_TC_PR4_04S">#REF!</definedName>
    <definedName name="ZN_TC_PR4_05D">#REF!</definedName>
    <definedName name="ZN_TC_PR4_05J">#REF!</definedName>
    <definedName name="ZN_TC_PR4_05M">#REF!</definedName>
    <definedName name="ZN_TC_PR4_05S">#REF!</definedName>
    <definedName name="ZN_TC_PR4_06D">#REF!</definedName>
    <definedName name="ZN_TC_PR4_06J">#REF!</definedName>
    <definedName name="ZN_TC_PR4_06M">#REF!</definedName>
    <definedName name="ZN_TC_PR4_06S">#REF!</definedName>
    <definedName name="ZN_TC_PR4_07D">#REF!</definedName>
    <definedName name="ZN_TC_PR4_07J">#REF!</definedName>
    <definedName name="ZN_TC_PR4_07M">#REF!</definedName>
    <definedName name="ZN_TC_PR4_07S">#REF!</definedName>
    <definedName name="ZN_TC_PR4_08D">#REF!</definedName>
    <definedName name="ZN_TC_PR4_08J">#REF!</definedName>
    <definedName name="ZN_TC_PR4_08M">#REF!</definedName>
    <definedName name="ZN_TC_PR4_08S">#REF!</definedName>
    <definedName name="ZN_TC_PR4_09D">#REF!</definedName>
    <definedName name="ZN_TC_PR4_09J">#REF!</definedName>
    <definedName name="ZN_TC_PR4_09M">#REF!</definedName>
    <definedName name="ZN_TC_PR4_09S">#REF!</definedName>
    <definedName name="ZN_TC_PR4_10D">#REF!</definedName>
    <definedName name="ZN_TC_PR4_10J">#REF!</definedName>
    <definedName name="ZN_TC_PR4_10M">#REF!</definedName>
    <definedName name="ZN_TC_PR4_10S">#REF!</definedName>
    <definedName name="ZN_TC_PR4_11D">#REF!</definedName>
    <definedName name="ZN_TC_PR4_11J">#REF!</definedName>
    <definedName name="ZN_TC_PR4_11M">#REF!</definedName>
    <definedName name="ZN_TC_PR4_11S">#REF!</definedName>
    <definedName name="ZN_TC_PR4_12D">#REF!</definedName>
    <definedName name="ZN_TC_PR4_12J">#REF!</definedName>
    <definedName name="ZN_TC_PR4_12M">#REF!</definedName>
    <definedName name="ZN_TC_PR4_12S">#REF!</definedName>
    <definedName name="ZN_TC_PR4_13D">#REF!</definedName>
    <definedName name="ZN_TC_PR4_13J">#REF!</definedName>
    <definedName name="ZN_TC_PR4_13M">#REF!</definedName>
    <definedName name="ZN_TC_PR4_13S">#REF!</definedName>
    <definedName name="ZN_TC_PR4_14D">#REF!</definedName>
    <definedName name="ZN_TC_PR4_14J">#REF!</definedName>
    <definedName name="ZN_TC_PR4_14M">#REF!</definedName>
    <definedName name="ZN_TC_PR4_14S">#REF!</definedName>
    <definedName name="ZN_TC_PR4_15D">#REF!</definedName>
    <definedName name="ZN_TC_PR4_15J">#REF!</definedName>
    <definedName name="ZN_TC_PR4_15M">#REF!</definedName>
    <definedName name="ZN_TC_PR4_15S">#REF!</definedName>
    <definedName name="ZN_TC_PR4_16D">#REF!</definedName>
    <definedName name="ZN_TC_PR4_16J">#REF!</definedName>
    <definedName name="ZN_TC_PR4_16M">#REF!</definedName>
    <definedName name="ZN_TC_PR4_16S">#REF!</definedName>
    <definedName name="ZN_TC_PR4_17D">#REF!</definedName>
    <definedName name="ZN_TC_PR4_17J">#REF!</definedName>
    <definedName name="ZN_TC_PR4_17M">#REF!</definedName>
    <definedName name="ZN_TC_PR4_17S">#REF!</definedName>
    <definedName name="ZN_TC_PR4_18D">#REF!</definedName>
    <definedName name="ZN_TC_PR4_18J">#REF!</definedName>
    <definedName name="ZN_TC_PR4_18M">#REF!</definedName>
    <definedName name="ZN_TC_PR4_18S">#REF!</definedName>
    <definedName name="ZN_TC_PR4_19D">#REF!</definedName>
    <definedName name="ZN_TC_PR4_19J">#REF!</definedName>
    <definedName name="ZN_TC_PR4_19M">#REF!</definedName>
    <definedName name="ZN_TC_PR4_19S">#REF!</definedName>
    <definedName name="ZN_TC_PR4_20D">#REF!</definedName>
    <definedName name="ZN_TC_PR4_20J">#REF!</definedName>
    <definedName name="ZN_TC_PR4_20M">#REF!</definedName>
    <definedName name="ZN_TC_PR4_20S">#REF!</definedName>
    <definedName name="ZN_TC_PR4_21D">#REF!</definedName>
    <definedName name="ZN_TC_PR4_21J">#REF!</definedName>
    <definedName name="ZN_TC_PR4_21M">#REF!</definedName>
    <definedName name="ZN_TC_PR4_21S">#REF!</definedName>
    <definedName name="ZN_TC_PR4_22D">#REF!</definedName>
    <definedName name="ZN_TC_PR4_22J">#REF!</definedName>
    <definedName name="ZN_TC_PR4_22M">#REF!</definedName>
    <definedName name="ZN_TC_PR4_22S">#REF!</definedName>
    <definedName name="ZN_TC_PR4_23D">#REF!</definedName>
    <definedName name="ZN_TC_PR4_23J">#REF!</definedName>
    <definedName name="ZN_TC_PR4_23M">#REF!</definedName>
    <definedName name="ZN_TC_PR4_23S">#REF!</definedName>
    <definedName name="ZN_TC_PR4_24D">#REF!</definedName>
    <definedName name="ZN_TC_PR4_24J">#REF!</definedName>
    <definedName name="ZN_TC_PR4_24M">#REF!</definedName>
    <definedName name="ZN_TC_PR4_24S">#REF!</definedName>
    <definedName name="ZN_TC_PR4_25D">#REF!</definedName>
    <definedName name="ZN_TC_PR4_25J">#REF!</definedName>
    <definedName name="ZN_TC_PR4_25M">#REF!</definedName>
    <definedName name="ZN_TC_PR4_25S">#REF!</definedName>
    <definedName name="ZN_TC_PR4_99D">#REF!</definedName>
    <definedName name="ZN_TC_PR4_99J">#REF!</definedName>
    <definedName name="ZN_TC_PR4_99M">#REF!</definedName>
    <definedName name="ZN_TC_PR4_99S">#REF!</definedName>
    <definedName name="ZN_TC_PR4_LT">#REF!</definedName>
    <definedName name="ZN_TC_PR5_00D">#REF!</definedName>
    <definedName name="ZN_TC_PR5_00J">#REF!</definedName>
    <definedName name="ZN_TC_PR5_00M">#REF!</definedName>
    <definedName name="ZN_TC_PR5_00S">#REF!</definedName>
    <definedName name="ZN_TC_PR5_01D">#REF!</definedName>
    <definedName name="ZN_TC_PR5_01J">#REF!</definedName>
    <definedName name="ZN_TC_PR5_01M">#REF!</definedName>
    <definedName name="ZN_TC_PR5_01S">#REF!</definedName>
    <definedName name="ZN_TC_PR5_02D">#REF!</definedName>
    <definedName name="ZN_TC_PR5_02J">#REF!</definedName>
    <definedName name="ZN_TC_PR5_02M">#REF!</definedName>
    <definedName name="ZN_TC_PR5_02S">#REF!</definedName>
    <definedName name="ZN_TC_PR5_03D">#REF!</definedName>
    <definedName name="ZN_TC_PR5_03J">#REF!</definedName>
    <definedName name="ZN_TC_PR5_03M">#REF!</definedName>
    <definedName name="ZN_TC_PR5_03S">#REF!</definedName>
    <definedName name="ZN_TC_PR5_04D">#REF!</definedName>
    <definedName name="ZN_TC_PR5_04J">#REF!</definedName>
    <definedName name="ZN_TC_PR5_04M">#REF!</definedName>
    <definedName name="ZN_TC_PR5_04S">#REF!</definedName>
    <definedName name="ZN_TC_PR5_05D">#REF!</definedName>
    <definedName name="ZN_TC_PR5_05J">#REF!</definedName>
    <definedName name="ZN_TC_PR5_05M">#REF!</definedName>
    <definedName name="ZN_TC_PR5_05S">#REF!</definedName>
    <definedName name="ZN_TC_PR5_06D">#REF!</definedName>
    <definedName name="ZN_TC_PR5_06J">#REF!</definedName>
    <definedName name="ZN_TC_PR5_06M">#REF!</definedName>
    <definedName name="ZN_TC_PR5_06S">#REF!</definedName>
    <definedName name="ZN_TC_PR5_07D">#REF!</definedName>
    <definedName name="ZN_TC_PR5_07J">#REF!</definedName>
    <definedName name="ZN_TC_PR5_07M">#REF!</definedName>
    <definedName name="ZN_TC_PR5_07S">#REF!</definedName>
    <definedName name="ZN_TC_PR5_08D">#REF!</definedName>
    <definedName name="ZN_TC_PR5_08J">#REF!</definedName>
    <definedName name="ZN_TC_PR5_08M">#REF!</definedName>
    <definedName name="ZN_TC_PR5_08S">#REF!</definedName>
    <definedName name="ZN_TC_PR5_09D">#REF!</definedName>
    <definedName name="ZN_TC_PR5_09J">#REF!</definedName>
    <definedName name="ZN_TC_PR5_09M">#REF!</definedName>
    <definedName name="ZN_TC_PR5_09S">#REF!</definedName>
    <definedName name="ZN_TC_PR5_10D">#REF!</definedName>
    <definedName name="ZN_TC_PR5_10J">#REF!</definedName>
    <definedName name="ZN_TC_PR5_10M">#REF!</definedName>
    <definedName name="ZN_TC_PR5_10S">#REF!</definedName>
    <definedName name="ZN_TC_PR5_11D">#REF!</definedName>
    <definedName name="ZN_TC_PR5_11J">#REF!</definedName>
    <definedName name="ZN_TC_PR5_11M">#REF!</definedName>
    <definedName name="ZN_TC_PR5_11S">#REF!</definedName>
    <definedName name="ZN_TC_PR5_12D">#REF!</definedName>
    <definedName name="ZN_TC_PR5_12J">#REF!</definedName>
    <definedName name="ZN_TC_PR5_12M">#REF!</definedName>
    <definedName name="ZN_TC_PR5_12S">#REF!</definedName>
    <definedName name="ZN_TC_PR5_13D">#REF!</definedName>
    <definedName name="ZN_TC_PR5_13J">#REF!</definedName>
    <definedName name="ZN_TC_PR5_13M">#REF!</definedName>
    <definedName name="ZN_TC_PR5_13S">#REF!</definedName>
    <definedName name="ZN_TC_PR5_14D">#REF!</definedName>
    <definedName name="ZN_TC_PR5_14J">#REF!</definedName>
    <definedName name="ZN_TC_PR5_14M">#REF!</definedName>
    <definedName name="ZN_TC_PR5_14S">#REF!</definedName>
    <definedName name="ZN_TC_PR5_15D">#REF!</definedName>
    <definedName name="ZN_TC_PR5_15J">#REF!</definedName>
    <definedName name="ZN_TC_PR5_15M">#REF!</definedName>
    <definedName name="ZN_TC_PR5_15S">#REF!</definedName>
    <definedName name="ZN_TC_PR5_16D">#REF!</definedName>
    <definedName name="ZN_TC_PR5_16J">#REF!</definedName>
    <definedName name="ZN_TC_PR5_16M">#REF!</definedName>
    <definedName name="ZN_TC_PR5_16S">#REF!</definedName>
    <definedName name="ZN_TC_PR5_17D">#REF!</definedName>
    <definedName name="ZN_TC_PR5_17J">#REF!</definedName>
    <definedName name="ZN_TC_PR5_17M">#REF!</definedName>
    <definedName name="ZN_TC_PR5_17S">#REF!</definedName>
    <definedName name="ZN_TC_PR5_18D">#REF!</definedName>
    <definedName name="ZN_TC_PR5_18J">#REF!</definedName>
    <definedName name="ZN_TC_PR5_18M">#REF!</definedName>
    <definedName name="ZN_TC_PR5_18S">#REF!</definedName>
    <definedName name="ZN_TC_PR5_19D">#REF!</definedName>
    <definedName name="ZN_TC_PR5_19J">#REF!</definedName>
    <definedName name="ZN_TC_PR5_19M">#REF!</definedName>
    <definedName name="ZN_TC_PR5_19S">#REF!</definedName>
    <definedName name="ZN_TC_PR5_20D">#REF!</definedName>
    <definedName name="ZN_TC_PR5_20J">#REF!</definedName>
    <definedName name="ZN_TC_PR5_20M">#REF!</definedName>
    <definedName name="ZN_TC_PR5_20S">#REF!</definedName>
    <definedName name="ZN_TC_PR5_21D">#REF!</definedName>
    <definedName name="ZN_TC_PR5_21J">#REF!</definedName>
    <definedName name="ZN_TC_PR5_21M">#REF!</definedName>
    <definedName name="ZN_TC_PR5_21S">#REF!</definedName>
    <definedName name="ZN_TC_PR5_22D">#REF!</definedName>
    <definedName name="ZN_TC_PR5_22J">#REF!</definedName>
    <definedName name="ZN_TC_PR5_22M">#REF!</definedName>
    <definedName name="ZN_TC_PR5_22S">#REF!</definedName>
    <definedName name="ZN_TC_PR5_23D">#REF!</definedName>
    <definedName name="ZN_TC_PR5_23J">#REF!</definedName>
    <definedName name="ZN_TC_PR5_23M">#REF!</definedName>
    <definedName name="ZN_TC_PR5_23S">#REF!</definedName>
    <definedName name="ZN_TC_PR5_24D">#REF!</definedName>
    <definedName name="ZN_TC_PR5_24J">#REF!</definedName>
    <definedName name="ZN_TC_PR5_24M">#REF!</definedName>
    <definedName name="ZN_TC_PR5_24S">#REF!</definedName>
    <definedName name="ZN_TC_PR5_25D">#REF!</definedName>
    <definedName name="ZN_TC_PR5_25J">#REF!</definedName>
    <definedName name="ZN_TC_PR5_25M">#REF!</definedName>
    <definedName name="ZN_TC_PR5_25S">#REF!</definedName>
    <definedName name="ZN_TC_PR5_99D">#REF!</definedName>
    <definedName name="ZN_TC_PR5_99J">#REF!</definedName>
    <definedName name="ZN_TC_PR5_99M">#REF!</definedName>
    <definedName name="ZN_TC_PR5_99S">#REF!</definedName>
    <definedName name="ZN_TC_PR5_LT">#REF!</definedName>
    <definedName name="ZNDH91">#REF!</definedName>
    <definedName name="ZNDH92">#REF!</definedName>
    <definedName name="ZNDH93">#REF!</definedName>
    <definedName name="ZNDH94">#REF!</definedName>
    <definedName name="ZNDH95">#REF!</definedName>
    <definedName name="ZNDH96">#REF!</definedName>
    <definedName name="ZNDH97">#REF!</definedName>
    <definedName name="ZNDH98">#REF!</definedName>
    <definedName name="ZNDH99">#REF!</definedName>
    <definedName name="ZNDY91">#REF!</definedName>
    <definedName name="ZNDY92">#REF!</definedName>
    <definedName name="ZNDY93">#REF!</definedName>
    <definedName name="ZNDY94">#REF!</definedName>
    <definedName name="ZNDY95">#REF!</definedName>
    <definedName name="ZNDY96">#REF!</definedName>
    <definedName name="ZNDY97">#REF!</definedName>
    <definedName name="ZNDY98">#REF!</definedName>
    <definedName name="ZNDY99">#REF!</definedName>
    <definedName name="ZP_Div">#REF!</definedName>
    <definedName name="ZP_FCF">#REF!</definedName>
    <definedName name="ZP_ND">#REF!</definedName>
    <definedName name="ZP_RP">#REF!</definedName>
    <definedName name="ZR_00S">#REF!</definedName>
    <definedName name="ZR_01D">#REF!</definedName>
    <definedName name="ZR_01J">#REF!</definedName>
    <definedName name="ZR_01M">#REF!</definedName>
    <definedName name="ZR_01S">#REF!</definedName>
    <definedName name="ZR_02D">#REF!</definedName>
    <definedName name="ZR_02J">#REF!</definedName>
    <definedName name="ZR_02M">#REF!</definedName>
    <definedName name="ZR_02S">#REF!</definedName>
    <definedName name="ZR_03D">#REF!</definedName>
    <definedName name="ZR_03J">#REF!</definedName>
    <definedName name="ZR_03M">#REF!</definedName>
    <definedName name="ZR_03S">#REF!</definedName>
    <definedName name="ZR_04D">#REF!</definedName>
    <definedName name="ZR_04J">#REF!</definedName>
    <definedName name="ZR_04M">#REF!</definedName>
    <definedName name="ZR_04S">#REF!</definedName>
    <definedName name="ZR_05D">#REF!</definedName>
    <definedName name="ZR_05J">#REF!</definedName>
    <definedName name="ZR_05M">#REF!</definedName>
    <definedName name="ZR_05S">#REF!</definedName>
    <definedName name="ZR_06D">#REF!</definedName>
    <definedName name="ZR_06J">#REF!</definedName>
    <definedName name="ZR_06M">#REF!</definedName>
    <definedName name="ZR_06S">#REF!</definedName>
    <definedName name="ZR_07D">#REF!</definedName>
    <definedName name="ZR_07J">#REF!</definedName>
    <definedName name="ZR_07M">#REF!</definedName>
    <definedName name="ZR_07S">#REF!</definedName>
    <definedName name="ZR_08D">#REF!</definedName>
    <definedName name="ZR_08J">#REF!</definedName>
    <definedName name="ZR_08M">#REF!</definedName>
    <definedName name="ZR_08S">#REF!</definedName>
    <definedName name="ZR_09D">#REF!</definedName>
    <definedName name="ZR_09J">#REF!</definedName>
    <definedName name="ZR_09M">#REF!</definedName>
    <definedName name="ZR_09S">#REF!</definedName>
    <definedName name="ZR_10D">#REF!</definedName>
    <definedName name="ZR_10J">#REF!</definedName>
    <definedName name="ZR_10M">#REF!</definedName>
    <definedName name="ZR_10S">#REF!</definedName>
    <definedName name="ZR_11D">#REF!</definedName>
    <definedName name="ZR_11J">#REF!</definedName>
    <definedName name="ZR_11M">#REF!</definedName>
    <definedName name="ZR_11S">#REF!</definedName>
    <definedName name="ZR_12D">#REF!</definedName>
    <definedName name="ZR_12J">#REF!</definedName>
    <definedName name="ZR_12M">#REF!</definedName>
    <definedName name="ZR_12S">#REF!</definedName>
    <definedName name="ZR_13D">#REF!</definedName>
    <definedName name="ZR_13J">#REF!</definedName>
    <definedName name="ZR_13M">#REF!</definedName>
    <definedName name="ZR_13S">#REF!</definedName>
    <definedName name="ZR_14D">#REF!</definedName>
    <definedName name="ZR_14J">#REF!</definedName>
    <definedName name="ZR_14M">#REF!</definedName>
    <definedName name="ZR_14S">#REF!</definedName>
    <definedName name="ZR_15D">#REF!</definedName>
    <definedName name="ZR_15J">#REF!</definedName>
    <definedName name="ZR_15M">#REF!</definedName>
    <definedName name="ZR_15S">#REF!</definedName>
    <definedName name="ZR_16D">#REF!</definedName>
    <definedName name="ZR_16J">#REF!</definedName>
    <definedName name="ZR_16M">#REF!</definedName>
    <definedName name="ZR_16S">#REF!</definedName>
    <definedName name="ZR_17D">#REF!</definedName>
    <definedName name="ZR_17J">#REF!</definedName>
    <definedName name="ZR_17M">#REF!</definedName>
    <definedName name="ZR_17S">#REF!</definedName>
    <definedName name="ZR_18D">#REF!</definedName>
    <definedName name="ZR_18J">#REF!</definedName>
    <definedName name="ZR_18M">#REF!</definedName>
    <definedName name="ZR_18S">#REF!</definedName>
    <definedName name="ZR_19D">#REF!</definedName>
    <definedName name="ZR_19J">#REF!</definedName>
    <definedName name="ZR_19M">#REF!</definedName>
    <definedName name="ZR_19S">#REF!</definedName>
    <definedName name="ZR_20D">#REF!</definedName>
    <definedName name="ZR_20J">#REF!</definedName>
    <definedName name="ZR_20M">#REF!</definedName>
    <definedName name="ZR_20S">#REF!</definedName>
    <definedName name="ZR_21D">#REF!</definedName>
    <definedName name="ZR_21J">#REF!</definedName>
    <definedName name="ZR_21M">#REF!</definedName>
    <definedName name="ZR_21S">#REF!</definedName>
    <definedName name="ZR_22D">#REF!</definedName>
    <definedName name="ZR_22J">#REF!</definedName>
    <definedName name="ZR_22M">#REF!</definedName>
    <definedName name="ZR_22S">#REF!</definedName>
    <definedName name="ZR_23D">#REF!</definedName>
    <definedName name="ZR_23J">#REF!</definedName>
    <definedName name="ZR_23M">#REF!</definedName>
    <definedName name="ZR_23S">#REF!</definedName>
    <definedName name="ZR_24D">#REF!</definedName>
    <definedName name="ZR_24J">#REF!</definedName>
    <definedName name="ZR_24M">#REF!</definedName>
    <definedName name="ZR_24S">#REF!</definedName>
    <definedName name="ZR_25D">#REF!</definedName>
    <definedName name="ZR_25J">#REF!</definedName>
    <definedName name="ZR_25M">#REF!</definedName>
    <definedName name="ZR_25S">#REF!</definedName>
    <definedName name="ZR_87D">#REF!</definedName>
    <definedName name="ZR_87J">#REF!</definedName>
    <definedName name="ZR_87M">#REF!</definedName>
    <definedName name="ZR_87S">#REF!</definedName>
    <definedName name="ZR_88D">#REF!</definedName>
    <definedName name="ZR_88J">#REF!</definedName>
    <definedName name="ZR_88M">#REF!</definedName>
    <definedName name="ZR_88S">#REF!</definedName>
    <definedName name="ZR_89D">#REF!</definedName>
    <definedName name="ZR_89J">#REF!</definedName>
    <definedName name="ZR_89M">#REF!</definedName>
    <definedName name="ZR_89S">#REF!</definedName>
    <definedName name="ZR_90D">#REF!</definedName>
    <definedName name="ZR_90J">#REF!</definedName>
    <definedName name="ZR_90M">#REF!</definedName>
    <definedName name="ZR_90S">#REF!</definedName>
    <definedName name="ZR_91D">#REF!</definedName>
    <definedName name="ZR_91J">#REF!</definedName>
    <definedName name="ZR_91M">#REF!</definedName>
    <definedName name="ZR_91S">#REF!</definedName>
    <definedName name="ZR_92D">#REF!</definedName>
    <definedName name="ZR_92J">#REF!</definedName>
    <definedName name="ZR_92M">#REF!</definedName>
    <definedName name="ZR_92S">#REF!</definedName>
    <definedName name="ZR_93D">#REF!</definedName>
    <definedName name="ZR_93J">#REF!</definedName>
    <definedName name="ZR_93M">#REF!</definedName>
    <definedName name="ZR_93S">#REF!</definedName>
    <definedName name="ZR_94D">#REF!</definedName>
    <definedName name="ZR_94J">#REF!</definedName>
    <definedName name="ZR_94M">#REF!</definedName>
    <definedName name="ZR_94S">#REF!</definedName>
    <definedName name="ZR_95D">#REF!</definedName>
    <definedName name="ZR_95J">#REF!</definedName>
    <definedName name="ZR_95M">#REF!</definedName>
    <definedName name="ZR_95S">#REF!</definedName>
    <definedName name="ZR_96D">#REF!</definedName>
    <definedName name="ZR_96J">#REF!</definedName>
    <definedName name="ZR_96M">#REF!</definedName>
    <definedName name="ZR_96S">#REF!</definedName>
    <definedName name="ZR_97D">#REF!</definedName>
    <definedName name="ZR_97J">#REF!</definedName>
    <definedName name="ZR_97M">#REF!</definedName>
    <definedName name="ZR_97S">#REF!</definedName>
    <definedName name="ZR_98D">#REF!</definedName>
    <definedName name="ZR_98J">#REF!</definedName>
    <definedName name="ZR_98M">#REF!</definedName>
    <definedName name="ZR_98S">#REF!</definedName>
    <definedName name="ZR_99D">#REF!</definedName>
    <definedName name="ZR_99J">#REF!</definedName>
    <definedName name="ZR_99M">#REF!</definedName>
    <definedName name="ZR_99S">#REF!</definedName>
    <definedName name="zr_lt">#REF!</definedName>
    <definedName name="ZR_OUT">#REF!</definedName>
    <definedName name="ZR_Spot">#REF!</definedName>
    <definedName name="ZTAH91">#REF!</definedName>
    <definedName name="ZTAH92">#REF!</definedName>
    <definedName name="ZTAH93">#REF!</definedName>
    <definedName name="ZTAH94">#REF!</definedName>
    <definedName name="ZTAH95">#REF!</definedName>
    <definedName name="ZTAH96">#REF!</definedName>
    <definedName name="ZTAH97">#REF!</definedName>
    <definedName name="ZTAH98">#REF!</definedName>
    <definedName name="ZTAH99">#REF!</definedName>
    <definedName name="ZTAY91">#REF!</definedName>
    <definedName name="ZTAY92">#REF!</definedName>
    <definedName name="ZTAY93">#REF!</definedName>
    <definedName name="ZTAY94">#REF!</definedName>
    <definedName name="ZTAY95">#REF!</definedName>
    <definedName name="ZTAY96">#REF!</definedName>
    <definedName name="ZTAY97">#REF!</definedName>
    <definedName name="ZTAY98">#REF!</definedName>
    <definedName name="ZTAY99">#REF!</definedName>
    <definedName name="ZUW2H91">#REF!</definedName>
    <definedName name="ZUW2H92">#REF!</definedName>
    <definedName name="ZUW2H93">#REF!</definedName>
    <definedName name="ZUW2H94">#REF!</definedName>
    <definedName name="ZUW2H95">#REF!</definedName>
    <definedName name="ZUW2H96">#REF!</definedName>
    <definedName name="ZUW2H97">#REF!</definedName>
    <definedName name="ZUW2H98">#REF!</definedName>
    <definedName name="ZUW2H99">#REF!</definedName>
    <definedName name="ZUW2Y91">#REF!</definedName>
    <definedName name="ZUW2Y92">#REF!</definedName>
    <definedName name="ZUW2Y93">#REF!</definedName>
    <definedName name="ZUW2Y94">#REF!</definedName>
    <definedName name="ZUW2Y95">#REF!</definedName>
    <definedName name="ZUW2Y96">#REF!</definedName>
    <definedName name="ZUW2Y97">#REF!</definedName>
    <definedName name="ZUW2Y98">#REF!</definedName>
    <definedName name="ZUW2Y99">#REF!</definedName>
    <definedName name="ZUW3H91">#REF!</definedName>
    <definedName name="ZUW3H92">#REF!</definedName>
    <definedName name="ZUW3H93">#REF!</definedName>
    <definedName name="ZUW3H94">#REF!</definedName>
    <definedName name="ZUW3H95">#REF!</definedName>
    <definedName name="ZUW3H96">#REF!</definedName>
    <definedName name="ZUW3H97">#REF!</definedName>
    <definedName name="ZUW3H98">#REF!</definedName>
    <definedName name="ZUW3H99">#REF!</definedName>
    <definedName name="ZUW3Y91">#REF!</definedName>
    <definedName name="ZUW3Y92">#REF!</definedName>
    <definedName name="ZUW3Y93">#REF!</definedName>
    <definedName name="ZUW3Y94">#REF!</definedName>
    <definedName name="ZUW3Y95">#REF!</definedName>
    <definedName name="ZUW3Y96">#REF!</definedName>
    <definedName name="ZUW3Y97">#REF!</definedName>
    <definedName name="ZUW3Y98">#REF!</definedName>
    <definedName name="ZUW3Y99">#REF!</definedName>
    <definedName name="ZUW4H91">#REF!</definedName>
    <definedName name="ZUW4H92">#REF!</definedName>
    <definedName name="ZUW4H93">#REF!</definedName>
    <definedName name="ZUW4H94">#REF!</definedName>
    <definedName name="ZUW4H95">#REF!</definedName>
    <definedName name="ZUW4H96">#REF!</definedName>
    <definedName name="ZUW4H97">#REF!</definedName>
    <definedName name="ZUW4H98">#REF!</definedName>
    <definedName name="ZUW4H99">#REF!</definedName>
    <definedName name="ZUW4Y91">#REF!</definedName>
    <definedName name="ZUW4Y92">#REF!</definedName>
    <definedName name="ZUW4Y93">#REF!</definedName>
    <definedName name="ZUW4Y94">#REF!</definedName>
    <definedName name="ZUW4Y95">#REF!</definedName>
    <definedName name="ZUW4Y96">#REF!</definedName>
    <definedName name="ZUW4Y97">#REF!</definedName>
    <definedName name="ZUW4Y98">#REF!</definedName>
    <definedName name="ZUW4Y99">#REF!</definedName>
    <definedName name="ZUW5H91">#REF!</definedName>
    <definedName name="ZUW5H92">#REF!</definedName>
    <definedName name="ZUW5H93">#REF!</definedName>
    <definedName name="ZUW5H94">#REF!</definedName>
    <definedName name="ZUW5H95">#REF!</definedName>
    <definedName name="ZUW5H96">#REF!</definedName>
    <definedName name="ZUW5H97">#REF!</definedName>
    <definedName name="ZUW5H98">#REF!</definedName>
    <definedName name="ZUW5H99">#REF!</definedName>
    <definedName name="ZUW5Y91">#REF!</definedName>
    <definedName name="ZUW5Y92">#REF!</definedName>
    <definedName name="ZUW5Y93">#REF!</definedName>
    <definedName name="ZUW5Y94">#REF!</definedName>
    <definedName name="ZUW5Y95">#REF!</definedName>
    <definedName name="ZUW5Y96">#REF!</definedName>
    <definedName name="ZUW5Y97">#REF!</definedName>
    <definedName name="ZUW5Y98">#REF!</definedName>
    <definedName name="ZUW5Y99">#REF!</definedName>
    <definedName name="ZZZ">#REF!</definedName>
    <definedName name="공정" hidden="1">#REF!</definedName>
    <definedName name="광주공장" hidden="1">#REF!</definedName>
    <definedName name="기타자산_종업원채권_Y_List">#REF!</definedName>
    <definedName name="单公司报告期">[49]Cache!$A$1:$A$4</definedName>
    <definedName name="당조">#REF!</definedName>
    <definedName name="秦皇岛港存混煤车板及平仓均价"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秦皇岛港存混煤车板及平仓均价"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秦皇岛港存混煤车板及平仓均价"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ㅁ" hidden="1">#REF!</definedName>
    <definedName name="별첨2">#REF!</definedName>
    <definedName name="세욱">#REF!</definedName>
    <definedName name="소집통지서">#REF!</definedName>
    <definedName name="순천_연향_1차">#REF!</definedName>
    <definedName name="영선">#REF!</definedName>
    <definedName name="영업">#REF!</definedName>
    <definedName name="영업1">#REF!</definedName>
    <definedName name="영업2">#REF!</definedName>
    <definedName name="영역">#REF!</definedName>
    <definedName name="잔존가율">#REF!</definedName>
    <definedName name="주택매출">#REF!</definedName>
    <definedName name="주택원가">#REF!</definedName>
    <definedName name="주택최종">#REF!</definedName>
    <definedName name="직급공정" hidden="1">#REF!</definedName>
    <definedName name="ㅊ1055">#REF!</definedName>
    <definedName name="차입금리">#REF!</definedName>
    <definedName name="칷__?____?">#REF!</definedName>
    <definedName name="토목법규">#REF!</definedName>
    <definedName name="호길">#REF!</definedName>
    <definedName name="ㅓ2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8" i="12" l="1"/>
  <c r="AF37" i="12"/>
  <c r="AF36" i="12"/>
  <c r="AF34" i="12"/>
  <c r="AF33" i="12"/>
  <c r="AF29" i="12"/>
  <c r="AF28" i="12"/>
  <c r="AF26" i="12"/>
  <c r="AF25" i="12"/>
  <c r="AF24" i="12"/>
  <c r="AF22" i="12"/>
  <c r="AF21" i="12"/>
  <c r="AF20" i="12"/>
  <c r="AF19" i="12"/>
  <c r="X38" i="12"/>
  <c r="X37" i="12"/>
  <c r="X36" i="12"/>
  <c r="X35" i="12"/>
  <c r="X34" i="12"/>
  <c r="X33" i="12"/>
  <c r="X32" i="12"/>
  <c r="X31" i="12"/>
  <c r="X30" i="12"/>
  <c r="X29" i="12"/>
  <c r="X28" i="12"/>
  <c r="X27" i="12"/>
  <c r="AF15" i="12"/>
  <c r="AF14" i="12"/>
  <c r="AF13" i="12"/>
  <c r="AF12" i="12"/>
  <c r="AF11" i="12"/>
  <c r="AF10" i="12"/>
  <c r="AF9" i="12"/>
  <c r="AF8" i="12"/>
  <c r="AF7" i="12"/>
  <c r="AF6" i="12"/>
  <c r="AF5" i="12"/>
  <c r="AF4" i="12"/>
  <c r="AF3" i="12"/>
  <c r="X24" i="12"/>
  <c r="X23" i="12"/>
  <c r="X22" i="12"/>
  <c r="X21" i="12"/>
  <c r="X20" i="12"/>
  <c r="X19" i="12"/>
  <c r="X18" i="12"/>
  <c r="X17" i="12"/>
  <c r="X16" i="12"/>
  <c r="X15" i="12"/>
  <c r="X14" i="12"/>
  <c r="X13" i="12"/>
  <c r="X12" i="12"/>
  <c r="X11" i="12"/>
  <c r="X10" i="12"/>
  <c r="X9" i="12"/>
  <c r="X8" i="12"/>
  <c r="X7" i="12"/>
  <c r="X6" i="12"/>
  <c r="X5" i="12"/>
  <c r="X4" i="12"/>
  <c r="X3" i="12"/>
  <c r="P31" i="12"/>
  <c r="P34" i="12"/>
  <c r="P37" i="12" s="1"/>
  <c r="P24" i="12"/>
  <c r="P10" i="12"/>
  <c r="P9" i="12"/>
  <c r="P8" i="12"/>
  <c r="H37" i="12"/>
  <c r="H36" i="12"/>
  <c r="H35" i="12"/>
  <c r="H34" i="12"/>
  <c r="H33" i="12"/>
  <c r="H31" i="12"/>
  <c r="H30" i="12"/>
  <c r="H29" i="12"/>
  <c r="N124" i="30"/>
  <c r="M124" i="30"/>
  <c r="L124" i="30"/>
  <c r="L104" i="30"/>
  <c r="L106" i="30"/>
  <c r="L143" i="30"/>
  <c r="O105" i="30"/>
  <c r="P105" i="30" s="1"/>
  <c r="Q105" i="30" s="1"/>
  <c r="R105" i="30" s="1"/>
  <c r="N105" i="30"/>
  <c r="H24" i="12"/>
  <c r="H23" i="12"/>
  <c r="H20" i="12"/>
  <c r="H18" i="12"/>
  <c r="H17" i="12"/>
  <c r="H16" i="12"/>
  <c r="H15" i="12"/>
  <c r="H11" i="12"/>
  <c r="H8" i="12"/>
  <c r="H6" i="12"/>
  <c r="H5" i="12"/>
  <c r="H4" i="12"/>
  <c r="G67" i="47"/>
  <c r="G60" i="47"/>
  <c r="K63" i="30"/>
  <c r="K153" i="30"/>
  <c r="K156" i="30"/>
  <c r="K145" i="30"/>
  <c r="K138" i="30"/>
  <c r="J130" i="30"/>
  <c r="K125" i="30"/>
  <c r="K121" i="30"/>
  <c r="K108" i="30"/>
  <c r="K101" i="30"/>
  <c r="K98" i="30"/>
  <c r="K92" i="30"/>
  <c r="K23" i="30"/>
  <c r="K79" i="30"/>
  <c r="K160" i="30"/>
  <c r="K8" i="30"/>
  <c r="J6" i="30"/>
  <c r="C23" i="47"/>
  <c r="K16" i="59" l="1"/>
  <c r="J16" i="59"/>
  <c r="I16" i="59"/>
  <c r="H16" i="59"/>
  <c r="G16" i="59"/>
  <c r="F16" i="59"/>
  <c r="E16" i="59"/>
  <c r="H10" i="59"/>
  <c r="E10" i="59"/>
  <c r="E11" i="59" s="1"/>
  <c r="F10" i="59"/>
  <c r="F11" i="59" s="1"/>
  <c r="G10" i="59"/>
  <c r="G19" i="59" s="1"/>
  <c r="G17" i="59" s="1"/>
  <c r="G18" i="59" s="1"/>
  <c r="D10" i="59"/>
  <c r="E8" i="59"/>
  <c r="E9" i="59" s="1"/>
  <c r="F8" i="59"/>
  <c r="F9" i="59" s="1"/>
  <c r="G8" i="59"/>
  <c r="G9" i="59" s="1"/>
  <c r="D8" i="59"/>
  <c r="G6" i="59"/>
  <c r="G22" i="59" s="1"/>
  <c r="G23" i="59" s="1"/>
  <c r="H8" i="59" s="1"/>
  <c r="D15" i="59"/>
  <c r="D6" i="59"/>
  <c r="E7" i="59" s="1"/>
  <c r="F20" i="59"/>
  <c r="E15" i="59"/>
  <c r="F15" i="59"/>
  <c r="F18" i="59"/>
  <c r="G11" i="59"/>
  <c r="F6" i="59"/>
  <c r="F7" i="59" s="1"/>
  <c r="E6" i="59"/>
  <c r="G7" i="59" l="1"/>
  <c r="H19" i="59"/>
  <c r="N33" i="30"/>
  <c r="O33" i="30" s="1"/>
  <c r="P33" i="30" s="1"/>
  <c r="Q33" i="30" s="1"/>
  <c r="R33" i="30" s="1"/>
  <c r="M31" i="30"/>
  <c r="N31" i="30" s="1"/>
  <c r="O31" i="30" s="1"/>
  <c r="P31" i="30" s="1"/>
  <c r="Q31" i="30" s="1"/>
  <c r="R31" i="30" s="1"/>
  <c r="N29" i="30"/>
  <c r="O29" i="30" s="1"/>
  <c r="N27" i="30"/>
  <c r="O27" i="30" s="1"/>
  <c r="P27" i="30" s="1"/>
  <c r="Q27" i="30" s="1"/>
  <c r="R27" i="30" s="1"/>
  <c r="N25" i="30"/>
  <c r="O25" i="30" s="1"/>
  <c r="P25" i="30" s="1"/>
  <c r="Q25" i="30" s="1"/>
  <c r="R25" i="30" s="1"/>
  <c r="J28" i="30"/>
  <c r="J26" i="30"/>
  <c r="J24" i="30"/>
  <c r="N17" i="30"/>
  <c r="O17" i="30" s="1"/>
  <c r="P17" i="30" s="1"/>
  <c r="Q17" i="30" s="1"/>
  <c r="R17" i="30" s="1"/>
  <c r="N19" i="30"/>
  <c r="O19" i="30" s="1"/>
  <c r="P19" i="30" s="1"/>
  <c r="Q19" i="30" s="1"/>
  <c r="R19" i="30" s="1"/>
  <c r="I25" i="30"/>
  <c r="H25" i="30"/>
  <c r="G25" i="30"/>
  <c r="G12" i="30"/>
  <c r="H12" i="30"/>
  <c r="I12" i="30"/>
  <c r="K6" i="12" s="1"/>
  <c r="AA6" i="12" s="1"/>
  <c r="F22" i="30"/>
  <c r="G22" i="30"/>
  <c r="H22" i="30"/>
  <c r="F12" i="30"/>
  <c r="E69" i="47"/>
  <c r="D69" i="47"/>
  <c r="C69" i="47"/>
  <c r="E68" i="47"/>
  <c r="D68" i="47"/>
  <c r="C68" i="47"/>
  <c r="H67" i="47"/>
  <c r="I67" i="47" s="1"/>
  <c r="F67" i="47"/>
  <c r="F68" i="47" s="1"/>
  <c r="E67" i="47"/>
  <c r="D67" i="47"/>
  <c r="C67" i="47"/>
  <c r="B67" i="47"/>
  <c r="F65" i="47"/>
  <c r="E65" i="47"/>
  <c r="D65" i="47"/>
  <c r="C65" i="47"/>
  <c r="G64" i="47"/>
  <c r="H64" i="47" s="1"/>
  <c r="F64" i="47"/>
  <c r="E64" i="47"/>
  <c r="D64" i="47"/>
  <c r="C64" i="47"/>
  <c r="B64" i="47"/>
  <c r="E62" i="47"/>
  <c r="D62" i="47"/>
  <c r="C62" i="47"/>
  <c r="B62" i="47"/>
  <c r="E61" i="47"/>
  <c r="D61" i="47"/>
  <c r="C61" i="47"/>
  <c r="F60" i="47"/>
  <c r="F61" i="47" s="1"/>
  <c r="E60" i="47"/>
  <c r="D60" i="47"/>
  <c r="C60" i="47"/>
  <c r="B60" i="47"/>
  <c r="E58" i="47"/>
  <c r="D58" i="47"/>
  <c r="G57" i="47"/>
  <c r="H57" i="47" s="1"/>
  <c r="I57" i="47" s="1"/>
  <c r="E57" i="47"/>
  <c r="F58" i="47" s="1"/>
  <c r="D57" i="47"/>
  <c r="C57" i="47"/>
  <c r="F56" i="47"/>
  <c r="E56" i="47"/>
  <c r="E55" i="47"/>
  <c r="D55" i="47"/>
  <c r="C55" i="47"/>
  <c r="E53" i="47"/>
  <c r="F54" i="47" s="1"/>
  <c r="D53" i="47"/>
  <c r="C53" i="47"/>
  <c r="E51" i="47"/>
  <c r="F52" i="47" s="1"/>
  <c r="D51" i="47"/>
  <c r="C51" i="47"/>
  <c r="G49" i="47"/>
  <c r="H49" i="47" s="1"/>
  <c r="I49" i="47" s="1"/>
  <c r="F48" i="47"/>
  <c r="E48" i="47"/>
  <c r="D48" i="47"/>
  <c r="C48" i="47"/>
  <c r="I47" i="47"/>
  <c r="H47" i="47"/>
  <c r="G47" i="47"/>
  <c r="F47" i="47"/>
  <c r="E47" i="47"/>
  <c r="D47" i="47"/>
  <c r="C47" i="47"/>
  <c r="B47" i="47"/>
  <c r="E42" i="47"/>
  <c r="D42" i="47"/>
  <c r="C42" i="47"/>
  <c r="G41" i="47"/>
  <c r="F40" i="47"/>
  <c r="E40" i="47"/>
  <c r="D40" i="47"/>
  <c r="F39" i="47"/>
  <c r="E38" i="47"/>
  <c r="D38" i="47"/>
  <c r="E36" i="47"/>
  <c r="D36" i="47"/>
  <c r="E34" i="47"/>
  <c r="D34" i="47"/>
  <c r="F31" i="47"/>
  <c r="E31" i="47"/>
  <c r="F32" i="47" s="1"/>
  <c r="D31" i="47"/>
  <c r="C31" i="47"/>
  <c r="C49" i="47" s="1"/>
  <c r="F30" i="47"/>
  <c r="E30" i="47"/>
  <c r="D30" i="47"/>
  <c r="C30" i="47"/>
  <c r="F29" i="47"/>
  <c r="E29" i="47"/>
  <c r="D29" i="47"/>
  <c r="C29" i="47"/>
  <c r="B29" i="47"/>
  <c r="F27" i="47"/>
  <c r="E27" i="47"/>
  <c r="D27" i="47"/>
  <c r="C27" i="47"/>
  <c r="F26" i="47"/>
  <c r="E26" i="47"/>
  <c r="D26" i="47"/>
  <c r="C26" i="47"/>
  <c r="B26" i="47"/>
  <c r="F25" i="47"/>
  <c r="E25" i="47"/>
  <c r="D25" i="47"/>
  <c r="C25" i="47"/>
  <c r="B25" i="47"/>
  <c r="F24" i="47"/>
  <c r="E24" i="47"/>
  <c r="D24" i="47"/>
  <c r="C24" i="47"/>
  <c r="F23" i="47"/>
  <c r="E23" i="47"/>
  <c r="D23" i="47"/>
  <c r="B23" i="47"/>
  <c r="E18" i="47"/>
  <c r="D18" i="47"/>
  <c r="C18" i="47"/>
  <c r="B18" i="47"/>
  <c r="F16" i="47"/>
  <c r="E13" i="47"/>
  <c r="D13" i="47"/>
  <c r="C13" i="47"/>
  <c r="B13" i="47"/>
  <c r="F11" i="47"/>
  <c r="K29" i="51"/>
  <c r="K38" i="51" s="1"/>
  <c r="J29" i="51"/>
  <c r="J38" i="51" s="1"/>
  <c r="L23" i="51"/>
  <c r="L21" i="51"/>
  <c r="K159" i="30"/>
  <c r="J155" i="30"/>
  <c r="K155" i="30" s="1"/>
  <c r="L155" i="30" s="1"/>
  <c r="M155" i="30" s="1"/>
  <c r="N155" i="30" s="1"/>
  <c r="O155" i="30" s="1"/>
  <c r="P155" i="30" s="1"/>
  <c r="Q155" i="30" s="1"/>
  <c r="R155" i="30" s="1"/>
  <c r="I155" i="30"/>
  <c r="H155" i="30"/>
  <c r="G155" i="30"/>
  <c r="F155" i="30"/>
  <c r="J154" i="30"/>
  <c r="I154" i="30"/>
  <c r="H154" i="30"/>
  <c r="G154" i="30"/>
  <c r="F154" i="30"/>
  <c r="J153" i="30"/>
  <c r="I153" i="30"/>
  <c r="H153" i="30"/>
  <c r="G153" i="30"/>
  <c r="F153" i="30"/>
  <c r="J152" i="30"/>
  <c r="D23" i="12" s="1"/>
  <c r="T22" i="12" s="1"/>
  <c r="I152" i="30"/>
  <c r="C23" i="12" s="1"/>
  <c r="S22" i="12" s="1"/>
  <c r="H152" i="30"/>
  <c r="G152" i="30"/>
  <c r="F152" i="30"/>
  <c r="J145" i="30"/>
  <c r="L145" i="30" s="1"/>
  <c r="M145" i="30" s="1"/>
  <c r="N145" i="30" s="1"/>
  <c r="O145" i="30" s="1"/>
  <c r="P145" i="30" s="1"/>
  <c r="Q145" i="30" s="1"/>
  <c r="R145" i="30" s="1"/>
  <c r="I145" i="30"/>
  <c r="H145" i="30"/>
  <c r="G145" i="30"/>
  <c r="F145" i="30"/>
  <c r="J144" i="30"/>
  <c r="K144" i="30" s="1"/>
  <c r="I144" i="30"/>
  <c r="H144" i="30"/>
  <c r="G144" i="30"/>
  <c r="F144" i="30"/>
  <c r="J143" i="30"/>
  <c r="D19" i="12" s="1"/>
  <c r="T18" i="12" s="1"/>
  <c r="I143" i="30"/>
  <c r="C19" i="12" s="1"/>
  <c r="S18" i="12" s="1"/>
  <c r="H143" i="30"/>
  <c r="G143" i="30"/>
  <c r="F143" i="30"/>
  <c r="R139" i="30"/>
  <c r="J138" i="30"/>
  <c r="I138" i="30"/>
  <c r="C15" i="12" s="1"/>
  <c r="S14" i="12" s="1"/>
  <c r="H138" i="30"/>
  <c r="G138" i="30"/>
  <c r="F138" i="30"/>
  <c r="J137" i="30"/>
  <c r="L137" i="30" s="1"/>
  <c r="M137" i="30" s="1"/>
  <c r="N137" i="30" s="1"/>
  <c r="O137" i="30" s="1"/>
  <c r="P137" i="30" s="1"/>
  <c r="Q137" i="30" s="1"/>
  <c r="R137" i="30" s="1"/>
  <c r="I137" i="30"/>
  <c r="H137" i="30"/>
  <c r="G137" i="30"/>
  <c r="F137" i="30"/>
  <c r="J136" i="30"/>
  <c r="L136" i="30" s="1"/>
  <c r="M136" i="30" s="1"/>
  <c r="N136" i="30" s="1"/>
  <c r="O136" i="30" s="1"/>
  <c r="P136" i="30" s="1"/>
  <c r="Q136" i="30" s="1"/>
  <c r="R136" i="30" s="1"/>
  <c r="I136" i="30"/>
  <c r="H136" i="30"/>
  <c r="G136" i="30"/>
  <c r="F136" i="30"/>
  <c r="J135" i="30"/>
  <c r="I135" i="30"/>
  <c r="H135" i="30"/>
  <c r="G135" i="30"/>
  <c r="F135" i="30"/>
  <c r="J125" i="30"/>
  <c r="L125" i="30" s="1"/>
  <c r="M125" i="30" s="1"/>
  <c r="N125" i="30" s="1"/>
  <c r="O125" i="30" s="1"/>
  <c r="P125" i="30" s="1"/>
  <c r="Q125" i="30" s="1"/>
  <c r="R125" i="30" s="1"/>
  <c r="I125" i="30"/>
  <c r="C8" i="12" s="1"/>
  <c r="S8" i="12" s="1"/>
  <c r="H125" i="30"/>
  <c r="G125" i="30"/>
  <c r="F125" i="30"/>
  <c r="J124" i="30"/>
  <c r="I124" i="30"/>
  <c r="H124" i="30"/>
  <c r="G124" i="30"/>
  <c r="F124" i="30"/>
  <c r="J121" i="30"/>
  <c r="L121" i="30" s="1"/>
  <c r="M121" i="30" s="1"/>
  <c r="N121" i="30" s="1"/>
  <c r="O121" i="30" s="1"/>
  <c r="P121" i="30" s="1"/>
  <c r="Q121" i="30" s="1"/>
  <c r="R121" i="30" s="1"/>
  <c r="I121" i="30"/>
  <c r="H121" i="30"/>
  <c r="G121" i="30"/>
  <c r="F121" i="30"/>
  <c r="J120" i="30"/>
  <c r="D6" i="12" s="1"/>
  <c r="T6" i="12" s="1"/>
  <c r="I120" i="30"/>
  <c r="C6" i="12" s="1"/>
  <c r="S6" i="12" s="1"/>
  <c r="H120" i="30"/>
  <c r="G120" i="30"/>
  <c r="F120" i="30"/>
  <c r="J119" i="30"/>
  <c r="K119" i="30" s="1"/>
  <c r="L119" i="30" s="1"/>
  <c r="F5" i="12" s="1"/>
  <c r="V5" i="12" s="1"/>
  <c r="I119" i="30"/>
  <c r="C5" i="12" s="1"/>
  <c r="S5" i="12" s="1"/>
  <c r="H119" i="30"/>
  <c r="G119" i="30"/>
  <c r="F119" i="30"/>
  <c r="J118" i="30"/>
  <c r="K118" i="30" s="1"/>
  <c r="L118" i="30" s="1"/>
  <c r="F4" i="12" s="1"/>
  <c r="V4" i="12" s="1"/>
  <c r="I118" i="30"/>
  <c r="C4" i="12" s="1"/>
  <c r="S4" i="12" s="1"/>
  <c r="H118" i="30"/>
  <c r="G118" i="30"/>
  <c r="F118" i="30"/>
  <c r="J113" i="30"/>
  <c r="J117" i="30" s="1"/>
  <c r="D3" i="12" s="1"/>
  <c r="T3" i="12" s="1"/>
  <c r="I113" i="30"/>
  <c r="I117" i="30" s="1"/>
  <c r="H113" i="30"/>
  <c r="H117" i="30" s="1"/>
  <c r="G113" i="30"/>
  <c r="G117" i="30" s="1"/>
  <c r="F113" i="30"/>
  <c r="F117" i="30" s="1"/>
  <c r="J112" i="30"/>
  <c r="B34" i="24" s="1"/>
  <c r="I112" i="30"/>
  <c r="H112" i="30"/>
  <c r="G112" i="30"/>
  <c r="F112" i="30"/>
  <c r="R110" i="30"/>
  <c r="J108" i="30"/>
  <c r="I108" i="30"/>
  <c r="H108" i="30"/>
  <c r="G108" i="30"/>
  <c r="F108" i="30"/>
  <c r="J107" i="30"/>
  <c r="I107" i="30"/>
  <c r="H107" i="30"/>
  <c r="G107" i="30"/>
  <c r="F107" i="30"/>
  <c r="J106" i="30"/>
  <c r="I106" i="30"/>
  <c r="C36" i="12" s="1"/>
  <c r="S35" i="12" s="1"/>
  <c r="H106" i="30"/>
  <c r="G106" i="30"/>
  <c r="F106" i="30"/>
  <c r="J105" i="30"/>
  <c r="L105" i="30" s="1"/>
  <c r="M105" i="30" s="1"/>
  <c r="I105" i="30"/>
  <c r="H105" i="30"/>
  <c r="G105" i="30"/>
  <c r="F105" i="30"/>
  <c r="J104" i="30"/>
  <c r="I104" i="30"/>
  <c r="H104" i="30"/>
  <c r="G104" i="30"/>
  <c r="F104" i="30"/>
  <c r="J98" i="30"/>
  <c r="D34" i="12" s="1"/>
  <c r="T33" i="12" s="1"/>
  <c r="I98" i="30"/>
  <c r="C34" i="12" s="1"/>
  <c r="S33" i="12" s="1"/>
  <c r="H98" i="30"/>
  <c r="G98" i="30"/>
  <c r="F98" i="30"/>
  <c r="J97" i="30"/>
  <c r="I97" i="30"/>
  <c r="H97" i="30"/>
  <c r="G97" i="30"/>
  <c r="F97" i="30"/>
  <c r="J96" i="30"/>
  <c r="F13" i="51" s="1"/>
  <c r="I96" i="30"/>
  <c r="C33" i="12" s="1"/>
  <c r="S32" i="12" s="1"/>
  <c r="H96" i="30"/>
  <c r="G96" i="30"/>
  <c r="F96" i="30"/>
  <c r="J92" i="30"/>
  <c r="D31" i="12" s="1"/>
  <c r="T30" i="12" s="1"/>
  <c r="I92" i="30"/>
  <c r="C31" i="12" s="1"/>
  <c r="S30" i="12" s="1"/>
  <c r="H92" i="30"/>
  <c r="G92" i="30"/>
  <c r="F92" i="30"/>
  <c r="J91" i="30"/>
  <c r="F12" i="51" s="1"/>
  <c r="I91" i="30"/>
  <c r="E12" i="51" s="1"/>
  <c r="H91" i="30"/>
  <c r="G91" i="30"/>
  <c r="F91" i="30"/>
  <c r="J90" i="30"/>
  <c r="J162" i="30" s="1"/>
  <c r="K162" i="30" s="1"/>
  <c r="L162" i="30" s="1"/>
  <c r="M162" i="30" s="1"/>
  <c r="N162" i="30" s="1"/>
  <c r="O162" i="30" s="1"/>
  <c r="P162" i="30" s="1"/>
  <c r="Q162" i="30" s="1"/>
  <c r="R162" i="30" s="1"/>
  <c r="I90" i="30"/>
  <c r="H90" i="30"/>
  <c r="H162" i="30" s="1"/>
  <c r="G90" i="30"/>
  <c r="G162" i="30" s="1"/>
  <c r="F90" i="30"/>
  <c r="L73" i="30"/>
  <c r="M73" i="30" s="1"/>
  <c r="N73" i="30" s="1"/>
  <c r="O73" i="30" s="1"/>
  <c r="P73" i="30" s="1"/>
  <c r="Q73" i="30" s="1"/>
  <c r="R73" i="30" s="1"/>
  <c r="O72" i="30"/>
  <c r="P72" i="30" s="1"/>
  <c r="Q72" i="30" s="1"/>
  <c r="R72" i="30" s="1"/>
  <c r="K72" i="30"/>
  <c r="J64" i="30"/>
  <c r="L14" i="12" s="1"/>
  <c r="AB14" i="12" s="1"/>
  <c r="I64" i="30"/>
  <c r="K14" i="12" s="1"/>
  <c r="AA14" i="12" s="1"/>
  <c r="H64" i="30"/>
  <c r="G64" i="30"/>
  <c r="F64" i="30"/>
  <c r="O61" i="30"/>
  <c r="P61" i="30" s="1"/>
  <c r="Q61" i="30" s="1"/>
  <c r="R61" i="30" s="1"/>
  <c r="J60" i="30"/>
  <c r="L12" i="12" s="1"/>
  <c r="AB12" i="12" s="1"/>
  <c r="I60" i="30"/>
  <c r="K12" i="12" s="1"/>
  <c r="AA12" i="12" s="1"/>
  <c r="H60" i="30"/>
  <c r="G60" i="30"/>
  <c r="F60" i="30"/>
  <c r="J48" i="30"/>
  <c r="L8" i="12" s="1"/>
  <c r="AB8" i="12" s="1"/>
  <c r="I48" i="30"/>
  <c r="H48" i="30"/>
  <c r="G48" i="30"/>
  <c r="F48" i="30"/>
  <c r="J37" i="30"/>
  <c r="I37" i="30"/>
  <c r="H37" i="30"/>
  <c r="G37" i="30"/>
  <c r="F37" i="30"/>
  <c r="J22" i="30"/>
  <c r="I22" i="30"/>
  <c r="J12" i="30"/>
  <c r="L6" i="12" s="1"/>
  <c r="AB6" i="12" s="1"/>
  <c r="J8" i="30"/>
  <c r="L4" i="12" s="1"/>
  <c r="AB4" i="12" s="1"/>
  <c r="I8" i="30"/>
  <c r="K4" i="12" s="1"/>
  <c r="AA4" i="12" s="1"/>
  <c r="H8" i="30"/>
  <c r="G8" i="30"/>
  <c r="F8" i="30"/>
  <c r="B8" i="24"/>
  <c r="I6" i="30"/>
  <c r="I17" i="30" s="1"/>
  <c r="H6" i="30"/>
  <c r="H17" i="30" s="1"/>
  <c r="G6" i="30"/>
  <c r="G17" i="30" s="1"/>
  <c r="F6" i="30"/>
  <c r="K40" i="12"/>
  <c r="O31" i="12"/>
  <c r="AE31" i="12" s="1"/>
  <c r="N31" i="12"/>
  <c r="AD31" i="12" s="1"/>
  <c r="M31" i="12"/>
  <c r="AC31" i="12" s="1"/>
  <c r="L31" i="12"/>
  <c r="AB31" i="12" s="1"/>
  <c r="K31" i="12"/>
  <c r="AA31" i="12" s="1"/>
  <c r="G27" i="12"/>
  <c r="W26" i="12" s="1"/>
  <c r="F27" i="12"/>
  <c r="V26" i="12" s="1"/>
  <c r="E27" i="12"/>
  <c r="U26" i="12" s="1"/>
  <c r="D27" i="12"/>
  <c r="T26" i="12" s="1"/>
  <c r="C27" i="12"/>
  <c r="S26" i="12" s="1"/>
  <c r="AE17" i="12"/>
  <c r="AD17" i="12"/>
  <c r="AC17" i="12"/>
  <c r="AB17" i="12"/>
  <c r="AA17" i="12"/>
  <c r="G17" i="12"/>
  <c r="W16" i="12" s="1"/>
  <c r="F17" i="12"/>
  <c r="V16" i="12" s="1"/>
  <c r="E17" i="12"/>
  <c r="U16" i="12" s="1"/>
  <c r="D17" i="12"/>
  <c r="T16" i="12" s="1"/>
  <c r="C17" i="12"/>
  <c r="S16" i="12" s="1"/>
  <c r="G11" i="12"/>
  <c r="W11" i="12" s="1"/>
  <c r="F11" i="12"/>
  <c r="V11" i="12" s="1"/>
  <c r="E11" i="12"/>
  <c r="U11" i="12" s="1"/>
  <c r="D11" i="12"/>
  <c r="T11" i="12" s="1"/>
  <c r="C11" i="12"/>
  <c r="S11" i="12" s="1"/>
  <c r="W10" i="12"/>
  <c r="V10" i="12"/>
  <c r="U10" i="12"/>
  <c r="T10" i="12"/>
  <c r="S10" i="12"/>
  <c r="O10" i="12"/>
  <c r="AE10" i="12" s="1"/>
  <c r="N10" i="12"/>
  <c r="AD10" i="12" s="1"/>
  <c r="M10" i="12"/>
  <c r="AC10" i="12" s="1"/>
  <c r="L10" i="12"/>
  <c r="AB10" i="12" s="1"/>
  <c r="K10" i="12"/>
  <c r="AA10" i="12" s="1"/>
  <c r="R9" i="12"/>
  <c r="O9" i="12"/>
  <c r="AE9" i="12" s="1"/>
  <c r="N9" i="12"/>
  <c r="AD9" i="12" s="1"/>
  <c r="M9" i="12"/>
  <c r="AC9" i="12" s="1"/>
  <c r="L9" i="12"/>
  <c r="AB9" i="12" s="1"/>
  <c r="K9" i="12"/>
  <c r="AA9" i="12" s="1"/>
  <c r="R8" i="12"/>
  <c r="B8" i="12"/>
  <c r="AE2" i="12"/>
  <c r="O2" i="12"/>
  <c r="N2" i="12"/>
  <c r="AD2" i="12" s="1"/>
  <c r="M2" i="12"/>
  <c r="AC2" i="12" s="1"/>
  <c r="L2" i="12"/>
  <c r="AB2" i="12" s="1"/>
  <c r="K2" i="12"/>
  <c r="AA2" i="12" s="1"/>
  <c r="G2" i="12"/>
  <c r="W2" i="12" s="1"/>
  <c r="F2" i="12"/>
  <c r="V2" i="12" s="1"/>
  <c r="E2" i="12"/>
  <c r="U2" i="12" s="1"/>
  <c r="D2" i="12"/>
  <c r="T2" i="12" s="1"/>
  <c r="C2" i="12"/>
  <c r="S2" i="12" s="1"/>
  <c r="A44" i="24"/>
  <c r="A43" i="24"/>
  <c r="E18" i="24"/>
  <c r="D18" i="24"/>
  <c r="C18" i="24"/>
  <c r="B18" i="24"/>
  <c r="E17" i="24"/>
  <c r="D17" i="24"/>
  <c r="C17" i="24"/>
  <c r="B17" i="24"/>
  <c r="A12" i="24"/>
  <c r="E6" i="24"/>
  <c r="D6" i="24"/>
  <c r="C6" i="24"/>
  <c r="B6" i="24"/>
  <c r="A6" i="24"/>
  <c r="I29" i="51" l="1"/>
  <c r="H29" i="51" s="1"/>
  <c r="H38" i="51" s="1"/>
  <c r="L29" i="51"/>
  <c r="L24" i="51"/>
  <c r="G33" i="51" s="1"/>
  <c r="G42" i="51" s="1"/>
  <c r="G39" i="47"/>
  <c r="G40" i="47" s="1"/>
  <c r="G31" i="47"/>
  <c r="H31" i="30"/>
  <c r="G33" i="30"/>
  <c r="H33" i="30"/>
  <c r="J14" i="30"/>
  <c r="I33" i="30"/>
  <c r="H27" i="30"/>
  <c r="J16" i="30"/>
  <c r="I27" i="30"/>
  <c r="G29" i="30"/>
  <c r="H29" i="30"/>
  <c r="G27" i="30"/>
  <c r="I29" i="30"/>
  <c r="G31" i="30"/>
  <c r="I31" i="30"/>
  <c r="J18" i="30"/>
  <c r="D32" i="47"/>
  <c r="E52" i="47"/>
  <c r="D56" i="47"/>
  <c r="D52" i="47"/>
  <c r="D54" i="47"/>
  <c r="G69" i="47"/>
  <c r="I64" i="47"/>
  <c r="I69" i="47" s="1"/>
  <c r="H69" i="47"/>
  <c r="G32" i="47"/>
  <c r="H6" i="59"/>
  <c r="P29" i="30"/>
  <c r="J30" i="30"/>
  <c r="G21" i="30"/>
  <c r="H21" i="30"/>
  <c r="I21" i="30"/>
  <c r="G15" i="30"/>
  <c r="I130" i="30"/>
  <c r="C12" i="12" s="1"/>
  <c r="S12" i="12" s="1"/>
  <c r="C20" i="12"/>
  <c r="S19" i="12" s="1"/>
  <c r="G19" i="30"/>
  <c r="K120" i="30"/>
  <c r="L120" i="30" s="1"/>
  <c r="F6" i="12" s="1"/>
  <c r="V6" i="12" s="1"/>
  <c r="H19" i="30"/>
  <c r="I19" i="30"/>
  <c r="I15" i="30"/>
  <c r="G13" i="30"/>
  <c r="H15" i="30"/>
  <c r="I13" i="30"/>
  <c r="E31" i="12"/>
  <c r="U30" i="12" s="1"/>
  <c r="J44" i="30"/>
  <c r="E8" i="12"/>
  <c r="U8" i="12" s="1"/>
  <c r="D12" i="12"/>
  <c r="T12" i="12" s="1"/>
  <c r="F8" i="12"/>
  <c r="V8" i="12" s="1"/>
  <c r="G8" i="12"/>
  <c r="W8" i="12" s="1"/>
  <c r="G38" i="30"/>
  <c r="B21" i="24"/>
  <c r="D5" i="12"/>
  <c r="T5" i="12" s="1"/>
  <c r="E5" i="12"/>
  <c r="U5" i="12" s="1"/>
  <c r="K97" i="30"/>
  <c r="L97" i="30" s="1"/>
  <c r="H7" i="30"/>
  <c r="J99" i="30"/>
  <c r="D35" i="12" s="1"/>
  <c r="T34" i="12" s="1"/>
  <c r="E13" i="51"/>
  <c r="H38" i="30"/>
  <c r="D29" i="12"/>
  <c r="T28" i="12" s="1"/>
  <c r="E33" i="12"/>
  <c r="U32" i="12" s="1"/>
  <c r="J38" i="30"/>
  <c r="D33" i="12"/>
  <c r="T32" i="12" s="1"/>
  <c r="F38" i="30"/>
  <c r="S36" i="12"/>
  <c r="D4" i="12"/>
  <c r="T4" i="12" s="1"/>
  <c r="G122" i="30"/>
  <c r="L7" i="12"/>
  <c r="AB7" i="12" s="1"/>
  <c r="I7" i="30"/>
  <c r="K24" i="12" s="1"/>
  <c r="AA24" i="12" s="1"/>
  <c r="H99" i="30"/>
  <c r="U36" i="12"/>
  <c r="H122" i="30"/>
  <c r="J156" i="30"/>
  <c r="J160" i="30" s="1"/>
  <c r="B26" i="24" s="1"/>
  <c r="I38" i="30"/>
  <c r="K112" i="30"/>
  <c r="C34" i="24" s="1"/>
  <c r="G9" i="30"/>
  <c r="G11" i="30" s="1"/>
  <c r="G166" i="30" s="1"/>
  <c r="I122" i="30"/>
  <c r="C7" i="12" s="1"/>
  <c r="S7" i="12" s="1"/>
  <c r="C3" i="12"/>
  <c r="S3" i="12" s="1"/>
  <c r="K3" i="12"/>
  <c r="AA3" i="12" s="1"/>
  <c r="D8" i="12"/>
  <c r="T8" i="12" s="1"/>
  <c r="D30" i="12"/>
  <c r="T29" i="12" s="1"/>
  <c r="H130" i="30"/>
  <c r="F109" i="30"/>
  <c r="G146" i="30"/>
  <c r="F99" i="30"/>
  <c r="F156" i="30"/>
  <c r="F160" i="30" s="1"/>
  <c r="D36" i="12"/>
  <c r="T35" i="12" s="1"/>
  <c r="G99" i="30"/>
  <c r="J146" i="30"/>
  <c r="D21" i="12" s="1"/>
  <c r="T20" i="12" s="1"/>
  <c r="F146" i="30"/>
  <c r="D9" i="12"/>
  <c r="T9" i="12" s="1"/>
  <c r="H146" i="30"/>
  <c r="M8" i="12"/>
  <c r="AC8" i="12" s="1"/>
  <c r="F130" i="30"/>
  <c r="H156" i="30"/>
  <c r="H160" i="30" s="1"/>
  <c r="F167" i="30"/>
  <c r="E4" i="12"/>
  <c r="U4" i="12" s="1"/>
  <c r="M118" i="30"/>
  <c r="N118" i="30" s="1"/>
  <c r="O118" i="30" s="1"/>
  <c r="P118" i="30" s="1"/>
  <c r="Q118" i="30" s="1"/>
  <c r="R118" i="30" s="1"/>
  <c r="D20" i="12"/>
  <c r="T19" i="12" s="1"/>
  <c r="J109" i="30"/>
  <c r="B32" i="24" s="1"/>
  <c r="I146" i="30"/>
  <c r="C21" i="12" s="1"/>
  <c r="S20" i="12" s="1"/>
  <c r="C30" i="12"/>
  <c r="S29" i="12" s="1"/>
  <c r="T36" i="12"/>
  <c r="F9" i="30"/>
  <c r="F11" i="30" s="1"/>
  <c r="F166" i="30" s="1"/>
  <c r="I99" i="30"/>
  <c r="C35" i="12" s="1"/>
  <c r="S34" i="12" s="1"/>
  <c r="I109" i="30"/>
  <c r="C37" i="12" s="1"/>
  <c r="S37" i="12" s="1"/>
  <c r="G130" i="30"/>
  <c r="I156" i="30"/>
  <c r="K34" i="12" s="1"/>
  <c r="J167" i="30"/>
  <c r="C9" i="12"/>
  <c r="S9" i="12" s="1"/>
  <c r="J13" i="30"/>
  <c r="J21" i="30" s="1"/>
  <c r="J20" i="30" s="1"/>
  <c r="F5" i="51"/>
  <c r="J176" i="30"/>
  <c r="J174" i="30"/>
  <c r="J175" i="30"/>
  <c r="L3" i="12"/>
  <c r="AB3" i="12" s="1"/>
  <c r="L38" i="12"/>
  <c r="AB38" i="12" s="1"/>
  <c r="J23" i="30"/>
  <c r="J33" i="30" s="1"/>
  <c r="J32" i="30" s="1"/>
  <c r="K152" i="30"/>
  <c r="J122" i="30"/>
  <c r="L144" i="30"/>
  <c r="E20" i="12"/>
  <c r="U19" i="12" s="1"/>
  <c r="K37" i="30"/>
  <c r="L37" i="30" s="1"/>
  <c r="K8" i="12"/>
  <c r="AA8" i="12" s="1"/>
  <c r="I162" i="30"/>
  <c r="E11" i="51"/>
  <c r="C29" i="12"/>
  <c r="S28" i="12" s="1"/>
  <c r="M119" i="30"/>
  <c r="J9" i="30"/>
  <c r="I23" i="30"/>
  <c r="K7" i="12"/>
  <c r="AA7" i="12" s="1"/>
  <c r="G44" i="30"/>
  <c r="H44" i="30"/>
  <c r="I44" i="30"/>
  <c r="G141" i="30"/>
  <c r="J7" i="30"/>
  <c r="G109" i="30"/>
  <c r="D15" i="12"/>
  <c r="T14" i="12" s="1"/>
  <c r="G23" i="30"/>
  <c r="G176" i="30"/>
  <c r="G174" i="30"/>
  <c r="G7" i="30"/>
  <c r="G175" i="30"/>
  <c r="G167" i="30"/>
  <c r="H109" i="30"/>
  <c r="F122" i="30"/>
  <c r="F141" i="30"/>
  <c r="L98" i="30"/>
  <c r="H141" i="30"/>
  <c r="G156" i="30"/>
  <c r="H176" i="30"/>
  <c r="H174" i="30"/>
  <c r="H23" i="30"/>
  <c r="H9" i="30"/>
  <c r="H175" i="30"/>
  <c r="H13" i="30"/>
  <c r="H167" i="30"/>
  <c r="K143" i="30"/>
  <c r="C16" i="12"/>
  <c r="S15" i="12" s="1"/>
  <c r="I141" i="30"/>
  <c r="E36" i="12"/>
  <c r="U35" i="12" s="1"/>
  <c r="E5" i="51"/>
  <c r="I176" i="30"/>
  <c r="I174" i="30"/>
  <c r="I9" i="30"/>
  <c r="I175" i="30"/>
  <c r="K38" i="12"/>
  <c r="AA38" i="12" s="1"/>
  <c r="I167" i="30"/>
  <c r="F162" i="30"/>
  <c r="F44" i="30"/>
  <c r="J141" i="30"/>
  <c r="D16" i="12"/>
  <c r="T15" i="12" s="1"/>
  <c r="F175" i="30"/>
  <c r="F23" i="30"/>
  <c r="F176" i="30"/>
  <c r="F174" i="30"/>
  <c r="F13" i="30"/>
  <c r="F11" i="51"/>
  <c r="L159" i="30"/>
  <c r="M159" i="30" s="1"/>
  <c r="D49" i="47"/>
  <c r="D50" i="47" s="1"/>
  <c r="E49" i="47"/>
  <c r="E54" i="47"/>
  <c r="E32" i="47"/>
  <c r="I38" i="51" l="1"/>
  <c r="L38" i="51"/>
  <c r="M29" i="51"/>
  <c r="M38" i="51" s="1"/>
  <c r="G32" i="51"/>
  <c r="G31" i="51" s="1"/>
  <c r="G34" i="51"/>
  <c r="G35" i="51" s="1"/>
  <c r="G29" i="47"/>
  <c r="G30" i="47" s="1"/>
  <c r="H5" i="59"/>
  <c r="H7" i="59"/>
  <c r="G25" i="47"/>
  <c r="M4" i="12" s="1"/>
  <c r="AC4" i="12" s="1"/>
  <c r="G23" i="47"/>
  <c r="G24" i="47" s="1"/>
  <c r="Q29" i="30"/>
  <c r="E6" i="12"/>
  <c r="U6" i="12" s="1"/>
  <c r="L92" i="30"/>
  <c r="M92" i="30" s="1"/>
  <c r="N92" i="30" s="1"/>
  <c r="O92" i="30" s="1"/>
  <c r="L96" i="30"/>
  <c r="L99" i="30" s="1"/>
  <c r="J157" i="30"/>
  <c r="G13" i="51"/>
  <c r="B31" i="24"/>
  <c r="G132" i="30"/>
  <c r="H157" i="30"/>
  <c r="F168" i="30"/>
  <c r="I132" i="30"/>
  <c r="C13" i="12" s="1"/>
  <c r="S13" i="12" s="1"/>
  <c r="E35" i="12"/>
  <c r="U34" i="12" s="1"/>
  <c r="L34" i="12"/>
  <c r="L37" i="12" s="1"/>
  <c r="AB37" i="12" s="1"/>
  <c r="B27" i="24"/>
  <c r="K29" i="12"/>
  <c r="AA29" i="12" s="1"/>
  <c r="F148" i="30"/>
  <c r="F157" i="30"/>
  <c r="D24" i="12"/>
  <c r="T23" i="12" s="1"/>
  <c r="L108" i="30"/>
  <c r="M108" i="30" s="1"/>
  <c r="C32" i="24"/>
  <c r="M37" i="30"/>
  <c r="H148" i="30"/>
  <c r="H179" i="30" s="1"/>
  <c r="M120" i="30"/>
  <c r="N120" i="30" s="1"/>
  <c r="O120" i="30" s="1"/>
  <c r="H132" i="30"/>
  <c r="G4" i="12"/>
  <c r="W4" i="12" s="1"/>
  <c r="F6" i="51"/>
  <c r="L48" i="30"/>
  <c r="M48" i="30" s="1"/>
  <c r="G10" i="30"/>
  <c r="I39" i="30"/>
  <c r="F132" i="30"/>
  <c r="F177" i="30" s="1"/>
  <c r="J168" i="30"/>
  <c r="L21" i="12" s="1"/>
  <c r="AB21" i="12" s="1"/>
  <c r="D37" i="12"/>
  <c r="T37" i="12" s="1"/>
  <c r="I160" i="30"/>
  <c r="C24" i="12" s="1"/>
  <c r="S23" i="12" s="1"/>
  <c r="I157" i="30"/>
  <c r="G148" i="30"/>
  <c r="J39" i="30"/>
  <c r="G40" i="30"/>
  <c r="G41" i="30"/>
  <c r="G168" i="30"/>
  <c r="G39" i="30"/>
  <c r="E12" i="12"/>
  <c r="U12" i="12" s="1"/>
  <c r="E9" i="12"/>
  <c r="U9" i="12" s="1"/>
  <c r="J148" i="30"/>
  <c r="D18" i="12"/>
  <c r="T17" i="12" s="1"/>
  <c r="L24" i="12"/>
  <c r="AB24" i="12" s="1"/>
  <c r="B9" i="24"/>
  <c r="H40" i="30"/>
  <c r="H39" i="30"/>
  <c r="H11" i="30"/>
  <c r="H166" i="30" s="1"/>
  <c r="H10" i="30"/>
  <c r="H41" i="30"/>
  <c r="H43" i="30" s="1"/>
  <c r="H169" i="30" s="1"/>
  <c r="K44" i="30"/>
  <c r="L44" i="30" s="1"/>
  <c r="J132" i="30"/>
  <c r="L29" i="12"/>
  <c r="AB29" i="12" s="1"/>
  <c r="D7" i="12"/>
  <c r="T7" i="12" s="1"/>
  <c r="L28" i="12"/>
  <c r="AB28" i="12" s="1"/>
  <c r="F41" i="30"/>
  <c r="F45" i="30" s="1"/>
  <c r="F47" i="30" s="1"/>
  <c r="F34" i="12"/>
  <c r="V33" i="12" s="1"/>
  <c r="L138" i="30"/>
  <c r="E15" i="12"/>
  <c r="U14" i="12" s="1"/>
  <c r="N119" i="30"/>
  <c r="O119" i="30" s="1"/>
  <c r="P119" i="30" s="1"/>
  <c r="Q119" i="30" s="1"/>
  <c r="G5" i="12"/>
  <c r="W5" i="12" s="1"/>
  <c r="AA34" i="12"/>
  <c r="K37" i="12"/>
  <c r="AA37" i="12" s="1"/>
  <c r="K28" i="12"/>
  <c r="AA28" i="12" s="1"/>
  <c r="N159" i="30"/>
  <c r="O159" i="30" s="1"/>
  <c r="M104" i="30"/>
  <c r="E34" i="12"/>
  <c r="U33" i="12" s="1"/>
  <c r="M98" i="30"/>
  <c r="E23" i="12"/>
  <c r="U22" i="12" s="1"/>
  <c r="L152" i="30"/>
  <c r="M144" i="30"/>
  <c r="F20" i="12"/>
  <c r="V19" i="12" s="1"/>
  <c r="I168" i="30"/>
  <c r="K21" i="12" s="1"/>
  <c r="AA21" i="12" s="1"/>
  <c r="I40" i="30"/>
  <c r="I148" i="30"/>
  <c r="C18" i="12"/>
  <c r="S17" i="12" s="1"/>
  <c r="F40" i="30"/>
  <c r="M106" i="30"/>
  <c r="F36" i="12"/>
  <c r="V35" i="12" s="1"/>
  <c r="G157" i="30"/>
  <c r="G160" i="30"/>
  <c r="H168" i="30"/>
  <c r="K5" i="12"/>
  <c r="AA5" i="12" s="1"/>
  <c r="I41" i="30"/>
  <c r="I11" i="30"/>
  <c r="I166" i="30" s="1"/>
  <c r="K20" i="12" s="1"/>
  <c r="AA20" i="12" s="1"/>
  <c r="I10" i="30"/>
  <c r="K25" i="12" s="1"/>
  <c r="AA25" i="12" s="1"/>
  <c r="E19" i="12"/>
  <c r="U18" i="12" s="1"/>
  <c r="E21" i="12"/>
  <c r="U20" i="12" s="1"/>
  <c r="L5" i="12"/>
  <c r="AB5" i="12" s="1"/>
  <c r="B20" i="24"/>
  <c r="J11" i="30"/>
  <c r="J166" i="30" s="1"/>
  <c r="J10" i="30"/>
  <c r="L25" i="12" s="1"/>
  <c r="AB25" i="12" s="1"/>
  <c r="L135" i="30"/>
  <c r="K91" i="30"/>
  <c r="E16" i="12"/>
  <c r="U15" i="12" s="1"/>
  <c r="M97" i="30"/>
  <c r="F50" i="47"/>
  <c r="E50" i="47"/>
  <c r="M143" i="30" l="1"/>
  <c r="N106" i="30"/>
  <c r="O106" i="30" s="1"/>
  <c r="P106" i="30" s="1"/>
  <c r="Q106" i="30" s="1"/>
  <c r="R106" i="30" s="1"/>
  <c r="G41" i="51"/>
  <c r="G43" i="51"/>
  <c r="G44" i="51"/>
  <c r="G36" i="51"/>
  <c r="G45" i="51" s="1"/>
  <c r="G40" i="51"/>
  <c r="G30" i="51"/>
  <c r="G39" i="51" s="1"/>
  <c r="G61" i="47"/>
  <c r="G26" i="47"/>
  <c r="G27" i="47" s="1"/>
  <c r="K18" i="30"/>
  <c r="K20" i="30"/>
  <c r="K28" i="30"/>
  <c r="K16" i="30"/>
  <c r="K24" i="30"/>
  <c r="K32" i="30"/>
  <c r="K30" i="30"/>
  <c r="K26" i="30"/>
  <c r="K14" i="30"/>
  <c r="R29" i="30"/>
  <c r="H13" i="51"/>
  <c r="F31" i="12"/>
  <c r="V30" i="12" s="1"/>
  <c r="N37" i="30"/>
  <c r="F33" i="12"/>
  <c r="V32" i="12" s="1"/>
  <c r="M96" i="30"/>
  <c r="M99" i="30" s="1"/>
  <c r="H2" i="30"/>
  <c r="H177" i="30"/>
  <c r="F2" i="30"/>
  <c r="P120" i="30"/>
  <c r="Q120" i="30" s="1"/>
  <c r="Q91" i="30" s="1"/>
  <c r="M12" i="51" s="1"/>
  <c r="I177" i="30"/>
  <c r="AB34" i="12"/>
  <c r="I2" i="30"/>
  <c r="G178" i="30"/>
  <c r="G6" i="12"/>
  <c r="W6" i="12" s="1"/>
  <c r="F179" i="30"/>
  <c r="G31" i="12"/>
  <c r="W30" i="12" s="1"/>
  <c r="C31" i="24"/>
  <c r="G179" i="30"/>
  <c r="L109" i="30"/>
  <c r="D32" i="24" s="1"/>
  <c r="V36" i="12"/>
  <c r="E37" i="12"/>
  <c r="U37" i="12" s="1"/>
  <c r="N8" i="12"/>
  <c r="AD8" i="12" s="1"/>
  <c r="N108" i="30"/>
  <c r="O108" i="30" s="1"/>
  <c r="P108" i="30" s="1"/>
  <c r="F178" i="30"/>
  <c r="H178" i="30"/>
  <c r="G2" i="30"/>
  <c r="G42" i="30"/>
  <c r="O8" i="12"/>
  <c r="AE8" i="12" s="1"/>
  <c r="J40" i="30"/>
  <c r="G177" i="30"/>
  <c r="J41" i="30"/>
  <c r="F7" i="51" s="1"/>
  <c r="N48" i="30"/>
  <c r="O48" i="30" s="1"/>
  <c r="P48" i="30" s="1"/>
  <c r="H42" i="30"/>
  <c r="N97" i="30"/>
  <c r="O97" i="30" s="1"/>
  <c r="G36" i="12"/>
  <c r="W35" i="12" s="1"/>
  <c r="J178" i="30"/>
  <c r="J179" i="30"/>
  <c r="D22" i="12"/>
  <c r="T21" i="12" s="1"/>
  <c r="B25" i="24"/>
  <c r="D25" i="12"/>
  <c r="T24" i="12" s="1"/>
  <c r="I42" i="30"/>
  <c r="G34" i="12"/>
  <c r="W33" i="12" s="1"/>
  <c r="P159" i="30"/>
  <c r="Q159" i="30" s="1"/>
  <c r="R159" i="30" s="1"/>
  <c r="M138" i="30"/>
  <c r="F15" i="12"/>
  <c r="V14" i="12" s="1"/>
  <c r="H55" i="30"/>
  <c r="H59" i="30" s="1"/>
  <c r="E7" i="51"/>
  <c r="I43" i="30"/>
  <c r="I169" i="30" s="1"/>
  <c r="I45" i="30"/>
  <c r="I47" i="30" s="1"/>
  <c r="I55" i="30"/>
  <c r="H45" i="30"/>
  <c r="B13" i="24"/>
  <c r="L20" i="12"/>
  <c r="AB20" i="12" s="1"/>
  <c r="F55" i="30"/>
  <c r="F59" i="30" s="1"/>
  <c r="F43" i="30"/>
  <c r="F169" i="30" s="1"/>
  <c r="D31" i="24"/>
  <c r="F35" i="12"/>
  <c r="V34" i="12" s="1"/>
  <c r="N98" i="30"/>
  <c r="O98" i="30" s="1"/>
  <c r="D13" i="12"/>
  <c r="T13" i="12" s="1"/>
  <c r="J2" i="30"/>
  <c r="B24" i="24"/>
  <c r="J177" i="30"/>
  <c r="G43" i="30"/>
  <c r="G169" i="30" s="1"/>
  <c r="N144" i="30"/>
  <c r="O144" i="30" s="1"/>
  <c r="P144" i="30" s="1"/>
  <c r="Q144" i="30" s="1"/>
  <c r="R144" i="30" s="1"/>
  <c r="G20" i="12"/>
  <c r="W19" i="12" s="1"/>
  <c r="P92" i="30"/>
  <c r="Q92" i="30" s="1"/>
  <c r="R92" i="30" s="1"/>
  <c r="G55" i="30"/>
  <c r="G59" i="30" s="1"/>
  <c r="M152" i="30"/>
  <c r="L156" i="30"/>
  <c r="F23" i="12"/>
  <c r="V22" i="12" s="1"/>
  <c r="G45" i="30"/>
  <c r="G47" i="30" s="1"/>
  <c r="G12" i="51"/>
  <c r="E30" i="12"/>
  <c r="U29" i="12" s="1"/>
  <c r="I179" i="30"/>
  <c r="I178" i="30"/>
  <c r="C22" i="12"/>
  <c r="S21" i="12" s="1"/>
  <c r="C25" i="12"/>
  <c r="S24" i="12" s="1"/>
  <c r="L141" i="30"/>
  <c r="L91" i="30"/>
  <c r="F16" i="12"/>
  <c r="V15" i="12" s="1"/>
  <c r="M135" i="30"/>
  <c r="L90" i="30"/>
  <c r="N104" i="30"/>
  <c r="M109" i="30"/>
  <c r="W36" i="12"/>
  <c r="L130" i="30"/>
  <c r="F12" i="12" s="1"/>
  <c r="V12" i="12" s="1"/>
  <c r="F9" i="12"/>
  <c r="V9" i="12" s="1"/>
  <c r="K148" i="30"/>
  <c r="E18" i="12"/>
  <c r="U17" i="12" s="1"/>
  <c r="F19" i="12"/>
  <c r="V18" i="12" s="1"/>
  <c r="L146" i="30"/>
  <c r="F21" i="12" s="1"/>
  <c r="V20" i="12" s="1"/>
  <c r="R119" i="30"/>
  <c r="K90" i="30"/>
  <c r="M44" i="30"/>
  <c r="N44" i="30" s="1"/>
  <c r="K176" i="30"/>
  <c r="G5" i="51"/>
  <c r="K175" i="30"/>
  <c r="K174" i="30"/>
  <c r="C8" i="24"/>
  <c r="K167" i="30"/>
  <c r="M38" i="12"/>
  <c r="AC38" i="12" s="1"/>
  <c r="M3" i="12"/>
  <c r="AC3" i="12" s="1"/>
  <c r="K7" i="30"/>
  <c r="N143" i="30" l="1"/>
  <c r="H19" i="12" s="1"/>
  <c r="K13" i="30"/>
  <c r="O37" i="30"/>
  <c r="P37" i="30" s="1"/>
  <c r="Q37" i="30" s="1"/>
  <c r="R37" i="30" s="1"/>
  <c r="G33" i="12"/>
  <c r="W32" i="12" s="1"/>
  <c r="N96" i="30"/>
  <c r="J13" i="51" s="1"/>
  <c r="I13" i="51"/>
  <c r="F37" i="12"/>
  <c r="V37" i="12" s="1"/>
  <c r="J55" i="30"/>
  <c r="J59" i="30" s="1"/>
  <c r="B19" i="24"/>
  <c r="F57" i="30"/>
  <c r="J42" i="30"/>
  <c r="I56" i="30"/>
  <c r="H56" i="30"/>
  <c r="J43" i="30"/>
  <c r="J169" i="30" s="1"/>
  <c r="G46" i="30"/>
  <c r="H57" i="30"/>
  <c r="H46" i="30"/>
  <c r="P98" i="30"/>
  <c r="Q98" i="30" s="1"/>
  <c r="R98" i="30" s="1"/>
  <c r="Q48" i="30"/>
  <c r="R48" i="30" s="1"/>
  <c r="R120" i="30"/>
  <c r="R91" i="30" s="1"/>
  <c r="N12" i="51" s="1"/>
  <c r="J45" i="30"/>
  <c r="J46" i="30" s="1"/>
  <c r="P97" i="30"/>
  <c r="Q97" i="30" s="1"/>
  <c r="R97" i="30" s="1"/>
  <c r="N90" i="30"/>
  <c r="J11" i="51" s="1"/>
  <c r="N138" i="30"/>
  <c r="O138" i="30" s="1"/>
  <c r="P138" i="30" s="1"/>
  <c r="Q138" i="30" s="1"/>
  <c r="R138" i="30" s="1"/>
  <c r="G15" i="12"/>
  <c r="W14" i="12" s="1"/>
  <c r="G11" i="51"/>
  <c r="C21" i="24"/>
  <c r="E29" i="12"/>
  <c r="U28" i="12" s="1"/>
  <c r="G37" i="12"/>
  <c r="W37" i="12" s="1"/>
  <c r="E32" i="24"/>
  <c r="O104" i="30"/>
  <c r="N109" i="30"/>
  <c r="L160" i="30"/>
  <c r="N34" i="12"/>
  <c r="D27" i="24"/>
  <c r="L157" i="30"/>
  <c r="H11" i="51"/>
  <c r="D21" i="24"/>
  <c r="F29" i="12"/>
  <c r="V28" i="12" s="1"/>
  <c r="C26" i="24"/>
  <c r="E25" i="12"/>
  <c r="U24" i="12" s="1"/>
  <c r="E24" i="12"/>
  <c r="U23" i="12" s="1"/>
  <c r="G23" i="12"/>
  <c r="W22" i="12" s="1"/>
  <c r="M156" i="30"/>
  <c r="N152" i="30"/>
  <c r="O44" i="30"/>
  <c r="P44" i="30" s="1"/>
  <c r="P90" i="30" s="1"/>
  <c r="L11" i="51" s="1"/>
  <c r="G56" i="30"/>
  <c r="G19" i="12"/>
  <c r="W18" i="12" s="1"/>
  <c r="M146" i="30"/>
  <c r="G21" i="12" s="1"/>
  <c r="W20" i="12" s="1"/>
  <c r="I59" i="30"/>
  <c r="I57" i="30"/>
  <c r="G57" i="30"/>
  <c r="M141" i="30"/>
  <c r="N135" i="30"/>
  <c r="M91" i="30"/>
  <c r="G16" i="12"/>
  <c r="W15" i="12" s="1"/>
  <c r="F10" i="51"/>
  <c r="F14" i="51" s="1"/>
  <c r="B35" i="24" s="1"/>
  <c r="F9" i="51"/>
  <c r="F8" i="51"/>
  <c r="B16" i="24"/>
  <c r="C25" i="24"/>
  <c r="E22" i="12"/>
  <c r="U21" i="12" s="1"/>
  <c r="I46" i="30"/>
  <c r="H12" i="51"/>
  <c r="F30" i="12"/>
  <c r="V29" i="12" s="1"/>
  <c r="E10" i="51"/>
  <c r="E14" i="51" s="1"/>
  <c r="E9" i="51"/>
  <c r="H47" i="30"/>
  <c r="M130" i="30"/>
  <c r="G12" i="12" s="1"/>
  <c r="W12" i="12" s="1"/>
  <c r="H9" i="12"/>
  <c r="G9" i="12"/>
  <c r="W9" i="12" s="1"/>
  <c r="L148" i="30"/>
  <c r="F18" i="12"/>
  <c r="V17" i="12" s="1"/>
  <c r="Q108" i="30"/>
  <c r="R108" i="30" s="1"/>
  <c r="M90" i="30"/>
  <c r="G35" i="12"/>
  <c r="W34" i="12" s="1"/>
  <c r="E31" i="24"/>
  <c r="H62" i="30"/>
  <c r="H61" i="30"/>
  <c r="G62" i="30"/>
  <c r="G61" i="30"/>
  <c r="F62" i="30"/>
  <c r="F61" i="30"/>
  <c r="M24" i="12"/>
  <c r="AC24" i="12" s="1"/>
  <c r="C9" i="24"/>
  <c r="G6" i="51"/>
  <c r="M5" i="12"/>
  <c r="AC5" i="12" s="1"/>
  <c r="C20" i="24"/>
  <c r="K11" i="30"/>
  <c r="K166" i="30" s="1"/>
  <c r="K10" i="30"/>
  <c r="M25" i="12" s="1"/>
  <c r="AC25" i="12" s="1"/>
  <c r="M7" i="12" l="1"/>
  <c r="AC7" i="12" s="1"/>
  <c r="M6" i="12"/>
  <c r="AC6" i="12" s="1"/>
  <c r="K38" i="30"/>
  <c r="K41" i="30" s="1"/>
  <c r="K55" i="30" s="1"/>
  <c r="J56" i="30"/>
  <c r="J57" i="30"/>
  <c r="J47" i="30"/>
  <c r="O96" i="30"/>
  <c r="K13" i="51" s="1"/>
  <c r="N99" i="30"/>
  <c r="B15" i="24"/>
  <c r="O143" i="30"/>
  <c r="N146" i="30"/>
  <c r="H21" i="12" s="1"/>
  <c r="J62" i="30"/>
  <c r="J66" i="30" s="1"/>
  <c r="B22" i="24"/>
  <c r="B29" i="24" s="1"/>
  <c r="J61" i="30"/>
  <c r="L11" i="12"/>
  <c r="AB11" i="12" s="1"/>
  <c r="I12" i="51"/>
  <c r="G30" i="12"/>
  <c r="W29" i="12" s="1"/>
  <c r="N141" i="30"/>
  <c r="O135" i="30"/>
  <c r="N91" i="30"/>
  <c r="J12" i="51" s="1"/>
  <c r="O90" i="30"/>
  <c r="K11" i="51" s="1"/>
  <c r="I11" i="51"/>
  <c r="G29" i="12"/>
  <c r="W28" i="12" s="1"/>
  <c r="E21" i="24"/>
  <c r="M148" i="30"/>
  <c r="G18" i="12"/>
  <c r="W17" i="12" s="1"/>
  <c r="O152" i="30"/>
  <c r="N156" i="30"/>
  <c r="N37" i="12"/>
  <c r="AD37" i="12" s="1"/>
  <c r="AD34" i="12"/>
  <c r="L179" i="30"/>
  <c r="F22" i="12"/>
  <c r="V21" i="12" s="1"/>
  <c r="D25" i="24"/>
  <c r="I61" i="30"/>
  <c r="I62" i="30"/>
  <c r="K11" i="12"/>
  <c r="AA11" i="12" s="1"/>
  <c r="F25" i="12"/>
  <c r="V24" i="12" s="1"/>
  <c r="D26" i="24"/>
  <c r="F24" i="12"/>
  <c r="V23" i="12" s="1"/>
  <c r="O124" i="30"/>
  <c r="N130" i="30"/>
  <c r="H12" i="12" s="1"/>
  <c r="M160" i="30"/>
  <c r="I24" i="12"/>
  <c r="E27" i="24"/>
  <c r="M157" i="30"/>
  <c r="O34" i="12"/>
  <c r="P104" i="30"/>
  <c r="O109" i="30"/>
  <c r="Q44" i="30"/>
  <c r="Q90" i="30" s="1"/>
  <c r="M11" i="51" s="1"/>
  <c r="F66" i="30"/>
  <c r="F65" i="30"/>
  <c r="G66" i="30"/>
  <c r="G65" i="30"/>
  <c r="H66" i="30"/>
  <c r="H65" i="30"/>
  <c r="K42" i="30"/>
  <c r="M20" i="12"/>
  <c r="AC20" i="12" s="1"/>
  <c r="C13" i="24"/>
  <c r="K45" i="30" l="1"/>
  <c r="C19" i="24"/>
  <c r="G7" i="51"/>
  <c r="C16" i="24" s="1"/>
  <c r="K43" i="30"/>
  <c r="K169" i="30" s="1"/>
  <c r="K168" i="30"/>
  <c r="M21" i="12" s="1"/>
  <c r="AC21" i="12" s="1"/>
  <c r="K40" i="30"/>
  <c r="K39" i="30"/>
  <c r="P96" i="30"/>
  <c r="Q96" i="30" s="1"/>
  <c r="O99" i="30"/>
  <c r="N148" i="30"/>
  <c r="I66" i="30"/>
  <c r="J67" i="30" s="1"/>
  <c r="I65" i="30"/>
  <c r="J65" i="30" s="1"/>
  <c r="K65" i="30" s="1"/>
  <c r="L65" i="30" s="1"/>
  <c r="M65" i="30" s="1"/>
  <c r="N65" i="30" s="1"/>
  <c r="O65" i="30" s="1"/>
  <c r="P65" i="30" s="1"/>
  <c r="Q65" i="30" s="1"/>
  <c r="R65" i="30" s="1"/>
  <c r="P124" i="30"/>
  <c r="O130" i="30"/>
  <c r="N157" i="30"/>
  <c r="N160" i="30"/>
  <c r="P152" i="30"/>
  <c r="O156" i="30"/>
  <c r="M179" i="30"/>
  <c r="E25" i="24"/>
  <c r="G22" i="12"/>
  <c r="W21" i="12" s="1"/>
  <c r="P109" i="30"/>
  <c r="Q104" i="30"/>
  <c r="O37" i="12"/>
  <c r="AE37" i="12" s="1"/>
  <c r="AE34" i="12"/>
  <c r="R44" i="30"/>
  <c r="R90" i="30" s="1"/>
  <c r="N11" i="51" s="1"/>
  <c r="J79" i="30"/>
  <c r="J172" i="30"/>
  <c r="J171" i="30"/>
  <c r="J69" i="30"/>
  <c r="J68" i="30"/>
  <c r="J170" i="30" s="1"/>
  <c r="L22" i="12" s="1"/>
  <c r="AB22" i="12" s="1"/>
  <c r="L15" i="12"/>
  <c r="AB15" i="12" s="1"/>
  <c r="J89" i="30"/>
  <c r="J93" i="30" s="1"/>
  <c r="L13" i="12"/>
  <c r="AB13" i="12" s="1"/>
  <c r="D28" i="12"/>
  <c r="T27" i="12" s="1"/>
  <c r="J75" i="30"/>
  <c r="B10" i="24"/>
  <c r="G25" i="12"/>
  <c r="W24" i="12" s="1"/>
  <c r="G24" i="12"/>
  <c r="W23" i="12" s="1"/>
  <c r="E26" i="24"/>
  <c r="P135" i="30"/>
  <c r="O141" i="30"/>
  <c r="O91" i="30"/>
  <c r="K12" i="51" s="1"/>
  <c r="P143" i="30"/>
  <c r="O146" i="30"/>
  <c r="F68" i="30"/>
  <c r="F170" i="30" s="1"/>
  <c r="F79" i="30"/>
  <c r="F69" i="30"/>
  <c r="F172" i="30"/>
  <c r="F75" i="30"/>
  <c r="F171" i="30"/>
  <c r="F89" i="30"/>
  <c r="F93" i="30" s="1"/>
  <c r="F101" i="30" s="1"/>
  <c r="F111" i="30" s="1"/>
  <c r="H172" i="30"/>
  <c r="H67" i="30"/>
  <c r="H75" i="30"/>
  <c r="H69" i="30"/>
  <c r="H89" i="30"/>
  <c r="H93" i="30" s="1"/>
  <c r="H101" i="30" s="1"/>
  <c r="H111" i="30" s="1"/>
  <c r="H171" i="30"/>
  <c r="H79" i="30"/>
  <c r="H68" i="30"/>
  <c r="H170" i="30" s="1"/>
  <c r="G79" i="30"/>
  <c r="G75" i="30"/>
  <c r="G172" i="30"/>
  <c r="G67" i="30"/>
  <c r="G69" i="30"/>
  <c r="G68" i="30"/>
  <c r="G170" i="30" s="1"/>
  <c r="G89" i="30"/>
  <c r="G93" i="30" s="1"/>
  <c r="G101" i="30" s="1"/>
  <c r="G111" i="30" s="1"/>
  <c r="G171" i="30"/>
  <c r="G10" i="51"/>
  <c r="G14" i="51" s="1"/>
  <c r="C35" i="24" s="1"/>
  <c r="G9" i="51"/>
  <c r="K60" i="30"/>
  <c r="M12" i="12" s="1"/>
  <c r="AC12" i="12" s="1"/>
  <c r="K56" i="30"/>
  <c r="K57" i="30"/>
  <c r="K59" i="30"/>
  <c r="K46" i="30"/>
  <c r="C15" i="24"/>
  <c r="K47" i="30"/>
  <c r="N179" i="30" l="1"/>
  <c r="H25" i="12"/>
  <c r="H22" i="12"/>
  <c r="G8" i="51"/>
  <c r="P99" i="30"/>
  <c r="L13" i="51"/>
  <c r="G77" i="30"/>
  <c r="G81" i="30"/>
  <c r="O148" i="30"/>
  <c r="O179" i="30" s="1"/>
  <c r="I67" i="30"/>
  <c r="K26" i="12" s="1"/>
  <c r="AA26" i="12" s="1"/>
  <c r="B11" i="24"/>
  <c r="L26" i="12"/>
  <c r="AB26" i="12" s="1"/>
  <c r="Q135" i="30"/>
  <c r="P141" i="30"/>
  <c r="P91" i="30"/>
  <c r="L12" i="51" s="1"/>
  <c r="J70" i="30"/>
  <c r="K70" i="30" s="1"/>
  <c r="L70" i="30" s="1"/>
  <c r="M70" i="30" s="1"/>
  <c r="N70" i="30" s="1"/>
  <c r="O70" i="30" s="1"/>
  <c r="P70" i="30" s="1"/>
  <c r="Q70" i="30" s="1"/>
  <c r="R70" i="30" s="1"/>
  <c r="J83" i="30"/>
  <c r="M13" i="51"/>
  <c r="Q99" i="30"/>
  <c r="R96" i="30"/>
  <c r="B14" i="24"/>
  <c r="L19" i="12"/>
  <c r="AB19" i="12" s="1"/>
  <c r="B12" i="24"/>
  <c r="B40" i="24" s="1"/>
  <c r="B45" i="24" s="1"/>
  <c r="O157" i="30"/>
  <c r="O160" i="30"/>
  <c r="Q152" i="30"/>
  <c r="P156" i="30"/>
  <c r="L33" i="12"/>
  <c r="Q109" i="30"/>
  <c r="R104" i="30"/>
  <c r="R109" i="30" s="1"/>
  <c r="Q143" i="30"/>
  <c r="P146" i="30"/>
  <c r="D32" i="12"/>
  <c r="B30" i="24"/>
  <c r="J101" i="30"/>
  <c r="J111" i="30" s="1"/>
  <c r="B33" i="24" s="1"/>
  <c r="Q124" i="30"/>
  <c r="P130" i="30"/>
  <c r="I79" i="30"/>
  <c r="I81" i="30" s="1"/>
  <c r="I172" i="30"/>
  <c r="I171" i="30"/>
  <c r="K19" i="12" s="1"/>
  <c r="AA19" i="12" s="1"/>
  <c r="K13" i="12"/>
  <c r="AA13" i="12" s="1"/>
  <c r="I69" i="30"/>
  <c r="I68" i="30"/>
  <c r="I170" i="30" s="1"/>
  <c r="K22" i="12" s="1"/>
  <c r="AA22" i="12" s="1"/>
  <c r="K15" i="12"/>
  <c r="AA15" i="12" s="1"/>
  <c r="C28" i="12"/>
  <c r="S27" i="12" s="1"/>
  <c r="I89" i="30"/>
  <c r="I93" i="30" s="1"/>
  <c r="I75" i="30"/>
  <c r="K33" i="12" s="1"/>
  <c r="G83" i="30"/>
  <c r="G70" i="30"/>
  <c r="H83" i="30"/>
  <c r="H70" i="30"/>
  <c r="H77" i="30"/>
  <c r="F83" i="30"/>
  <c r="F70" i="30"/>
  <c r="H81" i="30"/>
  <c r="M11" i="12"/>
  <c r="AC11" i="12" s="1"/>
  <c r="C22" i="24"/>
  <c r="C29" i="24" s="1"/>
  <c r="I77" i="30" l="1"/>
  <c r="J77" i="30"/>
  <c r="P148" i="30"/>
  <c r="P179" i="30" s="1"/>
  <c r="I83" i="30"/>
  <c r="J85" i="30" s="1"/>
  <c r="I70" i="30"/>
  <c r="Q146" i="30"/>
  <c r="R143" i="30"/>
  <c r="R146" i="30" s="1"/>
  <c r="L36" i="12"/>
  <c r="AB36" i="12" s="1"/>
  <c r="AB33" i="12"/>
  <c r="R124" i="30"/>
  <c r="R130" i="30" s="1"/>
  <c r="Q130" i="30"/>
  <c r="J81" i="30"/>
  <c r="R99" i="30"/>
  <c r="N13" i="51"/>
  <c r="P157" i="30"/>
  <c r="P160" i="30"/>
  <c r="R152" i="30"/>
  <c r="R156" i="30" s="1"/>
  <c r="Q156" i="30"/>
  <c r="K36" i="12"/>
  <c r="AA36" i="12" s="1"/>
  <c r="AA33" i="12"/>
  <c r="I101" i="30"/>
  <c r="I111" i="30" s="1"/>
  <c r="C32" i="12"/>
  <c r="R135" i="30"/>
  <c r="Q141" i="30"/>
  <c r="D38" i="12"/>
  <c r="T38" i="12" s="1"/>
  <c r="T31" i="12"/>
  <c r="H85" i="30"/>
  <c r="G85" i="30"/>
  <c r="K64" i="30"/>
  <c r="M14" i="12" s="1"/>
  <c r="AC14" i="12" s="1"/>
  <c r="I85" i="30" l="1"/>
  <c r="K66" i="30"/>
  <c r="Q148" i="30"/>
  <c r="Q179" i="30" s="1"/>
  <c r="R141" i="30"/>
  <c r="R148" i="30" s="1"/>
  <c r="R179" i="30" s="1"/>
  <c r="C38" i="12"/>
  <c r="S38" i="12" s="1"/>
  <c r="S31" i="12"/>
  <c r="Q157" i="30"/>
  <c r="Q160" i="30"/>
  <c r="R157" i="30"/>
  <c r="R160" i="30"/>
  <c r="M13" i="12" l="1"/>
  <c r="AC13" i="12" s="1"/>
  <c r="K68" i="30"/>
  <c r="K170" i="30" s="1"/>
  <c r="M22" i="12" s="1"/>
  <c r="AC22" i="12" s="1"/>
  <c r="C30" i="24"/>
  <c r="M15" i="12"/>
  <c r="AC15" i="12" s="1"/>
  <c r="C10" i="24"/>
  <c r="E28" i="12"/>
  <c r="U27" i="12" s="1"/>
  <c r="K75" i="30"/>
  <c r="M33" i="12" s="1"/>
  <c r="K69" i="30"/>
  <c r="K83" i="30" s="1"/>
  <c r="K85" i="30" s="1"/>
  <c r="K67" i="30"/>
  <c r="C11" i="24" s="1"/>
  <c r="K81" i="30"/>
  <c r="C12" i="24"/>
  <c r="C40" i="24" s="1"/>
  <c r="B46" i="24" s="1"/>
  <c r="M26" i="12" l="1"/>
  <c r="AC26" i="12" s="1"/>
  <c r="K77" i="30"/>
  <c r="K111" i="30"/>
  <c r="K113" i="30" s="1"/>
  <c r="E32" i="12"/>
  <c r="U31" i="12" s="1"/>
  <c r="AC33" i="12"/>
  <c r="M36" i="12"/>
  <c r="AC36" i="12" s="1"/>
  <c r="E38" i="12" l="1"/>
  <c r="U38" i="12" s="1"/>
  <c r="C33" i="24"/>
  <c r="L112" i="30"/>
  <c r="D34" i="24" s="1"/>
  <c r="E3" i="12" l="1"/>
  <c r="U3" i="12" s="1"/>
  <c r="M28" i="12" l="1"/>
  <c r="AC28" i="12" s="1"/>
  <c r="M29" i="12"/>
  <c r="AC29" i="12" s="1"/>
  <c r="E7" i="12"/>
  <c r="U7" i="12" s="1"/>
  <c r="K132" i="30"/>
  <c r="K178" i="30" l="1"/>
  <c r="K2" i="30"/>
  <c r="C24" i="24"/>
  <c r="E13" i="12"/>
  <c r="U13" i="12" s="1"/>
  <c r="K177" i="30"/>
  <c r="K172" i="30"/>
  <c r="G20" i="59" l="1"/>
  <c r="I10" i="59" l="1"/>
  <c r="I19" i="59"/>
  <c r="I24" i="59" l="1"/>
  <c r="H39" i="47"/>
  <c r="J19" i="59"/>
  <c r="H40" i="47" l="1"/>
  <c r="J10" i="59"/>
  <c r="K19" i="59"/>
  <c r="H17" i="59"/>
  <c r="J24" i="59" l="1"/>
  <c r="K10" i="59" s="1"/>
  <c r="H15" i="59"/>
  <c r="H23" i="59"/>
  <c r="I8" i="59"/>
  <c r="I17" i="59"/>
  <c r="I6" i="59" l="1"/>
  <c r="I7" i="59" s="1"/>
  <c r="I39" i="47"/>
  <c r="K24" i="59"/>
  <c r="H22" i="59"/>
  <c r="I23" i="59"/>
  <c r="J8" i="59" s="1"/>
  <c r="J17" i="59"/>
  <c r="I15" i="59"/>
  <c r="H31" i="47" l="1"/>
  <c r="H41" i="47"/>
  <c r="J6" i="59"/>
  <c r="J7" i="59" s="1"/>
  <c r="I40" i="47"/>
  <c r="J23" i="59"/>
  <c r="J22" i="59" s="1"/>
  <c r="I22" i="59"/>
  <c r="K17" i="59"/>
  <c r="K15" i="59" s="1"/>
  <c r="J15" i="59"/>
  <c r="H32" i="47" l="1"/>
  <c r="H29" i="47"/>
  <c r="I31" i="47"/>
  <c r="I41" i="47"/>
  <c r="K8" i="59"/>
  <c r="K6" i="59" s="1"/>
  <c r="K7" i="59" s="1"/>
  <c r="H23" i="47" l="1"/>
  <c r="H60" i="47"/>
  <c r="H30" i="47"/>
  <c r="I32" i="47"/>
  <c r="I29" i="47"/>
  <c r="K23" i="59"/>
  <c r="K22" i="59" s="1"/>
  <c r="H61" i="47" l="1"/>
  <c r="H25" i="47"/>
  <c r="L8" i="30" s="1"/>
  <c r="N4" i="12" s="1"/>
  <c r="AD4" i="12" s="1"/>
  <c r="H24" i="47"/>
  <c r="L6" i="30"/>
  <c r="I23" i="47"/>
  <c r="I60" i="47"/>
  <c r="I30" i="47"/>
  <c r="H26" i="47" l="1"/>
  <c r="H27" i="47" s="1"/>
  <c r="L32" i="30"/>
  <c r="L20" i="30"/>
  <c r="N3" i="12"/>
  <c r="AD3" i="12" s="1"/>
  <c r="H5" i="51"/>
  <c r="H6" i="51" s="1"/>
  <c r="L167" i="30"/>
  <c r="L7" i="30"/>
  <c r="L26" i="30"/>
  <c r="L175" i="30"/>
  <c r="L28" i="30"/>
  <c r="D8" i="24"/>
  <c r="N38" i="12"/>
  <c r="AD38" i="12" s="1"/>
  <c r="L24" i="30"/>
  <c r="L30" i="30"/>
  <c r="L16" i="30"/>
  <c r="L176" i="30"/>
  <c r="L14" i="30"/>
  <c r="L174" i="30"/>
  <c r="L18" i="30"/>
  <c r="L9" i="30"/>
  <c r="I61" i="47"/>
  <c r="I25" i="47"/>
  <c r="M6" i="30"/>
  <c r="I24" i="47"/>
  <c r="L22" i="30" l="1"/>
  <c r="L23" i="30" s="1"/>
  <c r="L12" i="30"/>
  <c r="L11" i="30"/>
  <c r="L166" i="30" s="1"/>
  <c r="N5" i="12"/>
  <c r="AD5" i="12" s="1"/>
  <c r="L10" i="30"/>
  <c r="N25" i="12" s="1"/>
  <c r="AD25" i="12" s="1"/>
  <c r="D20" i="24"/>
  <c r="N24" i="12"/>
  <c r="AD24" i="12" s="1"/>
  <c r="D9" i="24"/>
  <c r="M14" i="30"/>
  <c r="M176" i="30"/>
  <c r="M20" i="30"/>
  <c r="M18" i="30"/>
  <c r="M16" i="30"/>
  <c r="M32" i="30"/>
  <c r="M30" i="30"/>
  <c r="O3" i="12"/>
  <c r="AE3" i="12" s="1"/>
  <c r="M26" i="30"/>
  <c r="O38" i="12"/>
  <c r="AE38" i="12" s="1"/>
  <c r="I5" i="51"/>
  <c r="I6" i="51" s="1"/>
  <c r="E8" i="24"/>
  <c r="M167" i="30"/>
  <c r="M24" i="30"/>
  <c r="N6" i="30"/>
  <c r="M7" i="30"/>
  <c r="M174" i="30"/>
  <c r="M28" i="30"/>
  <c r="M175" i="30"/>
  <c r="M8" i="30"/>
  <c r="N8" i="30" s="1"/>
  <c r="I26" i="47"/>
  <c r="I27" i="47" s="1"/>
  <c r="P38" i="12" l="1"/>
  <c r="P3" i="12"/>
  <c r="N9" i="30"/>
  <c r="P4" i="12"/>
  <c r="O8" i="30"/>
  <c r="P8" i="30" s="1"/>
  <c r="Q8" i="30" s="1"/>
  <c r="R8" i="30" s="1"/>
  <c r="N7" i="12"/>
  <c r="AD7" i="12" s="1"/>
  <c r="N20" i="12"/>
  <c r="AD20" i="12" s="1"/>
  <c r="D13" i="24"/>
  <c r="L13" i="30"/>
  <c r="N6" i="12"/>
  <c r="AD6" i="12" s="1"/>
  <c r="L38" i="30"/>
  <c r="O4" i="12"/>
  <c r="AE4" i="12" s="1"/>
  <c r="M9" i="30"/>
  <c r="E9" i="24"/>
  <c r="O24" i="12"/>
  <c r="AE24" i="12" s="1"/>
  <c r="N32" i="30"/>
  <c r="N30" i="30"/>
  <c r="N26" i="30"/>
  <c r="N176" i="30"/>
  <c r="N167" i="30"/>
  <c r="O6" i="30"/>
  <c r="J5" i="51"/>
  <c r="J6" i="51" s="1"/>
  <c r="N174" i="30"/>
  <c r="N20" i="30"/>
  <c r="N16" i="30"/>
  <c r="N14" i="30"/>
  <c r="N175" i="30"/>
  <c r="N24" i="30"/>
  <c r="N18" i="30"/>
  <c r="N28" i="30"/>
  <c r="M22" i="30"/>
  <c r="M12" i="30"/>
  <c r="N11" i="30" l="1"/>
  <c r="N166" i="30" s="1"/>
  <c r="P20" i="12" s="1"/>
  <c r="P5" i="12"/>
  <c r="L40" i="30"/>
  <c r="L168" i="30"/>
  <c r="N21" i="12" s="1"/>
  <c r="AD21" i="12" s="1"/>
  <c r="L39" i="30"/>
  <c r="L41" i="30"/>
  <c r="O5" i="12"/>
  <c r="AE5" i="12" s="1"/>
  <c r="E20" i="24"/>
  <c r="M11" i="30"/>
  <c r="M166" i="30" s="1"/>
  <c r="M10" i="30"/>
  <c r="O25" i="12" s="1"/>
  <c r="AE25" i="12" s="1"/>
  <c r="M13" i="30"/>
  <c r="O6" i="12"/>
  <c r="AE6" i="12" s="1"/>
  <c r="M38" i="30"/>
  <c r="O9" i="30"/>
  <c r="O28" i="30"/>
  <c r="O167" i="30"/>
  <c r="K5" i="51"/>
  <c r="K6" i="51" s="1"/>
  <c r="P6" i="30"/>
  <c r="O175" i="30"/>
  <c r="O174" i="30"/>
  <c r="O176" i="30"/>
  <c r="O14" i="30"/>
  <c r="O20" i="30"/>
  <c r="O26" i="30"/>
  <c r="O18" i="30"/>
  <c r="O16" i="30"/>
  <c r="O30" i="30"/>
  <c r="O24" i="30"/>
  <c r="O32" i="30"/>
  <c r="O7" i="12"/>
  <c r="AE7" i="12" s="1"/>
  <c r="M23" i="30"/>
  <c r="N22" i="30"/>
  <c r="N12" i="30"/>
  <c r="P6" i="12" s="1"/>
  <c r="N23" i="30" l="1"/>
  <c r="P7" i="12"/>
  <c r="N10" i="30"/>
  <c r="P25" i="12" s="1"/>
  <c r="L43" i="30"/>
  <c r="L169" i="30" s="1"/>
  <c r="H7" i="51"/>
  <c r="L45" i="30"/>
  <c r="L42" i="30"/>
  <c r="D19" i="24"/>
  <c r="L55" i="30"/>
  <c r="Q6" i="30"/>
  <c r="P174" i="30"/>
  <c r="P32" i="30"/>
  <c r="P9" i="30"/>
  <c r="P14" i="30"/>
  <c r="P28" i="30"/>
  <c r="P30" i="30"/>
  <c r="L5" i="51"/>
  <c r="L6" i="51" s="1"/>
  <c r="P176" i="30"/>
  <c r="P20" i="30"/>
  <c r="P18" i="30"/>
  <c r="P16" i="30"/>
  <c r="P175" i="30"/>
  <c r="P167" i="30"/>
  <c r="P24" i="30"/>
  <c r="P26" i="30"/>
  <c r="O22" i="30"/>
  <c r="O23" i="30" s="1"/>
  <c r="O10" i="30"/>
  <c r="O11" i="30"/>
  <c r="O166" i="30" s="1"/>
  <c r="M40" i="30"/>
  <c r="M168" i="30"/>
  <c r="O21" i="12" s="1"/>
  <c r="AE21" i="12" s="1"/>
  <c r="M39" i="30"/>
  <c r="M41" i="30"/>
  <c r="O12" i="30"/>
  <c r="N13" i="30"/>
  <c r="N38" i="30"/>
  <c r="E13" i="24"/>
  <c r="O20" i="12"/>
  <c r="AE20" i="12" s="1"/>
  <c r="L60" i="30" l="1"/>
  <c r="N12" i="12" s="1"/>
  <c r="AD12" i="12" s="1"/>
  <c r="L56" i="30"/>
  <c r="L59" i="30"/>
  <c r="L57" i="30"/>
  <c r="L47" i="30"/>
  <c r="L46" i="30"/>
  <c r="D15" i="24"/>
  <c r="H9" i="51"/>
  <c r="H10" i="51"/>
  <c r="H14" i="51" s="1"/>
  <c r="D35" i="24" s="1"/>
  <c r="D16" i="24"/>
  <c r="H8" i="51"/>
  <c r="P22" i="30"/>
  <c r="P23" i="30" s="1"/>
  <c r="O13" i="30"/>
  <c r="O38" i="30"/>
  <c r="M43" i="30"/>
  <c r="M169" i="30" s="1"/>
  <c r="E19" i="24"/>
  <c r="I7" i="51"/>
  <c r="M42" i="30"/>
  <c r="M45" i="30"/>
  <c r="M55" i="30"/>
  <c r="P12" i="30"/>
  <c r="P10" i="30"/>
  <c r="P11" i="30"/>
  <c r="P166" i="30" s="1"/>
  <c r="N40" i="30"/>
  <c r="N39" i="30"/>
  <c r="N168" i="30"/>
  <c r="P21" i="12" s="1"/>
  <c r="N41" i="30"/>
  <c r="Q174" i="30"/>
  <c r="Q20" i="30"/>
  <c r="Q30" i="30"/>
  <c r="Q175" i="30"/>
  <c r="M5" i="51"/>
  <c r="M6" i="51" s="1"/>
  <c r="R6" i="30"/>
  <c r="Q176" i="30"/>
  <c r="Q24" i="30"/>
  <c r="Q26" i="30"/>
  <c r="Q167" i="30"/>
  <c r="Q32" i="30"/>
  <c r="Q9" i="30"/>
  <c r="Q18" i="30"/>
  <c r="Q28" i="30"/>
  <c r="Q16" i="30"/>
  <c r="Q14" i="30"/>
  <c r="Q12" i="30" l="1"/>
  <c r="Q13" i="30" s="1"/>
  <c r="N11" i="12"/>
  <c r="AD11" i="12" s="1"/>
  <c r="L62" i="30"/>
  <c r="D22" i="24"/>
  <c r="D29" i="24" s="1"/>
  <c r="Q22" i="30"/>
  <c r="M56" i="30"/>
  <c r="M57" i="30"/>
  <c r="M60" i="30"/>
  <c r="O12" i="12" s="1"/>
  <c r="AE12" i="12" s="1"/>
  <c r="M59" i="30"/>
  <c r="M47" i="30"/>
  <c r="E15" i="24"/>
  <c r="M46" i="30"/>
  <c r="O41" i="30"/>
  <c r="O168" i="30"/>
  <c r="O39" i="30"/>
  <c r="O40" i="30"/>
  <c r="I9" i="51"/>
  <c r="I8" i="51"/>
  <c r="I10" i="51"/>
  <c r="I14" i="51" s="1"/>
  <c r="E35" i="24" s="1"/>
  <c r="E16" i="24"/>
  <c r="R16" i="30"/>
  <c r="R176" i="30"/>
  <c r="R20" i="30"/>
  <c r="R18" i="30"/>
  <c r="R174" i="30"/>
  <c r="R175" i="30"/>
  <c r="R9" i="30"/>
  <c r="R30" i="30"/>
  <c r="R32" i="30"/>
  <c r="R28" i="30"/>
  <c r="R167" i="30"/>
  <c r="R26" i="30"/>
  <c r="R14" i="30"/>
  <c r="R24" i="30"/>
  <c r="N5" i="51"/>
  <c r="N6" i="51" s="1"/>
  <c r="P13" i="30"/>
  <c r="P38" i="30"/>
  <c r="Q11" i="30"/>
  <c r="Q166" i="30" s="1"/>
  <c r="Q10" i="30"/>
  <c r="N42" i="30"/>
  <c r="N43" i="30"/>
  <c r="N169" i="30" s="1"/>
  <c r="N55" i="30"/>
  <c r="J7" i="51"/>
  <c r="N45" i="30"/>
  <c r="L63" i="30" l="1"/>
  <c r="L64" i="30"/>
  <c r="N14" i="12" s="1"/>
  <c r="AD14" i="12" s="1"/>
  <c r="Q23" i="30"/>
  <c r="Q38" i="30"/>
  <c r="P40" i="30"/>
  <c r="P168" i="30"/>
  <c r="P39" i="30"/>
  <c r="P41" i="30"/>
  <c r="O45" i="30"/>
  <c r="O43" i="30"/>
  <c r="O169" i="30" s="1"/>
  <c r="O55" i="30"/>
  <c r="O42" i="30"/>
  <c r="K7" i="51"/>
  <c r="R22" i="30"/>
  <c r="R23" i="30" s="1"/>
  <c r="N46" i="30"/>
  <c r="N47" i="30"/>
  <c r="R10" i="30"/>
  <c r="R11" i="30"/>
  <c r="R166" i="30" s="1"/>
  <c r="R12" i="30"/>
  <c r="O11" i="12"/>
  <c r="AE11" i="12" s="1"/>
  <c r="E22" i="24"/>
  <c r="E29" i="24" s="1"/>
  <c r="M62" i="30"/>
  <c r="M63" i="30" s="1"/>
  <c r="J9" i="51"/>
  <c r="J8" i="51"/>
  <c r="J10" i="51"/>
  <c r="J14" i="51" s="1"/>
  <c r="N56" i="30"/>
  <c r="N59" i="30"/>
  <c r="P11" i="12" s="1"/>
  <c r="N57" i="30"/>
  <c r="N60" i="30"/>
  <c r="P12" i="12" s="1"/>
  <c r="L66" i="30" l="1"/>
  <c r="Q168" i="30"/>
  <c r="Q40" i="30"/>
  <c r="Q41" i="30"/>
  <c r="Q39" i="30"/>
  <c r="N62" i="30"/>
  <c r="O56" i="30"/>
  <c r="O60" i="30"/>
  <c r="O57" i="30"/>
  <c r="O59" i="30"/>
  <c r="R13" i="30"/>
  <c r="R38" i="30"/>
  <c r="K10" i="51"/>
  <c r="K14" i="51" s="1"/>
  <c r="K8" i="51"/>
  <c r="K9" i="51"/>
  <c r="M64" i="30"/>
  <c r="O14" i="12" s="1"/>
  <c r="AE14" i="12" s="1"/>
  <c r="O46" i="30"/>
  <c r="O47" i="30"/>
  <c r="L7" i="51"/>
  <c r="P45" i="30"/>
  <c r="P42" i="30"/>
  <c r="P55" i="30"/>
  <c r="P43" i="30"/>
  <c r="P169" i="30" s="1"/>
  <c r="O62" i="30" l="1"/>
  <c r="O64" i="30" s="1"/>
  <c r="O66" i="30" s="1"/>
  <c r="O79" i="30" s="1"/>
  <c r="N64" i="30"/>
  <c r="N63" i="30"/>
  <c r="L68" i="30"/>
  <c r="L170" i="30" s="1"/>
  <c r="N22" i="12" s="1"/>
  <c r="AD22" i="12" s="1"/>
  <c r="L69" i="30"/>
  <c r="L83" i="30" s="1"/>
  <c r="L85" i="30" s="1"/>
  <c r="N13" i="12"/>
  <c r="AD13" i="12" s="1"/>
  <c r="L67" i="30"/>
  <c r="L89" i="30"/>
  <c r="L93" i="30" s="1"/>
  <c r="L75" i="30"/>
  <c r="L79" i="30"/>
  <c r="N15" i="12"/>
  <c r="AD15" i="12" s="1"/>
  <c r="D10" i="24"/>
  <c r="F28" i="12"/>
  <c r="V27" i="12" s="1"/>
  <c r="M66" i="30"/>
  <c r="M75" i="30" s="1"/>
  <c r="Q45" i="30"/>
  <c r="Q55" i="30"/>
  <c r="M7" i="51"/>
  <c r="Q43" i="30"/>
  <c r="Q169" i="30" s="1"/>
  <c r="Q42" i="30"/>
  <c r="L10" i="51"/>
  <c r="L14" i="51" s="1"/>
  <c r="L9" i="51"/>
  <c r="L8" i="51"/>
  <c r="R168" i="30"/>
  <c r="R39" i="30"/>
  <c r="R41" i="30"/>
  <c r="R40" i="30"/>
  <c r="P57" i="30"/>
  <c r="P56" i="30"/>
  <c r="P60" i="30"/>
  <c r="P59" i="30"/>
  <c r="P47" i="30"/>
  <c r="P46" i="30"/>
  <c r="O75" i="30"/>
  <c r="O89" i="30"/>
  <c r="O93" i="30" s="1"/>
  <c r="O101" i="30" s="1"/>
  <c r="O111" i="30" s="1"/>
  <c r="O171" i="30"/>
  <c r="O68" i="30" l="1"/>
  <c r="O170" i="30" s="1"/>
  <c r="O69" i="30"/>
  <c r="O83" i="30" s="1"/>
  <c r="N66" i="30"/>
  <c r="O67" i="30" s="1"/>
  <c r="P14" i="12"/>
  <c r="E10" i="24"/>
  <c r="M67" i="30"/>
  <c r="E11" i="24" s="1"/>
  <c r="M79" i="30"/>
  <c r="M69" i="30"/>
  <c r="M83" i="30" s="1"/>
  <c r="M85" i="30" s="1"/>
  <c r="O13" i="12"/>
  <c r="AE13" i="12" s="1"/>
  <c r="G28" i="12"/>
  <c r="W27" i="12" s="1"/>
  <c r="O15" i="12"/>
  <c r="AE15" i="12" s="1"/>
  <c r="N26" i="12"/>
  <c r="AD26" i="12" s="1"/>
  <c r="D11" i="24"/>
  <c r="L81" i="30"/>
  <c r="D12" i="24"/>
  <c r="D40" i="24" s="1"/>
  <c r="B47" i="24" s="1"/>
  <c r="B41" i="24" s="1"/>
  <c r="N33" i="12"/>
  <c r="L77" i="30"/>
  <c r="F32" i="12"/>
  <c r="L101" i="30"/>
  <c r="L111" i="30" s="1"/>
  <c r="D30" i="24"/>
  <c r="M68" i="30"/>
  <c r="M170" i="30" s="1"/>
  <c r="O22" i="12" s="1"/>
  <c r="AE22" i="12" s="1"/>
  <c r="M171" i="30"/>
  <c r="O19" i="12" s="1"/>
  <c r="AE19" i="12" s="1"/>
  <c r="M89" i="30"/>
  <c r="M93" i="30" s="1"/>
  <c r="G32" i="12" s="1"/>
  <c r="P62" i="30"/>
  <c r="P64" i="30" s="1"/>
  <c r="P66" i="30" s="1"/>
  <c r="P67" i="30" s="1"/>
  <c r="Q57" i="30"/>
  <c r="Q60" i="30"/>
  <c r="Q56" i="30"/>
  <c r="Q59" i="30"/>
  <c r="M8" i="51"/>
  <c r="M9" i="51"/>
  <c r="M10" i="51"/>
  <c r="M14" i="51" s="1"/>
  <c r="Q47" i="30"/>
  <c r="Q46" i="30"/>
  <c r="R55" i="30"/>
  <c r="R42" i="30"/>
  <c r="N7" i="51"/>
  <c r="R45" i="30"/>
  <c r="R43" i="30"/>
  <c r="R169" i="30" s="1"/>
  <c r="O33" i="12"/>
  <c r="M77" i="30"/>
  <c r="N89" i="30" l="1"/>
  <c r="N93" i="30" s="1"/>
  <c r="N171" i="30"/>
  <c r="P19" i="12" s="1"/>
  <c r="N69" i="30"/>
  <c r="N83" i="30" s="1"/>
  <c r="O85" i="30" s="1"/>
  <c r="N75" i="30"/>
  <c r="O77" i="30" s="1"/>
  <c r="N68" i="30"/>
  <c r="N170" i="30" s="1"/>
  <c r="P22" i="12" s="1"/>
  <c r="N67" i="30"/>
  <c r="P26" i="12" s="1"/>
  <c r="N101" i="30"/>
  <c r="N111" i="30" s="1"/>
  <c r="H32" i="12"/>
  <c r="H38" i="12" s="1"/>
  <c r="N79" i="30"/>
  <c r="O81" i="30" s="1"/>
  <c r="P13" i="12"/>
  <c r="P15" i="12"/>
  <c r="H28" i="12"/>
  <c r="E12" i="24"/>
  <c r="E40" i="24" s="1"/>
  <c r="B48" i="24" s="1"/>
  <c r="B42" i="24" s="1"/>
  <c r="M81" i="30"/>
  <c r="O26" i="12"/>
  <c r="AE26" i="12" s="1"/>
  <c r="E14" i="24"/>
  <c r="M101" i="30"/>
  <c r="M111" i="30" s="1"/>
  <c r="E33" i="24" s="1"/>
  <c r="D33" i="24"/>
  <c r="L113" i="30"/>
  <c r="F38" i="12"/>
  <c r="V38" i="12" s="1"/>
  <c r="V31" i="12"/>
  <c r="N36" i="12"/>
  <c r="AD36" i="12" s="1"/>
  <c r="AD33" i="12"/>
  <c r="E30" i="24"/>
  <c r="P75" i="30"/>
  <c r="P77" i="30" s="1"/>
  <c r="Q62" i="30"/>
  <c r="Q64" i="30" s="1"/>
  <c r="Q66" i="30" s="1"/>
  <c r="Q79" i="30" s="1"/>
  <c r="P171" i="30"/>
  <c r="P79" i="30"/>
  <c r="P81" i="30" s="1"/>
  <c r="P89" i="30"/>
  <c r="P93" i="30" s="1"/>
  <c r="P101" i="30" s="1"/>
  <c r="P111" i="30" s="1"/>
  <c r="P69" i="30"/>
  <c r="P83" i="30" s="1"/>
  <c r="P85" i="30" s="1"/>
  <c r="P68" i="30"/>
  <c r="P170" i="30" s="1"/>
  <c r="G38" i="12"/>
  <c r="W38" i="12" s="1"/>
  <c r="W31" i="12"/>
  <c r="AE33" i="12"/>
  <c r="O36" i="12"/>
  <c r="AE36" i="12" s="1"/>
  <c r="N9" i="51"/>
  <c r="N10" i="51"/>
  <c r="N14" i="51" s="1"/>
  <c r="N8" i="51"/>
  <c r="R60" i="30"/>
  <c r="R59" i="30"/>
  <c r="R56" i="30"/>
  <c r="R57" i="30"/>
  <c r="R47" i="30"/>
  <c r="R46" i="30"/>
  <c r="N85" i="30" l="1"/>
  <c r="N77" i="30"/>
  <c r="P33" i="12"/>
  <c r="P36" i="12" s="1"/>
  <c r="N81" i="30"/>
  <c r="Q89" i="30"/>
  <c r="Q93" i="30" s="1"/>
  <c r="Q101" i="30" s="1"/>
  <c r="Q111" i="30" s="1"/>
  <c r="Q171" i="30"/>
  <c r="Q69" i="30"/>
  <c r="Q83" i="30" s="1"/>
  <c r="Q85" i="30" s="1"/>
  <c r="Q68" i="30"/>
  <c r="Q170" i="30" s="1"/>
  <c r="L117" i="30"/>
  <c r="M112" i="30"/>
  <c r="Q75" i="30"/>
  <c r="Q77" i="30" s="1"/>
  <c r="R62" i="30"/>
  <c r="R64" i="30" s="1"/>
  <c r="R66" i="30" s="1"/>
  <c r="R75" i="30" s="1"/>
  <c r="Q67" i="30"/>
  <c r="Q81" i="30"/>
  <c r="E17" i="51"/>
  <c r="E18" i="51" s="1"/>
  <c r="E16" i="51"/>
  <c r="R77" i="30" l="1"/>
  <c r="R89" i="30"/>
  <c r="R93" i="30" s="1"/>
  <c r="R101" i="30" s="1"/>
  <c r="R111" i="30" s="1"/>
  <c r="R79" i="30"/>
  <c r="R81" i="30" s="1"/>
  <c r="R69" i="30"/>
  <c r="R83" i="30" s="1"/>
  <c r="R85" i="30" s="1"/>
  <c r="R68" i="30"/>
  <c r="R170" i="30" s="1"/>
  <c r="R67" i="30"/>
  <c r="E34" i="24"/>
  <c r="M113" i="30"/>
  <c r="F3" i="12"/>
  <c r="V3" i="12" s="1"/>
  <c r="E20" i="51"/>
  <c r="L122" i="30"/>
  <c r="R171" i="30"/>
  <c r="E19" i="51"/>
  <c r="E21" i="51" l="1"/>
  <c r="E22" i="51" s="1"/>
  <c r="H34" i="51"/>
  <c r="M32" i="51"/>
  <c r="M30" i="51"/>
  <c r="I34" i="51"/>
  <c r="K32" i="51"/>
  <c r="K35" i="51"/>
  <c r="M34" i="51"/>
  <c r="I36" i="51"/>
  <c r="L30" i="51"/>
  <c r="L33" i="51"/>
  <c r="H33" i="51"/>
  <c r="I30" i="51"/>
  <c r="I32" i="51"/>
  <c r="J36" i="51"/>
  <c r="J30" i="51"/>
  <c r="H32" i="51"/>
  <c r="I35" i="51"/>
  <c r="M35" i="51"/>
  <c r="J33" i="51"/>
  <c r="K31" i="51"/>
  <c r="K30" i="51"/>
  <c r="L35" i="51"/>
  <c r="K34" i="51"/>
  <c r="K33" i="51"/>
  <c r="K42" i="51" s="1"/>
  <c r="I31" i="51"/>
  <c r="I33" i="51"/>
  <c r="K36" i="51"/>
  <c r="J32" i="51"/>
  <c r="L32" i="51"/>
  <c r="L31" i="51"/>
  <c r="H35" i="51"/>
  <c r="H30" i="51"/>
  <c r="H31" i="51"/>
  <c r="M31" i="51"/>
  <c r="M36" i="51"/>
  <c r="L36" i="51"/>
  <c r="J34" i="51"/>
  <c r="J31" i="51"/>
  <c r="L34" i="51"/>
  <c r="H36" i="51"/>
  <c r="M33" i="51"/>
  <c r="J35" i="51"/>
  <c r="L132" i="30"/>
  <c r="L2" i="30" s="1"/>
  <c r="F7" i="12"/>
  <c r="V7" i="12" s="1"/>
  <c r="N28" i="12"/>
  <c r="AD28" i="12" s="1"/>
  <c r="N29" i="12"/>
  <c r="AD29" i="12" s="1"/>
  <c r="M117" i="30"/>
  <c r="N112" i="30"/>
  <c r="N113" i="30" s="1"/>
  <c r="L45" i="51" l="1"/>
  <c r="I39" i="51"/>
  <c r="G3" i="12"/>
  <c r="W3" i="12" s="1"/>
  <c r="M122" i="30"/>
  <c r="H42" i="51"/>
  <c r="I45" i="51"/>
  <c r="H44" i="51"/>
  <c r="L41" i="51"/>
  <c r="K41" i="51"/>
  <c r="H45" i="51"/>
  <c r="J41" i="51"/>
  <c r="H41" i="51"/>
  <c r="I43" i="51"/>
  <c r="O112" i="30"/>
  <c r="O113" i="30" s="1"/>
  <c r="N117" i="30"/>
  <c r="K43" i="51"/>
  <c r="L44" i="51"/>
  <c r="L39" i="51"/>
  <c r="F13" i="12"/>
  <c r="V13" i="12" s="1"/>
  <c r="D24" i="24"/>
  <c r="L178" i="30"/>
  <c r="L172" i="30"/>
  <c r="L177" i="30"/>
  <c r="M44" i="51"/>
  <c r="L43" i="51"/>
  <c r="K45" i="51"/>
  <c r="J39" i="51"/>
  <c r="M39" i="51"/>
  <c r="M45" i="51"/>
  <c r="L42" i="51"/>
  <c r="K39" i="51"/>
  <c r="H39" i="51"/>
  <c r="J42" i="51"/>
  <c r="J44" i="51"/>
  <c r="K44" i="51"/>
  <c r="I44" i="51"/>
  <c r="J40" i="51"/>
  <c r="I42" i="51"/>
  <c r="J45" i="51"/>
  <c r="M41" i="51"/>
  <c r="M40" i="51"/>
  <c r="H40" i="51"/>
  <c r="K40" i="51"/>
  <c r="M43" i="51"/>
  <c r="L40" i="51"/>
  <c r="M42" i="51"/>
  <c r="J43" i="51"/>
  <c r="I40" i="51"/>
  <c r="I41" i="51"/>
  <c r="H43" i="51"/>
  <c r="N122" i="30" l="1"/>
  <c r="H3" i="12"/>
  <c r="O117" i="30"/>
  <c r="O122" i="30" s="1"/>
  <c r="O132" i="30" s="1"/>
  <c r="P112" i="30"/>
  <c r="P113" i="30" s="1"/>
  <c r="O28" i="12"/>
  <c r="AE28" i="12" s="1"/>
  <c r="M132" i="30"/>
  <c r="O29" i="12"/>
  <c r="AE29" i="12" s="1"/>
  <c r="G7" i="12"/>
  <c r="W7" i="12" s="1"/>
  <c r="P29" i="12" l="1"/>
  <c r="P28" i="12"/>
  <c r="N132" i="30"/>
  <c r="O172" i="30" s="1"/>
  <c r="H7" i="12"/>
  <c r="G13" i="12"/>
  <c r="W13" i="12" s="1"/>
  <c r="E24" i="24"/>
  <c r="M172" i="30"/>
  <c r="M177" i="30"/>
  <c r="M2" i="30"/>
  <c r="M178" i="30"/>
  <c r="P117" i="30"/>
  <c r="P122" i="30" s="1"/>
  <c r="P132" i="30" s="1"/>
  <c r="Q112" i="30"/>
  <c r="Q113" i="30" s="1"/>
  <c r="O178" i="30"/>
  <c r="O2" i="30"/>
  <c r="N177" i="30" l="1"/>
  <c r="N172" i="30"/>
  <c r="O177" i="30"/>
  <c r="H13" i="12"/>
  <c r="N2" i="30"/>
  <c r="N178" i="30"/>
  <c r="P172" i="30"/>
  <c r="P177" i="30"/>
  <c r="P2" i="30"/>
  <c r="P178" i="30"/>
  <c r="Q117" i="30"/>
  <c r="Q122" i="30" s="1"/>
  <c r="Q132" i="30" s="1"/>
  <c r="Q177" i="30" s="1"/>
  <c r="R112" i="30"/>
  <c r="R113" i="30" s="1"/>
  <c r="R117" i="30" s="1"/>
  <c r="R122" i="30" s="1"/>
  <c r="R132" i="30" s="1"/>
  <c r="R172" i="30" l="1"/>
  <c r="R2" i="30"/>
  <c r="R178" i="30"/>
  <c r="R177" i="30"/>
  <c r="Q172" i="30"/>
  <c r="Q2" i="30"/>
  <c r="Q178" i="30"/>
  <c r="M34" i="12" l="1"/>
  <c r="C27" i="24"/>
  <c r="M37" i="12" l="1"/>
  <c r="AC37" i="12" s="1"/>
  <c r="AC34" i="12"/>
  <c r="L171" i="30"/>
  <c r="K171" i="30"/>
  <c r="K157" i="30"/>
  <c r="K179" i="30"/>
  <c r="M19" i="12" l="1"/>
  <c r="AC19" i="12" s="1"/>
  <c r="C14" i="24"/>
  <c r="N19" i="12"/>
  <c r="AD19" i="12" s="1"/>
  <c r="D1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rosiehou</author>
  </authors>
  <commentList>
    <comment ref="F25" authorId="0" shapeId="0" xr:uid="{00000000-0006-0000-0700-000001000000}">
      <text>
        <r>
          <rPr>
            <b/>
            <sz val="9"/>
            <rFont val="宋体"/>
            <family val="3"/>
            <charset val="134"/>
          </rPr>
          <t>rosiehou:</t>
        </r>
        <r>
          <rPr>
            <sz val="9"/>
            <rFont val="宋体"/>
            <family val="3"/>
            <charset val="134"/>
          </rPr>
          <t xml:space="preserve">
from PL, different form others</t>
        </r>
      </text>
    </comment>
  </commentList>
</comments>
</file>

<file path=xl/sharedStrings.xml><?xml version="1.0" encoding="utf-8"?>
<sst xmlns="http://schemas.openxmlformats.org/spreadsheetml/2006/main" count="861" uniqueCount="525">
  <si>
    <t>Code</t>
  </si>
  <si>
    <t>2507 HK</t>
  </si>
  <si>
    <t>Please enter the ticker in B1, e.g. 700 HK</t>
  </si>
  <si>
    <t>Last annual report</t>
  </si>
  <si>
    <t>Please enter the date in B2, e.g. 2020/3/31</t>
  </si>
  <si>
    <t>Start year</t>
  </si>
  <si>
    <t>Currency</t>
  </si>
  <si>
    <t>US$</t>
  </si>
  <si>
    <t>Unit</t>
  </si>
  <si>
    <t>mn</t>
  </si>
  <si>
    <t>P&amp;L</t>
  </si>
  <si>
    <t>Revenue</t>
  </si>
  <si>
    <t>(+/-)</t>
  </si>
  <si>
    <t>Net profit</t>
  </si>
  <si>
    <t>GPM</t>
  </si>
  <si>
    <t>e.g.  50.5%</t>
  </si>
  <si>
    <t>ROE</t>
  </si>
  <si>
    <t>EBITDA</t>
  </si>
  <si>
    <t>EBIT</t>
  </si>
  <si>
    <t>Interest Revenue</t>
  </si>
  <si>
    <t>Interest Expense</t>
  </si>
  <si>
    <t>Operating Profit</t>
  </si>
  <si>
    <t>Gross Profit</t>
  </si>
  <si>
    <t>Depreciation</t>
  </si>
  <si>
    <t>Pre-Tax Profit</t>
  </si>
  <si>
    <t>Balance Sheet</t>
  </si>
  <si>
    <t>Total Assets</t>
  </si>
  <si>
    <t>Total Liabilities</t>
  </si>
  <si>
    <t>Shareholder Equity</t>
  </si>
  <si>
    <t>Total Equity</t>
  </si>
  <si>
    <t>Cash Flow</t>
  </si>
  <si>
    <t>Profit before tax</t>
  </si>
  <si>
    <t>Net Cash from operations</t>
  </si>
  <si>
    <t>Net Cash from investment activity</t>
  </si>
  <si>
    <t>Net Cash from financing activity</t>
  </si>
  <si>
    <t>Net change in Cash</t>
  </si>
  <si>
    <t>Implied cash at end of period</t>
  </si>
  <si>
    <t>Free Cash Flow</t>
  </si>
  <si>
    <t>EPS</t>
  </si>
  <si>
    <t>EPS1</t>
  </si>
  <si>
    <t>EPS2</t>
  </si>
  <si>
    <t>v2</t>
  </si>
  <si>
    <t>modeltype</t>
  </si>
  <si>
    <t>code</t>
  </si>
  <si>
    <t>smdrmb</t>
  </si>
  <si>
    <t>Supported format: Link and paste as value</t>
  </si>
  <si>
    <t>资产负债表（百万美元）</t>
  </si>
  <si>
    <t>利润表（百万美元）</t>
  </si>
  <si>
    <t>BS (USD mn)</t>
  </si>
  <si>
    <t>IS (USD mn)</t>
  </si>
  <si>
    <t>现金及现金等价物</t>
  </si>
  <si>
    <t>营业收入</t>
  </si>
  <si>
    <t>Cash and equivalents</t>
  </si>
  <si>
    <t>应收款项</t>
  </si>
  <si>
    <t>营业成本</t>
  </si>
  <si>
    <t>Accounts receivable</t>
  </si>
  <si>
    <t>Cost of sales</t>
  </si>
  <si>
    <t>存货净额</t>
  </si>
  <si>
    <t>毛利</t>
  </si>
  <si>
    <t>Inventories</t>
  </si>
  <si>
    <t>其他流动资产</t>
  </si>
  <si>
    <t>销售费用</t>
  </si>
  <si>
    <t>Other current assets</t>
  </si>
  <si>
    <t>Sales expenses</t>
  </si>
  <si>
    <t>流动资产合计</t>
  </si>
  <si>
    <t>管理费用</t>
  </si>
  <si>
    <t>Total current assets</t>
  </si>
  <si>
    <t>SG&amp;A expenses</t>
  </si>
  <si>
    <t>财务费用</t>
  </si>
  <si>
    <t>Financial expenses</t>
  </si>
  <si>
    <t>长期股权投资</t>
  </si>
  <si>
    <t>其他费用/（-收入）</t>
  </si>
  <si>
    <t>Other expenses/(-) revenue</t>
  </si>
  <si>
    <t>无形资产</t>
  </si>
  <si>
    <t>营业外净收支</t>
  </si>
  <si>
    <t>Intangible assets</t>
  </si>
  <si>
    <t>Net non-operating income</t>
  </si>
  <si>
    <t>其他非流动资产</t>
  </si>
  <si>
    <t>利润总额</t>
  </si>
  <si>
    <t>other non-current assets</t>
  </si>
  <si>
    <t>Pre-tax profit</t>
  </si>
  <si>
    <t>非流动资产合计</t>
  </si>
  <si>
    <t>所得税费用</t>
  </si>
  <si>
    <t>Total non-current assets</t>
  </si>
  <si>
    <t>Tax</t>
  </si>
  <si>
    <t>资产总计</t>
  </si>
  <si>
    <t>净利润</t>
  </si>
  <si>
    <t>Total assets</t>
  </si>
  <si>
    <t>少数股东损益</t>
  </si>
  <si>
    <t>Short-term borrowing</t>
  </si>
  <si>
    <t>Minority interests</t>
  </si>
  <si>
    <t>短期借款</t>
  </si>
  <si>
    <t>归母净利润</t>
  </si>
  <si>
    <t>Account payable</t>
  </si>
  <si>
    <t>Net profit attribute to shareholders</t>
  </si>
  <si>
    <t>应付款项</t>
  </si>
  <si>
    <t>Other current liabilities</t>
  </si>
  <si>
    <t>其他流动负债</t>
  </si>
  <si>
    <t>财务指标</t>
  </si>
  <si>
    <t>2025E</t>
  </si>
  <si>
    <t>2026E</t>
  </si>
  <si>
    <t>2027E</t>
  </si>
  <si>
    <t>Total current liabilities</t>
  </si>
  <si>
    <t>Financial Ratios</t>
  </si>
  <si>
    <t>流动负债合计</t>
  </si>
  <si>
    <t>盈利能力</t>
  </si>
  <si>
    <t>Long-term debt</t>
  </si>
  <si>
    <t>Profitability ratios</t>
  </si>
  <si>
    <t>长期借款及应付债券</t>
  </si>
  <si>
    <t>Other non-current liabilities</t>
  </si>
  <si>
    <t>其他长期负债</t>
  </si>
  <si>
    <t>毛利率</t>
  </si>
  <si>
    <t>Total non-current liabilities</t>
  </si>
  <si>
    <t>Gross profit margin</t>
  </si>
  <si>
    <t>长期负债合计</t>
  </si>
  <si>
    <t>营业利润率</t>
  </si>
  <si>
    <t>Total liabilities</t>
  </si>
  <si>
    <t>Operating profit margin</t>
  </si>
  <si>
    <t>负债合计</t>
  </si>
  <si>
    <t>归母净利率</t>
  </si>
  <si>
    <t>Capital</t>
  </si>
  <si>
    <t>Net profit margin</t>
  </si>
  <si>
    <t>股本</t>
  </si>
  <si>
    <t>成长能力</t>
  </si>
  <si>
    <t>Total shareholders' equity</t>
  </si>
  <si>
    <t>Growth rates</t>
  </si>
  <si>
    <t>股东权益</t>
  </si>
  <si>
    <t>营业收入增长率</t>
  </si>
  <si>
    <t>Total liabilities &amp; shareholders' equity</t>
  </si>
  <si>
    <t>Revenue growth rate</t>
  </si>
  <si>
    <t>负债和股东权益总计</t>
  </si>
  <si>
    <t>营业利润增长率</t>
  </si>
  <si>
    <t>Operating profit growth rate</t>
  </si>
  <si>
    <t>净利润增长率</t>
  </si>
  <si>
    <t>CF/S (USD mn)</t>
  </si>
  <si>
    <t>Net profit growth rate</t>
  </si>
  <si>
    <t>现金流量表（百万美元）</t>
  </si>
  <si>
    <t>偿债能力</t>
  </si>
  <si>
    <t>Liquidity &amp; Solvency ratio</t>
  </si>
  <si>
    <t>流动比</t>
  </si>
  <si>
    <t>Depreciation &amp; amortization</t>
  </si>
  <si>
    <t>Current ratio</t>
  </si>
  <si>
    <t>折旧摊销</t>
  </si>
  <si>
    <t>速动比</t>
  </si>
  <si>
    <t>Net working capital</t>
  </si>
  <si>
    <t>Quick ratio</t>
  </si>
  <si>
    <t>营运资金变动</t>
  </si>
  <si>
    <t>Others</t>
  </si>
  <si>
    <t>其他</t>
  </si>
  <si>
    <t>每股指标与估值</t>
  </si>
  <si>
    <t>Cash flow from operations</t>
  </si>
  <si>
    <t>Valuation</t>
  </si>
  <si>
    <t>经营活动现金流</t>
  </si>
  <si>
    <t>每股指标</t>
  </si>
  <si>
    <t>CAPEX</t>
  </si>
  <si>
    <t>Per share</t>
  </si>
  <si>
    <t>资本支出</t>
  </si>
  <si>
    <t>BVPS</t>
  </si>
  <si>
    <t>Cash flow from investing activities</t>
  </si>
  <si>
    <t>投资活动现金流</t>
  </si>
  <si>
    <t>估值</t>
  </si>
  <si>
    <t>Debt financing</t>
  </si>
  <si>
    <t>Valuation ratios</t>
  </si>
  <si>
    <t>债务融资</t>
  </si>
  <si>
    <t>P/E</t>
  </si>
  <si>
    <t>筹资活动现金流</t>
  </si>
  <si>
    <t>P/B</t>
  </si>
  <si>
    <t>Cash flow from financing activities</t>
  </si>
  <si>
    <t>现金净增加额</t>
  </si>
  <si>
    <t>P/S</t>
  </si>
  <si>
    <t>Total cash generated</t>
  </si>
  <si>
    <t>Financial Statements</t>
  </si>
  <si>
    <t>( in USD mn)</t>
  </si>
  <si>
    <t>2028E</t>
  </si>
  <si>
    <t>2029E</t>
  </si>
  <si>
    <t>2030E</t>
  </si>
  <si>
    <t>2031E</t>
  </si>
  <si>
    <t>2032E</t>
  </si>
  <si>
    <t>Income Statement</t>
  </si>
  <si>
    <t>yoy</t>
  </si>
  <si>
    <t>Cost of goods sold and service</t>
  </si>
  <si>
    <t>Gross profit</t>
  </si>
  <si>
    <t>YoY</t>
  </si>
  <si>
    <t>Gross margin</t>
  </si>
  <si>
    <t xml:space="preserve"> Selling</t>
  </si>
  <si>
    <t xml:space="preserve"> Selling rate</t>
  </si>
  <si>
    <t>General &amp; Admin</t>
  </si>
  <si>
    <t>General &amp; Admin rate</t>
  </si>
  <si>
    <t>Research &amp; Development</t>
  </si>
  <si>
    <t>Depreciation &amp; Amortization</t>
  </si>
  <si>
    <t>Other Operating Expense</t>
  </si>
  <si>
    <t>Other Operating Income</t>
  </si>
  <si>
    <t>Operating expenses</t>
  </si>
  <si>
    <t>% of revenue</t>
  </si>
  <si>
    <t>Operating profit</t>
  </si>
  <si>
    <t>Operating margin</t>
  </si>
  <si>
    <t>DD&amp;A</t>
  </si>
  <si>
    <t>EBITDA margin</t>
  </si>
  <si>
    <t>Finance cost, net</t>
  </si>
  <si>
    <t xml:space="preserve">    + Interest Expense</t>
  </si>
  <si>
    <t xml:space="preserve">    - Interest Income</t>
  </si>
  <si>
    <t xml:space="preserve">    + Other Investment (Inc) Loss</t>
  </si>
  <si>
    <t xml:space="preserve">    + Foreign Exch (Gain) Loss</t>
  </si>
  <si>
    <t xml:space="preserve">    + (Income) Loss from Affiliates</t>
  </si>
  <si>
    <t xml:space="preserve">    + Other Non-Op (Income) Loss</t>
  </si>
  <si>
    <t>Profit before taxation</t>
  </si>
  <si>
    <t>EBT margin</t>
  </si>
  <si>
    <t>Abnormal (Losses) Gains</t>
  </si>
  <si>
    <t>Taxation</t>
  </si>
  <si>
    <t>Effective tax rate</t>
  </si>
  <si>
    <t>Net Profit for the year</t>
  </si>
  <si>
    <t>Loss from discontinued operations</t>
  </si>
  <si>
    <t>Minority interest</t>
  </si>
  <si>
    <t>% of profit for the year</t>
  </si>
  <si>
    <t>Net profit attributable to parent company</t>
  </si>
  <si>
    <t>Net margin</t>
  </si>
  <si>
    <t>Dividends</t>
  </si>
  <si>
    <t>Payout ratio</t>
  </si>
  <si>
    <t xml:space="preserve">Basic shares outstanding </t>
  </si>
  <si>
    <t xml:space="preserve">Fully diluted shares outstanding </t>
  </si>
  <si>
    <t>Basic EPS (USD)</t>
  </si>
  <si>
    <t>Diluted EPS (USD)</t>
  </si>
  <si>
    <t>DPS (USD)</t>
  </si>
  <si>
    <t>Cashflow Statement</t>
  </si>
  <si>
    <t>Operating cashflow</t>
  </si>
  <si>
    <t>D&amp;A</t>
  </si>
  <si>
    <t>Change in working capital</t>
  </si>
  <si>
    <t>Investment cashflow</t>
  </si>
  <si>
    <t>Capex</t>
  </si>
  <si>
    <t>Net in investment</t>
  </si>
  <si>
    <t>Other investment activities</t>
  </si>
  <si>
    <t>Cashflow before financing</t>
  </si>
  <si>
    <t>Financing cashflow</t>
  </si>
  <si>
    <t>Cash From (Repay) ST Debt</t>
  </si>
  <si>
    <t>Cash From LT Debt</t>
  </si>
  <si>
    <t>Repayments of LT Debt</t>
  </si>
  <si>
    <t>Dividends Paid</t>
  </si>
  <si>
    <t>Other Financing Activities</t>
  </si>
  <si>
    <t>Effect of Foreign Exchange Rates</t>
  </si>
  <si>
    <t>Increase in cash</t>
  </si>
  <si>
    <t>Cash BB</t>
  </si>
  <si>
    <t>Cash EB</t>
  </si>
  <si>
    <t>Current assets</t>
  </si>
  <si>
    <t>Cash, Cash Equivalents &amp; STI</t>
  </si>
  <si>
    <t>Accounts &amp; Notes Receiv</t>
  </si>
  <si>
    <t>Other ST Assets</t>
  </si>
  <si>
    <t>Unbilled Revenues</t>
  </si>
  <si>
    <t>Non-current assets</t>
  </si>
  <si>
    <t>Property, Plant &amp; Equip, Net</t>
  </si>
  <si>
    <t>LT Investments &amp; Receivables</t>
  </si>
  <si>
    <t>Other LT Assets</t>
  </si>
  <si>
    <t>Current liabilities</t>
  </si>
  <si>
    <t>Accounts Payable</t>
  </si>
  <si>
    <t>Accrued Taxes</t>
  </si>
  <si>
    <t>Other Payables &amp; Accruals</t>
  </si>
  <si>
    <t>ST Debt</t>
  </si>
  <si>
    <t>Other ST Liabilities</t>
  </si>
  <si>
    <t>Non-current liabilities</t>
  </si>
  <si>
    <t>LT Borrowings</t>
  </si>
  <si>
    <t>LT Lease Liabilities</t>
  </si>
  <si>
    <t>Other LT Liabilities</t>
  </si>
  <si>
    <t>Shareholders' equity</t>
  </si>
  <si>
    <t>Share Capital &amp; APIC</t>
  </si>
  <si>
    <t>Retained Earnings</t>
  </si>
  <si>
    <t>Other Equity</t>
  </si>
  <si>
    <t>Treasury Stock</t>
  </si>
  <si>
    <t>Equity Before Minority Interest</t>
  </si>
  <si>
    <t>Equity per share</t>
  </si>
  <si>
    <t>Total equity</t>
  </si>
  <si>
    <t>Key Ratios</t>
  </si>
  <si>
    <t>Gross Margin</t>
  </si>
  <si>
    <t xml:space="preserve">Other income/Revenue </t>
  </si>
  <si>
    <t>operating expenses/Revenue</t>
  </si>
  <si>
    <t>ROAE</t>
  </si>
  <si>
    <t>ROAA</t>
  </si>
  <si>
    <t>A/R turnover days</t>
  </si>
  <si>
    <t>Inventory turnover days</t>
  </si>
  <si>
    <t>A/P turnover days</t>
  </si>
  <si>
    <t>Assets turnover</t>
  </si>
  <si>
    <t>Total Liabilities / Total Assets</t>
  </si>
  <si>
    <t>Debt / Equity</t>
  </si>
  <si>
    <t>Discounted Cash Flow</t>
  </si>
  <si>
    <t>USD mn</t>
  </si>
  <si>
    <t>Free cashflow forecast</t>
  </si>
  <si>
    <t>Net Revenue</t>
  </si>
  <si>
    <t>EBIT Margin</t>
  </si>
  <si>
    <t>EBIT*(1 - t)</t>
  </si>
  <si>
    <t>+</t>
  </si>
  <si>
    <t>Depreciation and Amortization</t>
  </si>
  <si>
    <t>-</t>
  </si>
  <si>
    <t>Free Cash Flows</t>
  </si>
  <si>
    <t>DCF Analysis</t>
  </si>
  <si>
    <t>PV of FCF</t>
  </si>
  <si>
    <t>Tax rate</t>
  </si>
  <si>
    <t>Terminal value</t>
  </si>
  <si>
    <t>Debt ratio</t>
  </si>
  <si>
    <t>PV of terminal value</t>
  </si>
  <si>
    <t>Beta</t>
  </si>
  <si>
    <t xml:space="preserve">Enterprise Value </t>
  </si>
  <si>
    <t>Risk free rate</t>
  </si>
  <si>
    <t>Net Cash/(Debt), Minority interests</t>
  </si>
  <si>
    <t>Risk premium</t>
  </si>
  <si>
    <t>Equity Value</t>
  </si>
  <si>
    <t>Equity cost</t>
  </si>
  <si>
    <t>Equity value per share</t>
  </si>
  <si>
    <t>Debt cost</t>
  </si>
  <si>
    <t>Debt cost (After tax)</t>
  </si>
  <si>
    <t>WACC</t>
  </si>
  <si>
    <t>Perpetual Growth</t>
  </si>
  <si>
    <t>Equity value per share (USD)</t>
  </si>
  <si>
    <t>% change from DCF TP upon WACC/perpetual growth change</t>
  </si>
  <si>
    <t>2020-12-31</t>
  </si>
  <si>
    <t>2021-12-31</t>
  </si>
  <si>
    <t>2022-12-31</t>
  </si>
  <si>
    <t>2023-12-31</t>
  </si>
  <si>
    <t>2024-12-31</t>
  </si>
  <si>
    <t>报告期</t>
  </si>
  <si>
    <t>年报</t>
  </si>
  <si>
    <t>报表类型</t>
  </si>
  <si>
    <t>合并报表</t>
  </si>
  <si>
    <t xml:space="preserve">    营业成本</t>
  </si>
  <si>
    <t xml:space="preserve">        销售费用</t>
  </si>
  <si>
    <t xml:space="preserve">        管理费用</t>
  </si>
  <si>
    <t xml:space="preserve">    利润-不包括已实现的净损益</t>
  </si>
  <si>
    <t xml:space="preserve">    其他经营净收益</t>
  </si>
  <si>
    <t>营业利润</t>
  </si>
  <si>
    <t xml:space="preserve">    财务费用</t>
  </si>
  <si>
    <t>除税前溢利</t>
  </si>
  <si>
    <t xml:space="preserve">    所得税</t>
  </si>
  <si>
    <t>净利润(含少数股东权益)</t>
  </si>
  <si>
    <t xml:space="preserve">    其他综合收益-公平价值变动计入其他全面收益的金融资产的公平价值变动</t>
  </si>
  <si>
    <t>其他综合收益</t>
  </si>
  <si>
    <t>综合收益总额</t>
  </si>
  <si>
    <t>折旧及摊销</t>
  </si>
  <si>
    <t xml:space="preserve">    物业,厂房及设备折旧</t>
  </si>
  <si>
    <t xml:space="preserve">    无形资产摊销</t>
  </si>
  <si>
    <t xml:space="preserve">    使用权资产折旧</t>
  </si>
  <si>
    <t>职工薪酬</t>
  </si>
  <si>
    <t>显示币种</t>
  </si>
  <si>
    <t>USD</t>
  </si>
  <si>
    <t>原始币种</t>
  </si>
  <si>
    <t>转换汇率</t>
  </si>
  <si>
    <t>汇率类型</t>
  </si>
  <si>
    <t>最新汇率</t>
  </si>
  <si>
    <t>区间起始日</t>
  </si>
  <si>
    <t>2020-01-01</t>
  </si>
  <si>
    <t>2021-01-01</t>
  </si>
  <si>
    <t>2022-01-01</t>
  </si>
  <si>
    <t>2023-01-01</t>
  </si>
  <si>
    <t>2024-01-01</t>
  </si>
  <si>
    <t>区间截止日</t>
  </si>
  <si>
    <t>报告期跨度</t>
  </si>
  <si>
    <t>12个月</t>
  </si>
  <si>
    <t>公告日期</t>
  </si>
  <si>
    <t>2023-06-08</t>
  </si>
  <si>
    <t>2024-03-06</t>
  </si>
  <si>
    <t>2025-03-24</t>
  </si>
  <si>
    <t>会计准则</t>
  </si>
  <si>
    <t>国际准则</t>
  </si>
  <si>
    <t>审计意见</t>
  </si>
  <si>
    <t>标准无保留意见</t>
  </si>
  <si>
    <t>核数师</t>
  </si>
  <si>
    <t>西锐[2507.HK] - ARD.资产负债表(单位：百万元 , USD)</t>
  </si>
  <si>
    <t xml:space="preserve">    非流动资产合计</t>
  </si>
  <si>
    <t xml:space="preserve">      固定资产-物业,厂房及设备</t>
  </si>
  <si>
    <t xml:space="preserve">      有使用权资产-非流动资产</t>
  </si>
  <si>
    <t xml:space="preserve">      无形资产</t>
  </si>
  <si>
    <t xml:space="preserve">      商誉</t>
  </si>
  <si>
    <t xml:space="preserve">      按公平值计入其他全面收益之金融资产-非流动资产</t>
  </si>
  <si>
    <t xml:space="preserve">      垫付供应商款项-非流动资产</t>
  </si>
  <si>
    <t xml:space="preserve">      合约资产-非流动资产</t>
  </si>
  <si>
    <t xml:space="preserve">      应收票据-非流动资产</t>
  </si>
  <si>
    <t xml:space="preserve">    流动资产合计</t>
  </si>
  <si>
    <t xml:space="preserve">      存货</t>
  </si>
  <si>
    <t xml:space="preserve">      可收回再保险和应收账款</t>
  </si>
  <si>
    <t xml:space="preserve">      垫付供应商款项-流动资产</t>
  </si>
  <si>
    <t xml:space="preserve">      合约资产-流动资产</t>
  </si>
  <si>
    <t xml:space="preserve">      应收票据及其他应收款-流动资产</t>
  </si>
  <si>
    <t xml:space="preserve">      应收账款</t>
  </si>
  <si>
    <t xml:space="preserve">      按公允值计入损益的金融资产</t>
  </si>
  <si>
    <t xml:space="preserve">      短期银行存款</t>
  </si>
  <si>
    <t xml:space="preserve">      货币资金</t>
  </si>
  <si>
    <t>负债及股东权益总计</t>
  </si>
  <si>
    <t xml:space="preserve">    股东权益合计(含少数股东权益)</t>
  </si>
  <si>
    <t xml:space="preserve">      股本</t>
  </si>
  <si>
    <t xml:space="preserve">      资本公积金</t>
  </si>
  <si>
    <t xml:space="preserve">      通过其他全面收益以反映公平值计量之金融资产之储备-权益</t>
  </si>
  <si>
    <t xml:space="preserve">      留存收益</t>
  </si>
  <si>
    <t xml:space="preserve">    负债合计</t>
  </si>
  <si>
    <t xml:space="preserve">      非流动负债合计</t>
  </si>
  <si>
    <t xml:space="preserve">        长期借款</t>
  </si>
  <si>
    <t xml:space="preserve">        租赁-非流动负债</t>
  </si>
  <si>
    <t xml:space="preserve">        递延税项负债-非流动</t>
  </si>
  <si>
    <t xml:space="preserve">        应付质保金</t>
  </si>
  <si>
    <t xml:space="preserve">        合同负债-非流动负债</t>
  </si>
  <si>
    <t xml:space="preserve">        递延政府补贴收入-非流动负债</t>
  </si>
  <si>
    <t xml:space="preserve">      流动负债合计</t>
  </si>
  <si>
    <t xml:space="preserve">        应付账款</t>
  </si>
  <si>
    <t xml:space="preserve">        应付账款，应付工资和员工福利</t>
  </si>
  <si>
    <t xml:space="preserve">        应计负债</t>
  </si>
  <si>
    <t xml:space="preserve">        合同负债-流动负债</t>
  </si>
  <si>
    <t xml:space="preserve">        客户按金</t>
  </si>
  <si>
    <t xml:space="preserve">        应付利息</t>
  </si>
  <si>
    <t xml:space="preserve">        应交所得税-流动负债</t>
  </si>
  <si>
    <t xml:space="preserve">        应计关联方质保金-流动负债</t>
  </si>
  <si>
    <t xml:space="preserve">        保险和产品责任-流动负债</t>
  </si>
  <si>
    <t xml:space="preserve">        短期借款</t>
  </si>
  <si>
    <t xml:space="preserve">        租赁-流动负债</t>
  </si>
  <si>
    <t xml:space="preserve">        递延政府补贴收入-流动负债</t>
  </si>
  <si>
    <t>流动资产/(负债)净值</t>
  </si>
  <si>
    <t>ARD.现金流量表</t>
  </si>
  <si>
    <t>截止日期</t>
  </si>
  <si>
    <t>期末现金及现金等价物余额</t>
  </si>
  <si>
    <t xml:space="preserve">    现金及现金等价物净增加额</t>
  </si>
  <si>
    <t xml:space="preserve">      经营活动产生的现金流量净额</t>
  </si>
  <si>
    <t xml:space="preserve">        经营活动之现金</t>
  </si>
  <si>
    <t xml:space="preserve">          营运资本金变动</t>
  </si>
  <si>
    <t xml:space="preserve">            净利润</t>
  </si>
  <si>
    <t xml:space="preserve">            所得税(收益)/费用</t>
  </si>
  <si>
    <t xml:space="preserve">            财务费用</t>
  </si>
  <si>
    <t xml:space="preserve">            物业,厂房及设备折旧</t>
  </si>
  <si>
    <t xml:space="preserve">            资产使用权的折旧-经营活动</t>
  </si>
  <si>
    <t xml:space="preserve">            无形资产摊销</t>
  </si>
  <si>
    <t xml:space="preserve">            处置物业,厂房及设备之收益</t>
  </si>
  <si>
    <t xml:space="preserve">            按公平值透过损益列账金融资产之公平值(收益)/亏损</t>
  </si>
  <si>
    <t xml:space="preserve">            出售按公平值计入其他全面收入之金融资产收益-经营活动</t>
  </si>
  <si>
    <t xml:space="preserve">            政府补助-营运资本变动前</t>
  </si>
  <si>
    <t xml:space="preserve">          (增加)/减少存货</t>
  </si>
  <si>
    <t xml:space="preserve">          (增加)/减少应收款项及应收票据,预付款项,按金及其他应收款项</t>
  </si>
  <si>
    <t xml:space="preserve">          增加/(减少)合约资产</t>
  </si>
  <si>
    <t xml:space="preserve">          (增加)/减少向供应商垫款</t>
  </si>
  <si>
    <t xml:space="preserve">          (增加)/减少合同负债-经营活动</t>
  </si>
  <si>
    <t xml:space="preserve">          增加/(减少)客户按金-经营活动</t>
  </si>
  <si>
    <t xml:space="preserve">          增加/(减少)应付雇员福利</t>
  </si>
  <si>
    <t xml:space="preserve">          增加/(减少)债权人款项及其他应付款</t>
  </si>
  <si>
    <t xml:space="preserve">        已付利息-经营活动</t>
  </si>
  <si>
    <t xml:space="preserve">        (已付)/退回税项</t>
  </si>
  <si>
    <t xml:space="preserve">      投资活动产生的现金流量净额</t>
  </si>
  <si>
    <t xml:space="preserve">        投资于金融资产</t>
  </si>
  <si>
    <t xml:space="preserve">        出售金融资产所得款项</t>
  </si>
  <si>
    <t xml:space="preserve">        金融资产到期后所得款项</t>
  </si>
  <si>
    <t xml:space="preserve">        银行存款(增加)/减少-投资活动</t>
  </si>
  <si>
    <t xml:space="preserve">        处置物业,厂房及设备所得款</t>
  </si>
  <si>
    <t xml:space="preserve">        购买物业,厂房及设备</t>
  </si>
  <si>
    <t xml:space="preserve">        购买无形资产</t>
  </si>
  <si>
    <t xml:space="preserve">      筹资活动产生的现金流量净额</t>
  </si>
  <si>
    <t xml:space="preserve">        借款所得款</t>
  </si>
  <si>
    <t xml:space="preserve">        偿还借贷</t>
  </si>
  <si>
    <t xml:space="preserve">        租赁本金支付款</t>
  </si>
  <si>
    <t xml:space="preserve">        根据全球发售发行股份的所得款项(扣除发行成本)</t>
  </si>
  <si>
    <t xml:space="preserve">        已付股息-筹资活动</t>
  </si>
  <si>
    <t xml:space="preserve">        筹资活动差额(合计平衡项目)</t>
  </si>
  <si>
    <t xml:space="preserve">        上市开支</t>
  </si>
  <si>
    <t xml:space="preserve">    期初现金及现金等价物余额</t>
  </si>
  <si>
    <t>产品名称</t>
  </si>
  <si>
    <t>类型</t>
  </si>
  <si>
    <t>主要型号</t>
  </si>
  <si>
    <t>2024年交付量</t>
  </si>
  <si>
    <t>特点简介</t>
  </si>
  <si>
    <t>SR2X系列</t>
  </si>
  <si>
    <t>单引擎活塞飞机</t>
  </si>
  <si>
    <t>SR20、SR22、SR22T</t>
  </si>
  <si>
    <t>630架</t>
  </si>
  <si>
    <t>全球最畅销的单引擎活塞飞机之一，具备高性能、舒适性和安全性，适用于私人飞行和短途商务出行。</t>
  </si>
  <si>
    <t>愿景喷气机</t>
  </si>
  <si>
    <t>单发喷气式飞机</t>
  </si>
  <si>
    <t>SF50</t>
  </si>
  <si>
    <t>101架</t>
  </si>
  <si>
    <t>世界上第一款私人驾驶单发喷气机，具备高速、高效和便捷操作的特点，广受高端客户欢迎。</t>
  </si>
  <si>
    <r>
      <rPr>
        <sz val="11"/>
        <color theme="1"/>
        <rFont val="MSungHK"/>
        <family val="1"/>
      </rPr>
      <t>截至</t>
    </r>
    <r>
      <rPr>
        <sz val="11"/>
        <color theme="1"/>
        <rFont val="TimesLTStd"/>
        <family val="1"/>
      </rPr>
      <t>2020</t>
    </r>
    <r>
      <rPr>
        <sz val="11"/>
        <color theme="1"/>
        <rFont val="MSungHK"/>
        <family val="1"/>
      </rPr>
      <t xml:space="preserve">年、 </t>
    </r>
    <r>
      <rPr>
        <sz val="11"/>
        <color theme="1"/>
        <rFont val="TimesLTStd"/>
        <family val="1"/>
      </rPr>
      <t>2021</t>
    </r>
    <r>
      <rPr>
        <sz val="11"/>
        <color theme="1"/>
        <rFont val="MSungHK"/>
        <family val="1"/>
      </rPr>
      <t>年及</t>
    </r>
    <r>
      <rPr>
        <sz val="11"/>
        <color theme="1"/>
        <rFont val="TimesLTStd"/>
        <family val="1"/>
      </rPr>
      <t>2022</t>
    </r>
    <r>
      <rPr>
        <sz val="11"/>
        <color theme="1"/>
        <rFont val="MSungHK"/>
        <family val="1"/>
      </rPr>
      <t>年</t>
    </r>
    <r>
      <rPr>
        <sz val="11"/>
        <color theme="1"/>
        <rFont val="TimesLTStd"/>
        <family val="1"/>
      </rPr>
      <t>12</t>
    </r>
    <r>
      <rPr>
        <sz val="11"/>
        <color theme="1"/>
        <rFont val="MSungHK"/>
        <family val="1"/>
      </rPr>
      <t>月</t>
    </r>
    <r>
      <rPr>
        <sz val="11"/>
        <color theme="1"/>
        <rFont val="TimesLTStd"/>
        <family val="1"/>
      </rPr>
      <t>31</t>
    </r>
    <r>
      <rPr>
        <sz val="11"/>
        <color theme="1"/>
        <rFont val="MSungHK"/>
        <family val="1"/>
      </rPr>
      <t>日止年度，我們分別交付</t>
    </r>
    <r>
      <rPr>
        <sz val="11"/>
        <color theme="1"/>
        <rFont val="TimesLTStd"/>
        <family val="1"/>
      </rPr>
      <t>420</t>
    </r>
    <r>
      <rPr>
        <sz val="11"/>
        <color theme="1"/>
        <rFont val="MSungHK"/>
        <family val="1"/>
      </rPr>
      <t>、</t>
    </r>
    <r>
      <rPr>
        <sz val="11"/>
        <color theme="1"/>
        <rFont val="TimesLTStd"/>
        <family val="1"/>
      </rPr>
      <t>528</t>
    </r>
    <r>
      <rPr>
        <sz val="11"/>
        <color theme="1"/>
        <rFont val="MSungHK"/>
        <family val="1"/>
      </rPr>
      <t>及</t>
    </r>
    <r>
      <rPr>
        <sz val="11"/>
        <color theme="1"/>
        <rFont val="TimesLTStd"/>
        <family val="1"/>
      </rPr>
      <t>629</t>
    </r>
    <r>
      <rPr>
        <sz val="11"/>
        <color theme="1"/>
        <rFont val="MSungHK"/>
        <family val="1"/>
      </rPr>
      <t>架飛機</t>
    </r>
  </si>
  <si>
    <t>仅有数据单价拆分，无成本</t>
  </si>
  <si>
    <t>收入（mn USD）</t>
  </si>
  <si>
    <t>交付量（架）</t>
  </si>
  <si>
    <t>均价（mn USD）</t>
  </si>
  <si>
    <r>
      <rPr>
        <b/>
        <sz val="10"/>
        <color theme="1"/>
        <rFont val="Calibri"/>
        <family val="2"/>
      </rPr>
      <t>TOTAL</t>
    </r>
    <r>
      <rPr>
        <b/>
        <sz val="10"/>
        <color theme="1"/>
        <rFont val="等线"/>
        <family val="3"/>
        <charset val="134"/>
      </rPr>
      <t>（</t>
    </r>
    <r>
      <rPr>
        <b/>
        <sz val="10"/>
        <color theme="1"/>
        <rFont val="Calibri"/>
        <family val="2"/>
      </rPr>
      <t>mn USD</t>
    </r>
    <r>
      <rPr>
        <b/>
        <sz val="10"/>
        <color theme="1"/>
        <rFont val="等线"/>
        <family val="3"/>
        <charset val="134"/>
      </rPr>
      <t>）</t>
    </r>
  </si>
  <si>
    <t>TOTAL SALES</t>
  </si>
  <si>
    <t>COGS</t>
  </si>
  <si>
    <t>GP</t>
  </si>
  <si>
    <r>
      <rPr>
        <b/>
        <sz val="10"/>
        <color theme="1"/>
        <rFont val="Calibri"/>
        <family val="2"/>
      </rPr>
      <t>Aircraft Part</t>
    </r>
    <r>
      <rPr>
        <b/>
        <sz val="10"/>
        <color theme="1"/>
        <rFont val="等线"/>
        <family val="3"/>
        <charset val="134"/>
      </rPr>
      <t>（</t>
    </r>
    <r>
      <rPr>
        <b/>
        <sz val="10"/>
        <color theme="1"/>
        <rFont val="Calibri"/>
        <family val="2"/>
      </rPr>
      <t>mn USD</t>
    </r>
    <r>
      <rPr>
        <b/>
        <sz val="10"/>
        <color theme="1"/>
        <rFont val="等线"/>
        <family val="3"/>
        <charset val="134"/>
      </rPr>
      <t>）</t>
    </r>
  </si>
  <si>
    <t>Aircraft Sales (mn USD)</t>
  </si>
  <si>
    <t>SR2X Series</t>
  </si>
  <si>
    <t>—SR20</t>
  </si>
  <si>
    <t>—SR22</t>
  </si>
  <si>
    <t>—SR22T</t>
  </si>
  <si>
    <t>Vision Jet</t>
  </si>
  <si>
    <r>
      <rPr>
        <b/>
        <sz val="10"/>
        <color theme="1"/>
        <rFont val="Calibri"/>
        <family val="2"/>
      </rPr>
      <t>—Delivery</t>
    </r>
    <r>
      <rPr>
        <b/>
        <sz val="10"/>
        <color theme="1"/>
        <rFont val="等线"/>
        <family val="3"/>
        <charset val="134"/>
      </rPr>
      <t>（</t>
    </r>
    <r>
      <rPr>
        <b/>
        <sz val="10"/>
        <color theme="1"/>
        <rFont val="Calibri"/>
        <family val="2"/>
      </rPr>
      <t>units</t>
    </r>
    <r>
      <rPr>
        <b/>
        <sz val="10"/>
        <color theme="1"/>
        <rFont val="等线"/>
        <family val="3"/>
        <charset val="134"/>
      </rPr>
      <t>）</t>
    </r>
  </si>
  <si>
    <t>—Average Price (mn USD)</t>
  </si>
  <si>
    <r>
      <rPr>
        <b/>
        <sz val="10"/>
        <color theme="1"/>
        <rFont val="Calibri"/>
        <family val="2"/>
      </rPr>
      <t>Service &amp; Others Part</t>
    </r>
    <r>
      <rPr>
        <b/>
        <sz val="10"/>
        <color theme="1"/>
        <rFont val="等线"/>
        <family val="3"/>
        <charset val="134"/>
      </rPr>
      <t>（</t>
    </r>
    <r>
      <rPr>
        <b/>
        <sz val="10"/>
        <color theme="1"/>
        <rFont val="Calibri"/>
        <family val="2"/>
      </rPr>
      <t>mn USD</t>
    </r>
    <r>
      <rPr>
        <b/>
        <sz val="10"/>
        <color theme="1"/>
        <rFont val="等线"/>
        <family val="3"/>
        <charset val="134"/>
      </rPr>
      <t>）</t>
    </r>
  </si>
  <si>
    <t>Service &amp; others</t>
  </si>
  <si>
    <t>GMP</t>
  </si>
  <si>
    <t>产品</t>
  </si>
  <si>
    <t/>
  </si>
  <si>
    <t>数据类型</t>
  </si>
  <si>
    <t>指标数值</t>
  </si>
  <si>
    <t>飞机</t>
  </si>
  <si>
    <t xml:space="preserve">  收入</t>
  </si>
  <si>
    <t xml:space="preserve">  成本</t>
  </si>
  <si>
    <t xml:space="preserve">  毛利</t>
  </si>
  <si>
    <t xml:space="preserve">  毛利率(%)</t>
  </si>
  <si>
    <t>服务及其他收入</t>
  </si>
  <si>
    <t>数据来源：Wind</t>
  </si>
  <si>
    <t>——External Sales and Professional Services Fees</t>
    <phoneticPr fontId="133" type="noConversion"/>
  </si>
  <si>
    <t>——Others</t>
    <phoneticPr fontId="133" type="noConversion"/>
  </si>
  <si>
    <t>——Staff Costs</t>
    <phoneticPr fontId="133" type="noConversion"/>
  </si>
  <si>
    <t>——Facilities and Equipment</t>
    <phoneticPr fontId="133" type="noConversion"/>
  </si>
  <si>
    <t>rate</t>
    <phoneticPr fontId="133" type="noConversion"/>
  </si>
  <si>
    <t>——Insurance and Product Liability</t>
    <phoneticPr fontId="133" type="noConversion"/>
  </si>
  <si>
    <t>——External Professional Services Fees</t>
    <phoneticPr fontId="133" type="noConversion"/>
  </si>
  <si>
    <t>交付</t>
    <phoneticPr fontId="139" type="noConversion"/>
  </si>
  <si>
    <t>Q1</t>
    <phoneticPr fontId="139" type="noConversion"/>
  </si>
  <si>
    <t>Q2</t>
    <phoneticPr fontId="139" type="noConversion"/>
  </si>
  <si>
    <t>Q3</t>
    <phoneticPr fontId="139" type="noConversion"/>
  </si>
  <si>
    <t>Q4</t>
    <phoneticPr fontId="139" type="noConversion"/>
  </si>
  <si>
    <t>Sum</t>
    <phoneticPr fontId="139" type="noConversion"/>
  </si>
  <si>
    <t>—SR</t>
    <phoneticPr fontId="139" type="noConversion"/>
  </si>
  <si>
    <t>—Vision</t>
    <phoneticPr fontId="139" type="noConversion"/>
  </si>
  <si>
    <t>新增订单</t>
    <phoneticPr fontId="139" type="noConversion"/>
  </si>
  <si>
    <t>2026E</t>
    <phoneticPr fontId="133" type="noConversion"/>
  </si>
  <si>
    <t>yoy</t>
    <phoneticPr fontId="133" type="noConversion"/>
  </si>
  <si>
    <t>交付率</t>
    <phoneticPr fontId="133" type="noConversion"/>
  </si>
  <si>
    <t>截止年底总累计订单</t>
    <phoneticPr fontId="133" type="noConversion"/>
  </si>
  <si>
    <t>—</t>
    <phoneticPr fontId="133" type="noConversion"/>
  </si>
  <si>
    <t>2025E</t>
    <phoneticPr fontId="133" type="noConversion"/>
  </si>
  <si>
    <t>2025E</t>
    <phoneticPr fontId="133" type="noConversion"/>
  </si>
  <si>
    <t>2028E</t>
    <phoneticPr fontId="1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</si>
</sst>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6">
    <numFmt numFmtId="41" formatCode="_ * #,##0_ ;_ * \-#,##0_ ;_ * &quot;-&quot;_ ;_ @_ "/>
    <numFmt numFmtId="43" formatCode="_ * #,##0.00_ ;_ * \-#,##0.00_ ;_ * &quot;-&quot;??_ ;_ @_ "/>
    <numFmt numFmtId="176" formatCode="\ [$]m\/yyyy"/>
    <numFmt numFmtId="177" formatCode="0.0%"/>
    <numFmt numFmtId="178" formatCode="0.0"/>
    <numFmt numFmtId="179" formatCode="_-* #,##0.00_-;\-* #,##0.00_-;_-* &quot;-&quot;??_-;_-@_-"/>
    <numFmt numFmtId="180" formatCode="m/d/yy\ h:mm"/>
    <numFmt numFmtId="181" formatCode="#.00"/>
    <numFmt numFmtId="182" formatCode="General_)"/>
    <numFmt numFmtId="183" formatCode="mmm\ dd\,\ yyyy"/>
    <numFmt numFmtId="184" formatCode="mmm\-yyyy"/>
    <numFmt numFmtId="185" formatCode="yyyy"/>
    <numFmt numFmtId="186" formatCode="&quot;$&quot;#,##0.00_);[Red]\(&quot;$&quot;#,##0.00\)"/>
    <numFmt numFmtId="187" formatCode="[$-409]mmm/yy;@"/>
    <numFmt numFmtId="188" formatCode="_(* #,##0.00_);_(* \(#,##0.00\);_(* &quot;-&quot;??_);_(@_)"/>
    <numFmt numFmtId="189" formatCode="#,##0.000"/>
    <numFmt numFmtId="190" formatCode="#,##0.0000"/>
    <numFmt numFmtId="191" formatCode="* #,##0_);* \(#,##0\);* \-_);* @_)"/>
    <numFmt numFmtId="192" formatCode="* #,##0%_);* \(#,##0%\);* \-_);* @_)"/>
    <numFmt numFmtId="193" formatCode="0.00_ "/>
    <numFmt numFmtId="194" formatCode="#,##0_ "/>
    <numFmt numFmtId="195" formatCode="&quot;￥&quot;#,##0.00_);[Red]\(&quot;￥&quot;#,##0.00\)"/>
    <numFmt numFmtId="196" formatCode="#,##0.00_ "/>
    <numFmt numFmtId="197" formatCode="0_ "/>
    <numFmt numFmtId="198" formatCode="_ * #,##0_ ;_ * \-#,##0_ ;_ * &quot;-&quot;??_ ;_ @_ "/>
    <numFmt numFmtId="199" formatCode="#,##0.0;\-#,##0.0"/>
    <numFmt numFmtId="200" formatCode="#,##0.000_);\(#,##0.000\)"/>
    <numFmt numFmtId="201" formatCode="#,##0.0_);\(#,##0.0\)"/>
    <numFmt numFmtId="202" formatCode="0.000_ "/>
    <numFmt numFmtId="203" formatCode="###,##0.00"/>
    <numFmt numFmtId="204" formatCode="0.0_ "/>
    <numFmt numFmtId="205" formatCode="0_);[Red]\(0\)"/>
    <numFmt numFmtId="206" formatCode="0.0_);\(0.0\)"/>
    <numFmt numFmtId="207" formatCode="0.00_);[Red]\(0.00\)"/>
    <numFmt numFmtId="208" formatCode="yyyy/mm/dd"/>
    <numFmt numFmtId="209" formatCode="[&gt;=100]##,##0;[&lt;=-100]\-##,##0;0.00"/>
  </numFmts>
  <fonts count="143">
    <font>
      <sz val="11"/>
      <color theme="1"/>
      <name val="等线"/>
      <charset val="134"/>
      <scheme val="minor"/>
    </font>
    <font>
      <sz val="8"/>
      <name val="楷体_GB2312"/>
      <charset val="134"/>
    </font>
    <font>
      <b/>
      <sz val="8"/>
      <color theme="0"/>
      <name val="楷体_GB2312"/>
      <charset val="134"/>
    </font>
    <font>
      <b/>
      <sz val="10"/>
      <color theme="1"/>
      <name val="等线"/>
      <family val="3"/>
      <charset val="134"/>
      <scheme val="minor"/>
    </font>
    <font>
      <sz val="10"/>
      <color theme="1"/>
      <name val="等线"/>
      <family val="3"/>
      <charset val="134"/>
      <scheme val="minor"/>
    </font>
    <font>
      <sz val="12"/>
      <color theme="1"/>
      <name val="等线"/>
      <family val="3"/>
      <charset val="134"/>
      <scheme val="minor"/>
    </font>
    <font>
      <b/>
      <sz val="9"/>
      <color theme="0"/>
      <name val="楷体_GB2312"/>
      <charset val="134"/>
    </font>
    <font>
      <b/>
      <sz val="9"/>
      <color theme="0"/>
      <name val="Arial"/>
      <family val="2"/>
    </font>
    <font>
      <b/>
      <sz val="9"/>
      <color theme="1"/>
      <name val="Arial"/>
      <family val="2"/>
    </font>
    <font>
      <sz val="9"/>
      <color theme="1"/>
      <name val="Arial"/>
      <family val="2"/>
    </font>
    <font>
      <b/>
      <sz val="8"/>
      <color theme="0"/>
      <name val="Arial"/>
      <family val="2"/>
    </font>
    <font>
      <b/>
      <sz val="8"/>
      <name val="Arial"/>
      <family val="2"/>
    </font>
    <font>
      <b/>
      <sz val="9"/>
      <color theme="0"/>
      <name val="楷体"/>
      <family val="3"/>
      <charset val="134"/>
    </font>
    <font>
      <b/>
      <sz val="9"/>
      <name val="楷体"/>
      <family val="3"/>
      <charset val="134"/>
    </font>
    <font>
      <b/>
      <sz val="9"/>
      <name val="Arial"/>
      <family val="2"/>
    </font>
    <font>
      <sz val="9"/>
      <name val="楷体"/>
      <family val="3"/>
      <charset val="134"/>
    </font>
    <font>
      <sz val="11"/>
      <color theme="1"/>
      <name val="MSungHK"/>
      <family val="1"/>
    </font>
    <font>
      <sz val="10"/>
      <color theme="3"/>
      <name val="等线"/>
      <family val="3"/>
      <charset val="134"/>
      <scheme val="minor"/>
    </font>
    <font>
      <b/>
      <sz val="10"/>
      <color theme="0"/>
      <name val="等线"/>
      <family val="3"/>
      <charset val="134"/>
      <scheme val="minor"/>
    </font>
    <font>
      <b/>
      <sz val="11"/>
      <color theme="0"/>
      <name val="Calibri"/>
      <family val="2"/>
    </font>
    <font>
      <b/>
      <sz val="10"/>
      <color theme="1"/>
      <name val="Calibri"/>
      <family val="2"/>
    </font>
    <font>
      <i/>
      <sz val="10"/>
      <color theme="0" tint="-0.34998626667073579"/>
      <name val="Calibri"/>
      <family val="2"/>
    </font>
    <font>
      <sz val="10"/>
      <color theme="1"/>
      <name val="Calibri"/>
      <family val="2"/>
    </font>
    <font>
      <sz val="10"/>
      <color theme="0" tint="-0.34998626667073579"/>
      <name val="Calibri"/>
      <family val="2"/>
    </font>
    <font>
      <b/>
      <sz val="10"/>
      <color theme="0" tint="-0.34998626667073579"/>
      <name val="Calibri"/>
      <family val="2"/>
    </font>
    <font>
      <b/>
      <sz val="10"/>
      <color theme="3"/>
      <name val="Calibri"/>
      <family val="2"/>
    </font>
    <font>
      <sz val="10"/>
      <color theme="3"/>
      <name val="Calibri"/>
      <family val="2"/>
    </font>
    <font>
      <sz val="10"/>
      <color theme="4"/>
      <name val="Calibri"/>
      <family val="2"/>
    </font>
    <font>
      <b/>
      <sz val="12"/>
      <color theme="1"/>
      <name val="等线"/>
      <family val="3"/>
      <charset val="134"/>
      <scheme val="minor"/>
    </font>
    <font>
      <sz val="12"/>
      <color theme="3"/>
      <name val="等线"/>
      <family val="3"/>
      <charset val="134"/>
      <scheme val="minor"/>
    </font>
    <font>
      <sz val="12"/>
      <color theme="6"/>
      <name val="等线"/>
      <family val="3"/>
      <charset val="134"/>
      <scheme val="minor"/>
    </font>
    <font>
      <sz val="9"/>
      <name val="Arial"/>
      <family val="2"/>
    </font>
    <font>
      <sz val="8"/>
      <name val="Arial"/>
      <family val="2"/>
    </font>
    <font>
      <i/>
      <sz val="8"/>
      <name val="Arial"/>
      <family val="2"/>
    </font>
    <font>
      <sz val="9"/>
      <color rgb="FFFFFFFF"/>
      <name val="Arial"/>
      <family val="2"/>
    </font>
    <font>
      <b/>
      <sz val="11"/>
      <name val="Calibri"/>
      <family val="2"/>
    </font>
    <font>
      <sz val="9"/>
      <color theme="0"/>
      <name val="Arial"/>
      <family val="2"/>
    </font>
    <font>
      <b/>
      <sz val="9"/>
      <color rgb="FF0744A2"/>
      <name val="Arial"/>
      <family val="2"/>
    </font>
    <font>
      <sz val="9"/>
      <color rgb="FF0744A2"/>
      <name val="Arial"/>
      <family val="2"/>
    </font>
    <font>
      <b/>
      <i/>
      <sz val="9"/>
      <color theme="0" tint="-0.34998626667073579"/>
      <name val="Arial"/>
      <family val="2"/>
    </font>
    <font>
      <sz val="9"/>
      <color theme="0" tint="-0.34998626667073579"/>
      <name val="Arial"/>
      <family val="2"/>
    </font>
    <font>
      <i/>
      <sz val="9"/>
      <color theme="0" tint="-0.34998626667073579"/>
      <name val="Arial"/>
      <family val="2"/>
    </font>
    <font>
      <i/>
      <sz val="9"/>
      <color theme="4"/>
      <name val="Arial"/>
      <family val="2"/>
    </font>
    <font>
      <sz val="9"/>
      <color theme="4"/>
      <name val="Arial"/>
      <family val="2"/>
    </font>
    <font>
      <i/>
      <sz val="10"/>
      <color indexed="63"/>
      <name val="Arial"/>
      <family val="2"/>
    </font>
    <font>
      <sz val="10"/>
      <color indexed="63"/>
      <name val="Arial"/>
      <family val="2"/>
    </font>
    <font>
      <sz val="9"/>
      <color rgb="FFFF0000"/>
      <name val="Arial"/>
      <family val="2"/>
    </font>
    <font>
      <b/>
      <sz val="9"/>
      <color theme="1"/>
      <name val="宋体-简"/>
      <charset val="134"/>
    </font>
    <font>
      <sz val="9"/>
      <color rgb="FF0000FF"/>
      <name val="Arial"/>
      <family val="2"/>
    </font>
    <font>
      <sz val="11"/>
      <name val="宋体"/>
      <family val="3"/>
      <charset val="134"/>
    </font>
    <font>
      <sz val="8"/>
      <name val="Calibri"/>
      <family val="2"/>
    </font>
    <font>
      <sz val="9"/>
      <name val="Calibri"/>
      <family val="2"/>
    </font>
    <font>
      <b/>
      <sz val="8"/>
      <name val="Calibri"/>
      <family val="2"/>
    </font>
    <font>
      <sz val="8"/>
      <color rgb="FFFF0000"/>
      <name val="Calibri"/>
      <family val="2"/>
    </font>
    <font>
      <sz val="10"/>
      <name val="宋体"/>
      <family val="3"/>
      <charset val="134"/>
    </font>
    <font>
      <b/>
      <sz val="10"/>
      <color rgb="FF000000"/>
      <name val="Calibri"/>
      <family val="2"/>
    </font>
    <font>
      <b/>
      <sz val="10"/>
      <name val="Calibri"/>
      <family val="2"/>
    </font>
    <font>
      <sz val="10"/>
      <name val="Times New Roman"/>
      <family val="1"/>
    </font>
    <font>
      <b/>
      <sz val="10"/>
      <name val="宋体"/>
      <family val="3"/>
      <charset val="134"/>
    </font>
    <font>
      <b/>
      <i/>
      <sz val="10"/>
      <color rgb="FF000000"/>
      <name val="Calibri"/>
      <family val="2"/>
    </font>
    <font>
      <sz val="10"/>
      <color rgb="FF000000"/>
      <name val="Calibri"/>
      <family val="2"/>
    </font>
    <font>
      <sz val="12"/>
      <name val="宋体"/>
      <family val="3"/>
      <charset val="134"/>
    </font>
    <font>
      <sz val="11"/>
      <color indexed="8"/>
      <name val="宋体"/>
      <family val="3"/>
      <charset val="134"/>
    </font>
    <font>
      <sz val="11"/>
      <color indexed="8"/>
      <name val="Calibri"/>
      <family val="2"/>
    </font>
    <font>
      <sz val="11"/>
      <color indexed="9"/>
      <name val="宋体"/>
      <family val="3"/>
      <charset val="134"/>
    </font>
    <font>
      <sz val="11"/>
      <color indexed="9"/>
      <name val="Calibri"/>
      <family val="2"/>
    </font>
    <font>
      <sz val="11"/>
      <color indexed="20"/>
      <name val="宋体"/>
      <family val="3"/>
      <charset val="134"/>
    </font>
    <font>
      <sz val="11"/>
      <color indexed="20"/>
      <name val="Calibri"/>
      <family val="2"/>
    </font>
    <font>
      <b/>
      <sz val="11"/>
      <color indexed="9"/>
      <name val="Calibri"/>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b/>
      <sz val="11"/>
      <color indexed="52"/>
      <name val="宋体"/>
      <family val="3"/>
      <charset val="134"/>
    </font>
    <font>
      <b/>
      <sz val="11"/>
      <color indexed="52"/>
      <name val="Calibri"/>
      <family val="2"/>
    </font>
    <font>
      <b/>
      <sz val="11"/>
      <color indexed="9"/>
      <name val="宋体"/>
      <family val="3"/>
      <charset val="134"/>
    </font>
    <font>
      <sz val="11"/>
      <name val="ＭＳ Ｐゴシック"/>
      <charset val="128"/>
    </font>
    <font>
      <sz val="10"/>
      <name val="MS Sans Serif"/>
      <family val="1"/>
    </font>
    <font>
      <sz val="1"/>
      <color indexed="8"/>
      <name val="Courier"/>
      <family val="3"/>
    </font>
    <font>
      <sz val="10"/>
      <name val="Arial"/>
      <family val="2"/>
    </font>
    <font>
      <i/>
      <sz val="11"/>
      <color indexed="23"/>
      <name val="宋体"/>
      <family val="3"/>
      <charset val="134"/>
    </font>
    <font>
      <i/>
      <sz val="11"/>
      <color indexed="23"/>
      <name val="Calibri"/>
      <family val="2"/>
    </font>
    <font>
      <b/>
      <sz val="10"/>
      <color indexed="9"/>
      <name val="Arial"/>
      <family val="2"/>
    </font>
    <font>
      <sz val="11"/>
      <color indexed="17"/>
      <name val="宋体"/>
      <family val="3"/>
      <charset val="134"/>
    </font>
    <font>
      <sz val="11"/>
      <color indexed="17"/>
      <name val="Calibri"/>
      <family val="2"/>
    </font>
    <font>
      <b/>
      <sz val="15"/>
      <color indexed="56"/>
      <name val="宋体"/>
      <family val="3"/>
      <charset val="134"/>
    </font>
    <font>
      <b/>
      <sz val="15"/>
      <color indexed="56"/>
      <name val="Calibri"/>
      <family val="2"/>
    </font>
    <font>
      <b/>
      <sz val="13"/>
      <color indexed="56"/>
      <name val="宋体"/>
      <family val="3"/>
      <charset val="134"/>
    </font>
    <font>
      <b/>
      <sz val="13"/>
      <color indexed="56"/>
      <name val="Calibri"/>
      <family val="2"/>
    </font>
    <font>
      <b/>
      <sz val="11"/>
      <color indexed="56"/>
      <name val="宋体"/>
      <family val="3"/>
      <charset val="134"/>
    </font>
    <font>
      <b/>
      <sz val="11"/>
      <color indexed="56"/>
      <name val="Calibri"/>
      <family val="2"/>
    </font>
    <font>
      <b/>
      <sz val="1"/>
      <color indexed="8"/>
      <name val="Courier"/>
      <family val="3"/>
    </font>
    <font>
      <u/>
      <sz val="11"/>
      <color theme="10"/>
      <name val="宋体"/>
      <family val="3"/>
      <charset val="134"/>
    </font>
    <font>
      <u/>
      <sz val="12"/>
      <color theme="10"/>
      <name val="等线"/>
      <family val="3"/>
      <charset val="134"/>
      <scheme val="minor"/>
    </font>
    <font>
      <sz val="11"/>
      <color indexed="62"/>
      <name val="宋体"/>
      <family val="3"/>
      <charset val="134"/>
    </font>
    <font>
      <sz val="11"/>
      <color indexed="62"/>
      <name val="Calibri"/>
      <family val="2"/>
    </font>
    <font>
      <sz val="11"/>
      <color indexed="52"/>
      <name val="宋体"/>
      <family val="3"/>
      <charset val="134"/>
    </font>
    <font>
      <sz val="11"/>
      <color indexed="52"/>
      <name val="Calibri"/>
      <family val="2"/>
    </font>
    <font>
      <sz val="11"/>
      <color indexed="60"/>
      <name val="宋体"/>
      <family val="3"/>
      <charset val="134"/>
    </font>
    <font>
      <sz val="11"/>
      <color indexed="60"/>
      <name val="Calibri"/>
      <family val="2"/>
    </font>
    <font>
      <b/>
      <sz val="10"/>
      <name val="Arial"/>
      <family val="2"/>
    </font>
    <font>
      <sz val="10"/>
      <name val="Courier"/>
      <family val="3"/>
    </font>
    <font>
      <sz val="8"/>
      <name val="NewCenturySchlbk"/>
      <family val="1"/>
    </font>
    <font>
      <b/>
      <sz val="11"/>
      <color indexed="63"/>
      <name val="宋体"/>
      <family val="3"/>
      <charset val="134"/>
    </font>
    <font>
      <b/>
      <sz val="11"/>
      <color indexed="63"/>
      <name val="Calibri"/>
      <family val="2"/>
    </font>
    <font>
      <sz val="9"/>
      <name val="Geneva"/>
      <family val="1"/>
    </font>
    <font>
      <b/>
      <sz val="12"/>
      <name val="Arial"/>
      <family val="2"/>
    </font>
    <font>
      <b/>
      <sz val="18"/>
      <color indexed="56"/>
      <name val="宋体"/>
      <family val="3"/>
      <charset val="134"/>
    </font>
    <font>
      <b/>
      <sz val="18"/>
      <color indexed="56"/>
      <name val="Cambria"/>
      <family val="1"/>
    </font>
    <font>
      <b/>
      <sz val="11"/>
      <color indexed="8"/>
      <name val="宋体"/>
      <family val="3"/>
      <charset val="134"/>
    </font>
    <font>
      <b/>
      <sz val="11"/>
      <color indexed="8"/>
      <name val="Calibri"/>
      <family val="2"/>
    </font>
    <font>
      <sz val="11"/>
      <color indexed="10"/>
      <name val="宋体"/>
      <family val="3"/>
      <charset val="134"/>
    </font>
    <font>
      <sz val="11"/>
      <color indexed="10"/>
      <name val="Calibri"/>
      <family val="2"/>
    </font>
    <font>
      <sz val="12"/>
      <name val="Calibri"/>
      <family val="2"/>
    </font>
    <font>
      <sz val="11"/>
      <color theme="1"/>
      <name val="Tahoma"/>
      <family val="2"/>
    </font>
    <font>
      <u/>
      <sz val="10"/>
      <color indexed="12"/>
      <name val="Arial"/>
      <family val="2"/>
    </font>
    <font>
      <u/>
      <sz val="10"/>
      <color rgb="FF00B0F0"/>
      <name val="Arial"/>
      <family val="2"/>
    </font>
    <font>
      <u/>
      <sz val="11"/>
      <color theme="10"/>
      <name val="等线"/>
      <family val="3"/>
      <charset val="134"/>
      <scheme val="minor"/>
    </font>
    <font>
      <u/>
      <sz val="8"/>
      <color indexed="12"/>
      <name val="Courier"/>
      <family val="3"/>
    </font>
    <font>
      <u/>
      <sz val="11"/>
      <color indexed="12"/>
      <name val="宋体"/>
      <family val="3"/>
      <charset val="134"/>
    </font>
    <font>
      <u/>
      <sz val="12"/>
      <color indexed="12"/>
      <name val="宋体"/>
      <family val="3"/>
      <charset val="134"/>
    </font>
    <font>
      <u/>
      <sz val="8"/>
      <color indexed="12"/>
      <name val="Arial"/>
      <family val="2"/>
    </font>
    <font>
      <sz val="10"/>
      <name val="Helv"/>
      <family val="2"/>
    </font>
    <font>
      <sz val="11"/>
      <color theme="1"/>
      <name val="TimesLTStd"/>
      <family val="1"/>
    </font>
    <font>
      <b/>
      <sz val="10"/>
      <color theme="1"/>
      <name val="等线"/>
      <family val="3"/>
      <charset val="134"/>
    </font>
    <font>
      <b/>
      <sz val="9"/>
      <name val="宋体"/>
      <family val="3"/>
      <charset val="134"/>
    </font>
    <font>
      <sz val="9"/>
      <name val="宋体"/>
      <family val="3"/>
      <charset val="134"/>
    </font>
    <font>
      <sz val="11"/>
      <color theme="1"/>
      <name val="等线"/>
      <family val="3"/>
      <charset val="134"/>
      <scheme val="minor"/>
    </font>
    <font>
      <sz val="9"/>
      <name val="等线"/>
      <family val="3"/>
      <charset val="134"/>
      <scheme val="minor"/>
    </font>
    <font>
      <sz val="9"/>
      <color theme="1"/>
      <name val="Calibri"/>
      <family val="2"/>
    </font>
    <font>
      <sz val="11"/>
      <color theme="1"/>
      <name val="等线"/>
      <family val="2"/>
      <charset val="134"/>
      <scheme val="minor"/>
    </font>
    <font>
      <sz val="11"/>
      <color theme="1"/>
      <name val="Calibri"/>
      <family val="2"/>
    </font>
    <font>
      <b/>
      <sz val="11"/>
      <color theme="1"/>
      <name val="Calibri"/>
      <family val="2"/>
    </font>
    <font>
      <b/>
      <sz val="11"/>
      <color theme="1"/>
      <name val="楷体"/>
      <family val="3"/>
      <charset val="134"/>
    </font>
    <font>
      <sz val="9"/>
      <name val="等线"/>
      <family val="2"/>
      <charset val="134"/>
      <scheme val="minor"/>
    </font>
    <font>
      <i/>
      <sz val="11"/>
      <color theme="0" tint="-0.34998626667073579"/>
      <name val="楷体"/>
      <family val="3"/>
      <charset val="134"/>
    </font>
    <font>
      <i/>
      <sz val="11"/>
      <color theme="0" tint="-0.34998626667073579"/>
      <name val="Calibri"/>
      <family val="2"/>
    </font>
    <font>
      <sz val="11"/>
      <color theme="0" tint="-0.34998626667073579"/>
      <name val="楷体"/>
      <family val="3"/>
      <charset val="134"/>
    </font>
  </fonts>
  <fills count="45">
    <fill>
      <patternFill patternType="none"/>
    </fill>
    <fill>
      <patternFill patternType="gray125"/>
    </fill>
    <fill>
      <patternFill patternType="solid">
        <fgColor rgb="FFFFFFFF"/>
        <bgColor indexed="64"/>
      </patternFill>
    </fill>
    <fill>
      <patternFill patternType="solid">
        <fgColor rgb="FF005BB2"/>
        <bgColor indexed="64"/>
      </patternFill>
    </fill>
    <fill>
      <patternFill patternType="solid">
        <fgColor theme="0"/>
        <bgColor indexed="64"/>
      </patternFill>
    </fill>
    <fill>
      <patternFill patternType="solid">
        <fgColor theme="0"/>
        <bgColor indexed="64"/>
      </patternFill>
    </fill>
    <fill>
      <patternFill patternType="solid">
        <fgColor rgb="FFC00000"/>
        <bgColor indexed="64"/>
      </patternFill>
    </fill>
    <fill>
      <patternFill patternType="solid">
        <fgColor theme="7"/>
        <bgColor indexed="64"/>
      </patternFill>
    </fill>
    <fill>
      <patternFill patternType="solid">
        <fgColor theme="8" tint="0.79992065187536243"/>
        <bgColor indexed="64"/>
      </patternFill>
    </fill>
    <fill>
      <patternFill patternType="solid">
        <fgColor theme="6"/>
        <bgColor indexed="64"/>
      </patternFill>
    </fill>
    <fill>
      <patternFill patternType="solid">
        <fgColor theme="2" tint="-0.249977111117893"/>
        <bgColor indexed="64"/>
      </patternFill>
    </fill>
    <fill>
      <patternFill patternType="solid">
        <fgColor rgb="FFD7D7D7"/>
        <bgColor indexed="64"/>
      </patternFill>
    </fill>
    <fill>
      <patternFill patternType="solid">
        <fgColor rgb="FF215BB2"/>
        <bgColor indexed="64"/>
      </patternFill>
    </fill>
    <fill>
      <patternFill patternType="solid">
        <fgColor rgb="FFFFC000"/>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14990691854609822"/>
        <bgColor indexed="64"/>
      </patternFill>
    </fill>
    <fill>
      <patternFill patternType="solid">
        <fgColor theme="2" tint="-9.9978637043366805E-2"/>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rgb="FF4F81BD"/>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31"/>
        <bgColor indexed="8"/>
      </patternFill>
    </fill>
    <fill>
      <patternFill patternType="solid">
        <fgColor indexed="43"/>
        <bgColor indexed="8"/>
      </patternFill>
    </fill>
    <fill>
      <patternFill patternType="solid">
        <fgColor indexed="63"/>
        <bgColor indexed="8"/>
      </patternFill>
    </fill>
    <fill>
      <patternFill patternType="solid">
        <fgColor theme="8" tint="0.79998168889431442"/>
        <bgColor indexed="64"/>
      </patternFill>
    </fill>
  </fills>
  <borders count="29">
    <border>
      <left/>
      <right/>
      <top/>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top/>
      <bottom style="thin">
        <color indexed="5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bottom style="thin">
        <color auto="1"/>
      </bottom>
      <diagonal/>
    </border>
    <border>
      <left style="thin">
        <color auto="1"/>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39"/>
      </top>
      <bottom/>
      <diagonal/>
    </border>
    <border>
      <left style="medium">
        <color indexed="39"/>
      </left>
      <right/>
      <top style="medium">
        <color indexed="39"/>
      </top>
      <bottom/>
      <diagonal/>
    </border>
    <border>
      <left/>
      <right/>
      <top/>
      <bottom style="medium">
        <color indexed="39"/>
      </bottom>
      <diagonal/>
    </border>
    <border>
      <left/>
      <right/>
      <top style="thin">
        <color indexed="62"/>
      </top>
      <bottom style="double">
        <color indexed="62"/>
      </bottom>
      <diagonal/>
    </border>
    <border>
      <left/>
      <right/>
      <top style="thin">
        <color auto="1"/>
      </top>
      <bottom style="double">
        <color auto="1"/>
      </bottom>
      <diagonal/>
    </border>
    <border>
      <left/>
      <right style="thin">
        <color indexed="64"/>
      </right>
      <top/>
      <bottom/>
      <diagonal/>
    </border>
  </borders>
  <cellStyleXfs count="207">
    <xf numFmtId="0" fontId="0" fillId="0" borderId="0"/>
    <xf numFmtId="43" fontId="132" fillId="0" borderId="0" applyFont="0" applyFill="0" applyBorder="0" applyAlignment="0" applyProtection="0">
      <alignment vertical="center"/>
    </xf>
    <xf numFmtId="9" fontId="132" fillId="0" borderId="0" applyFont="0" applyFill="0" applyBorder="0" applyAlignment="0" applyProtection="0">
      <alignment vertical="center"/>
    </xf>
    <xf numFmtId="0" fontId="61" fillId="0" borderId="0" applyNumberFormat="0" applyFill="0" applyBorder="0" applyAlignment="0" applyProtection="0"/>
    <xf numFmtId="176" fontId="62" fillId="18" borderId="0" applyNumberFormat="0" applyBorder="0" applyAlignment="0" applyProtection="0">
      <alignment vertical="center"/>
    </xf>
    <xf numFmtId="0" fontId="63" fillId="18" borderId="0" applyNumberFormat="0" applyBorder="0" applyAlignment="0" applyProtection="0"/>
    <xf numFmtId="176" fontId="62" fillId="19" borderId="0" applyNumberFormat="0" applyBorder="0" applyAlignment="0" applyProtection="0">
      <alignment vertical="center"/>
    </xf>
    <xf numFmtId="0" fontId="63" fillId="19" borderId="0" applyNumberFormat="0" applyBorder="0" applyAlignment="0" applyProtection="0"/>
    <xf numFmtId="176" fontId="62" fillId="20" borderId="0" applyNumberFormat="0" applyBorder="0" applyAlignment="0" applyProtection="0">
      <alignment vertical="center"/>
    </xf>
    <xf numFmtId="0" fontId="63" fillId="20" borderId="0" applyNumberFormat="0" applyBorder="0" applyAlignment="0" applyProtection="0"/>
    <xf numFmtId="176" fontId="62" fillId="21" borderId="0" applyNumberFormat="0" applyBorder="0" applyAlignment="0" applyProtection="0">
      <alignment vertical="center"/>
    </xf>
    <xf numFmtId="0" fontId="63" fillId="21" borderId="0" applyNumberFormat="0" applyBorder="0" applyAlignment="0" applyProtection="0"/>
    <xf numFmtId="176" fontId="62" fillId="22" borderId="0" applyNumberFormat="0" applyBorder="0" applyAlignment="0" applyProtection="0">
      <alignment vertical="center"/>
    </xf>
    <xf numFmtId="0" fontId="63" fillId="22" borderId="0" applyNumberFormat="0" applyBorder="0" applyAlignment="0" applyProtection="0"/>
    <xf numFmtId="176" fontId="62" fillId="23" borderId="0" applyNumberFormat="0" applyBorder="0" applyAlignment="0" applyProtection="0">
      <alignment vertical="center"/>
    </xf>
    <xf numFmtId="0" fontId="63" fillId="23" borderId="0" applyNumberFormat="0" applyBorder="0" applyAlignment="0" applyProtection="0"/>
    <xf numFmtId="0" fontId="62" fillId="18"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1" borderId="0" applyNumberFormat="0" applyBorder="0" applyAlignment="0" applyProtection="0">
      <alignment vertical="center"/>
    </xf>
    <xf numFmtId="0" fontId="62" fillId="22" borderId="0" applyNumberFormat="0" applyBorder="0" applyAlignment="0" applyProtection="0">
      <alignment vertical="center"/>
    </xf>
    <xf numFmtId="0" fontId="62" fillId="23" borderId="0" applyNumberFormat="0" applyBorder="0" applyAlignment="0" applyProtection="0">
      <alignment vertical="center"/>
    </xf>
    <xf numFmtId="176" fontId="62" fillId="24" borderId="0" applyNumberFormat="0" applyBorder="0" applyAlignment="0" applyProtection="0">
      <alignment vertical="center"/>
    </xf>
    <xf numFmtId="0" fontId="63" fillId="24" borderId="0" applyNumberFormat="0" applyBorder="0" applyAlignment="0" applyProtection="0"/>
    <xf numFmtId="176" fontId="62" fillId="25" borderId="0" applyNumberFormat="0" applyBorder="0" applyAlignment="0" applyProtection="0">
      <alignment vertical="center"/>
    </xf>
    <xf numFmtId="0" fontId="63" fillId="25" borderId="0" applyNumberFormat="0" applyBorder="0" applyAlignment="0" applyProtection="0"/>
    <xf numFmtId="176" fontId="62" fillId="26" borderId="0" applyNumberFormat="0" applyBorder="0" applyAlignment="0" applyProtection="0">
      <alignment vertical="center"/>
    </xf>
    <xf numFmtId="0" fontId="63" fillId="26" borderId="0" applyNumberFormat="0" applyBorder="0" applyAlignment="0" applyProtection="0"/>
    <xf numFmtId="176" fontId="62" fillId="27" borderId="0" applyNumberFormat="0" applyBorder="0" applyAlignment="0" applyProtection="0">
      <alignment vertical="center"/>
    </xf>
    <xf numFmtId="0" fontId="63" fillId="27" borderId="0" applyNumberFormat="0" applyBorder="0" applyAlignment="0" applyProtection="0"/>
    <xf numFmtId="0" fontId="62" fillId="24" borderId="0" applyNumberFormat="0" applyBorder="0" applyAlignment="0" applyProtection="0">
      <alignment vertical="center"/>
    </xf>
    <xf numFmtId="0" fontId="62" fillId="25" borderId="0" applyNumberFormat="0" applyBorder="0" applyAlignment="0" applyProtection="0">
      <alignment vertical="center"/>
    </xf>
    <xf numFmtId="0" fontId="62" fillId="26" borderId="0" applyNumberFormat="0" applyBorder="0" applyAlignment="0" applyProtection="0">
      <alignment vertical="center"/>
    </xf>
    <xf numFmtId="0" fontId="62" fillId="27" borderId="0" applyNumberFormat="0" applyBorder="0" applyAlignment="0" applyProtection="0">
      <alignment vertical="center"/>
    </xf>
    <xf numFmtId="176" fontId="64" fillId="28" borderId="0" applyNumberFormat="0" applyBorder="0" applyAlignment="0" applyProtection="0">
      <alignment vertical="center"/>
    </xf>
    <xf numFmtId="0" fontId="65" fillId="28" borderId="0" applyNumberFormat="0" applyBorder="0" applyAlignment="0" applyProtection="0"/>
    <xf numFmtId="176" fontId="64" fillId="25" borderId="0" applyNumberFormat="0" applyBorder="0" applyAlignment="0" applyProtection="0">
      <alignment vertical="center"/>
    </xf>
    <xf numFmtId="0" fontId="65" fillId="25" borderId="0" applyNumberFormat="0" applyBorder="0" applyAlignment="0" applyProtection="0"/>
    <xf numFmtId="176" fontId="64" fillId="26" borderId="0" applyNumberFormat="0" applyBorder="0" applyAlignment="0" applyProtection="0">
      <alignment vertical="center"/>
    </xf>
    <xf numFmtId="0" fontId="65" fillId="26" borderId="0" applyNumberFormat="0" applyBorder="0" applyAlignment="0" applyProtection="0"/>
    <xf numFmtId="176" fontId="64" fillId="29" borderId="0" applyNumberFormat="0" applyBorder="0" applyAlignment="0" applyProtection="0">
      <alignment vertical="center"/>
    </xf>
    <xf numFmtId="0" fontId="65" fillId="29" borderId="0" applyNumberFormat="0" applyBorder="0" applyAlignment="0" applyProtection="0"/>
    <xf numFmtId="176" fontId="64" fillId="30" borderId="0" applyNumberFormat="0" applyBorder="0" applyAlignment="0" applyProtection="0">
      <alignment vertical="center"/>
    </xf>
    <xf numFmtId="0" fontId="65" fillId="30" borderId="0" applyNumberFormat="0" applyBorder="0" applyAlignment="0" applyProtection="0"/>
    <xf numFmtId="176" fontId="64" fillId="31" borderId="0" applyNumberFormat="0" applyBorder="0" applyAlignment="0" applyProtection="0">
      <alignment vertical="center"/>
    </xf>
    <xf numFmtId="0" fontId="65" fillId="31" borderId="0" applyNumberFormat="0" applyBorder="0" applyAlignment="0" applyProtection="0"/>
    <xf numFmtId="0" fontId="64" fillId="28" borderId="0" applyNumberFormat="0" applyBorder="0" applyAlignment="0" applyProtection="0">
      <alignment vertical="center"/>
    </xf>
    <xf numFmtId="0" fontId="64" fillId="25" borderId="0" applyNumberFormat="0" applyBorder="0" applyAlignment="0" applyProtection="0">
      <alignment vertical="center"/>
    </xf>
    <xf numFmtId="0" fontId="64" fillId="26" borderId="0" applyNumberFormat="0" applyBorder="0" applyAlignment="0" applyProtection="0">
      <alignment vertical="center"/>
    </xf>
    <xf numFmtId="0" fontId="64" fillId="29" borderId="0" applyNumberFormat="0" applyBorder="0" applyAlignment="0" applyProtection="0">
      <alignment vertical="center"/>
    </xf>
    <xf numFmtId="0" fontId="64" fillId="30" borderId="0" applyNumberFormat="0" applyBorder="0" applyAlignment="0" applyProtection="0">
      <alignment vertical="center"/>
    </xf>
    <xf numFmtId="0" fontId="64" fillId="31" borderId="0" applyNumberFormat="0" applyBorder="0" applyAlignment="0" applyProtection="0">
      <alignment vertical="center"/>
    </xf>
    <xf numFmtId="176" fontId="64" fillId="32" borderId="0" applyNumberFormat="0" applyBorder="0" applyAlignment="0" applyProtection="0">
      <alignment vertical="center"/>
    </xf>
    <xf numFmtId="0" fontId="65" fillId="32" borderId="0" applyNumberFormat="0" applyBorder="0" applyAlignment="0" applyProtection="0"/>
    <xf numFmtId="176" fontId="64" fillId="33" borderId="0" applyNumberFormat="0" applyBorder="0" applyAlignment="0" applyProtection="0">
      <alignment vertical="center"/>
    </xf>
    <xf numFmtId="0" fontId="65" fillId="33" borderId="0" applyNumberFormat="0" applyBorder="0" applyAlignment="0" applyProtection="0"/>
    <xf numFmtId="176" fontId="64" fillId="34" borderId="0" applyNumberFormat="0" applyBorder="0" applyAlignment="0" applyProtection="0">
      <alignment vertical="center"/>
    </xf>
    <xf numFmtId="0" fontId="65" fillId="34" borderId="0" applyNumberFormat="0" applyBorder="0" applyAlignment="0" applyProtection="0"/>
    <xf numFmtId="176" fontId="64" fillId="35" borderId="0" applyNumberFormat="0" applyBorder="0" applyAlignment="0" applyProtection="0">
      <alignment vertical="center"/>
    </xf>
    <xf numFmtId="0" fontId="65" fillId="35" borderId="0" applyNumberFormat="0" applyBorder="0" applyAlignment="0" applyProtection="0"/>
    <xf numFmtId="176" fontId="66" fillId="19" borderId="0" applyNumberFormat="0" applyBorder="0" applyAlignment="0" applyProtection="0">
      <alignment vertical="center"/>
    </xf>
    <xf numFmtId="0" fontId="67" fillId="19" borderId="0" applyNumberFormat="0" applyBorder="0" applyAlignment="0" applyProtection="0"/>
    <xf numFmtId="0" fontId="68" fillId="36" borderId="0"/>
    <xf numFmtId="0" fontId="69" fillId="0" borderId="0"/>
    <xf numFmtId="0" fontId="70" fillId="0" borderId="0">
      <alignment horizontal="right"/>
    </xf>
    <xf numFmtId="0" fontId="71" fillId="0" borderId="0"/>
    <xf numFmtId="0" fontId="72" fillId="0" borderId="0"/>
    <xf numFmtId="0" fontId="73" fillId="0" borderId="0"/>
    <xf numFmtId="0" fontId="74" fillId="0" borderId="12" applyNumberFormat="0" applyAlignment="0"/>
    <xf numFmtId="0" fontId="75" fillId="0" borderId="0" applyAlignment="0">
      <alignment horizontal="left"/>
    </xf>
    <xf numFmtId="0" fontId="75" fillId="0" borderId="0">
      <alignment horizontal="right"/>
    </xf>
    <xf numFmtId="177" fontId="75" fillId="0" borderId="0">
      <alignment horizontal="right"/>
    </xf>
    <xf numFmtId="178" fontId="76" fillId="0" borderId="0">
      <alignment horizontal="right"/>
    </xf>
    <xf numFmtId="0" fontId="77" fillId="0" borderId="0"/>
    <xf numFmtId="176" fontId="78" fillId="37" borderId="13" applyNumberFormat="0" applyAlignment="0" applyProtection="0">
      <alignment vertical="center"/>
    </xf>
    <xf numFmtId="0" fontId="79" fillId="37" borderId="13" applyNumberFormat="0" applyAlignment="0" applyProtection="0"/>
    <xf numFmtId="176" fontId="80" fillId="38" borderId="14" applyNumberFormat="0" applyAlignment="0" applyProtection="0">
      <alignment vertical="center"/>
    </xf>
    <xf numFmtId="0" fontId="68" fillId="38" borderId="14" applyNumberFormat="0" applyAlignment="0" applyProtection="0"/>
    <xf numFmtId="38" fontId="81" fillId="0" borderId="0" applyFont="0" applyFill="0" applyBorder="0" applyAlignment="0" applyProtection="0">
      <alignment vertical="center"/>
    </xf>
    <xf numFmtId="40" fontId="82" fillId="0" borderId="0" applyFont="0" applyFill="0" applyBorder="0" applyAlignment="0" applyProtection="0"/>
    <xf numFmtId="43" fontId="132" fillId="0" borderId="0" applyFont="0" applyFill="0" applyBorder="0" applyAlignment="0" applyProtection="0"/>
    <xf numFmtId="179" fontId="63" fillId="0" borderId="0" applyFont="0" applyFill="0" applyBorder="0" applyAlignment="0" applyProtection="0"/>
    <xf numFmtId="0" fontId="83" fillId="0" borderId="0">
      <protection locked="0"/>
    </xf>
    <xf numFmtId="180" fontId="84" fillId="0" borderId="0" applyFont="0" applyFill="0" applyBorder="0" applyAlignment="0" applyProtection="0">
      <alignment wrapText="1"/>
    </xf>
    <xf numFmtId="176" fontId="85" fillId="0" borderId="0" applyNumberFormat="0" applyFill="0" applyBorder="0" applyAlignment="0" applyProtection="0">
      <alignment vertical="center"/>
    </xf>
    <xf numFmtId="0" fontId="86" fillId="0" borderId="0" applyNumberFormat="0" applyFill="0" applyBorder="0" applyAlignment="0" applyProtection="0"/>
    <xf numFmtId="0" fontId="87" fillId="36" borderId="15">
      <alignment horizontal="right"/>
    </xf>
    <xf numFmtId="0" fontId="44" fillId="2" borderId="16"/>
    <xf numFmtId="0" fontId="45" fillId="2" borderId="16"/>
    <xf numFmtId="181" fontId="83" fillId="0" borderId="0">
      <protection locked="0"/>
    </xf>
    <xf numFmtId="176" fontId="88" fillId="20" borderId="0" applyNumberFormat="0" applyBorder="0" applyAlignment="0" applyProtection="0">
      <alignment vertical="center"/>
    </xf>
    <xf numFmtId="0" fontId="89" fillId="20" borderId="0" applyNumberFormat="0" applyBorder="0" applyAlignment="0" applyProtection="0"/>
    <xf numFmtId="176" fontId="90" fillId="0" borderId="17" applyNumberFormat="0" applyFill="0" applyAlignment="0" applyProtection="0">
      <alignment vertical="center"/>
    </xf>
    <xf numFmtId="0" fontId="91" fillId="0" borderId="17" applyNumberFormat="0" applyFill="0" applyAlignment="0" applyProtection="0"/>
    <xf numFmtId="176" fontId="92" fillId="0" borderId="18" applyNumberFormat="0" applyFill="0" applyAlignment="0" applyProtection="0">
      <alignment vertical="center"/>
    </xf>
    <xf numFmtId="0" fontId="93" fillId="0" borderId="18" applyNumberFormat="0" applyFill="0" applyAlignment="0" applyProtection="0"/>
    <xf numFmtId="176" fontId="94" fillId="0" borderId="19" applyNumberFormat="0" applyFill="0" applyAlignment="0" applyProtection="0">
      <alignment vertical="center"/>
    </xf>
    <xf numFmtId="0" fontId="95" fillId="0" borderId="19" applyNumberFormat="0" applyFill="0" applyAlignment="0" applyProtection="0"/>
    <xf numFmtId="176" fontId="94" fillId="0" borderId="0" applyNumberFormat="0" applyFill="0" applyBorder="0" applyAlignment="0" applyProtection="0">
      <alignment vertical="center"/>
    </xf>
    <xf numFmtId="0" fontId="95" fillId="0" borderId="0" applyNumberFormat="0" applyFill="0" applyBorder="0" applyAlignment="0" applyProtection="0"/>
    <xf numFmtId="0" fontId="96" fillId="0" borderId="0">
      <protection locked="0"/>
    </xf>
    <xf numFmtId="0" fontId="97" fillId="0" borderId="0" applyNumberFormat="0" applyFill="0" applyBorder="0" applyAlignment="0" applyProtection="0">
      <alignment vertical="top"/>
      <protection locked="0"/>
    </xf>
    <xf numFmtId="0" fontId="98" fillId="0" borderId="0" applyNumberFormat="0" applyFill="0" applyBorder="0" applyAlignment="0" applyProtection="0">
      <alignment vertical="center"/>
    </xf>
    <xf numFmtId="176" fontId="99" fillId="23" borderId="13" applyNumberFormat="0" applyAlignment="0" applyProtection="0">
      <alignment vertical="center"/>
    </xf>
    <xf numFmtId="0" fontId="100" fillId="23" borderId="13" applyNumberFormat="0" applyAlignment="0" applyProtection="0"/>
    <xf numFmtId="176" fontId="101" fillId="0" borderId="20" applyNumberFormat="0" applyFill="0" applyAlignment="0" applyProtection="0">
      <alignment vertical="center"/>
    </xf>
    <xf numFmtId="0" fontId="102" fillId="0" borderId="20" applyNumberFormat="0" applyFill="0" applyAlignment="0" applyProtection="0"/>
    <xf numFmtId="176" fontId="103" fillId="39" borderId="0" applyNumberFormat="0" applyBorder="0" applyAlignment="0" applyProtection="0">
      <alignment vertical="center"/>
    </xf>
    <xf numFmtId="0" fontId="104" fillId="39" borderId="0" applyNumberFormat="0" applyBorder="0" applyAlignment="0" applyProtection="0"/>
    <xf numFmtId="0" fontId="57" fillId="0" borderId="0"/>
    <xf numFmtId="0" fontId="81" fillId="0" borderId="0">
      <alignment vertical="center"/>
    </xf>
    <xf numFmtId="0" fontId="132" fillId="0" borderId="0">
      <alignment vertical="center"/>
    </xf>
    <xf numFmtId="0" fontId="105" fillId="0" borderId="0"/>
    <xf numFmtId="182" fontId="106" fillId="0" borderId="0"/>
    <xf numFmtId="0" fontId="62" fillId="0" borderId="0">
      <alignment vertical="center"/>
    </xf>
    <xf numFmtId="0" fontId="32" fillId="0" borderId="0" applyFill="0" applyBorder="0"/>
    <xf numFmtId="0" fontId="107" fillId="0" borderId="0"/>
    <xf numFmtId="176" fontId="61" fillId="40" borderId="21" applyNumberFormat="0" applyFont="0" applyAlignment="0" applyProtection="0">
      <alignment vertical="center"/>
    </xf>
    <xf numFmtId="0" fontId="84" fillId="40" borderId="21" applyNumberFormat="0" applyFont="0" applyAlignment="0" applyProtection="0"/>
    <xf numFmtId="176" fontId="108" fillId="37" borderId="22" applyNumberFormat="0" applyAlignment="0" applyProtection="0">
      <alignment vertical="center"/>
    </xf>
    <xf numFmtId="0" fontId="109" fillId="37" borderId="22" applyNumberFormat="0" applyAlignment="0" applyProtection="0"/>
    <xf numFmtId="9" fontId="62" fillId="0" borderId="0" applyFont="0" applyFill="0" applyBorder="0" applyAlignment="0" applyProtection="0">
      <alignment vertical="center"/>
    </xf>
    <xf numFmtId="177" fontId="110" fillId="0" borderId="0" applyFont="0" applyFill="0" applyBorder="0" applyAlignment="0" applyProtection="0"/>
    <xf numFmtId="9" fontId="81" fillId="0" borderId="0" applyFont="0" applyFill="0" applyBorder="0" applyAlignment="0" applyProtection="0">
      <alignment vertical="center"/>
    </xf>
    <xf numFmtId="0" fontId="105" fillId="41" borderId="23" applyNumberFormat="0" applyProtection="0">
      <alignment horizontal="center" wrapText="1"/>
    </xf>
    <xf numFmtId="0" fontId="105" fillId="41" borderId="24" applyNumberFormat="0" applyAlignment="0" applyProtection="0">
      <alignment wrapText="1"/>
    </xf>
    <xf numFmtId="0" fontId="84" fillId="42" borderId="0" applyNumberFormat="0" applyBorder="0">
      <alignment horizontal="center" wrapText="1"/>
    </xf>
    <xf numFmtId="0" fontId="84" fillId="43" borderId="25" applyNumberFormat="0">
      <alignment wrapText="1"/>
    </xf>
    <xf numFmtId="0" fontId="84" fillId="43" borderId="0" applyNumberFormat="0" applyBorder="0">
      <alignment wrapText="1"/>
    </xf>
    <xf numFmtId="0" fontId="84" fillId="0" borderId="0" applyNumberFormat="0" applyFill="0" applyBorder="0" applyProtection="0">
      <alignment horizontal="right" wrapText="1"/>
    </xf>
    <xf numFmtId="183" fontId="84" fillId="0" borderId="0" applyFill="0" applyBorder="0" applyAlignment="0" applyProtection="0">
      <alignment wrapText="1"/>
    </xf>
    <xf numFmtId="184" fontId="84" fillId="0" borderId="0" applyFill="0" applyBorder="0" applyAlignment="0" applyProtection="0">
      <alignment wrapText="1"/>
    </xf>
    <xf numFmtId="185" fontId="84" fillId="0" borderId="0" applyFill="0" applyBorder="0" applyAlignment="0" applyProtection="0">
      <alignment wrapText="1"/>
    </xf>
    <xf numFmtId="0" fontId="84" fillId="0" borderId="0" applyNumberFormat="0" applyFill="0" applyBorder="0">
      <alignment horizontal="right" wrapText="1"/>
    </xf>
    <xf numFmtId="17" fontId="84" fillId="0" borderId="0" applyFill="0" applyBorder="0">
      <alignment horizontal="right" wrapText="1"/>
    </xf>
    <xf numFmtId="186" fontId="84" fillId="0" borderId="0" applyFill="0" applyBorder="0" applyAlignment="0" applyProtection="0">
      <alignment wrapText="1"/>
    </xf>
    <xf numFmtId="0" fontId="111" fillId="0" borderId="0" applyNumberFormat="0" applyFill="0" applyBorder="0">
      <alignment horizontal="left" wrapText="1"/>
    </xf>
    <xf numFmtId="0" fontId="105" fillId="0" borderId="0" applyNumberFormat="0" applyFill="0" applyBorder="0">
      <alignment horizontal="center" wrapText="1"/>
    </xf>
    <xf numFmtId="176" fontId="112" fillId="0" borderId="0" applyNumberFormat="0" applyFill="0" applyBorder="0" applyAlignment="0" applyProtection="0">
      <alignment vertical="center"/>
    </xf>
    <xf numFmtId="0" fontId="113" fillId="0" borderId="0" applyNumberFormat="0" applyFill="0" applyBorder="0" applyAlignment="0" applyProtection="0"/>
    <xf numFmtId="176" fontId="114" fillId="0" borderId="26" applyNumberFormat="0" applyFill="0" applyAlignment="0" applyProtection="0">
      <alignment vertical="center"/>
    </xf>
    <xf numFmtId="0" fontId="115" fillId="0" borderId="26" applyNumberFormat="0" applyFill="0" applyAlignment="0" applyProtection="0"/>
    <xf numFmtId="0" fontId="83" fillId="0" borderId="27">
      <protection locked="0"/>
    </xf>
    <xf numFmtId="176" fontId="116" fillId="0" borderId="0" applyNumberFormat="0" applyFill="0" applyBorder="0" applyAlignment="0" applyProtection="0">
      <alignment vertical="center"/>
    </xf>
    <xf numFmtId="0" fontId="117" fillId="0" borderId="0" applyNumberFormat="0" applyFill="0" applyBorder="0" applyAlignment="0" applyProtection="0"/>
    <xf numFmtId="9" fontId="61" fillId="0" borderId="0" applyFont="0" applyFill="0" applyBorder="0" applyAlignment="0" applyProtection="0"/>
    <xf numFmtId="9" fontId="84" fillId="0" borderId="0" applyFont="0" applyFill="0" applyBorder="0" applyAlignment="0" applyProtection="0"/>
    <xf numFmtId="9" fontId="84" fillId="0" borderId="0" applyFont="0" applyFill="0" applyBorder="0" applyAlignment="0" applyProtection="0">
      <alignment vertical="center"/>
    </xf>
    <xf numFmtId="9" fontId="5" fillId="0" borderId="0" applyFont="0" applyFill="0" applyBorder="0" applyAlignment="0" applyProtection="0">
      <alignment vertical="center"/>
    </xf>
    <xf numFmtId="9" fontId="61" fillId="0" borderId="0" applyFont="0" applyFill="0" applyBorder="0" applyAlignment="0" applyProtection="0"/>
    <xf numFmtId="9" fontId="61" fillId="0" borderId="0" applyFont="0" applyFill="0" applyBorder="0" applyAlignment="0" applyProtection="0">
      <alignment vertical="center"/>
    </xf>
    <xf numFmtId="9" fontId="132" fillId="0" borderId="0" applyFont="0" applyFill="0" applyBorder="0" applyAlignment="0" applyProtection="0"/>
    <xf numFmtId="10" fontId="84" fillId="0" borderId="0" applyFont="0" applyFill="0" applyBorder="0" applyAlignment="0" applyProtection="0"/>
    <xf numFmtId="0" fontId="90" fillId="0" borderId="17" applyNumberFormat="0" applyFill="0" applyAlignment="0" applyProtection="0">
      <alignment vertical="center"/>
    </xf>
    <xf numFmtId="0" fontId="112" fillId="0" borderId="0" applyNumberFormat="0" applyFill="0" applyBorder="0" applyAlignment="0" applyProtection="0">
      <alignment vertical="center"/>
    </xf>
    <xf numFmtId="0" fontId="92" fillId="0" borderId="18" applyNumberFormat="0" applyFill="0" applyAlignment="0" applyProtection="0">
      <alignment vertical="center"/>
    </xf>
    <xf numFmtId="0" fontId="94" fillId="0" borderId="19" applyNumberFormat="0" applyFill="0" applyAlignment="0" applyProtection="0">
      <alignment vertical="center"/>
    </xf>
    <xf numFmtId="0" fontId="94" fillId="0" borderId="0" applyNumberFormat="0" applyFill="0" applyBorder="0" applyAlignment="0" applyProtection="0">
      <alignment vertical="center"/>
    </xf>
    <xf numFmtId="0" fontId="66" fillId="19" borderId="0" applyNumberFormat="0" applyBorder="0" applyAlignment="0" applyProtection="0">
      <alignment vertical="center"/>
    </xf>
    <xf numFmtId="0" fontId="54" fillId="0" borderId="0"/>
    <xf numFmtId="176" fontId="61" fillId="0" borderId="0"/>
    <xf numFmtId="0" fontId="62" fillId="0" borderId="0" applyFill="0" applyBorder="0" applyAlignment="0" applyProtection="0"/>
    <xf numFmtId="176" fontId="132" fillId="0" borderId="0">
      <alignment vertical="center"/>
    </xf>
    <xf numFmtId="176" fontId="132" fillId="0" borderId="0"/>
    <xf numFmtId="0" fontId="84" fillId="0" borderId="0"/>
    <xf numFmtId="187" fontId="61" fillId="0" borderId="0"/>
    <xf numFmtId="187" fontId="61" fillId="0" borderId="0">
      <alignment vertical="center"/>
    </xf>
    <xf numFmtId="0" fontId="118" fillId="0" borderId="0"/>
    <xf numFmtId="176" fontId="119" fillId="0" borderId="0"/>
    <xf numFmtId="0" fontId="61" fillId="0" borderId="0" applyFont="0" applyFill="0" applyBorder="0" applyAlignment="0" applyProtection="0">
      <alignment vertical="center"/>
    </xf>
    <xf numFmtId="176" fontId="61" fillId="0" borderId="0" applyNumberFormat="0" applyFill="0" applyBorder="0" applyAlignment="0" applyProtection="0"/>
    <xf numFmtId="0" fontId="61" fillId="0" borderId="0">
      <alignment vertical="center"/>
    </xf>
    <xf numFmtId="0" fontId="5" fillId="0" borderId="0">
      <alignment vertical="center"/>
    </xf>
    <xf numFmtId="0" fontId="61" fillId="0" borderId="0"/>
    <xf numFmtId="0" fontId="5" fillId="0" borderId="0"/>
    <xf numFmtId="0" fontId="120" fillId="0" borderId="0" applyNumberFormat="0" applyFill="0" applyBorder="0" applyAlignment="0" applyProtection="0">
      <alignment vertical="top"/>
      <protection locked="0"/>
    </xf>
    <xf numFmtId="0" fontId="121" fillId="0" borderId="0" applyNumberFormat="0" applyFill="0" applyBorder="0" applyAlignment="0" applyProtection="0"/>
    <xf numFmtId="0" fontId="122" fillId="0" borderId="0" applyNumberFormat="0" applyFill="0" applyBorder="0" applyAlignment="0" applyProtection="0"/>
    <xf numFmtId="0" fontId="123" fillId="0" borderId="0" applyNumberFormat="0" applyFill="0" applyBorder="0" applyAlignment="0" applyProtection="0">
      <alignment vertical="top"/>
      <protection locked="0"/>
    </xf>
    <xf numFmtId="176" fontId="97"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176" fontId="125" fillId="0" borderId="0" applyNumberFormat="0" applyFill="0" applyBorder="0" applyAlignment="0" applyProtection="0">
      <alignment vertical="top"/>
      <protection locked="0"/>
    </xf>
    <xf numFmtId="176" fontId="125" fillId="0" borderId="0" applyNumberFormat="0" applyFill="0" applyBorder="0" applyAlignment="0" applyProtection="0"/>
    <xf numFmtId="0" fontId="126" fillId="0" borderId="0" applyNumberFormat="0" applyFill="0" applyBorder="0" applyAlignment="0" applyProtection="0">
      <alignment vertical="top"/>
      <protection locked="0"/>
    </xf>
    <xf numFmtId="0" fontId="88" fillId="20" borderId="0" applyNumberFormat="0" applyBorder="0" applyAlignment="0" applyProtection="0">
      <alignment vertical="center"/>
    </xf>
    <xf numFmtId="0" fontId="114" fillId="0" borderId="26" applyNumberFormat="0" applyFill="0" applyAlignment="0" applyProtection="0">
      <alignment vertical="center"/>
    </xf>
    <xf numFmtId="0" fontId="78" fillId="37" borderId="13" applyNumberFormat="0" applyAlignment="0" applyProtection="0">
      <alignment vertical="center"/>
    </xf>
    <xf numFmtId="0" fontId="80" fillId="38" borderId="14" applyNumberFormat="0" applyAlignment="0" applyProtection="0">
      <alignment vertical="center"/>
    </xf>
    <xf numFmtId="0" fontId="85"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01" fillId="0" borderId="20" applyNumberFormat="0" applyFill="0" applyAlignment="0" applyProtection="0">
      <alignment vertical="center"/>
    </xf>
    <xf numFmtId="43" fontId="61" fillId="0" borderId="0" applyFont="0" applyFill="0" applyBorder="0" applyAlignment="0" applyProtection="0"/>
    <xf numFmtId="43" fontId="61" fillId="0" borderId="0" applyFont="0" applyFill="0" applyBorder="0" applyAlignment="0" applyProtection="0">
      <alignment vertical="center"/>
    </xf>
    <xf numFmtId="43" fontId="110" fillId="0" borderId="0" applyFont="0" applyFill="0" applyBorder="0" applyAlignment="0" applyProtection="0"/>
    <xf numFmtId="188" fontId="84" fillId="0" borderId="0" applyFont="0" applyFill="0" applyBorder="0" applyAlignment="0" applyProtection="0">
      <alignment vertical="center"/>
    </xf>
    <xf numFmtId="188" fontId="132" fillId="0" borderId="0" applyFont="0" applyFill="0" applyBorder="0" applyAlignment="0" applyProtection="0"/>
    <xf numFmtId="41" fontId="61" fillId="0" borderId="0" applyFont="0" applyFill="0" applyBorder="0" applyAlignment="0" applyProtection="0"/>
    <xf numFmtId="0" fontId="64" fillId="32" borderId="0" applyNumberFormat="0" applyBorder="0" applyAlignment="0" applyProtection="0">
      <alignment vertical="center"/>
    </xf>
    <xf numFmtId="0" fontId="64" fillId="33" borderId="0" applyNumberFormat="0" applyBorder="0" applyAlignment="0" applyProtection="0">
      <alignment vertical="center"/>
    </xf>
    <xf numFmtId="0" fontId="64" fillId="34" borderId="0" applyNumberFormat="0" applyBorder="0" applyAlignment="0" applyProtection="0">
      <alignment vertical="center"/>
    </xf>
    <xf numFmtId="0" fontId="64" fillId="35" borderId="0" applyNumberFormat="0" applyBorder="0" applyAlignment="0" applyProtection="0">
      <alignment vertical="center"/>
    </xf>
    <xf numFmtId="0" fontId="103" fillId="39" borderId="0" applyNumberFormat="0" applyBorder="0" applyAlignment="0" applyProtection="0">
      <alignment vertical="center"/>
    </xf>
    <xf numFmtId="0" fontId="108" fillId="37" borderId="22" applyNumberFormat="0" applyAlignment="0" applyProtection="0">
      <alignment vertical="center"/>
    </xf>
    <xf numFmtId="0" fontId="99" fillId="23" borderId="13" applyNumberFormat="0" applyAlignment="0" applyProtection="0">
      <alignment vertical="center"/>
    </xf>
    <xf numFmtId="176" fontId="127" fillId="0" borderId="0"/>
    <xf numFmtId="0" fontId="62" fillId="40" borderId="21" applyNumberFormat="0" applyFont="0" applyAlignment="0" applyProtection="0">
      <alignment vertical="center"/>
    </xf>
    <xf numFmtId="0" fontId="135" fillId="0" borderId="0">
      <alignment vertical="center"/>
    </xf>
  </cellStyleXfs>
  <cellXfs count="333">
    <xf numFmtId="0" fontId="0" fillId="0" borderId="0" xfId="0"/>
    <xf numFmtId="0" fontId="1" fillId="2" borderId="0" xfId="171" applyFont="1" applyFill="1">
      <alignment vertical="center"/>
    </xf>
    <xf numFmtId="0" fontId="2" fillId="3" borderId="0" xfId="172" applyFont="1" applyFill="1" applyAlignment="1">
      <alignment horizontal="center" vertical="center"/>
    </xf>
    <xf numFmtId="0" fontId="3" fillId="0" borderId="1" xfId="174" applyFont="1" applyBorder="1"/>
    <xf numFmtId="0" fontId="3" fillId="0" borderId="0" xfId="174" applyFont="1"/>
    <xf numFmtId="0" fontId="4" fillId="0" borderId="0" xfId="174" applyFont="1"/>
    <xf numFmtId="0" fontId="5" fillId="0" borderId="0" xfId="0" applyFont="1"/>
    <xf numFmtId="189" fontId="5" fillId="0" borderId="0" xfId="0" applyNumberFormat="1" applyFont="1"/>
    <xf numFmtId="190" fontId="5" fillId="0" borderId="0" xfId="0" applyNumberFormat="1" applyFont="1"/>
    <xf numFmtId="0" fontId="6" fillId="3" borderId="0" xfId="172" applyFont="1" applyFill="1" applyAlignment="1">
      <alignment horizontal="left" vertical="center"/>
    </xf>
    <xf numFmtId="0" fontId="12" fillId="3" borderId="0" xfId="172" applyFont="1" applyFill="1" applyAlignment="1">
      <alignment horizontal="left" vertical="center"/>
    </xf>
    <xf numFmtId="4" fontId="4" fillId="0" borderId="0" xfId="174" applyNumberFormat="1" applyFont="1"/>
    <xf numFmtId="0" fontId="16" fillId="0" borderId="0" xfId="0" applyFont="1"/>
    <xf numFmtId="0" fontId="4" fillId="0" borderId="2" xfId="174" applyFont="1" applyBorder="1"/>
    <xf numFmtId="0" fontId="4" fillId="0" borderId="3" xfId="174" applyFont="1" applyBorder="1"/>
    <xf numFmtId="0" fontId="4" fillId="0" borderId="4" xfId="174" applyFont="1" applyBorder="1"/>
    <xf numFmtId="0" fontId="3" fillId="0" borderId="5" xfId="174" applyFont="1" applyBorder="1"/>
    <xf numFmtId="0" fontId="4" fillId="0" borderId="1" xfId="174" applyFont="1" applyBorder="1"/>
    <xf numFmtId="0" fontId="17" fillId="0" borderId="5" xfId="174" applyFont="1" applyBorder="1"/>
    <xf numFmtId="0" fontId="4" fillId="0" borderId="5" xfId="174" applyFont="1" applyBorder="1"/>
    <xf numFmtId="0" fontId="4" fillId="0" borderId="6" xfId="174" applyFont="1" applyBorder="1"/>
    <xf numFmtId="0" fontId="4" fillId="0" borderId="7" xfId="174" applyFont="1" applyBorder="1"/>
    <xf numFmtId="0" fontId="4" fillId="0" borderId="8" xfId="174" applyFont="1" applyBorder="1"/>
    <xf numFmtId="0" fontId="18" fillId="6" borderId="0" xfId="174" applyFont="1" applyFill="1"/>
    <xf numFmtId="0" fontId="19" fillId="6" borderId="0" xfId="174" applyFont="1" applyFill="1" applyAlignment="1">
      <alignment horizontal="center"/>
    </xf>
    <xf numFmtId="0" fontId="19" fillId="6" borderId="0" xfId="174" applyFont="1" applyFill="1" applyAlignment="1">
      <alignment horizontal="right"/>
    </xf>
    <xf numFmtId="0" fontId="20" fillId="7" borderId="0" xfId="174" applyFont="1" applyFill="1"/>
    <xf numFmtId="0" fontId="20" fillId="0" borderId="0" xfId="174" applyFont="1"/>
    <xf numFmtId="2" fontId="20" fillId="0" borderId="0" xfId="174" applyNumberFormat="1" applyFont="1"/>
    <xf numFmtId="10" fontId="21" fillId="0" borderId="0" xfId="2" applyNumberFormat="1" applyFont="1" applyAlignment="1"/>
    <xf numFmtId="0" fontId="22" fillId="0" borderId="0" xfId="174" applyFont="1"/>
    <xf numFmtId="2" fontId="22" fillId="0" borderId="0" xfId="174" applyNumberFormat="1" applyFont="1"/>
    <xf numFmtId="10" fontId="22" fillId="0" borderId="0" xfId="2" applyNumberFormat="1" applyFont="1" applyAlignment="1"/>
    <xf numFmtId="0" fontId="20" fillId="4" borderId="0" xfId="174" applyFont="1" applyFill="1"/>
    <xf numFmtId="2" fontId="20" fillId="4" borderId="0" xfId="174" applyNumberFormat="1" applyFont="1" applyFill="1"/>
    <xf numFmtId="0" fontId="23" fillId="4" borderId="0" xfId="174" applyFont="1" applyFill="1"/>
    <xf numFmtId="2" fontId="23" fillId="4" borderId="0" xfId="174" applyNumberFormat="1" applyFont="1" applyFill="1"/>
    <xf numFmtId="10" fontId="21" fillId="4" borderId="0" xfId="2" applyNumberFormat="1" applyFont="1" applyFill="1" applyAlignment="1"/>
    <xf numFmtId="0" fontId="20" fillId="0" borderId="0" xfId="174" applyFont="1" applyAlignment="1">
      <alignment horizontal="right"/>
    </xf>
    <xf numFmtId="2" fontId="20" fillId="0" borderId="0" xfId="2" applyNumberFormat="1" applyFont="1" applyFill="1" applyAlignment="1"/>
    <xf numFmtId="2" fontId="20" fillId="0" borderId="0" xfId="2" applyNumberFormat="1" applyFont="1" applyAlignment="1"/>
    <xf numFmtId="0" fontId="24" fillId="0" borderId="0" xfId="174" applyFont="1" applyAlignment="1">
      <alignment horizontal="right"/>
    </xf>
    <xf numFmtId="10" fontId="24" fillId="0" borderId="0" xfId="2" applyNumberFormat="1" applyFont="1" applyFill="1" applyAlignment="1">
      <alignment horizontal="right"/>
    </xf>
    <xf numFmtId="10" fontId="24" fillId="0" borderId="0" xfId="2" applyNumberFormat="1" applyFont="1" applyAlignment="1">
      <alignment horizontal="right"/>
    </xf>
    <xf numFmtId="0" fontId="22" fillId="0" borderId="0" xfId="174" applyFont="1" applyAlignment="1">
      <alignment horizontal="right"/>
    </xf>
    <xf numFmtId="2" fontId="22" fillId="0" borderId="0" xfId="2" applyNumberFormat="1" applyFont="1" applyFill="1" applyAlignment="1"/>
    <xf numFmtId="2" fontId="22" fillId="0" borderId="0" xfId="2" applyNumberFormat="1" applyFont="1" applyAlignment="1"/>
    <xf numFmtId="2" fontId="22" fillId="0" borderId="0" xfId="2" applyNumberFormat="1" applyFont="1" applyFill="1" applyBorder="1" applyAlignment="1"/>
    <xf numFmtId="10" fontId="24" fillId="0" borderId="0" xfId="2" applyNumberFormat="1" applyFont="1" applyFill="1" applyBorder="1" applyAlignment="1">
      <alignment horizontal="right"/>
    </xf>
    <xf numFmtId="2" fontId="26" fillId="0" borderId="0" xfId="174" applyNumberFormat="1" applyFont="1"/>
    <xf numFmtId="10" fontId="21" fillId="0" borderId="0" xfId="2" applyNumberFormat="1" applyFont="1" applyFill="1" applyAlignment="1"/>
    <xf numFmtId="2" fontId="26" fillId="0" borderId="0" xfId="2" applyNumberFormat="1" applyFont="1" applyAlignment="1"/>
    <xf numFmtId="10" fontId="26" fillId="8" borderId="0" xfId="2" applyNumberFormat="1" applyFont="1" applyFill="1" applyAlignment="1"/>
    <xf numFmtId="10" fontId="22" fillId="0" borderId="0" xfId="2" applyNumberFormat="1" applyFont="1" applyFill="1" applyAlignment="1"/>
    <xf numFmtId="10" fontId="23" fillId="0" borderId="0" xfId="2" applyNumberFormat="1" applyFont="1" applyAlignment="1"/>
    <xf numFmtId="10" fontId="27" fillId="8" borderId="0" xfId="2" applyNumberFormat="1" applyFont="1" applyFill="1" applyAlignment="1"/>
    <xf numFmtId="0" fontId="28" fillId="0" borderId="0" xfId="0" applyFont="1"/>
    <xf numFmtId="189" fontId="28" fillId="0" borderId="0" xfId="0" applyNumberFormat="1" applyFont="1"/>
    <xf numFmtId="189" fontId="29" fillId="0" borderId="0" xfId="0" applyNumberFormat="1" applyFont="1"/>
    <xf numFmtId="0" fontId="5" fillId="9" borderId="0" xfId="172" applyFill="1">
      <alignment vertical="center"/>
    </xf>
    <xf numFmtId="0" fontId="30" fillId="9" borderId="0" xfId="172" applyFont="1" applyFill="1">
      <alignment vertical="center"/>
    </xf>
    <xf numFmtId="0" fontId="31" fillId="9" borderId="0" xfId="171" applyFont="1" applyFill="1">
      <alignment vertical="center"/>
    </xf>
    <xf numFmtId="0" fontId="14" fillId="9" borderId="0" xfId="171" applyFont="1" applyFill="1">
      <alignment vertical="center"/>
    </xf>
    <xf numFmtId="0" fontId="31" fillId="9" borderId="0" xfId="171" applyFont="1" applyFill="1" applyAlignment="1">
      <alignment horizontal="center" vertical="center"/>
    </xf>
    <xf numFmtId="0" fontId="10" fillId="10" borderId="0" xfId="172" applyFont="1" applyFill="1" applyAlignment="1">
      <alignment horizontal="left"/>
    </xf>
    <xf numFmtId="0" fontId="10" fillId="10" borderId="0" xfId="172" applyFont="1" applyFill="1" applyAlignment="1">
      <alignment horizontal="center"/>
    </xf>
    <xf numFmtId="0" fontId="19" fillId="10" borderId="0" xfId="172" applyFont="1" applyFill="1" applyAlignment="1">
      <alignment horizontal="center"/>
    </xf>
    <xf numFmtId="0" fontId="11" fillId="0" borderId="0" xfId="171" applyFont="1">
      <alignment vertical="center"/>
    </xf>
    <xf numFmtId="0" fontId="32" fillId="0" borderId="0" xfId="171" applyFont="1">
      <alignment vertical="center"/>
    </xf>
    <xf numFmtId="0" fontId="32" fillId="0" borderId="0" xfId="171" applyFont="1" applyAlignment="1">
      <alignment horizontal="center" vertical="center"/>
    </xf>
    <xf numFmtId="0" fontId="31" fillId="0" borderId="0" xfId="171" applyFont="1" applyAlignment="1">
      <alignment horizontal="center" vertical="center"/>
    </xf>
    <xf numFmtId="0" fontId="30" fillId="0" borderId="0" xfId="172" applyFont="1">
      <alignment vertical="center"/>
    </xf>
    <xf numFmtId="0" fontId="10" fillId="10" borderId="0" xfId="172" applyFont="1" applyFill="1" applyAlignment="1">
      <alignment horizontal="right"/>
    </xf>
    <xf numFmtId="0" fontId="32" fillId="2" borderId="0" xfId="171" applyFont="1" applyFill="1">
      <alignment vertical="center"/>
    </xf>
    <xf numFmtId="191" fontId="32" fillId="2" borderId="0" xfId="171" applyNumberFormat="1" applyFont="1" applyFill="1" applyAlignment="1">
      <alignment horizontal="center" vertical="center"/>
    </xf>
    <xf numFmtId="192" fontId="33" fillId="2" borderId="0" xfId="148" applyNumberFormat="1" applyFont="1" applyFill="1" applyBorder="1" applyAlignment="1">
      <alignment horizontal="center" vertical="center"/>
    </xf>
    <xf numFmtId="192" fontId="33" fillId="2" borderId="0" xfId="150" applyNumberFormat="1" applyFont="1" applyFill="1" applyBorder="1" applyAlignment="1">
      <alignment horizontal="center" vertical="center"/>
    </xf>
    <xf numFmtId="0" fontId="32" fillId="2" borderId="0" xfId="171" applyFont="1" applyFill="1" applyAlignment="1">
      <alignment horizontal="right" vertical="center"/>
    </xf>
    <xf numFmtId="0" fontId="11" fillId="2" borderId="0" xfId="171" applyFont="1" applyFill="1" applyAlignment="1">
      <alignment horizontal="right" vertical="center"/>
    </xf>
    <xf numFmtId="0" fontId="32" fillId="11" borderId="0" xfId="171" applyFont="1" applyFill="1">
      <alignment vertical="center"/>
    </xf>
    <xf numFmtId="0" fontId="11" fillId="11" borderId="0" xfId="171" applyFont="1" applyFill="1">
      <alignment vertical="center"/>
    </xf>
    <xf numFmtId="191" fontId="11" fillId="11" borderId="0" xfId="171" applyNumberFormat="1" applyFont="1" applyFill="1" applyAlignment="1">
      <alignment horizontal="center" vertical="center"/>
    </xf>
    <xf numFmtId="0" fontId="34" fillId="9" borderId="0" xfId="171" applyFont="1" applyFill="1">
      <alignment vertical="center"/>
    </xf>
    <xf numFmtId="0" fontId="11" fillId="10" borderId="0" xfId="172" applyFont="1" applyFill="1" applyAlignment="1">
      <alignment horizontal="center"/>
    </xf>
    <xf numFmtId="0" fontId="35" fillId="10" borderId="0" xfId="172" applyFont="1" applyFill="1" applyAlignment="1">
      <alignment horizontal="center"/>
    </xf>
    <xf numFmtId="194" fontId="32" fillId="2" borderId="0" xfId="171" applyNumberFormat="1" applyFont="1" applyFill="1" applyAlignment="1">
      <alignment horizontal="right" vertical="center"/>
    </xf>
    <xf numFmtId="195" fontId="32" fillId="2" borderId="0" xfId="171" applyNumberFormat="1" applyFont="1" applyFill="1" applyAlignment="1">
      <alignment horizontal="center" vertical="center"/>
    </xf>
    <xf numFmtId="0" fontId="32" fillId="2" borderId="0" xfId="171" applyFont="1" applyFill="1" applyAlignment="1">
      <alignment horizontal="center" vertical="center"/>
    </xf>
    <xf numFmtId="0" fontId="32" fillId="2" borderId="0" xfId="171" applyFont="1" applyFill="1" applyAlignment="1">
      <alignment horizontal="left" vertical="center"/>
    </xf>
    <xf numFmtId="177" fontId="32" fillId="2" borderId="0" xfId="150" applyNumberFormat="1" applyFont="1" applyFill="1" applyBorder="1" applyAlignment="1">
      <alignment horizontal="right" vertical="center"/>
    </xf>
    <xf numFmtId="0" fontId="31" fillId="4" borderId="0" xfId="171" applyFont="1" applyFill="1" applyAlignment="1">
      <alignment horizontal="center" vertical="center"/>
    </xf>
    <xf numFmtId="177" fontId="32" fillId="0" borderId="0" xfId="150" applyNumberFormat="1" applyFont="1" applyFill="1" applyBorder="1" applyAlignment="1">
      <alignment horizontal="right" vertical="center"/>
    </xf>
    <xf numFmtId="193" fontId="32" fillId="2" borderId="0" xfId="171" applyNumberFormat="1" applyFont="1" applyFill="1" applyAlignment="1">
      <alignment horizontal="right" vertical="center"/>
    </xf>
    <xf numFmtId="9" fontId="32" fillId="2" borderId="0" xfId="148" applyFont="1" applyFill="1" applyBorder="1" applyAlignment="1">
      <alignment horizontal="center" vertical="center"/>
    </xf>
    <xf numFmtId="177" fontId="32" fillId="4" borderId="0" xfId="150" applyNumberFormat="1" applyFont="1" applyFill="1" applyBorder="1" applyAlignment="1">
      <alignment horizontal="right" vertical="center"/>
    </xf>
    <xf numFmtId="194" fontId="32" fillId="0" borderId="0" xfId="171" applyNumberFormat="1" applyFont="1" applyAlignment="1">
      <alignment horizontal="right" vertical="center"/>
    </xf>
    <xf numFmtId="0" fontId="32" fillId="4" borderId="0" xfId="171" applyFont="1" applyFill="1">
      <alignment vertical="center"/>
    </xf>
    <xf numFmtId="196" fontId="32" fillId="0" borderId="0" xfId="171" applyNumberFormat="1" applyFont="1" applyAlignment="1">
      <alignment horizontal="right" vertical="center"/>
    </xf>
    <xf numFmtId="0" fontId="31" fillId="2" borderId="0" xfId="171" applyFont="1" applyFill="1" applyAlignment="1">
      <alignment horizontal="center" vertical="center"/>
    </xf>
    <xf numFmtId="0" fontId="31" fillId="2" borderId="0" xfId="171" applyFont="1" applyFill="1">
      <alignment vertical="center"/>
    </xf>
    <xf numFmtId="0" fontId="31" fillId="2" borderId="0" xfId="171" applyFont="1" applyFill="1" applyAlignment="1">
      <alignment horizontal="left" vertical="center"/>
    </xf>
    <xf numFmtId="0" fontId="31" fillId="4" borderId="0" xfId="171" applyFont="1" applyFill="1" applyAlignment="1">
      <alignment horizontal="right" vertical="center"/>
    </xf>
    <xf numFmtId="0" fontId="34" fillId="0" borderId="0" xfId="171" applyFont="1">
      <alignment vertical="center"/>
    </xf>
    <xf numFmtId="0" fontId="19" fillId="10" borderId="0" xfId="172" applyFont="1" applyFill="1" applyAlignment="1">
      <alignment horizontal="left"/>
    </xf>
    <xf numFmtId="0" fontId="31" fillId="4" borderId="0" xfId="171" applyFont="1" applyFill="1">
      <alignment vertical="center"/>
    </xf>
    <xf numFmtId="177" fontId="31" fillId="2" borderId="0" xfId="2" applyNumberFormat="1" applyFont="1" applyFill="1" applyBorder="1" applyAlignment="1">
      <alignment horizontal="center" vertical="center"/>
    </xf>
    <xf numFmtId="39" fontId="32" fillId="2" borderId="0" xfId="171" applyNumberFormat="1" applyFont="1" applyFill="1" applyAlignment="1">
      <alignment horizontal="center" vertical="center"/>
    </xf>
    <xf numFmtId="0" fontId="31" fillId="0" borderId="0" xfId="171" applyFont="1">
      <alignment vertical="center"/>
    </xf>
    <xf numFmtId="0" fontId="14" fillId="0" borderId="0" xfId="171" applyFont="1">
      <alignment vertical="center"/>
    </xf>
    <xf numFmtId="177" fontId="14" fillId="2" borderId="0" xfId="2" applyNumberFormat="1" applyFont="1" applyFill="1" applyBorder="1" applyAlignment="1">
      <alignment horizontal="center" vertical="center"/>
    </xf>
    <xf numFmtId="39" fontId="11" fillId="2" borderId="0" xfId="171" applyNumberFormat="1" applyFont="1" applyFill="1" applyAlignment="1">
      <alignment horizontal="center" vertical="center"/>
    </xf>
    <xf numFmtId="177" fontId="31" fillId="2" borderId="0" xfId="171" applyNumberFormat="1" applyFont="1" applyFill="1" applyAlignment="1">
      <alignment horizontal="center" vertical="center"/>
    </xf>
    <xf numFmtId="177" fontId="31" fillId="2" borderId="0" xfId="149" applyNumberFormat="1" applyFont="1" applyFill="1" applyBorder="1" applyAlignment="1">
      <alignment horizontal="center" vertical="center"/>
    </xf>
    <xf numFmtId="177" fontId="14" fillId="2" borderId="0" xfId="149" applyNumberFormat="1" applyFont="1" applyFill="1" applyBorder="1" applyAlignment="1">
      <alignment horizontal="center" vertical="center"/>
    </xf>
    <xf numFmtId="0" fontId="5" fillId="0" borderId="0" xfId="172">
      <alignment vertical="center"/>
    </xf>
    <xf numFmtId="0" fontId="5" fillId="12" borderId="0" xfId="172" applyFill="1">
      <alignment vertical="center"/>
    </xf>
    <xf numFmtId="0" fontId="36" fillId="6" borderId="0" xfId="173" applyFont="1" applyFill="1" applyAlignment="1">
      <alignment horizontal="right" vertical="center"/>
    </xf>
    <xf numFmtId="0" fontId="9" fillId="11" borderId="0" xfId="173" applyFont="1" applyFill="1" applyAlignment="1">
      <alignment horizontal="right" vertical="center"/>
    </xf>
    <xf numFmtId="0" fontId="9" fillId="4" borderId="9" xfId="173" applyFont="1" applyFill="1" applyBorder="1" applyAlignment="1">
      <alignment vertical="center"/>
    </xf>
    <xf numFmtId="0" fontId="8" fillId="4" borderId="0" xfId="173" applyFont="1" applyFill="1" applyAlignment="1">
      <alignment vertical="center"/>
    </xf>
    <xf numFmtId="9" fontId="9" fillId="4" borderId="0" xfId="145" applyFont="1" applyFill="1" applyBorder="1" applyAlignment="1">
      <alignment vertical="center"/>
    </xf>
    <xf numFmtId="9" fontId="8" fillId="4" borderId="0" xfId="145" applyFont="1" applyFill="1" applyBorder="1" applyAlignment="1">
      <alignment vertical="center"/>
    </xf>
    <xf numFmtId="193" fontId="9" fillId="4" borderId="0" xfId="173" applyNumberFormat="1" applyFont="1" applyFill="1" applyAlignment="1">
      <alignment vertical="center"/>
    </xf>
    <xf numFmtId="0" fontId="9" fillId="4" borderId="0" xfId="173" applyFont="1" applyFill="1" applyAlignment="1">
      <alignment horizontal="right" vertical="center"/>
    </xf>
    <xf numFmtId="0" fontId="9" fillId="0" borderId="0" xfId="173" applyFont="1" applyAlignment="1">
      <alignment vertical="center"/>
    </xf>
    <xf numFmtId="0" fontId="9" fillId="13" borderId="0" xfId="173" applyFont="1" applyFill="1" applyAlignment="1">
      <alignment vertical="center"/>
    </xf>
    <xf numFmtId="0" fontId="8" fillId="13" borderId="0" xfId="173" applyFont="1" applyFill="1" applyAlignment="1">
      <alignment vertical="center"/>
    </xf>
    <xf numFmtId="0" fontId="9" fillId="4" borderId="0" xfId="173" applyFont="1" applyFill="1" applyAlignment="1">
      <alignment vertical="center"/>
    </xf>
    <xf numFmtId="0" fontId="37" fillId="4" borderId="0" xfId="173" applyFont="1" applyFill="1" applyAlignment="1">
      <alignment vertical="center"/>
    </xf>
    <xf numFmtId="194" fontId="9" fillId="4" borderId="0" xfId="173" applyNumberFormat="1" applyFont="1" applyFill="1" applyAlignment="1">
      <alignment horizontal="right" vertical="center"/>
    </xf>
    <xf numFmtId="196" fontId="9" fillId="4" borderId="0" xfId="173" applyNumberFormat="1" applyFont="1" applyFill="1" applyAlignment="1">
      <alignment horizontal="right" vertical="center"/>
    </xf>
    <xf numFmtId="0" fontId="38" fillId="4" borderId="0" xfId="173" applyFont="1" applyFill="1" applyAlignment="1">
      <alignment vertical="center"/>
    </xf>
    <xf numFmtId="43" fontId="9" fillId="4" borderId="0" xfId="1" applyFont="1" applyFill="1" applyAlignment="1">
      <alignment horizontal="right" vertical="center"/>
    </xf>
    <xf numFmtId="0" fontId="7" fillId="6" borderId="0" xfId="173" applyFont="1" applyFill="1" applyAlignment="1">
      <alignment horizontal="left" vertical="center"/>
    </xf>
    <xf numFmtId="0" fontId="7" fillId="6" borderId="0" xfId="173" applyFont="1" applyFill="1" applyAlignment="1">
      <alignment horizontal="right" vertical="center"/>
    </xf>
    <xf numFmtId="0" fontId="8" fillId="11" borderId="0" xfId="173" applyFont="1" applyFill="1" applyAlignment="1">
      <alignment horizontal="left" vertical="center"/>
    </xf>
    <xf numFmtId="197" fontId="9" fillId="11" borderId="0" xfId="173" applyNumberFormat="1" applyFont="1" applyFill="1" applyAlignment="1">
      <alignment horizontal="right" vertical="center"/>
    </xf>
    <xf numFmtId="37" fontId="9" fillId="11" borderId="0" xfId="173" applyNumberFormat="1" applyFont="1" applyFill="1" applyAlignment="1">
      <alignment horizontal="right" vertical="center"/>
    </xf>
    <xf numFmtId="0" fontId="8" fillId="4" borderId="9" xfId="173" applyFont="1" applyFill="1" applyBorder="1" applyAlignment="1">
      <alignment vertical="center"/>
    </xf>
    <xf numFmtId="37" fontId="8" fillId="4" borderId="9" xfId="173" applyNumberFormat="1" applyFont="1" applyFill="1" applyBorder="1" applyAlignment="1">
      <alignment horizontal="right" vertical="center"/>
    </xf>
    <xf numFmtId="37" fontId="8" fillId="4" borderId="0" xfId="173" applyNumberFormat="1" applyFont="1" applyFill="1" applyAlignment="1">
      <alignment horizontal="right" vertical="center"/>
    </xf>
    <xf numFmtId="10" fontId="8" fillId="4" borderId="0" xfId="2" applyNumberFormat="1" applyFont="1" applyFill="1" applyBorder="1" applyAlignment="1">
      <alignment horizontal="right" vertical="center"/>
    </xf>
    <xf numFmtId="10" fontId="39" fillId="8" borderId="0" xfId="2" applyNumberFormat="1" applyFont="1" applyFill="1" applyBorder="1" applyAlignment="1">
      <alignment horizontal="right" vertical="center"/>
    </xf>
    <xf numFmtId="37" fontId="9" fillId="4" borderId="10" xfId="173" applyNumberFormat="1" applyFont="1" applyFill="1" applyBorder="1" applyAlignment="1">
      <alignment vertical="center"/>
    </xf>
    <xf numFmtId="37" fontId="9" fillId="4" borderId="0" xfId="173" applyNumberFormat="1" applyFont="1" applyFill="1" applyAlignment="1">
      <alignment horizontal="right" vertical="center"/>
    </xf>
    <xf numFmtId="37" fontId="9" fillId="4" borderId="11" xfId="173" applyNumberFormat="1" applyFont="1" applyFill="1" applyBorder="1" applyAlignment="1">
      <alignment vertical="center"/>
    </xf>
    <xf numFmtId="0" fontId="8" fillId="4" borderId="11" xfId="173" applyFont="1" applyFill="1" applyBorder="1" applyAlignment="1">
      <alignment vertical="center"/>
    </xf>
    <xf numFmtId="37" fontId="8" fillId="4" borderId="11" xfId="173" applyNumberFormat="1" applyFont="1" applyFill="1" applyBorder="1" applyAlignment="1">
      <alignment vertical="center"/>
    </xf>
    <xf numFmtId="37" fontId="8" fillId="4" borderId="11" xfId="173" applyNumberFormat="1" applyFont="1" applyFill="1" applyBorder="1" applyAlignment="1">
      <alignment horizontal="right" vertical="center"/>
    </xf>
    <xf numFmtId="177" fontId="9" fillId="4" borderId="0" xfId="145" applyNumberFormat="1" applyFont="1" applyFill="1" applyBorder="1" applyAlignment="1">
      <alignment horizontal="right" vertical="center"/>
    </xf>
    <xf numFmtId="177" fontId="8" fillId="4" borderId="0" xfId="145" applyNumberFormat="1" applyFont="1" applyFill="1" applyBorder="1" applyAlignment="1">
      <alignment horizontal="right" vertical="center"/>
    </xf>
    <xf numFmtId="198" fontId="9" fillId="4" borderId="0" xfId="1" applyNumberFormat="1" applyFont="1" applyFill="1" applyBorder="1" applyAlignment="1">
      <alignment horizontal="right" vertical="center"/>
    </xf>
    <xf numFmtId="0" fontId="40" fillId="4" borderId="0" xfId="173" applyFont="1" applyFill="1" applyAlignment="1">
      <alignment vertical="center"/>
    </xf>
    <xf numFmtId="10" fontId="41" fillId="4" borderId="0" xfId="2" applyNumberFormat="1" applyFont="1" applyFill="1" applyBorder="1" applyAlignment="1">
      <alignment horizontal="right" vertical="center"/>
    </xf>
    <xf numFmtId="10" fontId="42" fillId="8" borderId="0" xfId="2" applyNumberFormat="1" applyFont="1" applyFill="1" applyAlignment="1">
      <alignment horizontal="right" vertical="center"/>
    </xf>
    <xf numFmtId="0" fontId="31" fillId="4" borderId="0" xfId="173" applyFont="1" applyFill="1" applyAlignment="1">
      <alignment vertical="center"/>
    </xf>
    <xf numFmtId="37" fontId="9" fillId="4" borderId="0" xfId="173" applyNumberFormat="1" applyFont="1" applyFill="1" applyAlignment="1">
      <alignment vertical="center"/>
    </xf>
    <xf numFmtId="37" fontId="9" fillId="4" borderId="9" xfId="173" applyNumberFormat="1" applyFont="1" applyFill="1" applyBorder="1" applyAlignment="1">
      <alignment vertical="center"/>
    </xf>
    <xf numFmtId="37" fontId="8" fillId="4" borderId="9" xfId="173" applyNumberFormat="1" applyFont="1" applyFill="1" applyBorder="1" applyAlignment="1">
      <alignment vertical="center"/>
    </xf>
    <xf numFmtId="9" fontId="43" fillId="4" borderId="0" xfId="145" applyFont="1" applyFill="1" applyBorder="1" applyAlignment="1">
      <alignment vertical="center"/>
    </xf>
    <xf numFmtId="37" fontId="8" fillId="4" borderId="0" xfId="173" applyNumberFormat="1" applyFont="1" applyFill="1" applyAlignment="1">
      <alignment vertical="center"/>
    </xf>
    <xf numFmtId="0" fontId="44" fillId="2" borderId="0" xfId="87" applyBorder="1"/>
    <xf numFmtId="0" fontId="45" fillId="2" borderId="0" xfId="88" applyBorder="1"/>
    <xf numFmtId="43" fontId="9" fillId="4" borderId="0" xfId="1" applyFont="1" applyFill="1" applyBorder="1" applyAlignment="1">
      <alignment horizontal="right" vertical="center"/>
    </xf>
    <xf numFmtId="9" fontId="9" fillId="4" borderId="0" xfId="145" applyFont="1" applyFill="1" applyBorder="1" applyAlignment="1">
      <alignment horizontal="right" vertical="center"/>
    </xf>
    <xf numFmtId="9" fontId="46" fillId="8" borderId="0" xfId="145" applyFont="1" applyFill="1" applyBorder="1" applyAlignment="1">
      <alignment horizontal="right" vertical="center"/>
    </xf>
    <xf numFmtId="198" fontId="8" fillId="4" borderId="0" xfId="1" applyNumberFormat="1" applyFont="1" applyFill="1" applyAlignment="1">
      <alignment horizontal="right" vertical="center"/>
    </xf>
    <xf numFmtId="177" fontId="9" fillId="4" borderId="0" xfId="145" applyNumberFormat="1" applyFont="1" applyFill="1" applyBorder="1" applyAlignment="1">
      <alignment vertical="center"/>
    </xf>
    <xf numFmtId="0" fontId="9" fillId="4" borderId="0" xfId="173" applyFont="1" applyFill="1" applyAlignment="1">
      <alignment horizontal="left" vertical="center"/>
    </xf>
    <xf numFmtId="9" fontId="9" fillId="4" borderId="0" xfId="173" applyNumberFormat="1" applyFont="1" applyFill="1" applyAlignment="1">
      <alignment horizontal="right" vertical="center"/>
    </xf>
    <xf numFmtId="199" fontId="8" fillId="4" borderId="0" xfId="173" applyNumberFormat="1" applyFont="1" applyFill="1" applyAlignment="1">
      <alignment horizontal="right" vertical="center"/>
    </xf>
    <xf numFmtId="0" fontId="9" fillId="14" borderId="0" xfId="173" applyFont="1" applyFill="1" applyAlignment="1">
      <alignment vertical="center"/>
    </xf>
    <xf numFmtId="193" fontId="8" fillId="4" borderId="0" xfId="173" applyNumberFormat="1" applyFont="1" applyFill="1" applyAlignment="1">
      <alignment horizontal="left" vertical="center"/>
    </xf>
    <xf numFmtId="193" fontId="8" fillId="4" borderId="0" xfId="173" applyNumberFormat="1" applyFont="1" applyFill="1" applyAlignment="1">
      <alignment horizontal="right" vertical="center"/>
    </xf>
    <xf numFmtId="193" fontId="8" fillId="4" borderId="0" xfId="1" applyNumberFormat="1" applyFont="1" applyFill="1" applyAlignment="1">
      <alignment horizontal="right" vertical="center"/>
    </xf>
    <xf numFmtId="0" fontId="8" fillId="4" borderId="0" xfId="173" applyFont="1" applyFill="1" applyAlignment="1">
      <alignment horizontal="left" vertical="center"/>
    </xf>
    <xf numFmtId="200" fontId="9" fillId="4" borderId="0" xfId="173" applyNumberFormat="1" applyFont="1" applyFill="1" applyAlignment="1">
      <alignment horizontal="right" vertical="center"/>
    </xf>
    <xf numFmtId="201" fontId="9" fillId="4" borderId="0" xfId="173" applyNumberFormat="1" applyFont="1" applyFill="1" applyAlignment="1">
      <alignment horizontal="right" vertical="center"/>
    </xf>
    <xf numFmtId="37" fontId="9" fillId="0" borderId="0" xfId="173" applyNumberFormat="1" applyFont="1" applyAlignment="1">
      <alignment horizontal="right" vertical="center"/>
    </xf>
    <xf numFmtId="37" fontId="46" fillId="4" borderId="0" xfId="173" applyNumberFormat="1" applyFont="1" applyFill="1" applyAlignment="1">
      <alignment horizontal="right" vertical="center"/>
    </xf>
    <xf numFmtId="37" fontId="31" fillId="4" borderId="0" xfId="173" applyNumberFormat="1" applyFont="1" applyFill="1" applyAlignment="1">
      <alignment horizontal="right" vertical="center"/>
    </xf>
    <xf numFmtId="37" fontId="46" fillId="0" borderId="0" xfId="173" applyNumberFormat="1" applyFont="1" applyAlignment="1">
      <alignment horizontal="right" vertical="center"/>
    </xf>
    <xf numFmtId="0" fontId="47" fillId="4" borderId="0" xfId="173" applyFont="1" applyFill="1" applyAlignment="1">
      <alignment vertical="center"/>
    </xf>
    <xf numFmtId="202" fontId="9" fillId="4" borderId="0" xfId="173" applyNumberFormat="1" applyFont="1" applyFill="1" applyAlignment="1">
      <alignment horizontal="right" vertical="center"/>
    </xf>
    <xf numFmtId="37" fontId="9" fillId="4" borderId="0" xfId="145" applyNumberFormat="1" applyFont="1" applyFill="1" applyBorder="1" applyAlignment="1">
      <alignment horizontal="right" vertical="center"/>
    </xf>
    <xf numFmtId="1" fontId="9" fillId="4" borderId="0" xfId="173" applyNumberFormat="1" applyFont="1" applyFill="1" applyAlignment="1">
      <alignment horizontal="right" vertical="center"/>
    </xf>
    <xf numFmtId="197" fontId="9" fillId="4" borderId="0" xfId="173" applyNumberFormat="1" applyFont="1" applyFill="1" applyAlignment="1">
      <alignment horizontal="right" vertical="center"/>
    </xf>
    <xf numFmtId="37" fontId="9" fillId="14" borderId="0" xfId="173" applyNumberFormat="1" applyFont="1" applyFill="1" applyAlignment="1">
      <alignment horizontal="right" vertical="center"/>
    </xf>
    <xf numFmtId="194" fontId="8" fillId="4" borderId="0" xfId="173" applyNumberFormat="1" applyFont="1" applyFill="1" applyAlignment="1">
      <alignment horizontal="right" vertical="center"/>
    </xf>
    <xf numFmtId="194" fontId="8" fillId="14" borderId="0" xfId="173" applyNumberFormat="1" applyFont="1" applyFill="1" applyAlignment="1">
      <alignment horizontal="right" vertical="center"/>
    </xf>
    <xf numFmtId="0" fontId="8" fillId="4" borderId="0" xfId="173" applyFont="1" applyFill="1" applyAlignment="1">
      <alignment horizontal="right" vertical="center"/>
    </xf>
    <xf numFmtId="41" fontId="9" fillId="4" borderId="0" xfId="196" applyFont="1" applyFill="1" applyBorder="1" applyAlignment="1">
      <alignment horizontal="right" vertical="center"/>
    </xf>
    <xf numFmtId="37" fontId="9" fillId="4" borderId="0" xfId="196" applyNumberFormat="1" applyFont="1" applyFill="1" applyBorder="1" applyAlignment="1">
      <alignment horizontal="right" vertical="center"/>
    </xf>
    <xf numFmtId="37" fontId="48" fillId="4" borderId="0" xfId="173" applyNumberFormat="1" applyFont="1" applyFill="1" applyAlignment="1">
      <alignment horizontal="right" vertical="center"/>
    </xf>
    <xf numFmtId="0" fontId="8" fillId="0" borderId="0" xfId="173" applyFont="1" applyAlignment="1">
      <alignment vertical="center"/>
    </xf>
    <xf numFmtId="203" fontId="49" fillId="0" borderId="0" xfId="173" applyNumberFormat="1" applyFont="1"/>
    <xf numFmtId="37" fontId="48" fillId="14" borderId="0" xfId="173" applyNumberFormat="1" applyFont="1" applyFill="1" applyAlignment="1">
      <alignment horizontal="right" vertical="center"/>
    </xf>
    <xf numFmtId="37" fontId="8" fillId="13" borderId="0" xfId="173" applyNumberFormat="1" applyFont="1" applyFill="1" applyAlignment="1">
      <alignment horizontal="right" vertical="center"/>
    </xf>
    <xf numFmtId="37" fontId="46" fillId="4" borderId="0" xfId="196" applyNumberFormat="1" applyFont="1" applyFill="1" applyBorder="1" applyAlignment="1">
      <alignment horizontal="right" vertical="center"/>
    </xf>
    <xf numFmtId="9" fontId="9" fillId="4" borderId="0" xfId="2" applyFont="1" applyFill="1" applyAlignment="1">
      <alignment horizontal="right" vertical="center"/>
    </xf>
    <xf numFmtId="43" fontId="8" fillId="4" borderId="0" xfId="1" applyFont="1" applyFill="1" applyAlignment="1">
      <alignment horizontal="right" vertical="center"/>
    </xf>
    <xf numFmtId="193" fontId="9" fillId="4" borderId="0" xfId="173" applyNumberFormat="1" applyFont="1" applyFill="1" applyAlignment="1">
      <alignment horizontal="right" vertical="center"/>
    </xf>
    <xf numFmtId="193" fontId="48" fillId="4" borderId="0" xfId="173" applyNumberFormat="1" applyFont="1" applyFill="1" applyAlignment="1">
      <alignment horizontal="right" vertical="center"/>
    </xf>
    <xf numFmtId="39" fontId="9" fillId="0" borderId="0" xfId="173" applyNumberFormat="1" applyFont="1" applyAlignment="1">
      <alignment horizontal="right" vertical="center"/>
    </xf>
    <xf numFmtId="39" fontId="9" fillId="4" borderId="0" xfId="173" applyNumberFormat="1" applyFont="1" applyFill="1" applyAlignment="1">
      <alignment horizontal="right" vertical="center"/>
    </xf>
    <xf numFmtId="37" fontId="9" fillId="13" borderId="0" xfId="173" applyNumberFormat="1" applyFont="1" applyFill="1" applyAlignment="1">
      <alignment horizontal="right" vertical="center"/>
    </xf>
    <xf numFmtId="37" fontId="9" fillId="13" borderId="0" xfId="173" applyNumberFormat="1" applyFont="1" applyFill="1" applyAlignment="1">
      <alignment vertical="center"/>
    </xf>
    <xf numFmtId="204" fontId="9" fillId="4" borderId="0" xfId="173" applyNumberFormat="1" applyFont="1" applyFill="1" applyAlignment="1">
      <alignment horizontal="right" vertical="center"/>
    </xf>
    <xf numFmtId="205" fontId="9" fillId="4" borderId="0" xfId="173" applyNumberFormat="1" applyFont="1" applyFill="1" applyAlignment="1">
      <alignment horizontal="left" vertical="center"/>
    </xf>
    <xf numFmtId="187" fontId="50" fillId="0" borderId="0" xfId="165" applyFont="1" applyAlignment="1">
      <alignment vertical="center"/>
    </xf>
    <xf numFmtId="187" fontId="1" fillId="0" borderId="0" xfId="165" applyFont="1" applyAlignment="1">
      <alignment vertical="center"/>
    </xf>
    <xf numFmtId="187" fontId="50" fillId="0" borderId="0" xfId="165" applyFont="1" applyAlignment="1">
      <alignment horizontal="right" vertical="center"/>
    </xf>
    <xf numFmtId="187" fontId="50" fillId="4" borderId="0" xfId="165" applyFont="1" applyFill="1" applyAlignment="1">
      <alignment vertical="center"/>
    </xf>
    <xf numFmtId="187" fontId="15" fillId="0" borderId="0" xfId="165" applyFont="1" applyAlignment="1">
      <alignment vertical="center"/>
    </xf>
    <xf numFmtId="187" fontId="51" fillId="4" borderId="0" xfId="165" applyFont="1" applyFill="1" applyAlignment="1">
      <alignment vertical="center"/>
    </xf>
    <xf numFmtId="206" fontId="15" fillId="0" borderId="0" xfId="165" applyNumberFormat="1" applyFont="1" applyAlignment="1">
      <alignment horizontal="left" vertical="center"/>
    </xf>
    <xf numFmtId="198" fontId="15" fillId="0" borderId="0" xfId="191" applyNumberFormat="1" applyFont="1" applyAlignment="1">
      <alignment horizontal="right" vertical="center"/>
    </xf>
    <xf numFmtId="207" fontId="15" fillId="0" borderId="0" xfId="165" applyNumberFormat="1" applyFont="1" applyAlignment="1">
      <alignment vertical="center"/>
    </xf>
    <xf numFmtId="206" fontId="13" fillId="0" borderId="0" xfId="165" applyNumberFormat="1" applyFont="1" applyAlignment="1">
      <alignment vertical="center"/>
    </xf>
    <xf numFmtId="198" fontId="13" fillId="0" borderId="0" xfId="191" applyNumberFormat="1" applyFont="1" applyAlignment="1">
      <alignment horizontal="right" vertical="center"/>
    </xf>
    <xf numFmtId="206" fontId="50" fillId="0" borderId="0" xfId="165" applyNumberFormat="1" applyFont="1" applyAlignment="1">
      <alignment horizontal="left" vertical="center"/>
    </xf>
    <xf numFmtId="198" fontId="50" fillId="0" borderId="0" xfId="191" applyNumberFormat="1" applyFont="1" applyAlignment="1">
      <alignment horizontal="right" vertical="center"/>
    </xf>
    <xf numFmtId="207" fontId="50" fillId="4" borderId="0" xfId="165" applyNumberFormat="1" applyFont="1" applyFill="1" applyAlignment="1">
      <alignment vertical="center"/>
    </xf>
    <xf numFmtId="206" fontId="52" fillId="0" borderId="0" xfId="165" applyNumberFormat="1" applyFont="1" applyAlignment="1">
      <alignment vertical="center"/>
    </xf>
    <xf numFmtId="198" fontId="52" fillId="0" borderId="0" xfId="191" applyNumberFormat="1" applyFont="1" applyAlignment="1">
      <alignment horizontal="right" vertical="center"/>
    </xf>
    <xf numFmtId="206" fontId="13" fillId="0" borderId="0" xfId="165" applyNumberFormat="1" applyFont="1" applyAlignment="1">
      <alignment horizontal="left" vertical="center"/>
    </xf>
    <xf numFmtId="206" fontId="52" fillId="0" borderId="0" xfId="165" applyNumberFormat="1" applyFont="1" applyAlignment="1">
      <alignment horizontal="left" vertical="center"/>
    </xf>
    <xf numFmtId="206" fontId="15" fillId="0" borderId="0" xfId="165" applyNumberFormat="1" applyFont="1" applyAlignment="1">
      <alignment vertical="center"/>
    </xf>
    <xf numFmtId="206" fontId="50" fillId="0" borderId="0" xfId="165" applyNumberFormat="1" applyFont="1" applyAlignment="1">
      <alignment vertical="center"/>
    </xf>
    <xf numFmtId="198" fontId="15" fillId="0" borderId="0" xfId="191" applyNumberFormat="1" applyFont="1" applyFill="1" applyAlignment="1">
      <alignment horizontal="right" vertical="center"/>
    </xf>
    <xf numFmtId="198" fontId="50" fillId="0" borderId="0" xfId="191" applyNumberFormat="1" applyFont="1" applyFill="1" applyAlignment="1">
      <alignment horizontal="right" vertical="center"/>
    </xf>
    <xf numFmtId="187" fontId="15" fillId="0" borderId="0" xfId="165" applyFont="1" applyAlignment="1">
      <alignment horizontal="right" vertical="center"/>
    </xf>
    <xf numFmtId="9" fontId="15" fillId="0" borderId="0" xfId="149" applyFont="1" applyAlignment="1">
      <alignment horizontal="right" vertical="center"/>
    </xf>
    <xf numFmtId="9" fontId="50" fillId="0" borderId="0" xfId="149" applyFont="1" applyAlignment="1">
      <alignment horizontal="right" vertical="center"/>
    </xf>
    <xf numFmtId="193" fontId="52" fillId="0" borderId="0" xfId="165" applyNumberFormat="1" applyFont="1" applyAlignment="1">
      <alignment vertical="center"/>
    </xf>
    <xf numFmtId="193" fontId="15" fillId="0" borderId="0" xfId="165" applyNumberFormat="1" applyFont="1" applyAlignment="1">
      <alignment vertical="center"/>
    </xf>
    <xf numFmtId="43" fontId="15" fillId="0" borderId="0" xfId="1" applyFont="1" applyAlignment="1">
      <alignment horizontal="right" vertical="center"/>
    </xf>
    <xf numFmtId="193" fontId="50" fillId="0" borderId="0" xfId="165" applyNumberFormat="1" applyFont="1" applyAlignment="1">
      <alignment vertical="center"/>
    </xf>
    <xf numFmtId="9" fontId="50" fillId="0" borderId="0" xfId="2" applyFont="1" applyAlignment="1">
      <alignment horizontal="right" vertical="center"/>
    </xf>
    <xf numFmtId="193" fontId="13" fillId="0" borderId="0" xfId="165" applyNumberFormat="1" applyFont="1" applyAlignment="1">
      <alignment vertical="center"/>
    </xf>
    <xf numFmtId="207" fontId="15" fillId="0" borderId="0" xfId="165" applyNumberFormat="1" applyFont="1" applyAlignment="1">
      <alignment horizontal="right" vertical="center"/>
    </xf>
    <xf numFmtId="2" fontId="15" fillId="0" borderId="0" xfId="165" applyNumberFormat="1" applyFont="1" applyAlignment="1">
      <alignment horizontal="right" vertical="center"/>
    </xf>
    <xf numFmtId="2" fontId="50" fillId="0" borderId="0" xfId="165" applyNumberFormat="1" applyFont="1" applyAlignment="1">
      <alignment horizontal="right" vertical="center"/>
    </xf>
    <xf numFmtId="178" fontId="50" fillId="0" borderId="0" xfId="165" applyNumberFormat="1" applyFont="1" applyAlignment="1">
      <alignment horizontal="right" vertical="center"/>
    </xf>
    <xf numFmtId="2" fontId="50" fillId="14" borderId="0" xfId="165" applyNumberFormat="1" applyFont="1" applyFill="1" applyAlignment="1">
      <alignment horizontal="right" vertical="center"/>
    </xf>
    <xf numFmtId="2" fontId="53" fillId="0" borderId="0" xfId="165" applyNumberFormat="1" applyFont="1" applyAlignment="1">
      <alignment horizontal="right" vertical="center"/>
    </xf>
    <xf numFmtId="0" fontId="54" fillId="0" borderId="0" xfId="164" applyFont="1" applyAlignment="1" applyProtection="1">
      <alignment vertical="center"/>
      <protection locked="0"/>
    </xf>
    <xf numFmtId="0" fontId="55" fillId="0" borderId="0" xfId="0" applyFont="1" applyAlignment="1" applyProtection="1">
      <alignment vertical="center" wrapText="1"/>
      <protection locked="0"/>
    </xf>
    <xf numFmtId="49" fontId="54" fillId="0" borderId="0" xfId="0" applyNumberFormat="1" applyFont="1" applyAlignment="1" applyProtection="1">
      <alignment horizontal="right" vertical="center"/>
      <protection locked="0"/>
    </xf>
    <xf numFmtId="0" fontId="56" fillId="14" borderId="0" xfId="0" applyFont="1" applyFill="1" applyAlignment="1" applyProtection="1">
      <alignment horizontal="left" vertical="center" indent="1"/>
      <protection locked="0"/>
    </xf>
    <xf numFmtId="0" fontId="56" fillId="14" borderId="0" xfId="0" applyFont="1" applyFill="1" applyAlignment="1" applyProtection="1">
      <alignment horizontal="left" vertical="center"/>
      <protection locked="0"/>
    </xf>
    <xf numFmtId="0" fontId="54" fillId="0" borderId="0" xfId="0" applyFont="1" applyAlignment="1" applyProtection="1">
      <alignment vertical="center"/>
      <protection locked="0"/>
    </xf>
    <xf numFmtId="208" fontId="54" fillId="0" borderId="0" xfId="0" applyNumberFormat="1" applyFont="1" applyAlignment="1" applyProtection="1">
      <alignment vertical="center"/>
      <protection locked="0"/>
    </xf>
    <xf numFmtId="0" fontId="55" fillId="0" borderId="0" xfId="0" applyFont="1" applyAlignment="1" applyProtection="1">
      <alignment horizontal="center" vertical="center" wrapText="1"/>
      <protection locked="0"/>
    </xf>
    <xf numFmtId="0" fontId="57" fillId="0" borderId="0" xfId="0" applyFont="1" applyAlignment="1" applyProtection="1">
      <alignment horizontal="right" vertical="center"/>
      <protection locked="0"/>
    </xf>
    <xf numFmtId="0" fontId="58" fillId="0" borderId="0" xfId="0" applyFont="1" applyAlignment="1" applyProtection="1">
      <alignment horizontal="right" vertical="center"/>
      <protection locked="0"/>
    </xf>
    <xf numFmtId="0" fontId="55" fillId="15" borderId="0" xfId="0" applyFont="1" applyFill="1" applyAlignment="1">
      <alignment horizontal="center" vertical="center" wrapText="1"/>
    </xf>
    <xf numFmtId="0" fontId="55" fillId="16" borderId="0" xfId="0" applyFont="1" applyFill="1" applyAlignment="1">
      <alignment horizontal="right" vertical="center" wrapText="1"/>
    </xf>
    <xf numFmtId="3" fontId="54" fillId="0" borderId="0" xfId="164" applyNumberFormat="1" applyFont="1" applyAlignment="1" applyProtection="1">
      <alignment vertical="center"/>
      <protection locked="0"/>
    </xf>
    <xf numFmtId="0" fontId="59" fillId="0" borderId="0" xfId="0" applyFont="1" applyAlignment="1" applyProtection="1">
      <alignment vertical="center" wrapText="1"/>
      <protection locked="0"/>
    </xf>
    <xf numFmtId="9" fontId="54" fillId="0" borderId="0" xfId="164" applyNumberFormat="1" applyFont="1" applyAlignment="1" applyProtection="1">
      <alignment vertical="center"/>
      <protection locked="0"/>
    </xf>
    <xf numFmtId="0" fontId="60" fillId="17" borderId="0" xfId="0" applyFont="1" applyFill="1" applyAlignment="1">
      <alignment horizontal="center" vertical="center" wrapText="1"/>
    </xf>
    <xf numFmtId="3" fontId="54" fillId="0" borderId="0" xfId="0" applyNumberFormat="1" applyFont="1" applyAlignment="1" applyProtection="1">
      <alignment horizontal="right" vertical="center"/>
      <protection locked="0"/>
    </xf>
    <xf numFmtId="10" fontId="54" fillId="0" borderId="0" xfId="147" applyNumberFormat="1" applyFont="1" applyAlignment="1" applyProtection="1">
      <alignment vertical="center"/>
      <protection locked="0"/>
    </xf>
    <xf numFmtId="10" fontId="54" fillId="0" borderId="0" xfId="2" applyNumberFormat="1" applyFont="1" applyAlignment="1" applyProtection="1">
      <alignment horizontal="right" vertical="center"/>
      <protection locked="0"/>
    </xf>
    <xf numFmtId="9" fontId="54" fillId="0" borderId="0" xfId="0" applyNumberFormat="1" applyFont="1" applyAlignment="1" applyProtection="1">
      <alignment horizontal="right" vertical="center"/>
      <protection locked="0"/>
    </xf>
    <xf numFmtId="177" fontId="54" fillId="0" borderId="0" xfId="147" applyNumberFormat="1" applyFont="1" applyAlignment="1" applyProtection="1">
      <alignment vertical="center"/>
      <protection locked="0"/>
    </xf>
    <xf numFmtId="10" fontId="54" fillId="0" borderId="0" xfId="164" applyNumberFormat="1" applyFont="1" applyAlignment="1" applyProtection="1">
      <alignment vertical="center"/>
      <protection locked="0"/>
    </xf>
    <xf numFmtId="209" fontId="54" fillId="0" borderId="0" xfId="0" applyNumberFormat="1" applyFont="1" applyAlignment="1" applyProtection="1">
      <alignment horizontal="right" vertical="center"/>
      <protection locked="0"/>
    </xf>
    <xf numFmtId="177" fontId="54" fillId="0" borderId="0" xfId="0" applyNumberFormat="1" applyFont="1" applyAlignment="1" applyProtection="1">
      <alignment horizontal="right" vertical="center"/>
      <protection locked="0"/>
    </xf>
    <xf numFmtId="0" fontId="55" fillId="15" borderId="0" xfId="0" applyFont="1" applyFill="1" applyAlignment="1" applyProtection="1">
      <alignment horizontal="center" vertical="center" wrapText="1"/>
      <protection locked="0"/>
    </xf>
    <xf numFmtId="3" fontId="54" fillId="0" borderId="0" xfId="1" applyNumberFormat="1" applyFont="1" applyAlignment="1" applyProtection="1">
      <alignment horizontal="right" vertical="center"/>
      <protection locked="0"/>
    </xf>
    <xf numFmtId="9" fontId="54" fillId="0" borderId="0" xfId="147" applyFont="1" applyAlignment="1" applyProtection="1">
      <alignment vertical="center"/>
      <protection locked="0"/>
    </xf>
    <xf numFmtId="3" fontId="54" fillId="0" borderId="0" xfId="194" applyNumberFormat="1" applyFont="1" applyAlignment="1" applyProtection="1">
      <alignment horizontal="right" vertical="center"/>
      <protection locked="0"/>
    </xf>
    <xf numFmtId="2" fontId="54" fillId="0" borderId="0" xfId="164" applyNumberFormat="1" applyFont="1" applyAlignment="1" applyProtection="1">
      <alignment vertical="center"/>
      <protection locked="0"/>
    </xf>
    <xf numFmtId="1" fontId="54" fillId="0" borderId="0" xfId="164" applyNumberFormat="1" applyFont="1" applyAlignment="1" applyProtection="1">
      <alignment vertical="center"/>
      <protection locked="0"/>
    </xf>
    <xf numFmtId="0" fontId="54" fillId="0" borderId="0" xfId="164" applyFont="1" applyAlignment="1" applyProtection="1">
      <alignment horizontal="right" vertical="center"/>
      <protection locked="0"/>
    </xf>
    <xf numFmtId="0" fontId="54" fillId="14" borderId="0" xfId="164" applyFont="1" applyFill="1" applyAlignment="1" applyProtection="1">
      <alignment vertical="center"/>
      <protection locked="0"/>
    </xf>
    <xf numFmtId="0" fontId="22" fillId="5" borderId="0" xfId="0" applyFont="1" applyFill="1" applyAlignment="1">
      <alignment vertical="center"/>
    </xf>
    <xf numFmtId="177" fontId="41" fillId="4" borderId="0" xfId="145" applyNumberFormat="1" applyFont="1" applyFill="1" applyBorder="1" applyAlignment="1">
      <alignment horizontal="right" vertical="center"/>
    </xf>
    <xf numFmtId="9" fontId="134" fillId="4" borderId="0" xfId="145" applyFont="1" applyFill="1" applyBorder="1" applyAlignment="1">
      <alignment vertical="center"/>
    </xf>
    <xf numFmtId="0" fontId="136" fillId="0" borderId="0" xfId="206" applyFont="1">
      <alignment vertical="center"/>
    </xf>
    <xf numFmtId="0" fontId="137" fillId="0" borderId="0" xfId="206" applyFont="1">
      <alignment vertical="center"/>
    </xf>
    <xf numFmtId="0" fontId="135" fillId="0" borderId="0" xfId="206">
      <alignment vertical="center"/>
    </xf>
    <xf numFmtId="0" fontId="138" fillId="0" borderId="0" xfId="206" applyFont="1" applyAlignment="1">
      <alignment horizontal="center" vertical="center"/>
    </xf>
    <xf numFmtId="0" fontId="136" fillId="0" borderId="0" xfId="206" applyFont="1" applyAlignment="1">
      <alignment horizontal="right" vertical="center"/>
    </xf>
    <xf numFmtId="0" fontId="137" fillId="0" borderId="0" xfId="206" applyFont="1" applyAlignment="1">
      <alignment horizontal="left" vertical="center"/>
    </xf>
    <xf numFmtId="177" fontId="136" fillId="0" borderId="0" xfId="2" applyNumberFormat="1" applyFont="1">
      <alignment vertical="center"/>
    </xf>
    <xf numFmtId="10" fontId="136" fillId="0" borderId="0" xfId="2" applyNumberFormat="1" applyFont="1">
      <alignment vertical="center"/>
    </xf>
    <xf numFmtId="1" fontId="137" fillId="0" borderId="0" xfId="206" applyNumberFormat="1" applyFont="1">
      <alignment vertical="center"/>
    </xf>
    <xf numFmtId="1" fontId="136" fillId="5" borderId="0" xfId="206" applyNumberFormat="1" applyFont="1" applyFill="1">
      <alignment vertical="center"/>
    </xf>
    <xf numFmtId="177" fontId="136" fillId="44" borderId="0" xfId="2" applyNumberFormat="1" applyFont="1" applyFill="1">
      <alignment vertical="center"/>
    </xf>
    <xf numFmtId="10" fontId="136" fillId="44" borderId="0" xfId="2" applyNumberFormat="1" applyFont="1" applyFill="1">
      <alignment vertical="center"/>
    </xf>
    <xf numFmtId="1" fontId="136" fillId="0" borderId="0" xfId="206" applyNumberFormat="1" applyFont="1">
      <alignment vertical="center"/>
    </xf>
    <xf numFmtId="1" fontId="136" fillId="0" borderId="0" xfId="206" applyNumberFormat="1" applyFont="1" applyAlignment="1">
      <alignment horizontal="right" vertical="center"/>
    </xf>
    <xf numFmtId="0" fontId="140" fillId="0" borderId="0" xfId="206" applyFont="1" applyAlignment="1">
      <alignment horizontal="right" vertical="center"/>
    </xf>
    <xf numFmtId="10" fontId="140" fillId="0" borderId="0" xfId="2" applyNumberFormat="1" applyFont="1" applyAlignment="1">
      <alignment horizontal="right" vertical="center"/>
    </xf>
    <xf numFmtId="9" fontId="141" fillId="44" borderId="0" xfId="206" applyNumberFormat="1" applyFont="1" applyFill="1">
      <alignment vertical="center"/>
    </xf>
    <xf numFmtId="0" fontId="142" fillId="0" borderId="0" xfId="206" applyFont="1" applyAlignment="1">
      <alignment horizontal="right" vertical="center"/>
    </xf>
    <xf numFmtId="10" fontId="142" fillId="0" borderId="0" xfId="2" applyNumberFormat="1" applyFont="1" applyAlignment="1">
      <alignment horizontal="right" vertical="center"/>
    </xf>
    <xf numFmtId="178" fontId="137" fillId="0" borderId="0" xfId="206" applyNumberFormat="1" applyFont="1">
      <alignment vertical="center"/>
    </xf>
    <xf numFmtId="9" fontId="142" fillId="44" borderId="0" xfId="2" applyFont="1" applyFill="1" applyAlignment="1">
      <alignment horizontal="right" vertical="center"/>
    </xf>
    <xf numFmtId="0" fontId="137" fillId="0" borderId="28" xfId="206" applyFont="1" applyBorder="1">
      <alignment vertical="center"/>
    </xf>
    <xf numFmtId="0" fontId="136" fillId="0" borderId="28" xfId="206" applyFont="1" applyBorder="1">
      <alignment vertical="center"/>
    </xf>
    <xf numFmtId="1" fontId="136" fillId="0" borderId="28" xfId="206" applyNumberFormat="1" applyFont="1" applyBorder="1">
      <alignment vertical="center"/>
    </xf>
    <xf numFmtId="1" fontId="136" fillId="5" borderId="28" xfId="206" applyNumberFormat="1" applyFont="1" applyFill="1" applyBorder="1">
      <alignment vertical="center"/>
    </xf>
    <xf numFmtId="1" fontId="136" fillId="44" borderId="0" xfId="206" applyNumberFormat="1" applyFont="1" applyFill="1">
      <alignment vertical="center"/>
    </xf>
    <xf numFmtId="9" fontId="142" fillId="44" borderId="0" xfId="2" applyFont="1" applyFill="1" applyBorder="1" applyAlignment="1">
      <alignment horizontal="right" vertical="center"/>
    </xf>
    <xf numFmtId="177" fontId="136" fillId="44" borderId="0" xfId="2" applyNumberFormat="1" applyFont="1" applyFill="1" applyBorder="1">
      <alignment vertical="center"/>
    </xf>
    <xf numFmtId="1" fontId="136" fillId="0" borderId="28" xfId="206" applyNumberFormat="1" applyFont="1" applyBorder="1" applyAlignment="1">
      <alignment horizontal="right" vertical="center"/>
    </xf>
    <xf numFmtId="10" fontId="140" fillId="0" borderId="28" xfId="2" applyNumberFormat="1" applyFont="1" applyBorder="1" applyAlignment="1">
      <alignment horizontal="right" vertical="center"/>
    </xf>
    <xf numFmtId="10" fontId="142" fillId="0" borderId="28" xfId="2" applyNumberFormat="1" applyFont="1" applyBorder="1" applyAlignment="1">
      <alignment horizontal="right" vertical="center"/>
    </xf>
    <xf numFmtId="177" fontId="136" fillId="0" borderId="28" xfId="2" applyNumberFormat="1" applyFont="1" applyBorder="1">
      <alignment vertical="center"/>
    </xf>
    <xf numFmtId="10" fontId="136" fillId="0" borderId="28" xfId="2" applyNumberFormat="1" applyFont="1" applyBorder="1">
      <alignment vertical="center"/>
    </xf>
    <xf numFmtId="1" fontId="26" fillId="8" borderId="0" xfId="174" applyNumberFormat="1" applyFont="1" applyFill="1"/>
    <xf numFmtId="1" fontId="25" fillId="0" borderId="0" xfId="174" applyNumberFormat="1" applyFont="1"/>
    <xf numFmtId="0" fontId="19" fillId="10" borderId="0" xfId="206" applyFont="1" applyFill="1">
      <alignment vertical="center"/>
    </xf>
    <xf numFmtId="0" fontId="19" fillId="10" borderId="28" xfId="206" applyFont="1" applyFill="1" applyBorder="1">
      <alignment vertical="center"/>
    </xf>
    <xf numFmtId="0" fontId="19" fillId="10" borderId="0" xfId="206" applyFont="1" applyFill="1" applyAlignment="1">
      <alignment horizontal="center" vertical="center"/>
    </xf>
    <xf numFmtId="10" fontId="15" fillId="0" borderId="0" xfId="149" applyNumberFormat="1" applyFont="1" applyAlignment="1">
      <alignment horizontal="right" vertical="center"/>
    </xf>
    <xf numFmtId="10" fontId="136" fillId="44" borderId="0" xfId="2" applyNumberFormat="1" applyFont="1" applyFill="1" applyBorder="1" applyAlignment="1">
      <alignment horizontal="center" vertical="center"/>
    </xf>
    <xf numFmtId="0" fontId="137" fillId="0" borderId="0" xfId="206" applyFont="1" applyAlignment="1">
      <alignment horizontal="right" vertical="center"/>
    </xf>
    <xf numFmtId="10" fontId="137" fillId="0" borderId="0" xfId="2" applyNumberFormat="1" applyFont="1">
      <alignment vertical="center"/>
    </xf>
    <xf numFmtId="10" fontId="8" fillId="4" borderId="0" xfId="2" applyNumberFormat="1" applyFont="1" applyFill="1" applyAlignment="1">
      <alignment horizontal="right" vertical="center"/>
    </xf>
    <xf numFmtId="0" fontId="20" fillId="7" borderId="0" xfId="174" applyFont="1" applyFill="1" applyAlignment="1">
      <alignment horizontal="center"/>
    </xf>
    <xf numFmtId="0" fontId="31" fillId="2" borderId="0" xfId="171" applyFont="1" applyFill="1" applyAlignment="1">
      <alignment horizontal="center" vertical="center"/>
    </xf>
    <xf numFmtId="0" fontId="31" fillId="2" borderId="0" xfId="171" applyFont="1" applyFill="1" applyAlignment="1">
      <alignment horizontal="center" vertical="center" wrapText="1"/>
    </xf>
    <xf numFmtId="0" fontId="5" fillId="0" borderId="0" xfId="0" applyFont="1"/>
    <xf numFmtId="0" fontId="138" fillId="0" borderId="0" xfId="206" applyFont="1" applyAlignment="1">
      <alignment horizontal="left" vertical="center" wrapText="1"/>
    </xf>
    <xf numFmtId="0" fontId="138" fillId="0" borderId="0" xfId="206" applyFont="1" applyAlignment="1">
      <alignment horizontal="center" vertical="center"/>
    </xf>
    <xf numFmtId="0" fontId="12" fillId="0" borderId="0" xfId="172" applyFont="1" applyFill="1" applyAlignment="1">
      <alignment horizontal="left" vertical="center"/>
    </xf>
    <xf numFmtId="207" fontId="50" fillId="0" borderId="0" xfId="165" applyNumberFormat="1" applyFont="1" applyFill="1" applyAlignment="1">
      <alignment vertical="center"/>
    </xf>
    <xf numFmtId="187" fontId="50" fillId="0" borderId="0" xfId="165" applyFont="1" applyFill="1" applyAlignment="1">
      <alignment vertical="center"/>
    </xf>
  </cellXfs>
  <cellStyles count="207">
    <cellStyle name="_x005f_x000a_386grabber=M" xfId="3" xr:uid="{00000000-0005-0000-0000-000031000000}"/>
    <cellStyle name="20% - Accent1 2" xfId="4" xr:uid="{00000000-0005-0000-0000-000032000000}"/>
    <cellStyle name="20% - Accent1 2 9" xfId="5" xr:uid="{00000000-0005-0000-0000-000033000000}"/>
    <cellStyle name="20% - Accent2 2" xfId="6" xr:uid="{00000000-0005-0000-0000-000034000000}"/>
    <cellStyle name="20% - Accent2 2 9" xfId="7" xr:uid="{00000000-0005-0000-0000-000035000000}"/>
    <cellStyle name="20% - Accent3 2" xfId="8" xr:uid="{00000000-0005-0000-0000-000036000000}"/>
    <cellStyle name="20% - Accent3 2 9" xfId="9" xr:uid="{00000000-0005-0000-0000-000037000000}"/>
    <cellStyle name="20% - Accent4 2" xfId="10" xr:uid="{00000000-0005-0000-0000-000038000000}"/>
    <cellStyle name="20% - Accent4 2 9" xfId="11" xr:uid="{00000000-0005-0000-0000-000039000000}"/>
    <cellStyle name="20% - Accent5 2" xfId="12" xr:uid="{00000000-0005-0000-0000-00003A000000}"/>
    <cellStyle name="20% - Accent5 2 9" xfId="13" xr:uid="{00000000-0005-0000-0000-00003B000000}"/>
    <cellStyle name="20% - Accent6 2" xfId="14" xr:uid="{00000000-0005-0000-0000-00003C000000}"/>
    <cellStyle name="20% - Accent6 2 9" xfId="15" xr:uid="{00000000-0005-0000-0000-00003D000000}"/>
    <cellStyle name="20% - 强调文字颜色 1 2" xfId="16" xr:uid="{00000000-0005-0000-0000-00003E000000}"/>
    <cellStyle name="20% - 强调文字颜色 2 2" xfId="17" xr:uid="{00000000-0005-0000-0000-00003F000000}"/>
    <cellStyle name="20% - 强调文字颜色 3 2" xfId="18" xr:uid="{00000000-0005-0000-0000-000040000000}"/>
    <cellStyle name="20% - 强调文字颜色 4 2" xfId="19" xr:uid="{00000000-0005-0000-0000-000041000000}"/>
    <cellStyle name="20% - 强调文字颜色 5 2" xfId="20" xr:uid="{00000000-0005-0000-0000-000042000000}"/>
    <cellStyle name="20% - 强调文字颜色 6 2" xfId="21" xr:uid="{00000000-0005-0000-0000-000043000000}"/>
    <cellStyle name="40% - Accent1 2" xfId="22" xr:uid="{00000000-0005-0000-0000-000044000000}"/>
    <cellStyle name="40% - Accent1 2 9" xfId="23" xr:uid="{00000000-0005-0000-0000-000045000000}"/>
    <cellStyle name="40% - Accent2 2" xfId="24" xr:uid="{00000000-0005-0000-0000-000046000000}"/>
    <cellStyle name="40% - Accent2 2 9" xfId="25" xr:uid="{00000000-0005-0000-0000-000047000000}"/>
    <cellStyle name="40% - Accent3 2" xfId="26" xr:uid="{00000000-0005-0000-0000-000048000000}"/>
    <cellStyle name="40% - Accent3 2 9" xfId="27" xr:uid="{00000000-0005-0000-0000-000049000000}"/>
    <cellStyle name="40% - Accent6 2" xfId="28" xr:uid="{00000000-0005-0000-0000-00004A000000}"/>
    <cellStyle name="40% - Accent6 2 9" xfId="29" xr:uid="{00000000-0005-0000-0000-00004B000000}"/>
    <cellStyle name="40% - 强调文字颜色 1 2" xfId="30" xr:uid="{00000000-0005-0000-0000-00004C000000}"/>
    <cellStyle name="40% - 强调文字颜色 2 2" xfId="31" xr:uid="{00000000-0005-0000-0000-00004D000000}"/>
    <cellStyle name="40% - 强调文字颜色 3 2" xfId="32" xr:uid="{00000000-0005-0000-0000-00004E000000}"/>
    <cellStyle name="40% - 强调文字颜色 6 2" xfId="33" xr:uid="{00000000-0005-0000-0000-00004F000000}"/>
    <cellStyle name="60% - Accent1 2" xfId="34" xr:uid="{00000000-0005-0000-0000-000050000000}"/>
    <cellStyle name="60% - Accent1 2 9" xfId="35" xr:uid="{00000000-0005-0000-0000-000051000000}"/>
    <cellStyle name="60% - Accent2 2" xfId="36" xr:uid="{00000000-0005-0000-0000-000052000000}"/>
    <cellStyle name="60% - Accent2 2 9" xfId="37" xr:uid="{00000000-0005-0000-0000-000053000000}"/>
    <cellStyle name="60% - Accent3 2" xfId="38" xr:uid="{00000000-0005-0000-0000-000054000000}"/>
    <cellStyle name="60% - Accent3 2 9" xfId="39" xr:uid="{00000000-0005-0000-0000-000055000000}"/>
    <cellStyle name="60% - Accent4 2" xfId="40" xr:uid="{00000000-0005-0000-0000-000056000000}"/>
    <cellStyle name="60% - Accent4 2 9" xfId="41" xr:uid="{00000000-0005-0000-0000-000057000000}"/>
    <cellStyle name="60% - Accent5 2" xfId="42" xr:uid="{00000000-0005-0000-0000-000058000000}"/>
    <cellStyle name="60% - Accent5 2 9" xfId="43" xr:uid="{00000000-0005-0000-0000-000059000000}"/>
    <cellStyle name="60% - Accent6 2" xfId="44" xr:uid="{00000000-0005-0000-0000-00005A000000}"/>
    <cellStyle name="60% - Accent6 2 9" xfId="45" xr:uid="{00000000-0005-0000-0000-00005B000000}"/>
    <cellStyle name="60% - 强调文字颜色 1 2" xfId="46" xr:uid="{00000000-0005-0000-0000-00005C000000}"/>
    <cellStyle name="60% - 强调文字颜色 2 2" xfId="47" xr:uid="{00000000-0005-0000-0000-00005D000000}"/>
    <cellStyle name="60% - 强调文字颜色 3 2" xfId="48" xr:uid="{00000000-0005-0000-0000-00005E000000}"/>
    <cellStyle name="60% - 强调文字颜色 4 2" xfId="49" xr:uid="{00000000-0005-0000-0000-00005F000000}"/>
    <cellStyle name="60% - 强调文字颜色 5 2" xfId="50" xr:uid="{00000000-0005-0000-0000-000060000000}"/>
    <cellStyle name="60% - 强调文字颜色 6 2" xfId="51" xr:uid="{00000000-0005-0000-0000-000061000000}"/>
    <cellStyle name="Accent1 2" xfId="52" xr:uid="{00000000-0005-0000-0000-000062000000}"/>
    <cellStyle name="Accent1 2 9" xfId="53" xr:uid="{00000000-0005-0000-0000-000063000000}"/>
    <cellStyle name="Accent2 2" xfId="54" xr:uid="{00000000-0005-0000-0000-000064000000}"/>
    <cellStyle name="Accent2 2 9" xfId="55" xr:uid="{00000000-0005-0000-0000-000065000000}"/>
    <cellStyle name="Accent3 2" xfId="56" xr:uid="{00000000-0005-0000-0000-000066000000}"/>
    <cellStyle name="Accent3 2 9" xfId="57" xr:uid="{00000000-0005-0000-0000-000067000000}"/>
    <cellStyle name="Accent6 2" xfId="58" xr:uid="{00000000-0005-0000-0000-000068000000}"/>
    <cellStyle name="Accent6 2 9" xfId="59" xr:uid="{00000000-0005-0000-0000-000069000000}"/>
    <cellStyle name="Bad 2" xfId="60" xr:uid="{00000000-0005-0000-0000-00006A000000}"/>
    <cellStyle name="Bad 2 9" xfId="61" xr:uid="{00000000-0005-0000-0000-00006B000000}"/>
    <cellStyle name="blp_column_header" xfId="62" xr:uid="{00000000-0005-0000-0000-00006C000000}"/>
    <cellStyle name="C01_Main head" xfId="63" xr:uid="{00000000-0005-0000-0000-00006D000000}"/>
    <cellStyle name="C02_Column heads" xfId="64" xr:uid="{00000000-0005-0000-0000-00006E000000}"/>
    <cellStyle name="C03_Sub head bold" xfId="65" xr:uid="{00000000-0005-0000-0000-00006F000000}"/>
    <cellStyle name="C03a_Sub head" xfId="66" xr:uid="{00000000-0005-0000-0000-000070000000}"/>
    <cellStyle name="C04_Total text white bold" xfId="67" xr:uid="{00000000-0005-0000-0000-000071000000}"/>
    <cellStyle name="C04a_Total text black with rule" xfId="68" xr:uid="{00000000-0005-0000-0000-000072000000}"/>
    <cellStyle name="C05_Main text" xfId="69" xr:uid="{00000000-0005-0000-0000-000073000000}"/>
    <cellStyle name="C06_Figs" xfId="70" xr:uid="{00000000-0005-0000-0000-000074000000}"/>
    <cellStyle name="C07_Figs 1 dec percent" xfId="71" xr:uid="{00000000-0005-0000-0000-000075000000}"/>
    <cellStyle name="C08_Figs 1 decimal" xfId="72" xr:uid="{00000000-0005-0000-0000-000076000000}"/>
    <cellStyle name="C09_Notes" xfId="73" xr:uid="{00000000-0005-0000-0000-000077000000}"/>
    <cellStyle name="Calculation 2" xfId="74" xr:uid="{00000000-0005-0000-0000-000078000000}"/>
    <cellStyle name="Calculation 2 10" xfId="75" xr:uid="{00000000-0005-0000-0000-000079000000}"/>
    <cellStyle name="Check Cell 2" xfId="76" xr:uid="{00000000-0005-0000-0000-00007A000000}"/>
    <cellStyle name="Check Cell 2 9" xfId="77" xr:uid="{00000000-0005-0000-0000-00007B000000}"/>
    <cellStyle name="Comma [0] 2" xfId="78" xr:uid="{00000000-0005-0000-0000-00007C000000}"/>
    <cellStyle name="Comma 2" xfId="79" xr:uid="{00000000-0005-0000-0000-00007D000000}"/>
    <cellStyle name="Comma 3 2" xfId="80" xr:uid="{00000000-0005-0000-0000-00007E000000}"/>
    <cellStyle name="Comma 5" xfId="81" xr:uid="{00000000-0005-0000-0000-00007F000000}"/>
    <cellStyle name="Date" xfId="82" xr:uid="{00000000-0005-0000-0000-000080000000}"/>
    <cellStyle name="DateTime" xfId="83" xr:uid="{00000000-0005-0000-0000-000081000000}"/>
    <cellStyle name="Explanatory Text 2" xfId="84" xr:uid="{00000000-0005-0000-0000-000082000000}"/>
    <cellStyle name="Explanatory Text 2 9" xfId="85" xr:uid="{00000000-0005-0000-0000-000083000000}"/>
    <cellStyle name="fa_column_header_bottom" xfId="86" xr:uid="{00000000-0005-0000-0000-000084000000}"/>
    <cellStyle name="fa_row_header_italic" xfId="87" xr:uid="{00000000-0005-0000-0000-000085000000}"/>
    <cellStyle name="fa_row_header_standard 2" xfId="88" xr:uid="{00000000-0005-0000-0000-000086000000}"/>
    <cellStyle name="Fixed" xfId="89" xr:uid="{00000000-0005-0000-0000-000087000000}"/>
    <cellStyle name="Good 2" xfId="90" xr:uid="{00000000-0005-0000-0000-000088000000}"/>
    <cellStyle name="Good 2 9" xfId="91" xr:uid="{00000000-0005-0000-0000-000089000000}"/>
    <cellStyle name="Heading 1 2" xfId="92" xr:uid="{00000000-0005-0000-0000-00008A000000}"/>
    <cellStyle name="Heading 1 2 9" xfId="93" xr:uid="{00000000-0005-0000-0000-00008B000000}"/>
    <cellStyle name="Heading 2 2" xfId="94" xr:uid="{00000000-0005-0000-0000-00008C000000}"/>
    <cellStyle name="Heading 2 2 9" xfId="95" xr:uid="{00000000-0005-0000-0000-00008D000000}"/>
    <cellStyle name="Heading 3 2" xfId="96" xr:uid="{00000000-0005-0000-0000-00008E000000}"/>
    <cellStyle name="Heading 3 2 9" xfId="97" xr:uid="{00000000-0005-0000-0000-00008F000000}"/>
    <cellStyle name="Heading 4 2" xfId="98" xr:uid="{00000000-0005-0000-0000-000090000000}"/>
    <cellStyle name="Heading 4 2 9" xfId="99" xr:uid="{00000000-0005-0000-0000-000091000000}"/>
    <cellStyle name="Heading1" xfId="100" xr:uid="{00000000-0005-0000-0000-000092000000}"/>
    <cellStyle name="Hyperlink 2" xfId="101" xr:uid="{00000000-0005-0000-0000-000093000000}"/>
    <cellStyle name="Hyperlink 3" xfId="102" xr:uid="{00000000-0005-0000-0000-000094000000}"/>
    <cellStyle name="Input 2" xfId="103" xr:uid="{00000000-0005-0000-0000-000095000000}"/>
    <cellStyle name="Input 2 10" xfId="104" xr:uid="{00000000-0005-0000-0000-000096000000}"/>
    <cellStyle name="Linked Cell 2" xfId="105" xr:uid="{00000000-0005-0000-0000-000097000000}"/>
    <cellStyle name="Linked Cell 2 9" xfId="106" xr:uid="{00000000-0005-0000-0000-000098000000}"/>
    <cellStyle name="Neutral 2" xfId="107" xr:uid="{00000000-0005-0000-0000-000099000000}"/>
    <cellStyle name="Neutral 2 9" xfId="108" xr:uid="{00000000-0005-0000-0000-00009A000000}"/>
    <cellStyle name="Normal 11" xfId="109" xr:uid="{00000000-0005-0000-0000-00009B000000}"/>
    <cellStyle name="Normal 18" xfId="110" xr:uid="{00000000-0005-0000-0000-00009C000000}"/>
    <cellStyle name="Normal 2 10" xfId="111" xr:uid="{00000000-0005-0000-0000-00009D000000}"/>
    <cellStyle name="Normal 2 11" xfId="112" xr:uid="{00000000-0005-0000-0000-00009E000000}"/>
    <cellStyle name="Normal 2 2" xfId="113" xr:uid="{00000000-0005-0000-0000-00009F000000}"/>
    <cellStyle name="Normal 2_板块涨跌幅" xfId="114" xr:uid="{00000000-0005-0000-0000-0000A0000000}"/>
    <cellStyle name="Normal 33" xfId="115" xr:uid="{00000000-0005-0000-0000-0000A1000000}"/>
    <cellStyle name="Normal_P&amp;L" xfId="116" xr:uid="{00000000-0005-0000-0000-0000A2000000}"/>
    <cellStyle name="Note 2" xfId="117" xr:uid="{00000000-0005-0000-0000-0000A3000000}"/>
    <cellStyle name="Note 2 10" xfId="118" xr:uid="{00000000-0005-0000-0000-0000A4000000}"/>
    <cellStyle name="Output 2" xfId="119" xr:uid="{00000000-0005-0000-0000-0000A5000000}"/>
    <cellStyle name="Output 2 10" xfId="120" xr:uid="{00000000-0005-0000-0000-0000A6000000}"/>
    <cellStyle name="Percent 2" xfId="121" xr:uid="{00000000-0005-0000-0000-0000A7000000}"/>
    <cellStyle name="Percent 2 10" xfId="122" xr:uid="{00000000-0005-0000-0000-0000A8000000}"/>
    <cellStyle name="Percent 5" xfId="123" xr:uid="{00000000-0005-0000-0000-0000A9000000}"/>
    <cellStyle name="Style 21" xfId="124" xr:uid="{00000000-0005-0000-0000-0000AA000000}"/>
    <cellStyle name="Style 22" xfId="125" xr:uid="{00000000-0005-0000-0000-0000AB000000}"/>
    <cellStyle name="Style 23" xfId="126" xr:uid="{00000000-0005-0000-0000-0000AC000000}"/>
    <cellStyle name="Style 24" xfId="127" xr:uid="{00000000-0005-0000-0000-0000AD000000}"/>
    <cellStyle name="Style 25" xfId="128" xr:uid="{00000000-0005-0000-0000-0000AE000000}"/>
    <cellStyle name="Style 26" xfId="129" xr:uid="{00000000-0005-0000-0000-0000AF000000}"/>
    <cellStyle name="Style 27" xfId="130" xr:uid="{00000000-0005-0000-0000-0000B0000000}"/>
    <cellStyle name="Style 28" xfId="131" xr:uid="{00000000-0005-0000-0000-0000B1000000}"/>
    <cellStyle name="Style 29" xfId="132" xr:uid="{00000000-0005-0000-0000-0000B2000000}"/>
    <cellStyle name="Style 31" xfId="133" xr:uid="{00000000-0005-0000-0000-0000B3000000}"/>
    <cellStyle name="Style 32" xfId="134" xr:uid="{00000000-0005-0000-0000-0000B4000000}"/>
    <cellStyle name="Style 33" xfId="135" xr:uid="{00000000-0005-0000-0000-0000B5000000}"/>
    <cellStyle name="Style 34" xfId="136" xr:uid="{00000000-0005-0000-0000-0000B6000000}"/>
    <cellStyle name="Style 35" xfId="137" xr:uid="{00000000-0005-0000-0000-0000B7000000}"/>
    <cellStyle name="Title 2" xfId="138" xr:uid="{00000000-0005-0000-0000-0000B8000000}"/>
    <cellStyle name="Title 2 9" xfId="139" xr:uid="{00000000-0005-0000-0000-0000B9000000}"/>
    <cellStyle name="Total 2" xfId="140" xr:uid="{00000000-0005-0000-0000-0000BA000000}"/>
    <cellStyle name="Total 2 10" xfId="141" xr:uid="{00000000-0005-0000-0000-0000BB000000}"/>
    <cellStyle name="Total 9" xfId="142" xr:uid="{00000000-0005-0000-0000-0000BC000000}"/>
    <cellStyle name="Warning Text 2" xfId="143" xr:uid="{00000000-0005-0000-0000-0000BD000000}"/>
    <cellStyle name="Warning Text 2 9" xfId="144" xr:uid="{00000000-0005-0000-0000-0000BE000000}"/>
    <cellStyle name="百分比" xfId="2" builtinId="5"/>
    <cellStyle name="百分比 13" xfId="145" xr:uid="{00000000-0005-0000-0000-0000BF000000}"/>
    <cellStyle name="百分比 16" xfId="146" xr:uid="{00000000-0005-0000-0000-0000C0000000}"/>
    <cellStyle name="百分比 18" xfId="147" xr:uid="{00000000-0005-0000-0000-0000C1000000}"/>
    <cellStyle name="百分比 19" xfId="148" xr:uid="{00000000-0005-0000-0000-0000C2000000}"/>
    <cellStyle name="百分比 2" xfId="149" xr:uid="{00000000-0005-0000-0000-0000C3000000}"/>
    <cellStyle name="百分比 2 2 2 2 2 2" xfId="150" xr:uid="{00000000-0005-0000-0000-0000C4000000}"/>
    <cellStyle name="百分比 21" xfId="151" xr:uid="{00000000-0005-0000-0000-0000C5000000}"/>
    <cellStyle name="百分比 3" xfId="152" xr:uid="{00000000-0005-0000-0000-0000C6000000}"/>
    <cellStyle name="标题 1 2" xfId="153" xr:uid="{00000000-0005-0000-0000-0000C7000000}"/>
    <cellStyle name="标题 10" xfId="154" xr:uid="{00000000-0005-0000-0000-0000C8000000}"/>
    <cellStyle name="标题 2 2" xfId="155" xr:uid="{00000000-0005-0000-0000-0000C9000000}"/>
    <cellStyle name="标题 3 2" xfId="156" xr:uid="{00000000-0005-0000-0000-0000CA000000}"/>
    <cellStyle name="标题 4 2" xfId="157" xr:uid="{00000000-0005-0000-0000-0000CB000000}"/>
    <cellStyle name="差 2" xfId="158" xr:uid="{00000000-0005-0000-0000-0000CC000000}"/>
    <cellStyle name="常规" xfId="0" builtinId="0"/>
    <cellStyle name="常规 10" xfId="159" xr:uid="{00000000-0005-0000-0000-0000CD000000}"/>
    <cellStyle name="常规 10 2 2 2 2 2 2" xfId="160" xr:uid="{00000000-0005-0000-0000-0000CE000000}"/>
    <cellStyle name="常规 104" xfId="161" xr:uid="{00000000-0005-0000-0000-0000CF000000}"/>
    <cellStyle name="常规 11 2 2 2 5" xfId="162" xr:uid="{00000000-0005-0000-0000-0000D0000000}"/>
    <cellStyle name="常规 18 2 5" xfId="163" xr:uid="{00000000-0005-0000-0000-0000D1000000}"/>
    <cellStyle name="常规 194" xfId="164" xr:uid="{00000000-0005-0000-0000-0000D2000000}"/>
    <cellStyle name="常规 2" xfId="165" xr:uid="{00000000-0005-0000-0000-0000D3000000}"/>
    <cellStyle name="常规 2 2 2" xfId="166" xr:uid="{00000000-0005-0000-0000-0000D4000000}"/>
    <cellStyle name="常规 2 4" xfId="167" xr:uid="{00000000-0005-0000-0000-0000D5000000}"/>
    <cellStyle name="常规 21 2 5" xfId="168" xr:uid="{00000000-0005-0000-0000-0000D6000000}"/>
    <cellStyle name="常规 24" xfId="169" xr:uid="{00000000-0005-0000-0000-0000D7000000}"/>
    <cellStyle name="常规 29 2 2 2" xfId="170" xr:uid="{00000000-0005-0000-0000-0000D8000000}"/>
    <cellStyle name="常规 3" xfId="206" xr:uid="{B4B6087C-2DED-4319-84C9-DD7BF6ED26B2}"/>
    <cellStyle name="常规 3 2 9" xfId="171" xr:uid="{00000000-0005-0000-0000-0000D9000000}"/>
    <cellStyle name="常规 427" xfId="172" xr:uid="{00000000-0005-0000-0000-0000DA000000}"/>
    <cellStyle name="常规 428" xfId="173" xr:uid="{00000000-0005-0000-0000-0000DB000000}"/>
    <cellStyle name="常规 430" xfId="174" xr:uid="{00000000-0005-0000-0000-0000DC000000}"/>
    <cellStyle name="超链接 10" xfId="175" xr:uid="{00000000-0005-0000-0000-0000DD000000}"/>
    <cellStyle name="超链接 11" xfId="176" xr:uid="{00000000-0005-0000-0000-0000DE000000}"/>
    <cellStyle name="超链接 12" xfId="177" xr:uid="{00000000-0005-0000-0000-0000DF000000}"/>
    <cellStyle name="超链接 2" xfId="178" xr:uid="{00000000-0005-0000-0000-0000E0000000}"/>
    <cellStyle name="超链接 2 10" xfId="179" xr:uid="{00000000-0005-0000-0000-0000E1000000}"/>
    <cellStyle name="超链接 2 2" xfId="180" xr:uid="{00000000-0005-0000-0000-0000E2000000}"/>
    <cellStyle name="超链接 3 2 2 2 2" xfId="181" xr:uid="{00000000-0005-0000-0000-0000E3000000}"/>
    <cellStyle name="超链接 4 2 2 2" xfId="182" xr:uid="{00000000-0005-0000-0000-0000E4000000}"/>
    <cellStyle name="超链接 9" xfId="183" xr:uid="{00000000-0005-0000-0000-0000E5000000}"/>
    <cellStyle name="好 2" xfId="184" xr:uid="{00000000-0005-0000-0000-0000E6000000}"/>
    <cellStyle name="汇总 2 2" xfId="185" xr:uid="{00000000-0005-0000-0000-0000E7000000}"/>
    <cellStyle name="计算 2" xfId="186" xr:uid="{00000000-0005-0000-0000-0000E8000000}"/>
    <cellStyle name="检查单元格 2" xfId="187" xr:uid="{00000000-0005-0000-0000-0000E9000000}"/>
    <cellStyle name="解释性文本 2" xfId="188" xr:uid="{00000000-0005-0000-0000-0000EA000000}"/>
    <cellStyle name="警告文本 2" xfId="189" xr:uid="{00000000-0005-0000-0000-0000EB000000}"/>
    <cellStyle name="链接单元格 2" xfId="190" xr:uid="{00000000-0005-0000-0000-0000EC000000}"/>
    <cellStyle name="千位分隔" xfId="1" builtinId="3"/>
    <cellStyle name="千位分隔 2" xfId="191" xr:uid="{00000000-0005-0000-0000-0000ED000000}"/>
    <cellStyle name="千位分隔 2 2" xfId="192" xr:uid="{00000000-0005-0000-0000-0000EE000000}"/>
    <cellStyle name="千位分隔 3" xfId="193" xr:uid="{00000000-0005-0000-0000-0000EF000000}"/>
    <cellStyle name="千位分隔 6" xfId="194" xr:uid="{00000000-0005-0000-0000-0000F0000000}"/>
    <cellStyle name="千位分隔 7" xfId="195" xr:uid="{00000000-0005-0000-0000-0000F1000000}"/>
    <cellStyle name="千位分隔[0] 2" xfId="196" xr:uid="{00000000-0005-0000-0000-0000F2000000}"/>
    <cellStyle name="强调文字颜色 1 2" xfId="197" xr:uid="{00000000-0005-0000-0000-0000F3000000}"/>
    <cellStyle name="强调文字颜色 2 2" xfId="198" xr:uid="{00000000-0005-0000-0000-0000F4000000}"/>
    <cellStyle name="强调文字颜色 3 2" xfId="199" xr:uid="{00000000-0005-0000-0000-0000F5000000}"/>
    <cellStyle name="强调文字颜色 6 2" xfId="200" xr:uid="{00000000-0005-0000-0000-0000F6000000}"/>
    <cellStyle name="适中 2" xfId="201" xr:uid="{00000000-0005-0000-0000-0000F7000000}"/>
    <cellStyle name="输出 2" xfId="202" xr:uid="{00000000-0005-0000-0000-0000F8000000}"/>
    <cellStyle name="输入 2" xfId="203" xr:uid="{00000000-0005-0000-0000-0000F9000000}"/>
    <cellStyle name="样式 1" xfId="204" xr:uid="{00000000-0005-0000-0000-0000FA000000}"/>
    <cellStyle name="注释 2" xfId="205" xr:uid="{00000000-0005-0000-0000-0000FB000000}"/>
  </cellStyles>
  <dxfs count="2">
    <dxf>
      <font>
        <b/>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xr9:uid="{F40DE7B0-9FB8-454F-AC67-27A80060FE1C}">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63" Type="http://schemas.openxmlformats.org/officeDocument/2006/relationships/externalLink" Target="externalLinks/externalLink5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6.xml"/><Relationship Id="rId29" Type="http://schemas.openxmlformats.org/officeDocument/2006/relationships/externalLink" Target="externalLinks/externalLink19.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3" Type="http://schemas.openxmlformats.org/officeDocument/2006/relationships/externalLink" Target="externalLinks/externalLink43.xml"/><Relationship Id="rId58" Type="http://schemas.openxmlformats.org/officeDocument/2006/relationships/externalLink" Target="externalLinks/externalLink4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51.xml"/><Relationship Id="rId19" Type="http://schemas.openxmlformats.org/officeDocument/2006/relationships/externalLink" Target="externalLinks/externalLink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56" Type="http://schemas.openxmlformats.org/officeDocument/2006/relationships/externalLink" Target="externalLinks/externalLink46.xml"/><Relationship Id="rId64" Type="http://schemas.openxmlformats.org/officeDocument/2006/relationships/externalLink" Target="externalLinks/externalLink54.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41.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59" Type="http://schemas.openxmlformats.org/officeDocument/2006/relationships/externalLink" Target="externalLinks/externalLink49.xml"/><Relationship Id="rId67" Type="http://schemas.openxmlformats.org/officeDocument/2006/relationships/styles" Target="styles.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54" Type="http://schemas.openxmlformats.org/officeDocument/2006/relationships/externalLink" Target="externalLinks/externalLink44.xml"/><Relationship Id="rId62" Type="http://schemas.openxmlformats.org/officeDocument/2006/relationships/externalLink" Target="externalLinks/externalLink5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57" Type="http://schemas.openxmlformats.org/officeDocument/2006/relationships/externalLink" Target="externalLinks/externalLink47.xml"/><Relationship Id="rId10" Type="http://schemas.openxmlformats.org/officeDocument/2006/relationships/worksheet" Target="worksheets/sheet10.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externalLink" Target="externalLinks/externalLink42.xml"/><Relationship Id="rId60" Type="http://schemas.openxmlformats.org/officeDocument/2006/relationships/externalLink" Target="externalLinks/externalLink50.xml"/><Relationship Id="rId65" Type="http://schemas.openxmlformats.org/officeDocument/2006/relationships/externalLink" Target="externalLinks/externalLink5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34" Type="http://schemas.openxmlformats.org/officeDocument/2006/relationships/externalLink" Target="externalLinks/externalLink24.xml"/><Relationship Id="rId50" Type="http://schemas.openxmlformats.org/officeDocument/2006/relationships/externalLink" Target="externalLinks/externalLink40.xml"/><Relationship Id="rId55" Type="http://schemas.openxmlformats.org/officeDocument/2006/relationships/externalLink" Target="externalLinks/externalLink4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19</xdr:col>
      <xdr:colOff>455706</xdr:colOff>
      <xdr:row>35</xdr:row>
      <xdr:rowOff>171823</xdr:rowOff>
    </xdr:from>
    <xdr:to>
      <xdr:col>35</xdr:col>
      <xdr:colOff>220009</xdr:colOff>
      <xdr:row>72</xdr:row>
      <xdr:rowOff>98238</xdr:rowOff>
    </xdr:to>
    <xdr:pic>
      <xdr:nvPicPr>
        <xdr:cNvPr id="2" name="图片 1">
          <a:extLst>
            <a:ext uri="{FF2B5EF4-FFF2-40B4-BE49-F238E27FC236}">
              <a16:creationId xmlns:a16="http://schemas.microsoft.com/office/drawing/2014/main" id="{71E41408-0514-8D87-40AD-34966F36E2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0765" y="6880411"/>
          <a:ext cx="10335185" cy="71131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199571</xdr:colOff>
      <xdr:row>0</xdr:row>
      <xdr:rowOff>0</xdr:rowOff>
    </xdr:from>
    <xdr:to>
      <xdr:col>26</xdr:col>
      <xdr:colOff>720271</xdr:colOff>
      <xdr:row>44</xdr:row>
      <xdr:rowOff>6350</xdr:rowOff>
    </xdr:to>
    <xdr:pic>
      <xdr:nvPicPr>
        <xdr:cNvPr id="3" name="图片 2">
          <a:extLst>
            <a:ext uri="{FF2B5EF4-FFF2-40B4-BE49-F238E27FC236}">
              <a16:creationId xmlns:a16="http://schemas.microsoft.com/office/drawing/2014/main" id="{133521A8-F5C4-0B8A-922C-2A60ED4561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64571" y="0"/>
          <a:ext cx="8775700" cy="87874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420076</xdr:colOff>
      <xdr:row>0</xdr:row>
      <xdr:rowOff>0</xdr:rowOff>
    </xdr:from>
    <xdr:to>
      <xdr:col>17</xdr:col>
      <xdr:colOff>250070</xdr:colOff>
      <xdr:row>10</xdr:row>
      <xdr:rowOff>10195</xdr:rowOff>
    </xdr:to>
    <xdr:pic>
      <xdr:nvPicPr>
        <xdr:cNvPr id="3" name="图片 2">
          <a:extLst>
            <a:ext uri="{FF2B5EF4-FFF2-40B4-BE49-F238E27FC236}">
              <a16:creationId xmlns:a16="http://schemas.microsoft.com/office/drawing/2014/main" id="{B0C41847-62D4-C697-8CC3-A080E2533611}"/>
            </a:ext>
          </a:extLst>
        </xdr:cNvPr>
        <xdr:cNvPicPr>
          <a:picLocks noChangeAspect="1"/>
        </xdr:cNvPicPr>
      </xdr:nvPicPr>
      <xdr:blipFill>
        <a:blip xmlns:r="http://schemas.openxmlformats.org/officeDocument/2006/relationships" r:embed="rId1"/>
        <a:stretch>
          <a:fillRect/>
        </a:stretch>
      </xdr:blipFill>
      <xdr:spPr>
        <a:xfrm>
          <a:off x="7810499" y="0"/>
          <a:ext cx="3786533" cy="18663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IB-SHG-01\VOL1\MATERIAL\STEEL\MAGANG\MAGANG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https:\connecthkuhk-my.sharepoint.com\IB-SHG-01\VOL1\MATERIAL\STEEL\MAGANG\MAGANG4.XLS?16EC3FD0" TargetMode="External"/><Relationship Id="rId1" Type="http://schemas.openxmlformats.org/officeDocument/2006/relationships/externalLinkPath" Target="file:///\\16EC3FD0\MAGANG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yangge\Downloads\7ABA691C\BANKSTA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yangge\Downloads\4CD810F1\itcd%20mod29%202Q01E-op.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https:\mycuhk-my.sharepoint.com\Users\sunrongyu\Library\Group%20Containers\UBF8T346G9.Office\User%20Content.localized\Startup.localized\Excel\doug\P.XLS?448E82F2" TargetMode="External"/><Relationship Id="rId1" Type="http://schemas.openxmlformats.org/officeDocument/2006/relationships/externalLinkPath" Target="file:///\\448E82F2\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yangge\Downloads\65A31BD0\ECHOSTAR%20COMMUNIC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yangge\Downloads\5C2EA162\GFS.xls"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https:\mycuhk-my.sharepoint.com\Users\sunrongyu\Library\Group%20Containers\UBF8T346G9.Office\User%20Content.localized\Startup.localized\Excel\Denise\Steven\Work\Ubanization\MS_Urbanization%20(2).xls?6B74DDAD" TargetMode="External"/><Relationship Id="rId1" Type="http://schemas.openxmlformats.org/officeDocument/2006/relationships/externalLinkPath" Target="file:///\\6B74DDAD\MS_Urbanization%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ers\yangge\Downloads\5247E6BC\FB%20Citi%20model_new.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INTERNET\MODELS\MM_model.xls" TargetMode="External"/></Relationships>
</file>

<file path=xl/externalLinks/_rels/externalLink11.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https:\mycuhk-my.sharepoint.com\Users\sunrongyu\Library\Group%20Containers\UBF8T346G9.Office\User%20Content.localized\Startup.localized\Excel\TECH\INTERNET\MODELS\MM_model.xls?6948D8BD" TargetMode="External"/><Relationship Id="rId1" Type="http://schemas.openxmlformats.org/officeDocument/2006/relationships/externalLinkPath" Target="file:///\\6948D8BD\MM_model.xls"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https:\mycuhk-my.sharepoint.com\Users\sunrongyu\Library\Group%20Containers\UBF8T346G9.Office\User%20Content.localized\Startup.localized\Excel\Denise\Qing%20Wang\China\broad%20background\China%20Summit080530.xls?F5E1B2CA" TargetMode="External"/><Relationship Id="rId1" Type="http://schemas.openxmlformats.org/officeDocument/2006/relationships/externalLinkPath" Target="file:///\\F5E1B2CA\China%20Summit08053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sers\yangge\Library\Containers\com.kingsoft.wpsoffice.mac\Data\Library\Application%20Support\Kingsoft\WPS%20Cloud%20Files\userdata\qing\filecache\.382557298\cachedata\BC7F9BAC10BF4EA593AB0D861028E474\L:\MODELS\SEN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sers\yangge\Downloads\7F06FFEA\&#29992;&#21451;&#36719;&#20214;-6005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Users\yangge\Downloads\A3A12D6C\BaoGang-Research.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Users\yangge\Downloads\19532C98\TWX%20Model%209.28.97.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https:\connecthkuhk-my.sharepoint.com\Mac\Home\Users\shen\Desktop\WindEvaluator2.xls?7817D2D4" TargetMode="External"/><Relationship Id="rId1" Type="http://schemas.openxmlformats.org/officeDocument/2006/relationships/externalLinkPath" Target="file:///\\7817D2D4\WindEvaluator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Users\yangge\Downloads\4D8546D3\PCS%20Equity%20Model%201017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yangge\Downloads\F06BC068\DAZHON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yangge\Downloads\91809920\DHB.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Users\yangge\Downloads\7ABA691C\MACRO.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Users\yangge\Downloads\E6A3FFFB\Lisa%20coverage.xls" TargetMode="External"/></Relationships>
</file>

<file path=xl/externalLinks/_rels/externalLink23.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Z:\Documents%20and%20Settings\Administrator\&#26700;&#38754;\Lisa%20coverage.xls?3D6DE957" TargetMode="External"/><Relationship Id="rId1" Type="http://schemas.openxmlformats.org/officeDocument/2006/relationships/externalLinkPath" Target="file:///\\3D6DE957\Lisa%20coverag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Users\yangge\Downloads\01BDFF52\SIVERSIO.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Jihe%20WestCashEarning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B-SHG-01\VOL1\PROPERTY\SZCOMP\SHUM-YIP\ROB.XLS" TargetMode="External"/></Relationships>
</file>

<file path=xl/externalLinks/_rels/externalLink27.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https:\connecthkuhk-my.sharepoint.com\Users\admin\Nutstore\1\&#20256;&#23186;&#20849;&#20139;\GYX\&#20809;&#32447;&#20256;&#23186;\&#35199;&#37096;&#25253;&#21578;\&#20809;&#32447;&#20256;&#23186;&#20272;&#20540;&#27169;&#22411;-20220107.xlsm?D8728874" TargetMode="External"/><Relationship Id="rId1" Type="http://schemas.openxmlformats.org/officeDocument/2006/relationships/externalLinkPath" Target="file:///\\D8728874\&#20809;&#32447;&#20256;&#23186;&#20272;&#20540;&#27169;&#22411;-20220107.xlsm"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ers\yangge\Downloads\230A2570\Huawei%20Model%2011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sers\yangge\Downloads\6CB6A454\Marketing%20material.xl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SPARC1"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c1"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Users\yangge\Downloads\49FAC9B4\cable%20comps%200127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Users\yangge\Downloads\8C9FD569\AETH.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Users\yangge\Downloads\D42238CB\DCF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Users\yangge\Downloads\63B99620\1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NY_PDC\rsearch\Telecom\Itcd\itcd%20mod13.xls" TargetMode="External"/></Relationships>
</file>

<file path=xl/externalLinks/_rels/externalLink37.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https:\connecthkuhk-my.sharepoint.com\Mac\Home\&#20272;&#20540;\&#31454;&#20105;&#23545;&#25163;&#20272;&#20540;&#27169;&#22411;\Wind&#20272;&#20540;&#27169;&#22411;.xls?149D5048" TargetMode="External"/><Relationship Id="rId1" Type="http://schemas.openxmlformats.org/officeDocument/2006/relationships/externalLinkPath" Target="file:///\\149D5048\Wind&#20272;&#20540;&#27169;&#2241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Users\yangge\Downloads\1E5C9BEC\MS_YELP.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BILOTTI\Cable\Cablevision%20Systems\CVC\cvc_ny.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sers\yangge\Downloads\523303A5\CellularComp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yangge\Downloads\FF3F4505\Assumption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sers\yangge\Downloads\42926FC2\template_growth.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Users\yangge\Downloads\A584152E\NERDCHRT.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Jihe%20WestInt_Paid"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Users\yangge\Downloads\AAB88775\KONKA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Users\yangge\Library\Containers\com.kingsoft.wpsoffice.mac\Data\Library\Application%20Support\Kingsoft\WPS%20Cloud%20Files\userdata\qing\filecache\.382557298\cachedata\BC7F9BAC10BF4EA593AB0D861028E474\A:\IDC%20forecasts.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Users\yangge\Downloads\637398E6\Price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Users\yangge\Downloads\55565908\Millennial%20Media%20Model_Citi%20Current.xls" TargetMode="External"/></Relationships>
</file>

<file path=xl/externalLinks/_rels/externalLink49.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https:\connecthkuhk-my.sharepoint.com\Mac\Home\Users\shen\Desktop\Beta&#35745;&#31639;&#22120;.xls?7817D2D4" TargetMode="External"/><Relationship Id="rId1" Type="http://schemas.openxmlformats.org/officeDocument/2006/relationships/externalLinkPath" Target="file:///\\7817D2D4\Beta&#35745;&#31639;&#2212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Users\yangge\Downloads\D4DB36A5\Standard_wacc.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Users\yangge\Downloads\38ADA514\CableSubs-ByDMA.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Users\yangge\Downloads\BAD32702\SECTO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IB-SHG-01\VOL1\PROPERTY\SZCOMP\VANKE\twopage.xls" TargetMode="External"/></Relationships>
</file>

<file path=xl/externalLinks/_rels/externalLink54.xml.rels><?xml version="1.0" encoding="UTF-8" standalone="yes"?>
<Relationships xmlns="http://schemas.openxmlformats.org/package/2006/relationships"><Relationship Id="rId2" Type="http://schemas.microsoft.com/office/2019/04/relationships/externalLinkLongPath" Target="file:///\\Users\rosiehou\Library\Containers\com.tencent.xinWeChat\Data\Library\Application%20Support\com.tencent.xinWeChat\2.0b4.0.9\7368e0029f4a9e887e6aed81098f0be5\Message\MessageTemp\9e20f478899dc29eb19741386f9343c8\File\https:\connecthkuhk-my.sharepoint.com\Mac\Home\&#20272;&#20540;\&#31454;&#20105;&#23545;&#25163;&#20272;&#20540;&#27169;&#22411;\&#30331;&#28023;&#31181;&#19994;&#65288;002041&#65289;Valuation%20Model-v1-20100224.xlsm?149D5048" TargetMode="External"/><Relationship Id="rId1" Type="http://schemas.openxmlformats.org/officeDocument/2006/relationships/externalLinkPath" Target="file:///\\149D5048\&#30331;&#28023;&#31181;&#19994;&#65288;002041&#65289;Valuation%20Model-v1-20100224.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Users\yangge\Downloads\37162E3B\HECMOD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REF"/>
      <sheetName val="全国"/>
      <sheetName val="销售收入"/>
      <sheetName val="环卫机械"/>
      <sheetName val="NAV-Proj."/>
      <sheetName val="工程施工"/>
      <sheetName val="Interface"/>
      <sheetName val="Check Sums"/>
      <sheetName val="Collected data"/>
      <sheetName val="Page Details"/>
      <sheetName val="Page Sizes"/>
      <sheetName val="Sample Layout"/>
      <sheetName val="BRIEF"/>
      <sheetName val="price"/>
      <sheetName val="NAV Pro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S"/>
      <sheetName val="AEPS"/>
      <sheetName val="DPS"/>
      <sheetName val="NBV"/>
      <sheetName val="BV"/>
      <sheetName val="CostIncome Ratio"/>
      <sheetName val="Interest Income total Income"/>
      <sheetName val="Other Income Total Income"/>
      <sheetName val="Loan to deposit"/>
      <sheetName val="Loan to deposit (bonds)"/>
      <sheetName val="Liquidity ratio"/>
      <sheetName val="Loan Growth Rate"/>
      <sheetName val="Deposit Growth Rate"/>
      <sheetName val="ROA"/>
      <sheetName val="ROE"/>
      <sheetName val="SROE"/>
      <sheetName val="ROIEA"/>
      <sheetName val="CIBL"/>
      <sheetName val="Interest Spread"/>
      <sheetName val="Net Int Margin(tot)"/>
      <sheetName val="Net Interest Margin (earning)"/>
      <sheetName val="General Provision"/>
      <sheetName val="Specific Provision"/>
      <sheetName val="NPL"/>
      <sheetName val="Spec Provisions to NPL"/>
      <sheetName val="Tot Provisions to NPL"/>
      <sheetName val="Adj Tier I "/>
      <sheetName val="Tier I"/>
      <sheetName val="CAR"/>
      <sheetName val="Adj. CAR"/>
      <sheetName val="Standardized CAR"/>
      <sheetName val="Specific Cover"/>
      <sheetName val="Total Cover"/>
      <sheetName val="Master for values"/>
      <sheetName val="Master"/>
      <sheetName val="NAV"/>
      <sheetName val="BANKST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N"/>
      <sheetName val="P&amp;L"/>
      <sheetName val="Graphs"/>
      <sheetName val="KBRO"/>
      <sheetName val="1Q01"/>
      <sheetName val="DCF"/>
      <sheetName val="BS"/>
      <sheetName val="STAT"/>
      <sheetName val="Metrics"/>
      <sheetName val="4Q00"/>
      <sheetName val="3Q00"/>
      <sheetName val="2Q00"/>
      <sheetName val="Guidance"/>
      <sheetName val="4Q99"/>
      <sheetName val="3Q99"/>
      <sheetName val="2Q99"/>
      <sheetName val="1Q99"/>
      <sheetName val="4Q98"/>
      <sheetName val="3Q98"/>
      <sheetName val="Chart1"/>
      <sheetName val="Sheet2"/>
      <sheetName val="2Q00 CC"/>
      <sheetName val="db Sheet"/>
      <sheetName val="Sheet1"/>
      <sheetName val="STATS"/>
      <sheetName val="Statistics"/>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refreshError="1"/>
      <sheetData sheetId="27"/>
      <sheetData sheetId="28" refreshError="1"/>
      <sheetData sheetId="29" refreshError="1"/>
      <sheetData sheetId="30"/>
      <sheetData sheetId="31" refreshError="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BS"/>
      <sheetName val="Variance"/>
      <sheetName val="Segment ROCE"/>
      <sheetName val="Capex"/>
      <sheetName val="E&amp;P"/>
      <sheetName val="Relative"/>
      <sheetName val="ROGIC"/>
      <sheetName val="NEPS"/>
      <sheetName val="Hamaca"/>
      <sheetName val="Bohai"/>
      <sheetName val="Bayu Undan"/>
      <sheetName val="R&amp;M"/>
      <sheetName val="GPM"/>
      <sheetName val="ARCO - Alaska"/>
      <sheetName val="RefineryMaint"/>
      <sheetName val="TOSCO"/>
      <sheetName val="Reserves"/>
      <sheetName val="WACC"/>
      <sheetName val="Valuation"/>
      <sheetName val="NAV"/>
      <sheetName val="Chemical JV"/>
      <sheetName val="Chems"/>
      <sheetName val="EKOFISK"/>
      <sheetName val="PUDS"/>
      <sheetName val="GE Data"/>
      <sheetName val="MainCode"/>
      <sheetName val="NY UPLOAD"/>
      <sheetName val="NY UPLOAD shadow"/>
      <sheetName val="Disclaimer"/>
      <sheetName val="Quarterly"/>
      <sheetName val="IndexInformation"/>
      <sheetName val="NORM"/>
      <sheetName val="NY UPLOAD.bak"/>
      <sheetName val="NY UPLOAD Shadow.bak"/>
      <sheetName val="Normalized"/>
      <sheetName val="DDM"/>
      <sheetName val="B Sheet"/>
      <sheetName val="Ratios"/>
      <sheetName val="SOLP"/>
      <sheetName val="Liquids"/>
      <sheetName val="charts"/>
      <sheetName val="Apples-Ratios"/>
      <sheetName val="IS"/>
      <sheetName val="Quarterly Data"/>
      <sheetName val="Debt"/>
      <sheetName val="Sheet1"/>
      <sheetName val="A-Link Source"/>
      <sheetName val="US"/>
      <sheetName val="IBES"/>
      <sheetName val="Model"/>
      <sheetName val="Value-A"/>
      <sheetName val="DL"/>
      <sheetName val="Scenarios"/>
      <sheetName val="AC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HMAN BROTHERS DISCLAIMER"/>
      <sheetName val="Contents"/>
      <sheetName val="Operating Model"/>
      <sheetName val="Financials"/>
      <sheetName val="Valuation"/>
      <sheetName val="Ownership"/>
      <sheetName val="Returns &amp; Multiples"/>
      <sheetName val="Local Markets"/>
    </sheetNames>
    <sheetDataSet>
      <sheetData sheetId="0"/>
      <sheetData sheetId="1"/>
      <sheetData sheetId="2"/>
      <sheetData sheetId="3" refreshError="1"/>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eads"/>
      <sheetName val="Schedules"/>
      <sheetName val="Sp2"/>
      <sheetName val="Sched2"/>
      <sheetName val="Curtrans"/>
      <sheetName val="__FDSCACHE__"/>
      <sheetName val="DCF"/>
      <sheetName val="WACC"/>
      <sheetName val="historicalGR"/>
      <sheetName val="FutureGR"/>
      <sheetName val="Trans Graph"/>
      <sheetName val="EPS"/>
      <sheetName val="Graphs"/>
      <sheetName val="Acq. Matrix"/>
      <sheetName val="Reven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ion"/>
      <sheetName val="Industrialization"/>
      <sheetName val="International"/>
      <sheetName val="Benchmark"/>
      <sheetName val="urbanization-overall"/>
      <sheetName val="Urbanization--by province"/>
      <sheetName val="Liews"/>
      <sheetName val="Cities"/>
      <sheetName val="GDP"/>
      <sheetName val="Service"/>
      <sheetName val="Secondary"/>
      <sheetName val="GCF"/>
      <sheetName val="Highway"/>
      <sheetName val="Railway"/>
      <sheetName val="Cement"/>
      <sheetName val="Steel"/>
      <sheetName val="Wage"/>
      <sheetName val="Sheet2"/>
      <sheetName val="Details"/>
      <sheetName val="Consumption"/>
      <sheetName val="Consumption (2)"/>
      <sheetName val="Investment"/>
      <sheetName val="Driv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s &amp; To Dos"/>
      <sheetName val="MODEL"/>
      <sheetName val="QUICK CALC"/>
      <sheetName val="OldvsNew"/>
      <sheetName val="Charts"/>
      <sheetName val="TAM"/>
      <sheetName val="Exhibits"/>
      <sheetName val="Valuation"/>
      <sheetName val="SOP"/>
      <sheetName val="UpDownCase"/>
      <sheetName val="Shares"/>
      <sheetName val="Disclaimer"/>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Act vs. Ests"/>
      <sheetName val="Estimate Changes"/>
      <sheetName val="MW-Cache"/>
      <sheetName val="Model"/>
      <sheetName val="Drivers &amp; Metrics"/>
      <sheetName val="DCF"/>
      <sheetName val="RR &amp; marketing book chart"/>
      <sheetName val="Marketing book chart"/>
      <sheetName val="MWA RR"/>
      <sheetName val="Scenario charts"/>
      <sheetName val="mwareDates"/>
      <sheetName val="mwareSettings"/>
      <sheetName val="T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Act vs. Ests"/>
      <sheetName val="Estimate Changes"/>
      <sheetName val="MW-Cache"/>
      <sheetName val="Model"/>
      <sheetName val="Drivers &amp; Metrics"/>
      <sheetName val="DCF"/>
      <sheetName val="RR &amp; marketing book chart"/>
      <sheetName val="Marketing book chart"/>
      <sheetName val="MWA RR"/>
      <sheetName val="Scenario charts"/>
      <sheetName val="mwareDates"/>
      <sheetName val="mwareSettings"/>
      <sheetName val="TAM"/>
      <sheetName val="Gen_Assumptions"/>
      <sheetName val="Curtrans"/>
      <sheetName val="复杂FCFF"/>
      <sheetName val="公司说明"/>
      <sheetName val="Sheet1"/>
      <sheetName val="REQUEST_TABLE"/>
      <sheetName val="Sheet4"/>
      <sheetName val="Sheet2"/>
      <sheetName val="China"/>
      <sheetName val="Inputs"/>
      <sheetName val="AcqIS"/>
      <sheetName val="AcqBSCF"/>
      <sheetName val="price chart"/>
      <sheetName val="EPS + PE"/>
      <sheetName val="Five_Drivers"/>
      <sheetName val="Three_Drivers"/>
      <sheetName val="Four_Drivers"/>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Consolidated Financi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market"/>
      <sheetName val="Agri"/>
      <sheetName val="Shoes,Steel"/>
      <sheetName val="Chart1"/>
      <sheetName val="Chart3"/>
      <sheetName val="Chart4"/>
      <sheetName val="Chart4a"/>
      <sheetName val="Chart5"/>
      <sheetName val="Auto"/>
      <sheetName val="GDP"/>
      <sheetName val="Sheet2"/>
      <sheetName val="Sheet3"/>
      <sheetName val="urban"/>
      <sheetName val="Sheet4"/>
    </sheetNames>
    <sheetDataSet>
      <sheetData sheetId="0"/>
      <sheetData sheetId="1"/>
      <sheetData sheetId="2"/>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heetName val="PriceSyn"/>
    </sheetNames>
    <sheetDataSet>
      <sheetData sheetId="0" refreshError="1"/>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output"/>
      <sheetName val="Segment Analysis"/>
      <sheetName val="Valuation"/>
      <sheetName val="Front table"/>
      <sheetName val="Factsheet"/>
      <sheetName val="Summary"/>
      <sheetName val="charts"/>
      <sheetName val="Consolidated Financials"/>
      <sheetName val="CICC universe"/>
      <sheetName val="Module1"/>
      <sheetName val="Module2"/>
      <sheetName val="Module3"/>
      <sheetName val="Module4"/>
      <sheetName val="Module5"/>
      <sheetName val="Module7"/>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
      <sheetName val="Summary"/>
      <sheetName val="DCF_Matrix"/>
      <sheetName val="生产物流图"/>
      <sheetName val="Basic_Assum"/>
      <sheetName val="PP&amp;E"/>
      <sheetName val="Price_Assum"/>
      <sheetName val="P&amp;L_Model"/>
      <sheetName val="B sht"/>
      <sheetName val="Prod_Vol"/>
      <sheetName val="Sales(2)"/>
      <sheetName val="CAPEX&amp;WC"/>
      <sheetName val="CF"/>
      <sheetName val="Prod_line"/>
      <sheetName val="WACC"/>
      <sheetName val="Charts"/>
      <sheetName val="sheet"/>
      <sheetName val="Comp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ed Model 3.2.00"/>
      <sheetName val="Internet Summary"/>
      <sheetName val="old Model"/>
      <sheetName val="Headlines"/>
      <sheetName val="Module1"/>
      <sheetName val="Module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投资"/>
      <sheetName val="筹资"/>
      <sheetName val="绝对估值"/>
      <sheetName val="首页"/>
    </sheetNames>
    <sheetDataSet>
      <sheetData sheetId="0" refreshError="1"/>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Val Sum-03-10 "/>
      <sheetName val="Model"/>
      <sheetName val="S&amp;U"/>
      <sheetName val="Shares"/>
      <sheetName val="Voting Analysis"/>
      <sheetName val="Cable Partners"/>
      <sheetName val="Historical Share $"/>
      <sheetName val="DCF Flexer"/>
      <sheetName val="Euro Comps"/>
      <sheetName val="Data Switch"/>
      <sheetName val="Sprint Group Growth '02"/>
      <sheetName val="Subs,GA,NA"/>
      <sheetName val="REV,EBITDA,NI,FCF"/>
      <sheetName val="Summary"/>
      <sheetName val="Summary Short"/>
      <sheetName val="Aff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Layout"/>
    </sheetNames>
    <sheetDataSet>
      <sheetData sheetId="0"/>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amp; L"/>
      <sheetName val="Balance Sheet"/>
      <sheetName val="NPL"/>
      <sheetName val="CAR"/>
      <sheetName val="Off BS"/>
      <sheetName val="Book"/>
      <sheetName val="Shares"/>
      <sheetName val="Cashflow"/>
      <sheetName val="Interim"/>
      <sheetName val="Historical"/>
      <sheetName val="Tables"/>
      <sheetName val="Charts"/>
      <sheetName val=" FLASH"/>
      <sheetName val="Flash 2"/>
      <sheetName val="Page 1"/>
      <sheetName val="Page 2"/>
      <sheetName val="Page 3"/>
      <sheetName val="Page 4"/>
      <sheetName val="Template"/>
      <sheetName val="NERD"/>
      <sheetName val="NERD2"/>
      <sheetName val="Grabber"/>
      <sheetName val="OTB"/>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K rates"/>
      <sheetName val="Int'l rates"/>
      <sheetName val="Summary"/>
      <sheetName val="NPL"/>
      <sheetName val="LDR"/>
      <sheetName val="Margin"/>
      <sheetName val="Sheet9"/>
      <sheetName val="Sheet10"/>
      <sheetName val="Sheet11"/>
      <sheetName val="Sheet12"/>
      <sheetName val="Sheet13"/>
      <sheetName val="Sheet14"/>
      <sheetName val="Sheet15"/>
      <sheetName val="Sheet16"/>
      <sheetName val="loans"/>
      <sheetName val="Trade Finance"/>
      <sheetName val="Credit Card"/>
      <sheetName val="loan breakdown"/>
      <sheetName val="Mrates"/>
      <sheetName val="deposits"/>
      <sheetName val="property"/>
      <sheetName val="Foreign Banks"/>
      <sheetName val="Mortgage NPL"/>
      <sheetName val="Page 1"/>
      <sheetName val="LD ratio"/>
      <sheetName val="MACRO"/>
      <sheetName val="Office"/>
      <sheetName val="#REF"/>
      <sheetName val="Unemployment"/>
      <sheetName val="Chi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CL_A"/>
      <sheetName val="kejian"/>
      <sheetName val="Bird"/>
      <sheetName val="BYD"/>
    </sheetNames>
    <sheetDataSet>
      <sheetData sheetId="0"/>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CL_A"/>
      <sheetName val="kejian"/>
      <sheetName val="Bird"/>
      <sheetName val="BYD"/>
      <sheetName val="data"/>
      <sheetName val="HK rates"/>
      <sheetName val="old Model"/>
      <sheetName val="Model"/>
      <sheetName val="P&amp;L"/>
      <sheetName val="Layout"/>
      <sheetName val="industry output"/>
      <sheetName val="B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refreshError="1"/>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ummary"/>
      <sheetName val="Matrix"/>
      <sheetName val="EPS"/>
      <sheetName val="LTM facts"/>
      <sheetName val="Owners"/>
      <sheetName val="Val2"/>
      <sheetName val="Valuation"/>
      <sheetName val="DCF"/>
      <sheetName val="ISBS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ihe WestCashEarnings"/>
      <sheetName val="SMR"/>
      <sheetName val="钢材价格"/>
      <sheetName val="P&amp;L"/>
      <sheetName val="Layout"/>
      <sheetName val="耀皮B股"/>
      <sheetName val="DCF Inputs"/>
      <sheetName val="Supply monthly"/>
      <sheetName val="Revenues"/>
      <sheetName val="Balance Sheet"/>
      <sheetName val="Costs"/>
      <sheetName val="Capex and Depreciation"/>
      <sheetName val="PNL"/>
      <sheetName val="复杂FCFF"/>
      <sheetName val="公司说明"/>
      <sheetName val="NERD"/>
      <sheetName val="HK rates"/>
      <sheetName val="price vs. volume"/>
      <sheetName val="ISBSCF"/>
      <sheetName val="调整分录汇总本年"/>
      <sheetName val="PL"/>
      <sheetName val="SOC"/>
      <sheetName val="Fin position"/>
      <sheetName val="SOCsupp"/>
      <sheetName val="Model"/>
      <sheetName val="Jihe_WestCashEarnings"/>
      <sheetName val="上海"/>
      <sheetName val="纯碱价格(月)"/>
      <sheetName val="股价"/>
      <sheetName val="煤炭周价格 "/>
      <sheetName val="批发价格"/>
      <sheetName val="US Total"/>
      <sheetName val="BS"/>
      <sheetName val="Gen_Assumptions"/>
      <sheetName val="Summary"/>
      <sheetName val="Depreciation"/>
      <sheetName val="TSS"/>
      <sheetName val="Cash Flow"/>
      <sheetName val="Infrastructure &amp; Other"/>
      <sheetName val="FXRATES"/>
      <sheetName val="上报资产负债表"/>
      <sheetName val="SETUP"/>
      <sheetName val="DCF"/>
      <sheetName val="FormerEB monthly prod"/>
      <sheetName val="Data"/>
      <sheetName val="Parameter"/>
      <sheetName val="Price"/>
      <sheetName val="DB"/>
      <sheetName val="DATA INPUT"/>
      <sheetName val="Dev Sum"/>
      <sheetName val="VOCs行业新闻更新"/>
      <sheetName val="FDI"/>
      <sheetName val="old Model"/>
      <sheetName val="DCX HP"/>
      <sheetName val="平板玻璃产量"/>
      <sheetName val="5MM浮白价格"/>
      <sheetName val="供给-玻璃信息"/>
      <sheetName val="纯碱重油日价格"/>
      <sheetName val="城镇固投"/>
      <sheetName val="粉磨开工率"/>
      <sheetName val="全国固投"/>
      <sheetName val="区域交通运输固投"/>
      <sheetName val="全国房地产"/>
      <sheetName val="熟料价格"/>
      <sheetName val="熟料库存"/>
      <sheetName val="水泥产量"/>
      <sheetName val="水泥库存"/>
      <sheetName val="熟料产量"/>
      <sheetName val="Calculations"/>
      <sheetName val="price chart"/>
      <sheetName val="SOTP"/>
      <sheetName val="EXTERNAL"/>
      <sheetName val="TABLE"/>
      <sheetName val="CHARTS"/>
      <sheetName val="INTERIMS"/>
      <sheetName val="VALUATION"/>
      <sheetName val="COST ASSUMPTIONS"/>
      <sheetName val="USDEAL"/>
      <sheetName val="PROFIT &amp; LOSS"/>
      <sheetName val="ROIC"/>
      <sheetName val="GROWTH ASSUMPTIONS"/>
      <sheetName val="GEMiner"/>
      <sheetName val="Dial cash  flow"/>
      <sheetName val="Dial P&amp;L"/>
      <sheetName val="Calc"/>
      <sheetName val="Vendor Data"/>
      <sheetName val="Link"/>
      <sheetName val="Global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hares"/>
      <sheetName val="P&amp;L"/>
      <sheetName val="Layout"/>
      <sheetName val="Jihe WestCashEarnings"/>
      <sheetName val="SM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年度数据重构"/>
      <sheetName val="会计科目代码"/>
      <sheetName val="操作指南"/>
      <sheetName val="假设"/>
      <sheetName val="home"/>
      <sheetName val="输出"/>
      <sheetName val="历史数据"/>
      <sheetName val="历史数据（简化）"/>
      <sheetName val="年度数据 (函数)"/>
      <sheetName val="年度数据"/>
      <sheetName val="收入成本预测"/>
      <sheetName val="报告期历史数据"/>
      <sheetName val="季度利润表预测"/>
      <sheetName val="资本投资"/>
      <sheetName val="债务"/>
      <sheetName val="利润表"/>
      <sheetName val="资产负债"/>
      <sheetName val="现金流量"/>
      <sheetName val="营运资本"/>
      <sheetName val="财务分析"/>
      <sheetName val="可比公司估值"/>
      <sheetName val="估值"/>
      <sheetName val="Cache"/>
      <sheetName val="预测合理性检验"/>
      <sheetName val="相对估值"/>
      <sheetName val="绝对估值"/>
      <sheetName val="单产品敏感性分析"/>
      <sheetName val="情景表"/>
      <sheetName val="绝对估值敏感性分析"/>
      <sheetName val="单公司Beta"/>
      <sheetName val="季度数据"/>
      <sheetName val="季度财务分析"/>
      <sheetName val="GraphData"/>
      <sheetName val="季度分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Assumptions"/>
      <sheetName val="Market"/>
      <sheetName val="Total_Revenue"/>
      <sheetName val="Total_Revenue_rolling"/>
      <sheetName val="Domestic_Revenue"/>
      <sheetName val="Dome_Rev_rolling"/>
      <sheetName val="Inter_Revenue"/>
      <sheetName val="BS"/>
      <sheetName val="P&amp;L"/>
      <sheetName val="CF"/>
      <sheetName val="DCF"/>
      <sheetName val="COGS"/>
      <sheetName val="S&amp;M"/>
      <sheetName val="R&amp;D"/>
      <sheetName val="Capex"/>
      <sheetName val="long-term"/>
      <sheetName val="long-term within 1 yr"/>
      <sheetName val="short-term"/>
      <sheetName val="EBIT_Fixed"/>
      <sheetName val="EBIT_Optical"/>
      <sheetName val="EBIT_Wireless"/>
      <sheetName val="EBIT_Software"/>
      <sheetName val="Cases_Domestic_Market"/>
      <sheetName val="Cases_Operating"/>
      <sheetName val="Output"/>
      <sheetName val="Template"/>
      <sheetName val="Customer_Service"/>
      <sheetName val="Output_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FAI"/>
      <sheetName val="地价"/>
      <sheetName val="全国住宅建设情况c9"/>
      <sheetName val="可支配收入C3 11&amp;12"/>
      <sheetName val="Beijing"/>
      <sheetName val="Shanghai"/>
      <sheetName val="Investment"/>
      <sheetName val="Shenzhen"/>
      <sheetName val="3Q"/>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C"/>
      <sheetName val="Data"/>
      <sheetName val="FlowChart"/>
      <sheetName val="Dev Sum"/>
      <sheetName val="环卫机械"/>
      <sheetName val="Investment"/>
      <sheetName val="Sheet1"/>
      <sheetName val="DDETABLE "/>
      <sheetName val="BS"/>
      <sheetName val="下游家电行业数据"/>
      <sheetName val="Assumptions"/>
      <sheetName val="Cover"/>
      <sheetName val="HK rates"/>
      <sheetName val="ISBSCF"/>
      <sheetName val="Inputs"/>
      <sheetName val="Summary"/>
      <sheetName val="KeyMultInputs"/>
      <sheetName val="产业在线"/>
      <sheetName val="零售总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
      <sheetName val="Sheet1"/>
      <sheetName val="Scenario"/>
      <sheetName val="GWP-WLine"/>
      <sheetName val="Cover"/>
      <sheetName val="ImportantDisclosures"/>
      <sheetName val="IndexInformation"/>
      <sheetName val="Income"/>
      <sheetName val="GWP"/>
      <sheetName val="Euro vs. PM"/>
      <sheetName val="Ruble"/>
      <sheetName val="Income Statement"/>
      <sheetName val="Margins"/>
      <sheetName val="MS_IRI_Methodology"/>
      <sheetName val="MARKET_SHARE ($)_RAW_DATA"/>
      <sheetName val="NEXXUS_RAW_DATA"/>
      <sheetName val="HAIR_CARE_MARKET SHARE ROLL-UP"/>
      <sheetName val="TOTAL_ACV_DOLLAR_SALES"/>
      <sheetName val="Comps"/>
      <sheetName val="Switches"/>
      <sheetName val="SSB Nielsen Sales"/>
      <sheetName val="TimeSeries"/>
      <sheetName val="Valuation Analyzer"/>
      <sheetName val="EBITDA"/>
      <sheetName val="TS_Stnd_Dev_Band"/>
      <sheetName val="Print "/>
      <sheetName val="Lookup"/>
      <sheetName val="Input"/>
      <sheetName val="99 cons YTD"/>
      <sheetName val="KPN"/>
      <sheetName val="B"/>
      <sheetName val="Ratios"/>
      <sheetName val="C"/>
      <sheetName val="Data"/>
      <sheetName val="summary"/>
      <sheetName val="Realizations vs Average"/>
      <sheetName val="Oil Consumption – barrels"/>
      <sheetName val="rev change analysis"/>
      <sheetName val="SOP"/>
      <sheetName val="BBG"/>
      <sheetName val="Data2"/>
      <sheetName val="Val"/>
      <sheetName val="Mom"/>
      <sheetName val="Prod"/>
      <sheetName val="Prof"/>
      <sheetName val="O1000"/>
      <sheetName val="Global penetration"/>
      <sheetName val="penetration province"/>
      <sheetName val="graphy"/>
      <sheetName val="Private Auto"/>
      <sheetName val="sector"/>
      <sheetName val="value driver"/>
      <sheetName val="收益率曲线"/>
      <sheetName val="海外市场"/>
      <sheetName val="公开市场"/>
      <sheetName val="货币市场"/>
      <sheetName val="DCF Analysis"/>
      <sheetName val="HK rates"/>
      <sheetName val="Assumptions"/>
      <sheetName val="Dev Sum"/>
      <sheetName val="Investment"/>
      <sheetName val="Customer Name"/>
      <sheetName val="FMV 05"/>
      <sheetName val="DIRECTV US"/>
      <sheetName val="FCF"/>
      <sheetName val="DIRECTV US FCF"/>
      <sheetName val="Rev and OCF"/>
      <sheetName val="Scorecard"/>
      <sheetName val="FMV 06"/>
      <sheetName val="TCL_A"/>
      <sheetName val="kejian"/>
      <sheetName val="Bird"/>
      <sheetName val="BYD"/>
      <sheetName val="Database"/>
      <sheetName val="AFRICA"/>
      <sheetName val="LAMERICA"/>
      <sheetName val="EUROPE"/>
      <sheetName val="RUSSIA_CASPIAN"/>
      <sheetName val="产业在线电视"/>
      <sheetName val="冰箱"/>
      <sheetName val="家空行业"/>
      <sheetName val="冰行业"/>
      <sheetName val="洗行业"/>
      <sheetName val="家用空调"/>
      <sheetName val="电视机"/>
      <sheetName val="洗衣机"/>
      <sheetName val="家电下乡"/>
      <sheetName val="PZN DCF"/>
      <sheetName val="Model"/>
      <sheetName val="Prices"/>
      <sheetName val="R3000"/>
      <sheetName val="Manager"/>
      <sheetName val="E&amp;P Reuters"/>
      <sheetName val="perf charts 4"/>
      <sheetName val="Title"/>
      <sheetName val="Raw Data"/>
      <sheetName val="ISBSCF"/>
      <sheetName val="OpMrgn(net)"/>
      <sheetName val="1经营"/>
      <sheetName val="3损益"/>
      <sheetName val="Sheet5"/>
      <sheetName val="Dem-HH"/>
      <sheetName val="BigRED Downloader"/>
      <sheetName val="BigRED Downloader (Banks)"/>
      <sheetName val="Backpage Template (Banks)"/>
      <sheetName val="query results"/>
      <sheetName val="GEMiner"/>
      <sheetName val="NERD"/>
      <sheetName val="Jihe WestCashEarnings"/>
      <sheetName val="PE-Band(港股)"/>
      <sheetName val="首页"/>
      <sheetName val="Loan_Q"/>
      <sheetName val="user"/>
      <sheetName val="Inputs_NonTimeBa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raphs_Equity Summary"/>
      <sheetName val="Graphs_Credit Summary"/>
      <sheetName val="Equity Summary"/>
      <sheetName val="Credit Summary"/>
      <sheetName val="Investments"/>
      <sheetName val="ADLAC"/>
      <sheetName val="CVC"/>
      <sheetName val="CHTR"/>
      <sheetName val="CLSC"/>
      <sheetName val="cmcsk"/>
      <sheetName val="CMCSKA"/>
      <sheetName val="COX"/>
      <sheetName val="Cox Sprint PCS"/>
      <sheetName val="COX &amp; AT&amp;T"/>
      <sheetName val="ICCI"/>
      <sheetName val="MCCC"/>
      <sheetName val="Prices"/>
      <sheetName val="Deal Lis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solidated Financials"/>
      <sheetName val="segment"/>
      <sheetName val="Segment Analysis"/>
      <sheetName val="Valuation"/>
      <sheetName val="hist performance"/>
      <sheetName val="Factsheet"/>
      <sheetName val="Summary"/>
      <sheetName val="financial performance"/>
      <sheetName val="Module1"/>
      <sheetName val="Module2"/>
      <sheetName val="Module3"/>
      <sheetName val="Module4"/>
      <sheetName val="Module5"/>
      <sheetName val="Module7"/>
    </sheetNames>
    <sheetDataSet>
      <sheetData sheetId="0"/>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ComSize"/>
      <sheetName val="SU ComSize"/>
      <sheetName val="Proj Growth"/>
      <sheetName val="Credit Stats"/>
      <sheetName val="Returns"/>
      <sheetName val="FFO DCF"/>
      <sheetName val="ServCo A DCF"/>
      <sheetName val="ServCo B DCF"/>
      <sheetName val="PZN DCF"/>
      <sheetName val="OpCo DCF"/>
      <sheetName val="Sheet1"/>
      <sheetName val="Interest Calc 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s>
    <sheetDataSet>
      <sheetData sheetId="0"/>
      <sheetData sheetId="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DCF"/>
      <sheetName val="BS"/>
      <sheetName val="Summary"/>
      <sheetName val="KBRO"/>
      <sheetName val="BS Data"/>
      <sheetName val="Access Lines"/>
      <sheetName val="Metrics"/>
      <sheetName val="2Q99"/>
      <sheetName val="1Q99"/>
      <sheetName val="4Q98"/>
      <sheetName val="3Q98"/>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首页"/>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Model"/>
      <sheetName val="Revenue drivers"/>
      <sheetName val="Expense drivers"/>
      <sheetName val="DCF"/>
      <sheetName val="IndexInformation"/>
      <sheetName val="ModPubIndex"/>
      <sheetName val="MW-Cach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ing"/>
      <sheetName val="CVC NY GAAP Fin. Statements"/>
      <sheetName val="Cash Flow"/>
      <sheetName val="Rev &amp; OCF - NY"/>
      <sheetName val="Rev &amp; OCF - total co"/>
      <sheetName val="Tax Analysis"/>
      <sheetName val="FMV 2002 - RMG &amp; CVC"/>
      <sheetName val="FMV 2002"/>
      <sheetName val="FMV 2003"/>
      <sheetName val="Northcoast"/>
      <sheetName val="ROI"/>
      <sheetName val="Capex"/>
      <sheetName val="MSG &amp; NY Sports"/>
      <sheetName val="News 12 &amp; Metro Channels"/>
      <sheetName val="Theaters"/>
      <sheetName val="Wiz"/>
      <sheetName val="Modeling Assumptions"/>
      <sheetName val="CVC CATV"/>
      <sheetName val="OptimumTV"/>
      <sheetName val="DVC"/>
      <sheetName val="@Home Aff"/>
      <sheetName val="Lightpath"/>
      <sheetName val="Wireline Tel Forecast "/>
      <sheetName val="Telephony Valuation"/>
      <sheetName val="comps"/>
      <sheetName val="Valuation Assumptions"/>
      <sheetName val="Sheet2"/>
      <sheetName val="Multiples"/>
      <sheetName val="Systems"/>
      <sheetName val="mStartup"/>
      <sheetName val="Global Comps Template"/>
      <sheetName val="NY UPLOAD"/>
      <sheetName val="CVC Reporting Format"/>
      <sheetName val="NY UPLOAD shadow"/>
      <sheetName val="FMV 2001"/>
      <sheetName val="Trading Stat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sheetData sheetId="33"/>
      <sheetData sheetId="34" refreshError="1"/>
      <sheetData sheetId="3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RATES"/>
      <sheetName val="SHARES"/>
      <sheetName val="Multiples"/>
      <sheetName val="Comps Export"/>
      <sheetName val="Web - ValnComp"/>
      <sheetName val="CDSPric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Assumptions"/>
      <sheetName val="Industry Segments"/>
      <sheetName val="Market Regression Forecast"/>
      <sheetName val="Company Share"/>
      <sheetName val="Hist. Prices"/>
      <sheetName val="Rig Count"/>
      <sheetName val="Other Indicators"/>
      <sheetName val="Regression Graphs"/>
      <sheetName val="Day rate forecast"/>
      <sheetName val="Rig count forecast 6 month lag"/>
      <sheetName val="GlobalAssumption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P&amp;L Growth"/>
      <sheetName val="BS Growth"/>
      <sheetName val="#REF"/>
      <sheetName val="Sheet1"/>
    </sheetNames>
    <sheetDataSet>
      <sheetData sheetId="0" refreshError="1"/>
      <sheetData sheetId="1" refreshError="1"/>
      <sheetData sheetId="2" refreshError="1"/>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Table"/>
    </sheetNames>
    <sheetDataSet>
      <sheetData sheetId="0" refreshError="1"/>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ihe WestInt_Paid"/>
      <sheetName val="Jihe WestCashEarnings"/>
      <sheetName val="民用燃煤消费量"/>
      <sheetName val="PL"/>
      <sheetName val="902"/>
      <sheetName val="ACE-OUT"/>
      <sheetName val="BS Growth"/>
      <sheetName val="Data"/>
      <sheetName val="Valuation"/>
      <sheetName val="PZN DCF"/>
      <sheetName val="CVC NY GAAP Fin. Statements"/>
      <sheetName val="DCF"/>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Sheet1"/>
      <sheetName val="绝对估值"/>
      <sheetName val="Jihe_WestInt_Paid"/>
      <sheetName val="_Control"/>
      <sheetName val="GEMiner"/>
      <sheetName val="EX-IM main"/>
      <sheetName val="Comps Raw"/>
      <sheetName val="Consolidated Financials"/>
      <sheetName val="GYSTD LIST"/>
      <sheetName val="Info"/>
      <sheetName val="毛利率分析表"/>
      <sheetName val="LTM"/>
      <sheetName val="CREDIT STATS"/>
      <sheetName val="DropZone"/>
      <sheetName val="MAIN"/>
      <sheetName val="CopperSupplyDemand"/>
      <sheetName val="P&amp;L"/>
      <sheetName val="Layout"/>
      <sheetName val="VOCs行业新闻更新"/>
      <sheetName val="c1"/>
      <sheetName val="NDF"/>
      <sheetName val="国别GDP"/>
      <sheetName val="Inputs_NonTimeBased"/>
      <sheetName val="Costs_Table"/>
      <sheetName val="FORECAST_OUTSAM"/>
      <sheetName val="Global Assumptions"/>
      <sheetName val="Essbase RESEAU"/>
      <sheetName val="PetroConsultants"/>
      <sheetName val="B"/>
      <sheetName val="Ratios"/>
      <sheetName val="C"/>
      <sheetName val="进口大豆价格-data"/>
      <sheetName val="水泥固投"/>
      <sheetName val="FXRATES"/>
      <sheetName val="AP"/>
      <sheetName val="未来10年保费预测"/>
      <sheetName val="(13)商用车"/>
      <sheetName val="Repor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7">
          <cell r="A57" t="str">
            <v>成本</v>
          </cell>
        </row>
      </sheetData>
      <sheetData sheetId="13">
        <row r="57">
          <cell r="A57" t="str">
            <v>成本</v>
          </cell>
        </row>
      </sheetData>
      <sheetData sheetId="14">
        <row r="57">
          <cell r="A57" t="str">
            <v>成本</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57">
          <cell r="A57" t="str">
            <v>成本</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Miner (3)"/>
      <sheetName val="GEMiner (2)"/>
      <sheetName val="Chart data"/>
      <sheetName val="Bkdwn of exports"/>
      <sheetName val="Cost structure"/>
      <sheetName val="China Monitor"/>
      <sheetName val="KONKA.XLS"/>
      <sheetName val="K.XLS (12-04-96)"/>
      <sheetName val="K.XLS (13-1-97)"/>
      <sheetName val="K.XLS (15-4-97)"/>
      <sheetName val="K.XLS (2-6-97)"/>
      <sheetName val="Previous forecast"/>
      <sheetName val="Stresstest"/>
      <sheetName val="Master "/>
      <sheetName val="GEMiner"/>
      <sheetName val="GE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zn"/>
      <sheetName val="Ebay"/>
    </sheetNames>
    <sheetDataSet>
      <sheetData sheetId="0" refreshError="1"/>
      <sheetData sheetId="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es"/>
      <sheetName val="Stock Prices"/>
      <sheetName val="Misc Stock prices "/>
      <sheetName val="97PE"/>
      <sheetName val="98PE"/>
      <sheetName val="99PE"/>
      <sheetName val="00PE"/>
      <sheetName val="01PE"/>
      <sheetName val="Relative"/>
      <sheetName val="Relative (2)"/>
      <sheetName val="RelCharts"/>
      <sheetName val="RelCharts (2)"/>
      <sheetName val="Exchange rates"/>
      <sheetName val="No Shares"/>
      <sheetName val="Prices"/>
      <sheetName val="USA_misc Stock prices "/>
      <sheetName val="Forecasts_VDF"/>
      <sheetName val="MODEL"/>
      <sheetName val="02PE"/>
      <sheetName val="Template"/>
      <sheetName val="DataPage"/>
      <sheetName val="Output"/>
      <sheetName val="DCF"/>
      <sheetName val="Template1"/>
      <sheetName val="DPage"/>
      <sheetName val="Qs"/>
      <sheetName val="Sheet3"/>
      <sheetName val="MTH"/>
      <sheetName val="USA_misc Stock prices"/>
      <sheetName val="Sheet2"/>
      <sheetName val="USA Stock prices "/>
      <sheetName val="TEMPLATE_1"/>
      <sheetName val="EURO"/>
      <sheetName val="CABEQ.XLS"/>
      <sheetName val="#REF"/>
      <sheetName val="actualrelative"/>
      <sheetName val="Financials"/>
      <sheetName val="Marketing"/>
      <sheetName val="MARKETS"/>
      <sheetName val="ASSUMPTIONS"/>
      <sheetName val="TELE+"/>
      <sheetName val="MSDW ConFins"/>
      <sheetName val="Chart1"/>
      <sheetName val="WKING_DATA"/>
      <sheetName val="Consumer"/>
      <sheetName val="Val"/>
      <sheetName val="Comps"/>
      <sheetName val="Misc Stock Prices"/>
      <sheetName val=" Stock prices "/>
      <sheetName val="PXMODEL"/>
      <sheetName val="DCF Reuters"/>
      <sheetName val="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Valuation"/>
      <sheetName val="Follow On"/>
      <sheetName val="Post-IPO Shares Calc"/>
      <sheetName val="Valuation 2"/>
    </sheetNames>
    <sheetDataSet>
      <sheetData sheetId="0"/>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che"/>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sheetNames>
    <sheetDataSet>
      <sheetData sheetId="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Penetration-OLD"/>
      <sheetName val="Alpha"/>
      <sheetName val="ByPenetration"/>
      <sheetName val="DMAvsPenetration"/>
      <sheetName val="ByPenetration-Graphs"/>
      <sheetName val="Stations per DMA"/>
      <sheetName val="ByPenetration-old2"/>
      <sheetName val="PerOperator-Karim2"/>
      <sheetName val="PerOperator-KarimOld"/>
      <sheetName val="MarketDMA"/>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 Layout"/>
      <sheetName val="Inputs"/>
    </sheetNames>
    <sheetDataSet>
      <sheetData sheetId="0"/>
      <sheetData sheetId="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REF!"/>
      <sheetName val="GEMiner"/>
    </sheetNames>
    <sheetDataSet>
      <sheetData sheetId="0" refreshError="1"/>
      <sheetData sheetId="1"/>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R"/>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西部配色">
      <a:dk1>
        <a:sysClr val="windowText" lastClr="000000"/>
      </a:dk1>
      <a:lt1>
        <a:sysClr val="window" lastClr="FFFFFF"/>
      </a:lt1>
      <a:dk2>
        <a:srgbClr val="FF0000"/>
      </a:dk2>
      <a:lt2>
        <a:srgbClr val="1D7AFF"/>
      </a:lt2>
      <a:accent1>
        <a:srgbClr val="EC0012"/>
      </a:accent1>
      <a:accent2>
        <a:srgbClr val="7F8A9C"/>
      </a:accent2>
      <a:accent3>
        <a:srgbClr val="F27E87"/>
      </a:accent3>
      <a:accent4>
        <a:srgbClr val="FABFB3"/>
      </a:accent4>
      <a:accent5>
        <a:srgbClr val="FEDB3F"/>
      </a:accent5>
      <a:accent6>
        <a:srgbClr val="D2D2D2"/>
      </a:accent6>
      <a:hlink>
        <a:srgbClr val="C2DFFD"/>
      </a:hlink>
      <a:folHlink>
        <a:srgbClr val="F3E8EE"/>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3"/>
  <sheetViews>
    <sheetView workbookViewId="0">
      <selection activeCell="B4" sqref="B4"/>
    </sheetView>
  </sheetViews>
  <sheetFormatPr defaultColWidth="31.83203125" defaultRowHeight="13"/>
  <cols>
    <col min="1" max="1" width="34.83203125" style="246" customWidth="1"/>
    <col min="2" max="2" width="23.83203125" style="246" customWidth="1"/>
    <col min="3" max="3" width="18.83203125" style="246" customWidth="1"/>
    <col min="4" max="4" width="20.1640625" style="246" customWidth="1"/>
    <col min="5" max="5" width="21.1640625" style="246" customWidth="1"/>
    <col min="6" max="6" width="19.6640625" style="246" customWidth="1"/>
    <col min="7" max="7" width="26" style="246" customWidth="1"/>
    <col min="8" max="256" width="31.83203125" style="246"/>
    <col min="257" max="257" width="34.83203125" style="246" customWidth="1"/>
    <col min="258" max="258" width="23.83203125" style="246" customWidth="1"/>
    <col min="259" max="259" width="18.83203125" style="246" customWidth="1"/>
    <col min="260" max="260" width="20.1640625" style="246" customWidth="1"/>
    <col min="261" max="261" width="21.1640625" style="246" customWidth="1"/>
    <col min="262" max="262" width="19.6640625" style="246" customWidth="1"/>
    <col min="263" max="263" width="26" style="246" customWidth="1"/>
    <col min="264" max="512" width="31.83203125" style="246"/>
    <col min="513" max="513" width="34.83203125" style="246" customWidth="1"/>
    <col min="514" max="514" width="23.83203125" style="246" customWidth="1"/>
    <col min="515" max="515" width="18.83203125" style="246" customWidth="1"/>
    <col min="516" max="516" width="20.1640625" style="246" customWidth="1"/>
    <col min="517" max="517" width="21.1640625" style="246" customWidth="1"/>
    <col min="518" max="518" width="19.6640625" style="246" customWidth="1"/>
    <col min="519" max="519" width="26" style="246" customWidth="1"/>
    <col min="520" max="768" width="31.83203125" style="246"/>
    <col min="769" max="769" width="34.83203125" style="246" customWidth="1"/>
    <col min="770" max="770" width="23.83203125" style="246" customWidth="1"/>
    <col min="771" max="771" width="18.83203125" style="246" customWidth="1"/>
    <col min="772" max="772" width="20.1640625" style="246" customWidth="1"/>
    <col min="773" max="773" width="21.1640625" style="246" customWidth="1"/>
    <col min="774" max="774" width="19.6640625" style="246" customWidth="1"/>
    <col min="775" max="775" width="26" style="246" customWidth="1"/>
    <col min="776" max="1024" width="31.83203125" style="246"/>
    <col min="1025" max="1025" width="34.83203125" style="246" customWidth="1"/>
    <col min="1026" max="1026" width="23.83203125" style="246" customWidth="1"/>
    <col min="1027" max="1027" width="18.83203125" style="246" customWidth="1"/>
    <col min="1028" max="1028" width="20.1640625" style="246" customWidth="1"/>
    <col min="1029" max="1029" width="21.1640625" style="246" customWidth="1"/>
    <col min="1030" max="1030" width="19.6640625" style="246" customWidth="1"/>
    <col min="1031" max="1031" width="26" style="246" customWidth="1"/>
    <col min="1032" max="1280" width="31.83203125" style="246"/>
    <col min="1281" max="1281" width="34.83203125" style="246" customWidth="1"/>
    <col min="1282" max="1282" width="23.83203125" style="246" customWidth="1"/>
    <col min="1283" max="1283" width="18.83203125" style="246" customWidth="1"/>
    <col min="1284" max="1284" width="20.1640625" style="246" customWidth="1"/>
    <col min="1285" max="1285" width="21.1640625" style="246" customWidth="1"/>
    <col min="1286" max="1286" width="19.6640625" style="246" customWidth="1"/>
    <col min="1287" max="1287" width="26" style="246" customWidth="1"/>
    <col min="1288" max="1536" width="31.83203125" style="246"/>
    <col min="1537" max="1537" width="34.83203125" style="246" customWidth="1"/>
    <col min="1538" max="1538" width="23.83203125" style="246" customWidth="1"/>
    <col min="1539" max="1539" width="18.83203125" style="246" customWidth="1"/>
    <col min="1540" max="1540" width="20.1640625" style="246" customWidth="1"/>
    <col min="1541" max="1541" width="21.1640625" style="246" customWidth="1"/>
    <col min="1542" max="1542" width="19.6640625" style="246" customWidth="1"/>
    <col min="1543" max="1543" width="26" style="246" customWidth="1"/>
    <col min="1544" max="1792" width="31.83203125" style="246"/>
    <col min="1793" max="1793" width="34.83203125" style="246" customWidth="1"/>
    <col min="1794" max="1794" width="23.83203125" style="246" customWidth="1"/>
    <col min="1795" max="1795" width="18.83203125" style="246" customWidth="1"/>
    <col min="1796" max="1796" width="20.1640625" style="246" customWidth="1"/>
    <col min="1797" max="1797" width="21.1640625" style="246" customWidth="1"/>
    <col min="1798" max="1798" width="19.6640625" style="246" customWidth="1"/>
    <col min="1799" max="1799" width="26" style="246" customWidth="1"/>
    <col min="1800" max="2048" width="31.83203125" style="246"/>
    <col min="2049" max="2049" width="34.83203125" style="246" customWidth="1"/>
    <col min="2050" max="2050" width="23.83203125" style="246" customWidth="1"/>
    <col min="2051" max="2051" width="18.83203125" style="246" customWidth="1"/>
    <col min="2052" max="2052" width="20.1640625" style="246" customWidth="1"/>
    <col min="2053" max="2053" width="21.1640625" style="246" customWidth="1"/>
    <col min="2054" max="2054" width="19.6640625" style="246" customWidth="1"/>
    <col min="2055" max="2055" width="26" style="246" customWidth="1"/>
    <col min="2056" max="2304" width="31.83203125" style="246"/>
    <col min="2305" max="2305" width="34.83203125" style="246" customWidth="1"/>
    <col min="2306" max="2306" width="23.83203125" style="246" customWidth="1"/>
    <col min="2307" max="2307" width="18.83203125" style="246" customWidth="1"/>
    <col min="2308" max="2308" width="20.1640625" style="246" customWidth="1"/>
    <col min="2309" max="2309" width="21.1640625" style="246" customWidth="1"/>
    <col min="2310" max="2310" width="19.6640625" style="246" customWidth="1"/>
    <col min="2311" max="2311" width="26" style="246" customWidth="1"/>
    <col min="2312" max="2560" width="31.83203125" style="246"/>
    <col min="2561" max="2561" width="34.83203125" style="246" customWidth="1"/>
    <col min="2562" max="2562" width="23.83203125" style="246" customWidth="1"/>
    <col min="2563" max="2563" width="18.83203125" style="246" customWidth="1"/>
    <col min="2564" max="2564" width="20.1640625" style="246" customWidth="1"/>
    <col min="2565" max="2565" width="21.1640625" style="246" customWidth="1"/>
    <col min="2566" max="2566" width="19.6640625" style="246" customWidth="1"/>
    <col min="2567" max="2567" width="26" style="246" customWidth="1"/>
    <col min="2568" max="2816" width="31.83203125" style="246"/>
    <col min="2817" max="2817" width="34.83203125" style="246" customWidth="1"/>
    <col min="2818" max="2818" width="23.83203125" style="246" customWidth="1"/>
    <col min="2819" max="2819" width="18.83203125" style="246" customWidth="1"/>
    <col min="2820" max="2820" width="20.1640625" style="246" customWidth="1"/>
    <col min="2821" max="2821" width="21.1640625" style="246" customWidth="1"/>
    <col min="2822" max="2822" width="19.6640625" style="246" customWidth="1"/>
    <col min="2823" max="2823" width="26" style="246" customWidth="1"/>
    <col min="2824" max="3072" width="31.83203125" style="246"/>
    <col min="3073" max="3073" width="34.83203125" style="246" customWidth="1"/>
    <col min="3074" max="3074" width="23.83203125" style="246" customWidth="1"/>
    <col min="3075" max="3075" width="18.83203125" style="246" customWidth="1"/>
    <col min="3076" max="3076" width="20.1640625" style="246" customWidth="1"/>
    <col min="3077" max="3077" width="21.1640625" style="246" customWidth="1"/>
    <col min="3078" max="3078" width="19.6640625" style="246" customWidth="1"/>
    <col min="3079" max="3079" width="26" style="246" customWidth="1"/>
    <col min="3080" max="3328" width="31.83203125" style="246"/>
    <col min="3329" max="3329" width="34.83203125" style="246" customWidth="1"/>
    <col min="3330" max="3330" width="23.83203125" style="246" customWidth="1"/>
    <col min="3331" max="3331" width="18.83203125" style="246" customWidth="1"/>
    <col min="3332" max="3332" width="20.1640625" style="246" customWidth="1"/>
    <col min="3333" max="3333" width="21.1640625" style="246" customWidth="1"/>
    <col min="3334" max="3334" width="19.6640625" style="246" customWidth="1"/>
    <col min="3335" max="3335" width="26" style="246" customWidth="1"/>
    <col min="3336" max="3584" width="31.83203125" style="246"/>
    <col min="3585" max="3585" width="34.83203125" style="246" customWidth="1"/>
    <col min="3586" max="3586" width="23.83203125" style="246" customWidth="1"/>
    <col min="3587" max="3587" width="18.83203125" style="246" customWidth="1"/>
    <col min="3588" max="3588" width="20.1640625" style="246" customWidth="1"/>
    <col min="3589" max="3589" width="21.1640625" style="246" customWidth="1"/>
    <col min="3590" max="3590" width="19.6640625" style="246" customWidth="1"/>
    <col min="3591" max="3591" width="26" style="246" customWidth="1"/>
    <col min="3592" max="3840" width="31.83203125" style="246"/>
    <col min="3841" max="3841" width="34.83203125" style="246" customWidth="1"/>
    <col min="3842" max="3842" width="23.83203125" style="246" customWidth="1"/>
    <col min="3843" max="3843" width="18.83203125" style="246" customWidth="1"/>
    <col min="3844" max="3844" width="20.1640625" style="246" customWidth="1"/>
    <col min="3845" max="3845" width="21.1640625" style="246" customWidth="1"/>
    <col min="3846" max="3846" width="19.6640625" style="246" customWidth="1"/>
    <col min="3847" max="3847" width="26" style="246" customWidth="1"/>
    <col min="3848" max="4096" width="31.83203125" style="246"/>
    <col min="4097" max="4097" width="34.83203125" style="246" customWidth="1"/>
    <col min="4098" max="4098" width="23.83203125" style="246" customWidth="1"/>
    <col min="4099" max="4099" width="18.83203125" style="246" customWidth="1"/>
    <col min="4100" max="4100" width="20.1640625" style="246" customWidth="1"/>
    <col min="4101" max="4101" width="21.1640625" style="246" customWidth="1"/>
    <col min="4102" max="4102" width="19.6640625" style="246" customWidth="1"/>
    <col min="4103" max="4103" width="26" style="246" customWidth="1"/>
    <col min="4104" max="4352" width="31.83203125" style="246"/>
    <col min="4353" max="4353" width="34.83203125" style="246" customWidth="1"/>
    <col min="4354" max="4354" width="23.83203125" style="246" customWidth="1"/>
    <col min="4355" max="4355" width="18.83203125" style="246" customWidth="1"/>
    <col min="4356" max="4356" width="20.1640625" style="246" customWidth="1"/>
    <col min="4357" max="4357" width="21.1640625" style="246" customWidth="1"/>
    <col min="4358" max="4358" width="19.6640625" style="246" customWidth="1"/>
    <col min="4359" max="4359" width="26" style="246" customWidth="1"/>
    <col min="4360" max="4608" width="31.83203125" style="246"/>
    <col min="4609" max="4609" width="34.83203125" style="246" customWidth="1"/>
    <col min="4610" max="4610" width="23.83203125" style="246" customWidth="1"/>
    <col min="4611" max="4611" width="18.83203125" style="246" customWidth="1"/>
    <col min="4612" max="4612" width="20.1640625" style="246" customWidth="1"/>
    <col min="4613" max="4613" width="21.1640625" style="246" customWidth="1"/>
    <col min="4614" max="4614" width="19.6640625" style="246" customWidth="1"/>
    <col min="4615" max="4615" width="26" style="246" customWidth="1"/>
    <col min="4616" max="4864" width="31.83203125" style="246"/>
    <col min="4865" max="4865" width="34.83203125" style="246" customWidth="1"/>
    <col min="4866" max="4866" width="23.83203125" style="246" customWidth="1"/>
    <col min="4867" max="4867" width="18.83203125" style="246" customWidth="1"/>
    <col min="4868" max="4868" width="20.1640625" style="246" customWidth="1"/>
    <col min="4869" max="4869" width="21.1640625" style="246" customWidth="1"/>
    <col min="4870" max="4870" width="19.6640625" style="246" customWidth="1"/>
    <col min="4871" max="4871" width="26" style="246" customWidth="1"/>
    <col min="4872" max="5120" width="31.83203125" style="246"/>
    <col min="5121" max="5121" width="34.83203125" style="246" customWidth="1"/>
    <col min="5122" max="5122" width="23.83203125" style="246" customWidth="1"/>
    <col min="5123" max="5123" width="18.83203125" style="246" customWidth="1"/>
    <col min="5124" max="5124" width="20.1640625" style="246" customWidth="1"/>
    <col min="5125" max="5125" width="21.1640625" style="246" customWidth="1"/>
    <col min="5126" max="5126" width="19.6640625" style="246" customWidth="1"/>
    <col min="5127" max="5127" width="26" style="246" customWidth="1"/>
    <col min="5128" max="5376" width="31.83203125" style="246"/>
    <col min="5377" max="5377" width="34.83203125" style="246" customWidth="1"/>
    <col min="5378" max="5378" width="23.83203125" style="246" customWidth="1"/>
    <col min="5379" max="5379" width="18.83203125" style="246" customWidth="1"/>
    <col min="5380" max="5380" width="20.1640625" style="246" customWidth="1"/>
    <col min="5381" max="5381" width="21.1640625" style="246" customWidth="1"/>
    <col min="5382" max="5382" width="19.6640625" style="246" customWidth="1"/>
    <col min="5383" max="5383" width="26" style="246" customWidth="1"/>
    <col min="5384" max="5632" width="31.83203125" style="246"/>
    <col min="5633" max="5633" width="34.83203125" style="246" customWidth="1"/>
    <col min="5634" max="5634" width="23.83203125" style="246" customWidth="1"/>
    <col min="5635" max="5635" width="18.83203125" style="246" customWidth="1"/>
    <col min="5636" max="5636" width="20.1640625" style="246" customWidth="1"/>
    <col min="5637" max="5637" width="21.1640625" style="246" customWidth="1"/>
    <col min="5638" max="5638" width="19.6640625" style="246" customWidth="1"/>
    <col min="5639" max="5639" width="26" style="246" customWidth="1"/>
    <col min="5640" max="5888" width="31.83203125" style="246"/>
    <col min="5889" max="5889" width="34.83203125" style="246" customWidth="1"/>
    <col min="5890" max="5890" width="23.83203125" style="246" customWidth="1"/>
    <col min="5891" max="5891" width="18.83203125" style="246" customWidth="1"/>
    <col min="5892" max="5892" width="20.1640625" style="246" customWidth="1"/>
    <col min="5893" max="5893" width="21.1640625" style="246" customWidth="1"/>
    <col min="5894" max="5894" width="19.6640625" style="246" customWidth="1"/>
    <col min="5895" max="5895" width="26" style="246" customWidth="1"/>
    <col min="5896" max="6144" width="31.83203125" style="246"/>
    <col min="6145" max="6145" width="34.83203125" style="246" customWidth="1"/>
    <col min="6146" max="6146" width="23.83203125" style="246" customWidth="1"/>
    <col min="6147" max="6147" width="18.83203125" style="246" customWidth="1"/>
    <col min="6148" max="6148" width="20.1640625" style="246" customWidth="1"/>
    <col min="6149" max="6149" width="21.1640625" style="246" customWidth="1"/>
    <col min="6150" max="6150" width="19.6640625" style="246" customWidth="1"/>
    <col min="6151" max="6151" width="26" style="246" customWidth="1"/>
    <col min="6152" max="6400" width="31.83203125" style="246"/>
    <col min="6401" max="6401" width="34.83203125" style="246" customWidth="1"/>
    <col min="6402" max="6402" width="23.83203125" style="246" customWidth="1"/>
    <col min="6403" max="6403" width="18.83203125" style="246" customWidth="1"/>
    <col min="6404" max="6404" width="20.1640625" style="246" customWidth="1"/>
    <col min="6405" max="6405" width="21.1640625" style="246" customWidth="1"/>
    <col min="6406" max="6406" width="19.6640625" style="246" customWidth="1"/>
    <col min="6407" max="6407" width="26" style="246" customWidth="1"/>
    <col min="6408" max="6656" width="31.83203125" style="246"/>
    <col min="6657" max="6657" width="34.83203125" style="246" customWidth="1"/>
    <col min="6658" max="6658" width="23.83203125" style="246" customWidth="1"/>
    <col min="6659" max="6659" width="18.83203125" style="246" customWidth="1"/>
    <col min="6660" max="6660" width="20.1640625" style="246" customWidth="1"/>
    <col min="6661" max="6661" width="21.1640625" style="246" customWidth="1"/>
    <col min="6662" max="6662" width="19.6640625" style="246" customWidth="1"/>
    <col min="6663" max="6663" width="26" style="246" customWidth="1"/>
    <col min="6664" max="6912" width="31.83203125" style="246"/>
    <col min="6913" max="6913" width="34.83203125" style="246" customWidth="1"/>
    <col min="6914" max="6914" width="23.83203125" style="246" customWidth="1"/>
    <col min="6915" max="6915" width="18.83203125" style="246" customWidth="1"/>
    <col min="6916" max="6916" width="20.1640625" style="246" customWidth="1"/>
    <col min="6917" max="6917" width="21.1640625" style="246" customWidth="1"/>
    <col min="6918" max="6918" width="19.6640625" style="246" customWidth="1"/>
    <col min="6919" max="6919" width="26" style="246" customWidth="1"/>
    <col min="6920" max="7168" width="31.83203125" style="246"/>
    <col min="7169" max="7169" width="34.83203125" style="246" customWidth="1"/>
    <col min="7170" max="7170" width="23.83203125" style="246" customWidth="1"/>
    <col min="7171" max="7171" width="18.83203125" style="246" customWidth="1"/>
    <col min="7172" max="7172" width="20.1640625" style="246" customWidth="1"/>
    <col min="7173" max="7173" width="21.1640625" style="246" customWidth="1"/>
    <col min="7174" max="7174" width="19.6640625" style="246" customWidth="1"/>
    <col min="7175" max="7175" width="26" style="246" customWidth="1"/>
    <col min="7176" max="7424" width="31.83203125" style="246"/>
    <col min="7425" max="7425" width="34.83203125" style="246" customWidth="1"/>
    <col min="7426" max="7426" width="23.83203125" style="246" customWidth="1"/>
    <col min="7427" max="7427" width="18.83203125" style="246" customWidth="1"/>
    <col min="7428" max="7428" width="20.1640625" style="246" customWidth="1"/>
    <col min="7429" max="7429" width="21.1640625" style="246" customWidth="1"/>
    <col min="7430" max="7430" width="19.6640625" style="246" customWidth="1"/>
    <col min="7431" max="7431" width="26" style="246" customWidth="1"/>
    <col min="7432" max="7680" width="31.83203125" style="246"/>
    <col min="7681" max="7681" width="34.83203125" style="246" customWidth="1"/>
    <col min="7682" max="7682" width="23.83203125" style="246" customWidth="1"/>
    <col min="7683" max="7683" width="18.83203125" style="246" customWidth="1"/>
    <col min="7684" max="7684" width="20.1640625" style="246" customWidth="1"/>
    <col min="7685" max="7685" width="21.1640625" style="246" customWidth="1"/>
    <col min="7686" max="7686" width="19.6640625" style="246" customWidth="1"/>
    <col min="7687" max="7687" width="26" style="246" customWidth="1"/>
    <col min="7688" max="7936" width="31.83203125" style="246"/>
    <col min="7937" max="7937" width="34.83203125" style="246" customWidth="1"/>
    <col min="7938" max="7938" width="23.83203125" style="246" customWidth="1"/>
    <col min="7939" max="7939" width="18.83203125" style="246" customWidth="1"/>
    <col min="7940" max="7940" width="20.1640625" style="246" customWidth="1"/>
    <col min="7941" max="7941" width="21.1640625" style="246" customWidth="1"/>
    <col min="7942" max="7942" width="19.6640625" style="246" customWidth="1"/>
    <col min="7943" max="7943" width="26" style="246" customWidth="1"/>
    <col min="7944" max="8192" width="31.83203125" style="246"/>
    <col min="8193" max="8193" width="34.83203125" style="246" customWidth="1"/>
    <col min="8194" max="8194" width="23.83203125" style="246" customWidth="1"/>
    <col min="8195" max="8195" width="18.83203125" style="246" customWidth="1"/>
    <col min="8196" max="8196" width="20.1640625" style="246" customWidth="1"/>
    <col min="8197" max="8197" width="21.1640625" style="246" customWidth="1"/>
    <col min="8198" max="8198" width="19.6640625" style="246" customWidth="1"/>
    <col min="8199" max="8199" width="26" style="246" customWidth="1"/>
    <col min="8200" max="8448" width="31.83203125" style="246"/>
    <col min="8449" max="8449" width="34.83203125" style="246" customWidth="1"/>
    <col min="8450" max="8450" width="23.83203125" style="246" customWidth="1"/>
    <col min="8451" max="8451" width="18.83203125" style="246" customWidth="1"/>
    <col min="8452" max="8452" width="20.1640625" style="246" customWidth="1"/>
    <col min="8453" max="8453" width="21.1640625" style="246" customWidth="1"/>
    <col min="8454" max="8454" width="19.6640625" style="246" customWidth="1"/>
    <col min="8455" max="8455" width="26" style="246" customWidth="1"/>
    <col min="8456" max="8704" width="31.83203125" style="246"/>
    <col min="8705" max="8705" width="34.83203125" style="246" customWidth="1"/>
    <col min="8706" max="8706" width="23.83203125" style="246" customWidth="1"/>
    <col min="8707" max="8707" width="18.83203125" style="246" customWidth="1"/>
    <col min="8708" max="8708" width="20.1640625" style="246" customWidth="1"/>
    <col min="8709" max="8709" width="21.1640625" style="246" customWidth="1"/>
    <col min="8710" max="8710" width="19.6640625" style="246" customWidth="1"/>
    <col min="8711" max="8711" width="26" style="246" customWidth="1"/>
    <col min="8712" max="8960" width="31.83203125" style="246"/>
    <col min="8961" max="8961" width="34.83203125" style="246" customWidth="1"/>
    <col min="8962" max="8962" width="23.83203125" style="246" customWidth="1"/>
    <col min="8963" max="8963" width="18.83203125" style="246" customWidth="1"/>
    <col min="8964" max="8964" width="20.1640625" style="246" customWidth="1"/>
    <col min="8965" max="8965" width="21.1640625" style="246" customWidth="1"/>
    <col min="8966" max="8966" width="19.6640625" style="246" customWidth="1"/>
    <col min="8967" max="8967" width="26" style="246" customWidth="1"/>
    <col min="8968" max="9216" width="31.83203125" style="246"/>
    <col min="9217" max="9217" width="34.83203125" style="246" customWidth="1"/>
    <col min="9218" max="9218" width="23.83203125" style="246" customWidth="1"/>
    <col min="9219" max="9219" width="18.83203125" style="246" customWidth="1"/>
    <col min="9220" max="9220" width="20.1640625" style="246" customWidth="1"/>
    <col min="9221" max="9221" width="21.1640625" style="246" customWidth="1"/>
    <col min="9222" max="9222" width="19.6640625" style="246" customWidth="1"/>
    <col min="9223" max="9223" width="26" style="246" customWidth="1"/>
    <col min="9224" max="9472" width="31.83203125" style="246"/>
    <col min="9473" max="9473" width="34.83203125" style="246" customWidth="1"/>
    <col min="9474" max="9474" width="23.83203125" style="246" customWidth="1"/>
    <col min="9475" max="9475" width="18.83203125" style="246" customWidth="1"/>
    <col min="9476" max="9476" width="20.1640625" style="246" customWidth="1"/>
    <col min="9477" max="9477" width="21.1640625" style="246" customWidth="1"/>
    <col min="9478" max="9478" width="19.6640625" style="246" customWidth="1"/>
    <col min="9479" max="9479" width="26" style="246" customWidth="1"/>
    <col min="9480" max="9728" width="31.83203125" style="246"/>
    <col min="9729" max="9729" width="34.83203125" style="246" customWidth="1"/>
    <col min="9730" max="9730" width="23.83203125" style="246" customWidth="1"/>
    <col min="9731" max="9731" width="18.83203125" style="246" customWidth="1"/>
    <col min="9732" max="9732" width="20.1640625" style="246" customWidth="1"/>
    <col min="9733" max="9733" width="21.1640625" style="246" customWidth="1"/>
    <col min="9734" max="9734" width="19.6640625" style="246" customWidth="1"/>
    <col min="9735" max="9735" width="26" style="246" customWidth="1"/>
    <col min="9736" max="9984" width="31.83203125" style="246"/>
    <col min="9985" max="9985" width="34.83203125" style="246" customWidth="1"/>
    <col min="9986" max="9986" width="23.83203125" style="246" customWidth="1"/>
    <col min="9987" max="9987" width="18.83203125" style="246" customWidth="1"/>
    <col min="9988" max="9988" width="20.1640625" style="246" customWidth="1"/>
    <col min="9989" max="9989" width="21.1640625" style="246" customWidth="1"/>
    <col min="9990" max="9990" width="19.6640625" style="246" customWidth="1"/>
    <col min="9991" max="9991" width="26" style="246" customWidth="1"/>
    <col min="9992" max="10240" width="31.83203125" style="246"/>
    <col min="10241" max="10241" width="34.83203125" style="246" customWidth="1"/>
    <col min="10242" max="10242" width="23.83203125" style="246" customWidth="1"/>
    <col min="10243" max="10243" width="18.83203125" style="246" customWidth="1"/>
    <col min="10244" max="10244" width="20.1640625" style="246" customWidth="1"/>
    <col min="10245" max="10245" width="21.1640625" style="246" customWidth="1"/>
    <col min="10246" max="10246" width="19.6640625" style="246" customWidth="1"/>
    <col min="10247" max="10247" width="26" style="246" customWidth="1"/>
    <col min="10248" max="10496" width="31.83203125" style="246"/>
    <col min="10497" max="10497" width="34.83203125" style="246" customWidth="1"/>
    <col min="10498" max="10498" width="23.83203125" style="246" customWidth="1"/>
    <col min="10499" max="10499" width="18.83203125" style="246" customWidth="1"/>
    <col min="10500" max="10500" width="20.1640625" style="246" customWidth="1"/>
    <col min="10501" max="10501" width="21.1640625" style="246" customWidth="1"/>
    <col min="10502" max="10502" width="19.6640625" style="246" customWidth="1"/>
    <col min="10503" max="10503" width="26" style="246" customWidth="1"/>
    <col min="10504" max="10752" width="31.83203125" style="246"/>
    <col min="10753" max="10753" width="34.83203125" style="246" customWidth="1"/>
    <col min="10754" max="10754" width="23.83203125" style="246" customWidth="1"/>
    <col min="10755" max="10755" width="18.83203125" style="246" customWidth="1"/>
    <col min="10756" max="10756" width="20.1640625" style="246" customWidth="1"/>
    <col min="10757" max="10757" width="21.1640625" style="246" customWidth="1"/>
    <col min="10758" max="10758" width="19.6640625" style="246" customWidth="1"/>
    <col min="10759" max="10759" width="26" style="246" customWidth="1"/>
    <col min="10760" max="11008" width="31.83203125" style="246"/>
    <col min="11009" max="11009" width="34.83203125" style="246" customWidth="1"/>
    <col min="11010" max="11010" width="23.83203125" style="246" customWidth="1"/>
    <col min="11011" max="11011" width="18.83203125" style="246" customWidth="1"/>
    <col min="11012" max="11012" width="20.1640625" style="246" customWidth="1"/>
    <col min="11013" max="11013" width="21.1640625" style="246" customWidth="1"/>
    <col min="11014" max="11014" width="19.6640625" style="246" customWidth="1"/>
    <col min="11015" max="11015" width="26" style="246" customWidth="1"/>
    <col min="11016" max="11264" width="31.83203125" style="246"/>
    <col min="11265" max="11265" width="34.83203125" style="246" customWidth="1"/>
    <col min="11266" max="11266" width="23.83203125" style="246" customWidth="1"/>
    <col min="11267" max="11267" width="18.83203125" style="246" customWidth="1"/>
    <col min="11268" max="11268" width="20.1640625" style="246" customWidth="1"/>
    <col min="11269" max="11269" width="21.1640625" style="246" customWidth="1"/>
    <col min="11270" max="11270" width="19.6640625" style="246" customWidth="1"/>
    <col min="11271" max="11271" width="26" style="246" customWidth="1"/>
    <col min="11272" max="11520" width="31.83203125" style="246"/>
    <col min="11521" max="11521" width="34.83203125" style="246" customWidth="1"/>
    <col min="11522" max="11522" width="23.83203125" style="246" customWidth="1"/>
    <col min="11523" max="11523" width="18.83203125" style="246" customWidth="1"/>
    <col min="11524" max="11524" width="20.1640625" style="246" customWidth="1"/>
    <col min="11525" max="11525" width="21.1640625" style="246" customWidth="1"/>
    <col min="11526" max="11526" width="19.6640625" style="246" customWidth="1"/>
    <col min="11527" max="11527" width="26" style="246" customWidth="1"/>
    <col min="11528" max="11776" width="31.83203125" style="246"/>
    <col min="11777" max="11777" width="34.83203125" style="246" customWidth="1"/>
    <col min="11778" max="11778" width="23.83203125" style="246" customWidth="1"/>
    <col min="11779" max="11779" width="18.83203125" style="246" customWidth="1"/>
    <col min="11780" max="11780" width="20.1640625" style="246" customWidth="1"/>
    <col min="11781" max="11781" width="21.1640625" style="246" customWidth="1"/>
    <col min="11782" max="11782" width="19.6640625" style="246" customWidth="1"/>
    <col min="11783" max="11783" width="26" style="246" customWidth="1"/>
    <col min="11784" max="12032" width="31.83203125" style="246"/>
    <col min="12033" max="12033" width="34.83203125" style="246" customWidth="1"/>
    <col min="12034" max="12034" width="23.83203125" style="246" customWidth="1"/>
    <col min="12035" max="12035" width="18.83203125" style="246" customWidth="1"/>
    <col min="12036" max="12036" width="20.1640625" style="246" customWidth="1"/>
    <col min="12037" max="12037" width="21.1640625" style="246" customWidth="1"/>
    <col min="12038" max="12038" width="19.6640625" style="246" customWidth="1"/>
    <col min="12039" max="12039" width="26" style="246" customWidth="1"/>
    <col min="12040" max="12288" width="31.83203125" style="246"/>
    <col min="12289" max="12289" width="34.83203125" style="246" customWidth="1"/>
    <col min="12290" max="12290" width="23.83203125" style="246" customWidth="1"/>
    <col min="12291" max="12291" width="18.83203125" style="246" customWidth="1"/>
    <col min="12292" max="12292" width="20.1640625" style="246" customWidth="1"/>
    <col min="12293" max="12293" width="21.1640625" style="246" customWidth="1"/>
    <col min="12294" max="12294" width="19.6640625" style="246" customWidth="1"/>
    <col min="12295" max="12295" width="26" style="246" customWidth="1"/>
    <col min="12296" max="12544" width="31.83203125" style="246"/>
    <col min="12545" max="12545" width="34.83203125" style="246" customWidth="1"/>
    <col min="12546" max="12546" width="23.83203125" style="246" customWidth="1"/>
    <col min="12547" max="12547" width="18.83203125" style="246" customWidth="1"/>
    <col min="12548" max="12548" width="20.1640625" style="246" customWidth="1"/>
    <col min="12549" max="12549" width="21.1640625" style="246" customWidth="1"/>
    <col min="12550" max="12550" width="19.6640625" style="246" customWidth="1"/>
    <col min="12551" max="12551" width="26" style="246" customWidth="1"/>
    <col min="12552" max="12800" width="31.83203125" style="246"/>
    <col min="12801" max="12801" width="34.83203125" style="246" customWidth="1"/>
    <col min="12802" max="12802" width="23.83203125" style="246" customWidth="1"/>
    <col min="12803" max="12803" width="18.83203125" style="246" customWidth="1"/>
    <col min="12804" max="12804" width="20.1640625" style="246" customWidth="1"/>
    <col min="12805" max="12805" width="21.1640625" style="246" customWidth="1"/>
    <col min="12806" max="12806" width="19.6640625" style="246" customWidth="1"/>
    <col min="12807" max="12807" width="26" style="246" customWidth="1"/>
    <col min="12808" max="13056" width="31.83203125" style="246"/>
    <col min="13057" max="13057" width="34.83203125" style="246" customWidth="1"/>
    <col min="13058" max="13058" width="23.83203125" style="246" customWidth="1"/>
    <col min="13059" max="13059" width="18.83203125" style="246" customWidth="1"/>
    <col min="13060" max="13060" width="20.1640625" style="246" customWidth="1"/>
    <col min="13061" max="13061" width="21.1640625" style="246" customWidth="1"/>
    <col min="13062" max="13062" width="19.6640625" style="246" customWidth="1"/>
    <col min="13063" max="13063" width="26" style="246" customWidth="1"/>
    <col min="13064" max="13312" width="31.83203125" style="246"/>
    <col min="13313" max="13313" width="34.83203125" style="246" customWidth="1"/>
    <col min="13314" max="13314" width="23.83203125" style="246" customWidth="1"/>
    <col min="13315" max="13315" width="18.83203125" style="246" customWidth="1"/>
    <col min="13316" max="13316" width="20.1640625" style="246" customWidth="1"/>
    <col min="13317" max="13317" width="21.1640625" style="246" customWidth="1"/>
    <col min="13318" max="13318" width="19.6640625" style="246" customWidth="1"/>
    <col min="13319" max="13319" width="26" style="246" customWidth="1"/>
    <col min="13320" max="13568" width="31.83203125" style="246"/>
    <col min="13569" max="13569" width="34.83203125" style="246" customWidth="1"/>
    <col min="13570" max="13570" width="23.83203125" style="246" customWidth="1"/>
    <col min="13571" max="13571" width="18.83203125" style="246" customWidth="1"/>
    <col min="13572" max="13572" width="20.1640625" style="246" customWidth="1"/>
    <col min="13573" max="13573" width="21.1640625" style="246" customWidth="1"/>
    <col min="13574" max="13574" width="19.6640625" style="246" customWidth="1"/>
    <col min="13575" max="13575" width="26" style="246" customWidth="1"/>
    <col min="13576" max="13824" width="31.83203125" style="246"/>
    <col min="13825" max="13825" width="34.83203125" style="246" customWidth="1"/>
    <col min="13826" max="13826" width="23.83203125" style="246" customWidth="1"/>
    <col min="13827" max="13827" width="18.83203125" style="246" customWidth="1"/>
    <col min="13828" max="13828" width="20.1640625" style="246" customWidth="1"/>
    <col min="13829" max="13829" width="21.1640625" style="246" customWidth="1"/>
    <col min="13830" max="13830" width="19.6640625" style="246" customWidth="1"/>
    <col min="13831" max="13831" width="26" style="246" customWidth="1"/>
    <col min="13832" max="14080" width="31.83203125" style="246"/>
    <col min="14081" max="14081" width="34.83203125" style="246" customWidth="1"/>
    <col min="14082" max="14082" width="23.83203125" style="246" customWidth="1"/>
    <col min="14083" max="14083" width="18.83203125" style="246" customWidth="1"/>
    <col min="14084" max="14084" width="20.1640625" style="246" customWidth="1"/>
    <col min="14085" max="14085" width="21.1640625" style="246" customWidth="1"/>
    <col min="14086" max="14086" width="19.6640625" style="246" customWidth="1"/>
    <col min="14087" max="14087" width="26" style="246" customWidth="1"/>
    <col min="14088" max="14336" width="31.83203125" style="246"/>
    <col min="14337" max="14337" width="34.83203125" style="246" customWidth="1"/>
    <col min="14338" max="14338" width="23.83203125" style="246" customWidth="1"/>
    <col min="14339" max="14339" width="18.83203125" style="246" customWidth="1"/>
    <col min="14340" max="14340" width="20.1640625" style="246" customWidth="1"/>
    <col min="14341" max="14341" width="21.1640625" style="246" customWidth="1"/>
    <col min="14342" max="14342" width="19.6640625" style="246" customWidth="1"/>
    <col min="14343" max="14343" width="26" style="246" customWidth="1"/>
    <col min="14344" max="14592" width="31.83203125" style="246"/>
    <col min="14593" max="14593" width="34.83203125" style="246" customWidth="1"/>
    <col min="14594" max="14594" width="23.83203125" style="246" customWidth="1"/>
    <col min="14595" max="14595" width="18.83203125" style="246" customWidth="1"/>
    <col min="14596" max="14596" width="20.1640625" style="246" customWidth="1"/>
    <col min="14597" max="14597" width="21.1640625" style="246" customWidth="1"/>
    <col min="14598" max="14598" width="19.6640625" style="246" customWidth="1"/>
    <col min="14599" max="14599" width="26" style="246" customWidth="1"/>
    <col min="14600" max="14848" width="31.83203125" style="246"/>
    <col min="14849" max="14849" width="34.83203125" style="246" customWidth="1"/>
    <col min="14850" max="14850" width="23.83203125" style="246" customWidth="1"/>
    <col min="14851" max="14851" width="18.83203125" style="246" customWidth="1"/>
    <col min="14852" max="14852" width="20.1640625" style="246" customWidth="1"/>
    <col min="14853" max="14853" width="21.1640625" style="246" customWidth="1"/>
    <col min="14854" max="14854" width="19.6640625" style="246" customWidth="1"/>
    <col min="14855" max="14855" width="26" style="246" customWidth="1"/>
    <col min="14856" max="15104" width="31.83203125" style="246"/>
    <col min="15105" max="15105" width="34.83203125" style="246" customWidth="1"/>
    <col min="15106" max="15106" width="23.83203125" style="246" customWidth="1"/>
    <col min="15107" max="15107" width="18.83203125" style="246" customWidth="1"/>
    <col min="15108" max="15108" width="20.1640625" style="246" customWidth="1"/>
    <col min="15109" max="15109" width="21.1640625" style="246" customWidth="1"/>
    <col min="15110" max="15110" width="19.6640625" style="246" customWidth="1"/>
    <col min="15111" max="15111" width="26" style="246" customWidth="1"/>
    <col min="15112" max="15360" width="31.83203125" style="246"/>
    <col min="15361" max="15361" width="34.83203125" style="246" customWidth="1"/>
    <col min="15362" max="15362" width="23.83203125" style="246" customWidth="1"/>
    <col min="15363" max="15363" width="18.83203125" style="246" customWidth="1"/>
    <col min="15364" max="15364" width="20.1640625" style="246" customWidth="1"/>
    <col min="15365" max="15365" width="21.1640625" style="246" customWidth="1"/>
    <col min="15366" max="15366" width="19.6640625" style="246" customWidth="1"/>
    <col min="15367" max="15367" width="26" style="246" customWidth="1"/>
    <col min="15368" max="15616" width="31.83203125" style="246"/>
    <col min="15617" max="15617" width="34.83203125" style="246" customWidth="1"/>
    <col min="15618" max="15618" width="23.83203125" style="246" customWidth="1"/>
    <col min="15619" max="15619" width="18.83203125" style="246" customWidth="1"/>
    <col min="15620" max="15620" width="20.1640625" style="246" customWidth="1"/>
    <col min="15621" max="15621" width="21.1640625" style="246" customWidth="1"/>
    <col min="15622" max="15622" width="19.6640625" style="246" customWidth="1"/>
    <col min="15623" max="15623" width="26" style="246" customWidth="1"/>
    <col min="15624" max="15872" width="31.83203125" style="246"/>
    <col min="15873" max="15873" width="34.83203125" style="246" customWidth="1"/>
    <col min="15874" max="15874" width="23.83203125" style="246" customWidth="1"/>
    <col min="15875" max="15875" width="18.83203125" style="246" customWidth="1"/>
    <col min="15876" max="15876" width="20.1640625" style="246" customWidth="1"/>
    <col min="15877" max="15877" width="21.1640625" style="246" customWidth="1"/>
    <col min="15878" max="15878" width="19.6640625" style="246" customWidth="1"/>
    <col min="15879" max="15879" width="26" style="246" customWidth="1"/>
    <col min="15880" max="16128" width="31.83203125" style="246"/>
    <col min="16129" max="16129" width="34.83203125" style="246" customWidth="1"/>
    <col min="16130" max="16130" width="23.83203125" style="246" customWidth="1"/>
    <col min="16131" max="16131" width="18.83203125" style="246" customWidth="1"/>
    <col min="16132" max="16132" width="20.1640625" style="246" customWidth="1"/>
    <col min="16133" max="16133" width="21.1640625" style="246" customWidth="1"/>
    <col min="16134" max="16134" width="19.6640625" style="246" customWidth="1"/>
    <col min="16135" max="16135" width="26" style="246" customWidth="1"/>
    <col min="16136" max="16384" width="31.83203125" style="246"/>
  </cols>
  <sheetData>
    <row r="1" spans="1:11">
      <c r="A1" s="247" t="s">
        <v>0</v>
      </c>
      <c r="B1" s="248" t="s">
        <v>1</v>
      </c>
      <c r="C1" s="249" t="s">
        <v>2</v>
      </c>
      <c r="D1" s="250"/>
      <c r="E1" s="251"/>
      <c r="F1" s="251"/>
    </row>
    <row r="2" spans="1:11" ht="12" customHeight="1">
      <c r="A2" s="247" t="s">
        <v>3</v>
      </c>
      <c r="B2" s="252">
        <v>45657</v>
      </c>
      <c r="C2" s="249" t="s">
        <v>4</v>
      </c>
      <c r="D2" s="250"/>
      <c r="E2" s="251"/>
      <c r="F2" s="251"/>
    </row>
    <row r="3" spans="1:11">
      <c r="A3" s="247" t="s">
        <v>5</v>
      </c>
      <c r="B3" s="251">
        <v>2024</v>
      </c>
      <c r="C3" s="253"/>
      <c r="D3" s="251"/>
      <c r="E3" s="251"/>
      <c r="F3" s="251"/>
    </row>
    <row r="4" spans="1:11">
      <c r="A4" s="247" t="s">
        <v>6</v>
      </c>
      <c r="B4" s="254" t="s">
        <v>7</v>
      </c>
      <c r="C4" s="251"/>
      <c r="D4" s="251"/>
      <c r="E4" s="251"/>
      <c r="F4" s="251"/>
    </row>
    <row r="5" spans="1:11">
      <c r="A5" s="247" t="s">
        <v>8</v>
      </c>
      <c r="B5" s="255" t="s">
        <v>9</v>
      </c>
      <c r="C5" s="251"/>
      <c r="D5" s="251"/>
      <c r="E5" s="251"/>
      <c r="F5" s="251"/>
    </row>
    <row r="6" spans="1:11">
      <c r="A6" s="256" t="str">
        <f>B4&amp;" "&amp;B5</f>
        <v>US$ mn</v>
      </c>
      <c r="B6" s="257" t="str">
        <f>TEXT(DATE($B$3,MONTH($B$2),DAY($B$2)),"mmm-yy")&amp;IF($B$3&gt;YEAR($B$2),"E","A")</f>
        <v>Dec-24A</v>
      </c>
      <c r="C6" s="257" t="str">
        <f>TEXT(DATE($B$3+1,MONTH($B$2),DAY($B$2)),"mmm-yy")&amp;IF($B$3+1&gt;YEAR($B$2),"E","A")</f>
        <v>Dec-25E</v>
      </c>
      <c r="D6" s="257" t="str">
        <f>TEXT(DATE($B$3+2,MONTH($B$2),DAY($B$2)),"mmm-yy")&amp;IF($B$3+2&gt;YEAR($B$2),"E","A")</f>
        <v>Dec-26E</v>
      </c>
      <c r="E6" s="257" t="str">
        <f>TEXT(DATE($B$3+3,MONTH($B$2),DAY($B$2)),"mmm-yy")&amp;IF($B$3+3&gt;YEAR($B$2),"E","A")</f>
        <v>Dec-27E</v>
      </c>
      <c r="F6" s="251"/>
      <c r="H6" s="258"/>
      <c r="I6" s="258"/>
      <c r="J6" s="258"/>
      <c r="K6" s="258"/>
    </row>
    <row r="7" spans="1:11">
      <c r="A7" s="259" t="s">
        <v>10</v>
      </c>
      <c r="B7" s="251"/>
      <c r="C7" s="251"/>
      <c r="D7" s="251"/>
      <c r="E7" s="251"/>
      <c r="F7" s="251"/>
      <c r="G7" s="258"/>
      <c r="H7" s="258"/>
      <c r="I7" s="258"/>
      <c r="J7" s="258"/>
      <c r="K7" s="260"/>
    </row>
    <row r="8" spans="1:11">
      <c r="A8" s="261" t="s">
        <v>11</v>
      </c>
      <c r="B8" s="262">
        <f>'PL-CF-BS'!J6</f>
        <v>1197.133</v>
      </c>
      <c r="C8" s="262">
        <f>'PL-CF-BS'!K6</f>
        <v>1354.37</v>
      </c>
      <c r="D8" s="262">
        <f>'PL-CF-BS'!L6</f>
        <v>1522.2508760000001</v>
      </c>
      <c r="E8" s="262">
        <f>'PL-CF-BS'!M6</f>
        <v>1676.6468436600001</v>
      </c>
      <c r="F8" s="251"/>
      <c r="G8" s="263"/>
      <c r="H8" s="263"/>
      <c r="I8" s="263"/>
      <c r="J8" s="263"/>
      <c r="K8" s="258"/>
    </row>
    <row r="9" spans="1:11">
      <c r="A9" s="261" t="s">
        <v>12</v>
      </c>
      <c r="B9" s="264">
        <f>'PL-CF-BS'!J7</f>
        <v>0.12121759881915284</v>
      </c>
      <c r="C9" s="264">
        <f>'PL-CF-BS'!K7</f>
        <v>0.13134463756324477</v>
      </c>
      <c r="D9" s="264">
        <f>'PL-CF-BS'!L7</f>
        <v>0.12395495765558917</v>
      </c>
      <c r="E9" s="264">
        <f>'PL-CF-BS'!M7</f>
        <v>0.10142609874247821</v>
      </c>
      <c r="F9" s="251"/>
      <c r="H9" s="260"/>
      <c r="I9" s="260"/>
      <c r="J9" s="260"/>
      <c r="K9" s="260"/>
    </row>
    <row r="10" spans="1:11">
      <c r="A10" s="261" t="s">
        <v>13</v>
      </c>
      <c r="B10" s="262">
        <f>'PL-CF-BS'!J66</f>
        <v>120.7420000000001</v>
      </c>
      <c r="C10" s="262">
        <f>'PL-CF-BS'!K66</f>
        <v>138.90152397880254</v>
      </c>
      <c r="D10" s="262">
        <f>'PL-CF-BS'!L66</f>
        <v>156.28551448680901</v>
      </c>
      <c r="E10" s="262">
        <f>'PL-CF-BS'!M66</f>
        <v>178.92094610735501</v>
      </c>
      <c r="F10" s="251"/>
      <c r="G10" s="258"/>
      <c r="H10" s="258"/>
      <c r="I10" s="258"/>
      <c r="J10" s="258"/>
    </row>
    <row r="11" spans="1:11">
      <c r="A11" s="261" t="s">
        <v>12</v>
      </c>
      <c r="B11" s="265">
        <f>'PL-CF-BS'!J67</f>
        <v>0.32473887474765095</v>
      </c>
      <c r="C11" s="265">
        <f>'PL-CF-BS'!K67</f>
        <v>0.15039939688594206</v>
      </c>
      <c r="D11" s="265">
        <f>'PL-CF-BS'!L67</f>
        <v>0.12515334612642115</v>
      </c>
      <c r="E11" s="265">
        <f>'PL-CF-BS'!M67</f>
        <v>0.14483384269408095</v>
      </c>
      <c r="F11" s="251"/>
      <c r="G11" s="266"/>
      <c r="H11" s="267"/>
      <c r="I11" s="267"/>
      <c r="J11" s="267"/>
      <c r="K11" s="260"/>
    </row>
    <row r="12" spans="1:11">
      <c r="A12" s="261" t="str">
        <f>"Diluted EPS ("&amp;B4&amp;")"</f>
        <v>Diluted EPS (US$)</v>
      </c>
      <c r="B12" s="268">
        <f>'PL-CF-BS'!J79</f>
        <v>0.32990625413042018</v>
      </c>
      <c r="C12" s="268">
        <f>'PL-CF-BS'!K79</f>
        <v>0.37951236059782117</v>
      </c>
      <c r="D12" s="268">
        <f>'PL-CF-BS'!L79</f>
        <v>0.42700960242297542</v>
      </c>
      <c r="E12" s="268">
        <f>'PL-CF-BS'!M79</f>
        <v>0.48885504400916668</v>
      </c>
      <c r="F12" s="251"/>
      <c r="H12" s="267"/>
      <c r="I12" s="267"/>
      <c r="J12" s="267"/>
      <c r="K12" s="260"/>
    </row>
    <row r="13" spans="1:11">
      <c r="A13" s="261" t="s">
        <v>14</v>
      </c>
      <c r="B13" s="269">
        <f>'PL-CF-BS'!J166</f>
        <v>0.34545033843357426</v>
      </c>
      <c r="C13" s="269">
        <f>'PL-CF-BS'!K166</f>
        <v>0.35226710573919984</v>
      </c>
      <c r="D13" s="269">
        <f>'PL-CF-BS'!L166</f>
        <v>0.35105923065338407</v>
      </c>
      <c r="E13" s="269">
        <f>'PL-CF-BS'!M166</f>
        <v>0.35434577801392836</v>
      </c>
      <c r="F13" s="270" t="s">
        <v>15</v>
      </c>
    </row>
    <row r="14" spans="1:11">
      <c r="A14" s="261" t="s">
        <v>16</v>
      </c>
      <c r="B14" s="269">
        <f>'PL-CF-BS'!J171</f>
        <v>0.19236740705808142</v>
      </c>
      <c r="C14" s="269">
        <f>'PL-CF-BS'!K171</f>
        <v>0.16673001374853638</v>
      </c>
      <c r="D14" s="269">
        <f>'PL-CF-BS'!L171</f>
        <v>0.16908445295130961</v>
      </c>
      <c r="E14" s="269">
        <f>'PL-CF-BS'!M171</f>
        <v>0.17271498990601877</v>
      </c>
      <c r="F14" s="270" t="s">
        <v>15</v>
      </c>
    </row>
    <row r="15" spans="1:11">
      <c r="A15" s="261" t="s">
        <v>17</v>
      </c>
      <c r="B15" s="271">
        <f>'PL-CF-BS'!J45</f>
        <v>197.74500000000012</v>
      </c>
      <c r="C15" s="271">
        <f>'PL-CF-BS'!K45</f>
        <v>213.54580000000001</v>
      </c>
      <c r="D15" s="271">
        <f>'PL-CF-BS'!L45</f>
        <v>238.21722972799989</v>
      </c>
      <c r="E15" s="271">
        <f>'PL-CF-BS'!M45</f>
        <v>269.09285503925071</v>
      </c>
      <c r="F15" s="253"/>
    </row>
    <row r="16" spans="1:11">
      <c r="A16" s="261" t="s">
        <v>18</v>
      </c>
      <c r="B16" s="271">
        <f>'DCF '!F7</f>
        <v>152.76900000000012</v>
      </c>
      <c r="C16" s="271">
        <f>'DCF '!G7</f>
        <v>173.29300000000001</v>
      </c>
      <c r="D16" s="271">
        <f>'DCF '!H7</f>
        <v>195.5858997279999</v>
      </c>
      <c r="E16" s="271">
        <f>'DCF '!I7</f>
        <v>224.34180953925073</v>
      </c>
      <c r="F16" s="253"/>
    </row>
    <row r="17" spans="1:10">
      <c r="A17" s="261" t="s">
        <v>19</v>
      </c>
      <c r="B17" s="271">
        <f>'PL-CF-BS'!J50</f>
        <v>0</v>
      </c>
      <c r="C17" s="271">
        <f>'PL-CF-BS'!K50</f>
        <v>0</v>
      </c>
      <c r="D17" s="271">
        <f>'PL-CF-BS'!L50</f>
        <v>0</v>
      </c>
      <c r="E17" s="271">
        <f>'PL-CF-BS'!M50</f>
        <v>0</v>
      </c>
      <c r="F17" s="251"/>
    </row>
    <row r="18" spans="1:10">
      <c r="A18" s="261" t="s">
        <v>20</v>
      </c>
      <c r="B18" s="271">
        <f>'PL-CF-BS'!J49</f>
        <v>0</v>
      </c>
      <c r="C18" s="271">
        <f>'PL-CF-BS'!K49</f>
        <v>0</v>
      </c>
      <c r="D18" s="271">
        <f>'PL-CF-BS'!L49</f>
        <v>0</v>
      </c>
      <c r="E18" s="271">
        <f>'PL-CF-BS'!M49</f>
        <v>0</v>
      </c>
      <c r="F18" s="251"/>
    </row>
    <row r="19" spans="1:10">
      <c r="A19" s="261" t="s">
        <v>21</v>
      </c>
      <c r="B19" s="271">
        <f>'PL-CF-BS'!J41</f>
        <v>152.76900000000012</v>
      </c>
      <c r="C19" s="271">
        <f>'PL-CF-BS'!K41</f>
        <v>173.29300000000001</v>
      </c>
      <c r="D19" s="271">
        <f>'PL-CF-BS'!L41</f>
        <v>195.5858997279999</v>
      </c>
      <c r="E19" s="271">
        <f>'PL-CF-BS'!M41</f>
        <v>224.34180953925073</v>
      </c>
      <c r="F19" s="251"/>
      <c r="G19" s="272"/>
      <c r="H19" s="272"/>
      <c r="I19" s="272"/>
      <c r="J19" s="272"/>
    </row>
    <row r="20" spans="1:10">
      <c r="A20" s="261" t="s">
        <v>22</v>
      </c>
      <c r="B20" s="271">
        <f>'PL-CF-BS'!J9</f>
        <v>413.55000000000007</v>
      </c>
      <c r="C20" s="271">
        <f>'PL-CF-BS'!K9</f>
        <v>477.1</v>
      </c>
      <c r="D20" s="271">
        <f>'PL-CF-BS'!L9</f>
        <v>534.40022138999996</v>
      </c>
      <c r="E20" s="271">
        <f>'PL-CF-BS'!M9</f>
        <v>594.11273027130005</v>
      </c>
      <c r="F20" s="251"/>
    </row>
    <row r="21" spans="1:10">
      <c r="A21" s="261" t="s">
        <v>23</v>
      </c>
      <c r="B21" s="271">
        <f>'PL-CF-BS'!J90</f>
        <v>44.975999999999999</v>
      </c>
      <c r="C21" s="271">
        <f>'PL-CF-BS'!K90</f>
        <v>40.252800000000001</v>
      </c>
      <c r="D21" s="271">
        <f>'PL-CF-BS'!L90</f>
        <v>42.631330000000005</v>
      </c>
      <c r="E21" s="271">
        <f>'PL-CF-BS'!M90</f>
        <v>44.751045500000004</v>
      </c>
      <c r="F21" s="251"/>
    </row>
    <row r="22" spans="1:10">
      <c r="A22" s="261" t="s">
        <v>24</v>
      </c>
      <c r="B22" s="271">
        <f>'PL-CF-BS'!J59</f>
        <v>147.62400000000011</v>
      </c>
      <c r="C22" s="271">
        <f>'PL-CF-BS'!K59</f>
        <v>169.69300000000001</v>
      </c>
      <c r="D22" s="271">
        <f>'PL-CF-BS'!L59</f>
        <v>190.5899997279999</v>
      </c>
      <c r="E22" s="271">
        <f>'PL-CF-BS'!M59</f>
        <v>219.53249453925073</v>
      </c>
      <c r="F22" s="251"/>
    </row>
    <row r="23" spans="1:10">
      <c r="A23" s="259" t="s">
        <v>25</v>
      </c>
      <c r="B23" s="271"/>
      <c r="C23" s="271"/>
      <c r="D23" s="271"/>
      <c r="E23" s="271"/>
      <c r="F23" s="251"/>
    </row>
    <row r="24" spans="1:10">
      <c r="A24" s="261" t="s">
        <v>26</v>
      </c>
      <c r="B24" s="271">
        <f>'PL-CF-BS'!J132</f>
        <v>1363.221</v>
      </c>
      <c r="C24" s="271">
        <f>'PL-CF-BS'!K132</f>
        <v>1460.5609999999999</v>
      </c>
      <c r="D24" s="271">
        <f>'PL-CF-BS'!L132</f>
        <v>1589.6495711534758</v>
      </c>
      <c r="E24" s="271">
        <f>'PL-CF-BS'!M132</f>
        <v>1783.2465173830528</v>
      </c>
      <c r="F24" s="251"/>
    </row>
    <row r="25" spans="1:10">
      <c r="A25" s="261" t="s">
        <v>27</v>
      </c>
      <c r="B25" s="271">
        <f>'PL-CF-BS'!J148</f>
        <v>581.27</v>
      </c>
      <c r="C25" s="271">
        <f>'PL-CF-BS'!K148</f>
        <v>576.30200000000002</v>
      </c>
      <c r="D25" s="271">
        <f>'PL-CF-BS'!L148</f>
        <v>621.93060000000003</v>
      </c>
      <c r="E25" s="271">
        <f>'PL-CF-BS'!M148</f>
        <v>671.24606000000006</v>
      </c>
      <c r="F25" s="251"/>
    </row>
    <row r="26" spans="1:10">
      <c r="A26" s="261" t="s">
        <v>28</v>
      </c>
      <c r="B26" s="271">
        <f>'PL-CF-BS'!J160</f>
        <v>781.95100000000002</v>
      </c>
      <c r="C26" s="271">
        <f>'PL-CF-BS'!K160</f>
        <v>884.23400000000004</v>
      </c>
      <c r="D26" s="271">
        <f>'PL-CF-BS'!L160</f>
        <v>964.37492600000007</v>
      </c>
      <c r="E26" s="271">
        <f>'PL-CF-BS'!M160</f>
        <v>1107.48862452</v>
      </c>
      <c r="F26" s="251"/>
    </row>
    <row r="27" spans="1:10">
      <c r="A27" s="261" t="s">
        <v>29</v>
      </c>
      <c r="B27" s="271">
        <f>'PL-CF-BS'!J160</f>
        <v>781.95100000000002</v>
      </c>
      <c r="C27" s="271">
        <f>'PL-CF-BS'!K156</f>
        <v>884.23400000000004</v>
      </c>
      <c r="D27" s="271">
        <f>'PL-CF-BS'!L156</f>
        <v>964.37492600000007</v>
      </c>
      <c r="E27" s="271">
        <f>'PL-CF-BS'!M156</f>
        <v>1107.48862452</v>
      </c>
      <c r="F27" s="251"/>
      <c r="G27" s="273"/>
      <c r="H27" s="273"/>
      <c r="I27" s="273"/>
      <c r="J27" s="273"/>
    </row>
    <row r="28" spans="1:10">
      <c r="A28" s="259" t="s">
        <v>30</v>
      </c>
      <c r="B28" s="271"/>
      <c r="C28" s="271"/>
      <c r="D28" s="271"/>
      <c r="E28" s="271"/>
      <c r="F28" s="251"/>
    </row>
    <row r="29" spans="1:10">
      <c r="A29" s="261" t="s">
        <v>31</v>
      </c>
      <c r="B29" s="271">
        <f>B22</f>
        <v>147.62400000000011</v>
      </c>
      <c r="C29" s="271">
        <f>C22</f>
        <v>169.69300000000001</v>
      </c>
      <c r="D29" s="271">
        <f>D22</f>
        <v>190.5899997279999</v>
      </c>
      <c r="E29" s="271">
        <f>E22</f>
        <v>219.53249453925073</v>
      </c>
      <c r="F29" s="251"/>
    </row>
    <row r="30" spans="1:10">
      <c r="A30" s="261" t="s">
        <v>32</v>
      </c>
      <c r="B30" s="271">
        <f>'PL-CF-BS'!J93</f>
        <v>164.53100000000009</v>
      </c>
      <c r="C30" s="271">
        <f>'PL-CF-BS'!K93</f>
        <v>146</v>
      </c>
      <c r="D30" s="271">
        <f>'PL-CF-BS'!L93</f>
        <v>152.31157587569791</v>
      </c>
      <c r="E30" s="271">
        <f>'PL-CF-BS'!M93</f>
        <v>178.54121113976248</v>
      </c>
      <c r="F30" s="251"/>
    </row>
    <row r="31" spans="1:10">
      <c r="A31" s="261" t="s">
        <v>33</v>
      </c>
      <c r="B31" s="271">
        <f>'PL-CF-BS'!J99</f>
        <v>-193.38499999999999</v>
      </c>
      <c r="C31" s="271">
        <f>'PL-CF-BS'!K99</f>
        <v>-171.2</v>
      </c>
      <c r="D31" s="271">
        <f>'PL-CF-BS'!L99</f>
        <v>-163.1551</v>
      </c>
      <c r="E31" s="271">
        <f>'PL-CF-BS'!M99</f>
        <v>-193.03348500000004</v>
      </c>
      <c r="F31" s="251"/>
    </row>
    <row r="32" spans="1:10">
      <c r="A32" s="261" t="s">
        <v>34</v>
      </c>
      <c r="B32" s="271">
        <f>'PL-CF-BS'!J109</f>
        <v>173.81800000000004</v>
      </c>
      <c r="C32" s="271">
        <f>'PL-CF-BS'!K109</f>
        <v>-87.1</v>
      </c>
      <c r="D32" s="271">
        <f>'PL-CF-BS'!L109</f>
        <v>13.233666666666672</v>
      </c>
      <c r="E32" s="271">
        <f>'PL-CF-BS'!M109</f>
        <v>24.048222222222236</v>
      </c>
      <c r="F32" s="251"/>
    </row>
    <row r="33" spans="1:10">
      <c r="A33" s="261" t="s">
        <v>35</v>
      </c>
      <c r="B33" s="271">
        <f>'PL-CF-BS'!J111</f>
        <v>144.96400000000014</v>
      </c>
      <c r="C33" s="271">
        <f>'PL-CF-BS'!K111</f>
        <v>-112.29999999999998</v>
      </c>
      <c r="D33" s="271">
        <f>'PL-CF-BS'!L111</f>
        <v>2.390142542364579</v>
      </c>
      <c r="E33" s="271">
        <f>'PL-CF-BS'!M111</f>
        <v>9.5559483619846759</v>
      </c>
      <c r="F33" s="251"/>
      <c r="G33" s="273"/>
      <c r="H33" s="273"/>
      <c r="I33" s="273"/>
      <c r="J33" s="273"/>
    </row>
    <row r="34" spans="1:10">
      <c r="A34" s="261" t="s">
        <v>36</v>
      </c>
      <c r="B34" s="271">
        <f>'PL-CF-BS'!J112</f>
        <v>246.869</v>
      </c>
      <c r="C34" s="271">
        <f>'PL-CF-BS'!K112</f>
        <v>391.83699999999999</v>
      </c>
      <c r="D34" s="271">
        <f>'PL-CF-BS'!L112</f>
        <v>279.53700000000003</v>
      </c>
      <c r="E34" s="271">
        <f>'PL-CF-BS'!M112</f>
        <v>281.92714254236461</v>
      </c>
      <c r="F34" s="251"/>
    </row>
    <row r="35" spans="1:10">
      <c r="A35" s="261" t="s">
        <v>37</v>
      </c>
      <c r="B35" s="271">
        <f>'DCF '!F14</f>
        <v>103.9888900000001</v>
      </c>
      <c r="C35" s="271">
        <f>'DCF '!G14</f>
        <v>-54.096669999999932</v>
      </c>
      <c r="D35" s="271">
        <f>'DCF '!H14</f>
        <v>78.602620168568862</v>
      </c>
      <c r="E35" s="271">
        <f>'DCF '!I14</f>
        <v>89.664303759200592</v>
      </c>
      <c r="F35" s="251"/>
    </row>
    <row r="36" spans="1:10">
      <c r="B36" s="273"/>
      <c r="C36" s="273"/>
      <c r="D36" s="273"/>
      <c r="E36" s="273"/>
    </row>
    <row r="37" spans="1:10">
      <c r="B37" s="273"/>
      <c r="C37" s="273"/>
      <c r="D37" s="273"/>
      <c r="E37" s="273"/>
    </row>
    <row r="38" spans="1:10">
      <c r="B38" s="273"/>
      <c r="C38" s="273"/>
      <c r="D38" s="273"/>
      <c r="E38" s="273"/>
    </row>
    <row r="39" spans="1:10" hidden="1">
      <c r="B39" s="273"/>
      <c r="C39" s="273"/>
      <c r="D39" s="273"/>
      <c r="E39" s="273"/>
    </row>
    <row r="40" spans="1:10" hidden="1">
      <c r="A40" s="246" t="s">
        <v>38</v>
      </c>
      <c r="B40" s="274">
        <f>B12</f>
        <v>0.32990625413042018</v>
      </c>
      <c r="C40" s="274">
        <f>C12</f>
        <v>0.37951236059782117</v>
      </c>
      <c r="D40" s="274">
        <f>D12</f>
        <v>0.42700960242297542</v>
      </c>
      <c r="E40" s="274">
        <f>E12</f>
        <v>0.48885504400916668</v>
      </c>
    </row>
    <row r="41" spans="1:10" hidden="1">
      <c r="A41" s="246" t="s">
        <v>39</v>
      </c>
      <c r="B41" s="274">
        <f ca="1">IF(A43-YEAR($B$2)&gt;=0,VLOOKUP((A43-B3+1),A45:B48,2,FALSE),"na")</f>
        <v>0.42700960242297542</v>
      </c>
    </row>
    <row r="42" spans="1:10" hidden="1">
      <c r="A42" s="246" t="s">
        <v>40</v>
      </c>
      <c r="B42" s="274">
        <f ca="1">IF(A43-YEAR($B$2)&gt;=0,VLOOKUP((A43-B3+2),A45:B48,2,FALSE),"na")</f>
        <v>0.48885504400916668</v>
      </c>
    </row>
    <row r="43" spans="1:10" hidden="1">
      <c r="A43" s="275">
        <f ca="1">YEAR(TODAY())</f>
        <v>2026</v>
      </c>
      <c r="B43" s="274"/>
    </row>
    <row r="44" spans="1:10" hidden="1">
      <c r="A44" s="275">
        <f ca="1">YEAR(TODAY())</f>
        <v>2026</v>
      </c>
      <c r="B44" s="274"/>
    </row>
    <row r="45" spans="1:10" hidden="1">
      <c r="A45" s="246">
        <v>1</v>
      </c>
      <c r="B45" s="274">
        <f>B40</f>
        <v>0.32990625413042018</v>
      </c>
    </row>
    <row r="46" spans="1:10" hidden="1">
      <c r="A46" s="246">
        <v>2</v>
      </c>
      <c r="B46" s="274">
        <f>C40</f>
        <v>0.37951236059782117</v>
      </c>
    </row>
    <row r="47" spans="1:10" hidden="1">
      <c r="A47" s="246">
        <v>3</v>
      </c>
      <c r="B47" s="274">
        <f>D40</f>
        <v>0.42700960242297542</v>
      </c>
    </row>
    <row r="48" spans="1:10" hidden="1">
      <c r="A48" s="246">
        <v>4</v>
      </c>
      <c r="B48" s="274">
        <f>E40</f>
        <v>0.48885504400916668</v>
      </c>
    </row>
    <row r="49" spans="1:2" hidden="1">
      <c r="A49" s="276" t="s">
        <v>41</v>
      </c>
    </row>
    <row r="50" spans="1:2" hidden="1">
      <c r="A50" s="276" t="s">
        <v>42</v>
      </c>
      <c r="B50" s="246">
        <v>1</v>
      </c>
    </row>
    <row r="51" spans="1:2" hidden="1">
      <c r="A51" s="276" t="s">
        <v>43</v>
      </c>
      <c r="B51" s="276" t="s">
        <v>44</v>
      </c>
    </row>
    <row r="53" spans="1:2">
      <c r="A53" s="277" t="s">
        <v>45</v>
      </c>
    </row>
  </sheetData>
  <phoneticPr fontId="133" type="noConversion"/>
  <dataValidations count="4">
    <dataValidation type="list" allowBlank="1" showInputMessage="1" showErrorMessage="1" sqref="B3 IX3 ST3 ACP3 AML3 AWH3 BGD3 BPZ3 BZV3 CJR3 CTN3 DDJ3 DNF3 DXB3 EGX3 EQT3 FAP3 FKL3 FUH3 GED3 GNZ3 GXV3 HHR3 HRN3 IBJ3 ILF3 IVB3 JEX3 JOT3 JYP3 KIL3 KSH3 LCD3 LLZ3 LVV3 MFR3 MPN3 MZJ3 NJF3 NTB3 OCX3 OMT3 OWP3 PGL3 PQH3 QAD3 QJZ3 QTV3 RDR3 RNN3 RXJ3 SHF3 SRB3 TAX3 TKT3 TUP3 UEL3 UOH3 UYD3 VHZ3 VRV3 WBR3 WLN3 WVJ3 B65539 IX65539 ST65539 ACP65539 AML65539 AWH65539 BGD65539 BPZ65539 BZV65539 CJR65539 CTN65539 DDJ65539 DNF65539 DXB65539 EGX65539 EQT65539 FAP65539 FKL65539 FUH65539 GED65539 GNZ65539 GXV65539 HHR65539 HRN65539 IBJ65539 ILF65539 IVB65539 JEX65539 JOT65539 JYP65539 KIL65539 KSH65539 LCD65539 LLZ65539 LVV65539 MFR65539 MPN65539 MZJ65539 NJF65539 NTB65539 OCX65539 OMT65539 OWP65539 PGL65539 PQH65539 QAD65539 QJZ65539 QTV65539 RDR65539 RNN65539 RXJ65539 SHF65539 SRB65539 TAX65539 TKT65539 TUP65539 UEL65539 UOH65539 UYD65539 VHZ65539 VRV65539 WBR65539 WLN65539 WVJ65539 B131075 IX131075 ST131075 ACP131075 AML131075 AWH131075 BGD131075 BPZ131075 BZV131075 CJR131075 CTN131075 DDJ131075 DNF131075 DXB131075 EGX131075 EQT131075 FAP131075 FKL131075 FUH131075 GED131075 GNZ131075 GXV131075 HHR131075 HRN131075 IBJ131075 ILF131075 IVB131075 JEX131075 JOT131075 JYP131075 KIL131075 KSH131075 LCD131075 LLZ131075 LVV131075 MFR131075 MPN131075 MZJ131075 NJF131075 NTB131075 OCX131075 OMT131075 OWP131075 PGL131075 PQH131075 QAD131075 QJZ131075 QTV131075 RDR131075 RNN131075 RXJ131075 SHF131075 SRB131075 TAX131075 TKT131075 TUP131075 UEL131075 UOH131075 UYD131075 VHZ131075 VRV131075 WBR131075 WLN131075 WVJ131075 B196611 IX196611 ST196611 ACP196611 AML196611 AWH196611 BGD196611 BPZ196611 BZV196611 CJR196611 CTN196611 DDJ196611 DNF196611 DXB196611 EGX196611 EQT196611 FAP196611 FKL196611 FUH196611 GED196611 GNZ196611 GXV196611 HHR196611 HRN196611 IBJ196611 ILF196611 IVB196611 JEX196611 JOT196611 JYP196611 KIL196611 KSH196611 LCD196611 LLZ196611 LVV196611 MFR196611 MPN196611 MZJ196611 NJF196611 NTB196611 OCX196611 OMT196611 OWP196611 PGL196611 PQH196611 QAD196611 QJZ196611 QTV196611 RDR196611 RNN196611 RXJ196611 SHF196611 SRB196611 TAX196611 TKT196611 TUP196611 UEL196611 UOH196611 UYD196611 VHZ196611 VRV196611 WBR196611 WLN196611 WVJ196611 B262147 IX262147 ST262147 ACP262147 AML262147 AWH262147 BGD262147 BPZ262147 BZV262147 CJR262147 CTN262147 DDJ262147 DNF262147 DXB262147 EGX262147 EQT262147 FAP262147 FKL262147 FUH262147 GED262147 GNZ262147 GXV262147 HHR262147 HRN262147 IBJ262147 ILF262147 IVB262147 JEX262147 JOT262147 JYP262147 KIL262147 KSH262147 LCD262147 LLZ262147 LVV262147 MFR262147 MPN262147 MZJ262147 NJF262147 NTB262147 OCX262147 OMT262147 OWP262147 PGL262147 PQH262147 QAD262147 QJZ262147 QTV262147 RDR262147 RNN262147 RXJ262147 SHF262147 SRB262147 TAX262147 TKT262147 TUP262147 UEL262147 UOH262147 UYD262147 VHZ262147 VRV262147 WBR262147 WLN262147 WVJ262147 B327683 IX327683 ST327683 ACP327683 AML327683 AWH327683 BGD327683 BPZ327683 BZV327683 CJR327683 CTN327683 DDJ327683 DNF327683 DXB327683 EGX327683 EQT327683 FAP327683 FKL327683 FUH327683 GED327683 GNZ327683 GXV327683 HHR327683 HRN327683 IBJ327683 ILF327683 IVB327683 JEX327683 JOT327683 JYP327683 KIL327683 KSH327683 LCD327683 LLZ327683 LVV327683 MFR327683 MPN327683 MZJ327683 NJF327683 NTB327683 OCX327683 OMT327683 OWP327683 PGL327683 PQH327683 QAD327683 QJZ327683 QTV327683 RDR327683 RNN327683 RXJ327683 SHF327683 SRB327683 TAX327683 TKT327683 TUP327683 UEL327683 UOH327683 UYD327683 VHZ327683 VRV327683 WBR327683 WLN327683 WVJ327683 B393219 IX393219 ST393219 ACP393219 AML393219 AWH393219 BGD393219 BPZ393219 BZV393219 CJR393219 CTN393219 DDJ393219 DNF393219 DXB393219 EGX393219 EQT393219 FAP393219 FKL393219 FUH393219 GED393219 GNZ393219 GXV393219 HHR393219 HRN393219 IBJ393219 ILF393219 IVB393219 JEX393219 JOT393219 JYP393219 KIL393219 KSH393219 LCD393219 LLZ393219 LVV393219 MFR393219 MPN393219 MZJ393219 NJF393219 NTB393219 OCX393219 OMT393219 OWP393219 PGL393219 PQH393219 QAD393219 QJZ393219 QTV393219 RDR393219 RNN393219 RXJ393219 SHF393219 SRB393219 TAX393219 TKT393219 TUP393219 UEL393219 UOH393219 UYD393219 VHZ393219 VRV393219 WBR393219 WLN393219 WVJ393219 B458755 IX458755 ST458755 ACP458755 AML458755 AWH458755 BGD458755 BPZ458755 BZV458755 CJR458755 CTN458755 DDJ458755 DNF458755 DXB458755 EGX458755 EQT458755 FAP458755 FKL458755 FUH458755 GED458755 GNZ458755 GXV458755 HHR458755 HRN458755 IBJ458755 ILF458755 IVB458755 JEX458755 JOT458755 JYP458755 KIL458755 KSH458755 LCD458755 LLZ458755 LVV458755 MFR458755 MPN458755 MZJ458755 NJF458755 NTB458755 OCX458755 OMT458755 OWP458755 PGL458755 PQH458755 QAD458755 QJZ458755 QTV458755 RDR458755 RNN458755 RXJ458755 SHF458755 SRB458755 TAX458755 TKT458755 TUP458755 UEL458755 UOH458755 UYD458755 VHZ458755 VRV458755 WBR458755 WLN458755 WVJ458755 B524291 IX524291 ST524291 ACP524291 AML524291 AWH524291 BGD524291 BPZ524291 BZV524291 CJR524291 CTN524291 DDJ524291 DNF524291 DXB524291 EGX524291 EQT524291 FAP524291 FKL524291 FUH524291 GED524291 GNZ524291 GXV524291 HHR524291 HRN524291 IBJ524291 ILF524291 IVB524291 JEX524291 JOT524291 JYP524291 KIL524291 KSH524291 LCD524291 LLZ524291 LVV524291 MFR524291 MPN524291 MZJ524291 NJF524291 NTB524291 OCX524291 OMT524291 OWP524291 PGL524291 PQH524291 QAD524291 QJZ524291 QTV524291 RDR524291 RNN524291 RXJ524291 SHF524291 SRB524291 TAX524291 TKT524291 TUP524291 UEL524291 UOH524291 UYD524291 VHZ524291 VRV524291 WBR524291 WLN524291 WVJ524291 B589827 IX589827 ST589827 ACP589827 AML589827 AWH589827 BGD589827 BPZ589827 BZV589827 CJR589827 CTN589827 DDJ589827 DNF589827 DXB589827 EGX589827 EQT589827 FAP589827 FKL589827 FUH589827 GED589827 GNZ589827 GXV589827 HHR589827 HRN589827 IBJ589827 ILF589827 IVB589827 JEX589827 JOT589827 JYP589827 KIL589827 KSH589827 LCD589827 LLZ589827 LVV589827 MFR589827 MPN589827 MZJ589827 NJF589827 NTB589827 OCX589827 OMT589827 OWP589827 PGL589827 PQH589827 QAD589827 QJZ589827 QTV589827 RDR589827 RNN589827 RXJ589827 SHF589827 SRB589827 TAX589827 TKT589827 TUP589827 UEL589827 UOH589827 UYD589827 VHZ589827 VRV589827 WBR589827 WLN589827 WVJ589827 B655363 IX655363 ST655363 ACP655363 AML655363 AWH655363 BGD655363 BPZ655363 BZV655363 CJR655363 CTN655363 DDJ655363 DNF655363 DXB655363 EGX655363 EQT655363 FAP655363 FKL655363 FUH655363 GED655363 GNZ655363 GXV655363 HHR655363 HRN655363 IBJ655363 ILF655363 IVB655363 JEX655363 JOT655363 JYP655363 KIL655363 KSH655363 LCD655363 LLZ655363 LVV655363 MFR655363 MPN655363 MZJ655363 NJF655363 NTB655363 OCX655363 OMT655363 OWP655363 PGL655363 PQH655363 QAD655363 QJZ655363 QTV655363 RDR655363 RNN655363 RXJ655363 SHF655363 SRB655363 TAX655363 TKT655363 TUP655363 UEL655363 UOH655363 UYD655363 VHZ655363 VRV655363 WBR655363 WLN655363 WVJ655363 B720899 IX720899 ST720899 ACP720899 AML720899 AWH720899 BGD720899 BPZ720899 BZV720899 CJR720899 CTN720899 DDJ720899 DNF720899 DXB720899 EGX720899 EQT720899 FAP720899 FKL720899 FUH720899 GED720899 GNZ720899 GXV720899 HHR720899 HRN720899 IBJ720899 ILF720899 IVB720899 JEX720899 JOT720899 JYP720899 KIL720899 KSH720899 LCD720899 LLZ720899 LVV720899 MFR720899 MPN720899 MZJ720899 NJF720899 NTB720899 OCX720899 OMT720899 OWP720899 PGL720899 PQH720899 QAD720899 QJZ720899 QTV720899 RDR720899 RNN720899 RXJ720899 SHF720899 SRB720899 TAX720899 TKT720899 TUP720899 UEL720899 UOH720899 UYD720899 VHZ720899 VRV720899 WBR720899 WLN720899 WVJ720899 B786435 IX786435 ST786435 ACP786435 AML786435 AWH786435 BGD786435 BPZ786435 BZV786435 CJR786435 CTN786435 DDJ786435 DNF786435 DXB786435 EGX786435 EQT786435 FAP786435 FKL786435 FUH786435 GED786435 GNZ786435 GXV786435 HHR786435 HRN786435 IBJ786435 ILF786435 IVB786435 JEX786435 JOT786435 JYP786435 KIL786435 KSH786435 LCD786435 LLZ786435 LVV786435 MFR786435 MPN786435 MZJ786435 NJF786435 NTB786435 OCX786435 OMT786435 OWP786435 PGL786435 PQH786435 QAD786435 QJZ786435 QTV786435 RDR786435 RNN786435 RXJ786435 SHF786435 SRB786435 TAX786435 TKT786435 TUP786435 UEL786435 UOH786435 UYD786435 VHZ786435 VRV786435 WBR786435 WLN786435 WVJ786435 B851971 IX851971 ST851971 ACP851971 AML851971 AWH851971 BGD851971 BPZ851971 BZV851971 CJR851971 CTN851971 DDJ851971 DNF851971 DXB851971 EGX851971 EQT851971 FAP851971 FKL851971 FUH851971 GED851971 GNZ851971 GXV851971 HHR851971 HRN851971 IBJ851971 ILF851971 IVB851971 JEX851971 JOT851971 JYP851971 KIL851971 KSH851971 LCD851971 LLZ851971 LVV851971 MFR851971 MPN851971 MZJ851971 NJF851971 NTB851971 OCX851971 OMT851971 OWP851971 PGL851971 PQH851971 QAD851971 QJZ851971 QTV851971 RDR851971 RNN851971 RXJ851971 SHF851971 SRB851971 TAX851971 TKT851971 TUP851971 UEL851971 UOH851971 UYD851971 VHZ851971 VRV851971 WBR851971 WLN851971 WVJ851971 B917507 IX917507 ST917507 ACP917507 AML917507 AWH917507 BGD917507 BPZ917507 BZV917507 CJR917507 CTN917507 DDJ917507 DNF917507 DXB917507 EGX917507 EQT917507 FAP917507 FKL917507 FUH917507 GED917507 GNZ917507 GXV917507 HHR917507 HRN917507 IBJ917507 ILF917507 IVB917507 JEX917507 JOT917507 JYP917507 KIL917507 KSH917507 LCD917507 LLZ917507 LVV917507 MFR917507 MPN917507 MZJ917507 NJF917507 NTB917507 OCX917507 OMT917507 OWP917507 PGL917507 PQH917507 QAD917507 QJZ917507 QTV917507 RDR917507 RNN917507 RXJ917507 SHF917507 SRB917507 TAX917507 TKT917507 TUP917507 UEL917507 UOH917507 UYD917507 VHZ917507 VRV917507 WBR917507 WLN917507 WVJ917507 B983043 IX983043 ST983043 ACP983043 AML983043 AWH983043 BGD983043 BPZ983043 BZV983043 CJR983043 CTN983043 DDJ983043 DNF983043 DXB983043 EGX983043 EQT983043 FAP983043 FKL983043 FUH983043 GED983043 GNZ983043 GXV983043 HHR983043 HRN983043 IBJ983043 ILF983043 IVB983043 JEX983043 JOT983043 JYP983043 KIL983043 KSH983043 LCD983043 LLZ983043 LVV983043 MFR983043 MPN983043 MZJ983043 NJF983043 NTB983043 OCX983043 OMT983043 OWP983043 PGL983043 PQH983043 QAD983043 QJZ983043 QTV983043 RDR983043 RNN983043 RXJ983043 SHF983043 SRB983043 TAX983043 TKT983043 TUP983043 UEL983043 UOH983043 UYD983043 VHZ983043 VRV983043 WBR983043 WLN983043 WVJ983043" xr:uid="{00000000-0002-0000-0000-000000000000}">
      <formula1>"2017,2018,2019,2020,2021,2022,2023,2024"</formula1>
    </dataValidation>
    <dataValidation type="list" allowBlank="1" showInputMessage="1" showErrorMessage="1" sqref="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B65540 IX65540 ST65540 ACP65540 AML65540 AWH65540 BGD65540 BPZ65540 BZV65540 CJR65540 CTN65540 DDJ65540 DNF65540 DXB65540 EGX65540 EQT65540 FAP65540 FKL65540 FUH65540 GED65540 GNZ65540 GXV65540 HHR65540 HRN65540 IBJ65540 ILF65540 IVB65540 JEX65540 JOT65540 JYP65540 KIL65540 KSH65540 LCD65540 LLZ65540 LVV65540 MFR65540 MPN65540 MZJ65540 NJF65540 NTB65540 OCX65540 OMT65540 OWP65540 PGL65540 PQH65540 QAD65540 QJZ65540 QTV65540 RDR65540 RNN65540 RXJ65540 SHF65540 SRB65540 TAX65540 TKT65540 TUP65540 UEL65540 UOH65540 UYD65540 VHZ65540 VRV65540 WBR65540 WLN65540 WVJ65540 B131076 IX131076 ST131076 ACP131076 AML131076 AWH131076 BGD131076 BPZ131076 BZV131076 CJR131076 CTN131076 DDJ131076 DNF131076 DXB131076 EGX131076 EQT131076 FAP131076 FKL131076 FUH131076 GED131076 GNZ131076 GXV131076 HHR131076 HRN131076 IBJ131076 ILF131076 IVB131076 JEX131076 JOT131076 JYP131076 KIL131076 KSH131076 LCD131076 LLZ131076 LVV131076 MFR131076 MPN131076 MZJ131076 NJF131076 NTB131076 OCX131076 OMT131076 OWP131076 PGL131076 PQH131076 QAD131076 QJZ131076 QTV131076 RDR131076 RNN131076 RXJ131076 SHF131076 SRB131076 TAX131076 TKT131076 TUP131076 UEL131076 UOH131076 UYD131076 VHZ131076 VRV131076 WBR131076 WLN131076 WVJ131076 B196612 IX196612 ST196612 ACP196612 AML196612 AWH196612 BGD196612 BPZ196612 BZV196612 CJR196612 CTN196612 DDJ196612 DNF196612 DXB196612 EGX196612 EQT196612 FAP196612 FKL196612 FUH196612 GED196612 GNZ196612 GXV196612 HHR196612 HRN196612 IBJ196612 ILF196612 IVB196612 JEX196612 JOT196612 JYP196612 KIL196612 KSH196612 LCD196612 LLZ196612 LVV196612 MFR196612 MPN196612 MZJ196612 NJF196612 NTB196612 OCX196612 OMT196612 OWP196612 PGL196612 PQH196612 QAD196612 QJZ196612 QTV196612 RDR196612 RNN196612 RXJ196612 SHF196612 SRB196612 TAX196612 TKT196612 TUP196612 UEL196612 UOH196612 UYD196612 VHZ196612 VRV196612 WBR196612 WLN196612 WVJ196612 B262148 IX262148 ST262148 ACP262148 AML262148 AWH262148 BGD262148 BPZ262148 BZV262148 CJR262148 CTN262148 DDJ262148 DNF262148 DXB262148 EGX262148 EQT262148 FAP262148 FKL262148 FUH262148 GED262148 GNZ262148 GXV262148 HHR262148 HRN262148 IBJ262148 ILF262148 IVB262148 JEX262148 JOT262148 JYP262148 KIL262148 KSH262148 LCD262148 LLZ262148 LVV262148 MFR262148 MPN262148 MZJ262148 NJF262148 NTB262148 OCX262148 OMT262148 OWP262148 PGL262148 PQH262148 QAD262148 QJZ262148 QTV262148 RDR262148 RNN262148 RXJ262148 SHF262148 SRB262148 TAX262148 TKT262148 TUP262148 UEL262148 UOH262148 UYD262148 VHZ262148 VRV262148 WBR262148 WLN262148 WVJ262148 B327684 IX327684 ST327684 ACP327684 AML327684 AWH327684 BGD327684 BPZ327684 BZV327684 CJR327684 CTN327684 DDJ327684 DNF327684 DXB327684 EGX327684 EQT327684 FAP327684 FKL327684 FUH327684 GED327684 GNZ327684 GXV327684 HHR327684 HRN327684 IBJ327684 ILF327684 IVB327684 JEX327684 JOT327684 JYP327684 KIL327684 KSH327684 LCD327684 LLZ327684 LVV327684 MFR327684 MPN327684 MZJ327684 NJF327684 NTB327684 OCX327684 OMT327684 OWP327684 PGL327684 PQH327684 QAD327684 QJZ327684 QTV327684 RDR327684 RNN327684 RXJ327684 SHF327684 SRB327684 TAX327684 TKT327684 TUP327684 UEL327684 UOH327684 UYD327684 VHZ327684 VRV327684 WBR327684 WLN327684 WVJ327684 B393220 IX393220 ST393220 ACP393220 AML393220 AWH393220 BGD393220 BPZ393220 BZV393220 CJR393220 CTN393220 DDJ393220 DNF393220 DXB393220 EGX393220 EQT393220 FAP393220 FKL393220 FUH393220 GED393220 GNZ393220 GXV393220 HHR393220 HRN393220 IBJ393220 ILF393220 IVB393220 JEX393220 JOT393220 JYP393220 KIL393220 KSH393220 LCD393220 LLZ393220 LVV393220 MFR393220 MPN393220 MZJ393220 NJF393220 NTB393220 OCX393220 OMT393220 OWP393220 PGL393220 PQH393220 QAD393220 QJZ393220 QTV393220 RDR393220 RNN393220 RXJ393220 SHF393220 SRB393220 TAX393220 TKT393220 TUP393220 UEL393220 UOH393220 UYD393220 VHZ393220 VRV393220 WBR393220 WLN393220 WVJ393220 B458756 IX458756 ST458756 ACP458756 AML458756 AWH458756 BGD458756 BPZ458756 BZV458756 CJR458756 CTN458756 DDJ458756 DNF458756 DXB458756 EGX458756 EQT458756 FAP458756 FKL458756 FUH458756 GED458756 GNZ458756 GXV458756 HHR458756 HRN458756 IBJ458756 ILF458756 IVB458756 JEX458756 JOT458756 JYP458756 KIL458756 KSH458756 LCD458756 LLZ458756 LVV458756 MFR458756 MPN458756 MZJ458756 NJF458756 NTB458756 OCX458756 OMT458756 OWP458756 PGL458756 PQH458756 QAD458756 QJZ458756 QTV458756 RDR458756 RNN458756 RXJ458756 SHF458756 SRB458756 TAX458756 TKT458756 TUP458756 UEL458756 UOH458756 UYD458756 VHZ458756 VRV458756 WBR458756 WLN458756 WVJ458756 B524292 IX524292 ST524292 ACP524292 AML524292 AWH524292 BGD524292 BPZ524292 BZV524292 CJR524292 CTN524292 DDJ524292 DNF524292 DXB524292 EGX524292 EQT524292 FAP524292 FKL524292 FUH524292 GED524292 GNZ524292 GXV524292 HHR524292 HRN524292 IBJ524292 ILF524292 IVB524292 JEX524292 JOT524292 JYP524292 KIL524292 KSH524292 LCD524292 LLZ524292 LVV524292 MFR524292 MPN524292 MZJ524292 NJF524292 NTB524292 OCX524292 OMT524292 OWP524292 PGL524292 PQH524292 QAD524292 QJZ524292 QTV524292 RDR524292 RNN524292 RXJ524292 SHF524292 SRB524292 TAX524292 TKT524292 TUP524292 UEL524292 UOH524292 UYD524292 VHZ524292 VRV524292 WBR524292 WLN524292 WVJ524292 B589828 IX589828 ST589828 ACP589828 AML589828 AWH589828 BGD589828 BPZ589828 BZV589828 CJR589828 CTN589828 DDJ589828 DNF589828 DXB589828 EGX589828 EQT589828 FAP589828 FKL589828 FUH589828 GED589828 GNZ589828 GXV589828 HHR589828 HRN589828 IBJ589828 ILF589828 IVB589828 JEX589828 JOT589828 JYP589828 KIL589828 KSH589828 LCD589828 LLZ589828 LVV589828 MFR589828 MPN589828 MZJ589828 NJF589828 NTB589828 OCX589828 OMT589828 OWP589828 PGL589828 PQH589828 QAD589828 QJZ589828 QTV589828 RDR589828 RNN589828 RXJ589828 SHF589828 SRB589828 TAX589828 TKT589828 TUP589828 UEL589828 UOH589828 UYD589828 VHZ589828 VRV589828 WBR589828 WLN589828 WVJ589828 B655364 IX655364 ST655364 ACP655364 AML655364 AWH655364 BGD655364 BPZ655364 BZV655364 CJR655364 CTN655364 DDJ655364 DNF655364 DXB655364 EGX655364 EQT655364 FAP655364 FKL655364 FUH655364 GED655364 GNZ655364 GXV655364 HHR655364 HRN655364 IBJ655364 ILF655364 IVB655364 JEX655364 JOT655364 JYP655364 KIL655364 KSH655364 LCD655364 LLZ655364 LVV655364 MFR655364 MPN655364 MZJ655364 NJF655364 NTB655364 OCX655364 OMT655364 OWP655364 PGL655364 PQH655364 QAD655364 QJZ655364 QTV655364 RDR655364 RNN655364 RXJ655364 SHF655364 SRB655364 TAX655364 TKT655364 TUP655364 UEL655364 UOH655364 UYD655364 VHZ655364 VRV655364 WBR655364 WLN655364 WVJ655364 B720900 IX720900 ST720900 ACP720900 AML720900 AWH720900 BGD720900 BPZ720900 BZV720900 CJR720900 CTN720900 DDJ720900 DNF720900 DXB720900 EGX720900 EQT720900 FAP720900 FKL720900 FUH720900 GED720900 GNZ720900 GXV720900 HHR720900 HRN720900 IBJ720900 ILF720900 IVB720900 JEX720900 JOT720900 JYP720900 KIL720900 KSH720900 LCD720900 LLZ720900 LVV720900 MFR720900 MPN720900 MZJ720900 NJF720900 NTB720900 OCX720900 OMT720900 OWP720900 PGL720900 PQH720900 QAD720900 QJZ720900 QTV720900 RDR720900 RNN720900 RXJ720900 SHF720900 SRB720900 TAX720900 TKT720900 TUP720900 UEL720900 UOH720900 UYD720900 VHZ720900 VRV720900 WBR720900 WLN720900 WVJ720900 B786436 IX786436 ST786436 ACP786436 AML786436 AWH786436 BGD786436 BPZ786436 BZV786436 CJR786436 CTN786436 DDJ786436 DNF786436 DXB786436 EGX786436 EQT786436 FAP786436 FKL786436 FUH786436 GED786436 GNZ786436 GXV786436 HHR786436 HRN786436 IBJ786436 ILF786436 IVB786436 JEX786436 JOT786436 JYP786436 KIL786436 KSH786436 LCD786436 LLZ786436 LVV786436 MFR786436 MPN786436 MZJ786436 NJF786436 NTB786436 OCX786436 OMT786436 OWP786436 PGL786436 PQH786436 QAD786436 QJZ786436 QTV786436 RDR786436 RNN786436 RXJ786436 SHF786436 SRB786436 TAX786436 TKT786436 TUP786436 UEL786436 UOH786436 UYD786436 VHZ786436 VRV786436 WBR786436 WLN786436 WVJ786436 B851972 IX851972 ST851972 ACP851972 AML851972 AWH851972 BGD851972 BPZ851972 BZV851972 CJR851972 CTN851972 DDJ851972 DNF851972 DXB851972 EGX851972 EQT851972 FAP851972 FKL851972 FUH851972 GED851972 GNZ851972 GXV851972 HHR851972 HRN851972 IBJ851972 ILF851972 IVB851972 JEX851972 JOT851972 JYP851972 KIL851972 KSH851972 LCD851972 LLZ851972 LVV851972 MFR851972 MPN851972 MZJ851972 NJF851972 NTB851972 OCX851972 OMT851972 OWP851972 PGL851972 PQH851972 QAD851972 QJZ851972 QTV851972 RDR851972 RNN851972 RXJ851972 SHF851972 SRB851972 TAX851972 TKT851972 TUP851972 UEL851972 UOH851972 UYD851972 VHZ851972 VRV851972 WBR851972 WLN851972 WVJ851972 B917508 IX917508 ST917508 ACP917508 AML917508 AWH917508 BGD917508 BPZ917508 BZV917508 CJR917508 CTN917508 DDJ917508 DNF917508 DXB917508 EGX917508 EQT917508 FAP917508 FKL917508 FUH917508 GED917508 GNZ917508 GXV917508 HHR917508 HRN917508 IBJ917508 ILF917508 IVB917508 JEX917508 JOT917508 JYP917508 KIL917508 KSH917508 LCD917508 LLZ917508 LVV917508 MFR917508 MPN917508 MZJ917508 NJF917508 NTB917508 OCX917508 OMT917508 OWP917508 PGL917508 PQH917508 QAD917508 QJZ917508 QTV917508 RDR917508 RNN917508 RXJ917508 SHF917508 SRB917508 TAX917508 TKT917508 TUP917508 UEL917508 UOH917508 UYD917508 VHZ917508 VRV917508 WBR917508 WLN917508 WVJ917508 B983044 IX983044 ST983044 ACP983044 AML983044 AWH983044 BGD983044 BPZ983044 BZV983044 CJR983044 CTN983044 DDJ983044 DNF983044 DXB983044 EGX983044 EQT983044 FAP983044 FKL983044 FUH983044 GED983044 GNZ983044 GXV983044 HHR983044 HRN983044 IBJ983044 ILF983044 IVB983044 JEX983044 JOT983044 JYP983044 KIL983044 KSH983044 LCD983044 LLZ983044 LVV983044 MFR983044 MPN983044 MZJ983044 NJF983044 NTB983044 OCX983044 OMT983044 OWP983044 PGL983044 PQH983044 QAD983044 QJZ983044 QTV983044 RDR983044 RNN983044 RXJ983044 SHF983044 SRB983044 TAX983044 TKT983044 TUP983044 UEL983044 UOH983044 UYD983044 VHZ983044 VRV983044 WBR983044 WLN983044 WVJ983044" xr:uid="{00000000-0002-0000-0000-000001000000}">
      <formula1>"Rmb,HK$,US$,Rs,¥,₩,NT$,EUR,S$"</formula1>
    </dataValidation>
    <dataValidation type="list" allowBlank="1" showInputMessage="1" showErrorMessage="1" sqref="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xr:uid="{00000000-0002-0000-0000-000002000000}">
      <formula1>"mn,bn,trn"</formula1>
    </dataValidation>
    <dataValidation allowBlank="1" showInputMessage="1" showErrorMessage="1" sqref="B6:B7 B65542:B65543 B131078:B131079 B196614:B196615 B262150:B262151 B327686:B327687 B393222:B393223 B458758:B458759 B524294:B524295 B589830:B589831 B655366:B655367 B720902:B720903 B786438:B786439 B851974:B851975 B917510:B917511 B983046:B983047 IX6:IX7 IX65542:IX65543 IX131078:IX131079 IX196614:IX196615 IX262150:IX262151 IX327686:IX327687 IX393222:IX393223 IX458758:IX458759 IX524294:IX524295 IX589830:IX589831 IX655366:IX655367 IX720902:IX720903 IX786438:IX786439 IX851974:IX851975 IX917510:IX917511 IX983046:IX983047 ST6:ST7 ST65542:ST65543 ST131078:ST131079 ST196614:ST196615 ST262150:ST262151 ST327686:ST327687 ST393222:ST393223 ST458758:ST458759 ST524294:ST524295 ST589830:ST589831 ST655366:ST655367 ST720902:ST720903 ST786438:ST786439 ST851974:ST851975 ST917510:ST917511 ST983046:ST983047 ACP6:ACP7 ACP65542:ACP65543 ACP131078:ACP131079 ACP196614:ACP196615 ACP262150:ACP262151 ACP327686:ACP327687 ACP393222:ACP393223 ACP458758:ACP458759 ACP524294:ACP524295 ACP589830:ACP589831 ACP655366:ACP655367 ACP720902:ACP720903 ACP786438:ACP786439 ACP851974:ACP851975 ACP917510:ACP917511 ACP983046:ACP983047 AML6:AML7 AML65542:AML65543 AML131078:AML131079 AML196614:AML196615 AML262150:AML262151 AML327686:AML327687 AML393222:AML393223 AML458758:AML458759 AML524294:AML524295 AML589830:AML589831 AML655366:AML655367 AML720902:AML720903 AML786438:AML786439 AML851974:AML851975 AML917510:AML917511 AML983046:AML983047 AWH6:AWH7 AWH65542:AWH65543 AWH131078:AWH131079 AWH196614:AWH196615 AWH262150:AWH262151 AWH327686:AWH327687 AWH393222:AWH393223 AWH458758:AWH458759 AWH524294:AWH524295 AWH589830:AWH589831 AWH655366:AWH655367 AWH720902:AWH720903 AWH786438:AWH786439 AWH851974:AWH851975 AWH917510:AWH917511 AWH983046:AWH983047 BGD6:BGD7 BGD65542:BGD65543 BGD131078:BGD131079 BGD196614:BGD196615 BGD262150:BGD262151 BGD327686:BGD327687 BGD393222:BGD393223 BGD458758:BGD458759 BGD524294:BGD524295 BGD589830:BGD589831 BGD655366:BGD655367 BGD720902:BGD720903 BGD786438:BGD786439 BGD851974:BGD851975 BGD917510:BGD917511 BGD983046:BGD983047 BPZ6:BPZ7 BPZ65542:BPZ65543 BPZ131078:BPZ131079 BPZ196614:BPZ196615 BPZ262150:BPZ262151 BPZ327686:BPZ327687 BPZ393222:BPZ393223 BPZ458758:BPZ458759 BPZ524294:BPZ524295 BPZ589830:BPZ589831 BPZ655366:BPZ655367 BPZ720902:BPZ720903 BPZ786438:BPZ786439 BPZ851974:BPZ851975 BPZ917510:BPZ917511 BPZ983046:BPZ983047 BZV6:BZV7 BZV65542:BZV65543 BZV131078:BZV131079 BZV196614:BZV196615 BZV262150:BZV262151 BZV327686:BZV327687 BZV393222:BZV393223 BZV458758:BZV458759 BZV524294:BZV524295 BZV589830:BZV589831 BZV655366:BZV655367 BZV720902:BZV720903 BZV786438:BZV786439 BZV851974:BZV851975 BZV917510:BZV917511 BZV983046:BZV983047 CJR6:CJR7 CJR65542:CJR65543 CJR131078:CJR131079 CJR196614:CJR196615 CJR262150:CJR262151 CJR327686:CJR327687 CJR393222:CJR393223 CJR458758:CJR458759 CJR524294:CJR524295 CJR589830:CJR589831 CJR655366:CJR655367 CJR720902:CJR720903 CJR786438:CJR786439 CJR851974:CJR851975 CJR917510:CJR917511 CJR983046:CJR983047 CTN6:CTN7 CTN65542:CTN65543 CTN131078:CTN131079 CTN196614:CTN196615 CTN262150:CTN262151 CTN327686:CTN327687 CTN393222:CTN393223 CTN458758:CTN458759 CTN524294:CTN524295 CTN589830:CTN589831 CTN655366:CTN655367 CTN720902:CTN720903 CTN786438:CTN786439 CTN851974:CTN851975 CTN917510:CTN917511 CTN983046:CTN983047 DDJ6:DDJ7 DDJ65542:DDJ65543 DDJ131078:DDJ131079 DDJ196614:DDJ196615 DDJ262150:DDJ262151 DDJ327686:DDJ327687 DDJ393222:DDJ393223 DDJ458758:DDJ458759 DDJ524294:DDJ524295 DDJ589830:DDJ589831 DDJ655366:DDJ655367 DDJ720902:DDJ720903 DDJ786438:DDJ786439 DDJ851974:DDJ851975 DDJ917510:DDJ917511 DDJ983046:DDJ983047 DNF6:DNF7 DNF65542:DNF65543 DNF131078:DNF131079 DNF196614:DNF196615 DNF262150:DNF262151 DNF327686:DNF327687 DNF393222:DNF393223 DNF458758:DNF458759 DNF524294:DNF524295 DNF589830:DNF589831 DNF655366:DNF655367 DNF720902:DNF720903 DNF786438:DNF786439 DNF851974:DNF851975 DNF917510:DNF917511 DNF983046:DNF983047 DXB6:DXB7 DXB65542:DXB65543 DXB131078:DXB131079 DXB196614:DXB196615 DXB262150:DXB262151 DXB327686:DXB327687 DXB393222:DXB393223 DXB458758:DXB458759 DXB524294:DXB524295 DXB589830:DXB589831 DXB655366:DXB655367 DXB720902:DXB720903 DXB786438:DXB786439 DXB851974:DXB851975 DXB917510:DXB917511 DXB983046:DXB983047 EGX6:EGX7 EGX65542:EGX65543 EGX131078:EGX131079 EGX196614:EGX196615 EGX262150:EGX262151 EGX327686:EGX327687 EGX393222:EGX393223 EGX458758:EGX458759 EGX524294:EGX524295 EGX589830:EGX589831 EGX655366:EGX655367 EGX720902:EGX720903 EGX786438:EGX786439 EGX851974:EGX851975 EGX917510:EGX917511 EGX983046:EGX983047 EQT6:EQT7 EQT65542:EQT65543 EQT131078:EQT131079 EQT196614:EQT196615 EQT262150:EQT262151 EQT327686:EQT327687 EQT393222:EQT393223 EQT458758:EQT458759 EQT524294:EQT524295 EQT589830:EQT589831 EQT655366:EQT655367 EQT720902:EQT720903 EQT786438:EQT786439 EQT851974:EQT851975 EQT917510:EQT917511 EQT983046:EQT983047 FAP6:FAP7 FAP65542:FAP65543 FAP131078:FAP131079 FAP196614:FAP196615 FAP262150:FAP262151 FAP327686:FAP327687 FAP393222:FAP393223 FAP458758:FAP458759 FAP524294:FAP524295 FAP589830:FAP589831 FAP655366:FAP655367 FAP720902:FAP720903 FAP786438:FAP786439 FAP851974:FAP851975 FAP917510:FAP917511 FAP983046:FAP983047 FKL6:FKL7 FKL65542:FKL65543 FKL131078:FKL131079 FKL196614:FKL196615 FKL262150:FKL262151 FKL327686:FKL327687 FKL393222:FKL393223 FKL458758:FKL458759 FKL524294:FKL524295 FKL589830:FKL589831 FKL655366:FKL655367 FKL720902:FKL720903 FKL786438:FKL786439 FKL851974:FKL851975 FKL917510:FKL917511 FKL983046:FKL983047 FUH6:FUH7 FUH65542:FUH65543 FUH131078:FUH131079 FUH196614:FUH196615 FUH262150:FUH262151 FUH327686:FUH327687 FUH393222:FUH393223 FUH458758:FUH458759 FUH524294:FUH524295 FUH589830:FUH589831 FUH655366:FUH655367 FUH720902:FUH720903 FUH786438:FUH786439 FUH851974:FUH851975 FUH917510:FUH917511 FUH983046:FUH983047 GED6:GED7 GED65542:GED65543 GED131078:GED131079 GED196614:GED196615 GED262150:GED262151 GED327686:GED327687 GED393222:GED393223 GED458758:GED458759 GED524294:GED524295 GED589830:GED589831 GED655366:GED655367 GED720902:GED720903 GED786438:GED786439 GED851974:GED851975 GED917510:GED917511 GED983046:GED983047 GNZ6:GNZ7 GNZ65542:GNZ65543 GNZ131078:GNZ131079 GNZ196614:GNZ196615 GNZ262150:GNZ262151 GNZ327686:GNZ327687 GNZ393222:GNZ393223 GNZ458758:GNZ458759 GNZ524294:GNZ524295 GNZ589830:GNZ589831 GNZ655366:GNZ655367 GNZ720902:GNZ720903 GNZ786438:GNZ786439 GNZ851974:GNZ851975 GNZ917510:GNZ917511 GNZ983046:GNZ983047 GXV6:GXV7 GXV65542:GXV65543 GXV131078:GXV131079 GXV196614:GXV196615 GXV262150:GXV262151 GXV327686:GXV327687 GXV393222:GXV393223 GXV458758:GXV458759 GXV524294:GXV524295 GXV589830:GXV589831 GXV655366:GXV655367 GXV720902:GXV720903 GXV786438:GXV786439 GXV851974:GXV851975 GXV917510:GXV917511 GXV983046:GXV983047 HHR6:HHR7 HHR65542:HHR65543 HHR131078:HHR131079 HHR196614:HHR196615 HHR262150:HHR262151 HHR327686:HHR327687 HHR393222:HHR393223 HHR458758:HHR458759 HHR524294:HHR524295 HHR589830:HHR589831 HHR655366:HHR655367 HHR720902:HHR720903 HHR786438:HHR786439 HHR851974:HHR851975 HHR917510:HHR917511 HHR983046:HHR983047 HRN6:HRN7 HRN65542:HRN65543 HRN131078:HRN131079 HRN196614:HRN196615 HRN262150:HRN262151 HRN327686:HRN327687 HRN393222:HRN393223 HRN458758:HRN458759 HRN524294:HRN524295 HRN589830:HRN589831 HRN655366:HRN655367 HRN720902:HRN720903 HRN786438:HRN786439 HRN851974:HRN851975 HRN917510:HRN917511 HRN983046:HRN983047 IBJ6:IBJ7 IBJ65542:IBJ65543 IBJ131078:IBJ131079 IBJ196614:IBJ196615 IBJ262150:IBJ262151 IBJ327686:IBJ327687 IBJ393222:IBJ393223 IBJ458758:IBJ458759 IBJ524294:IBJ524295 IBJ589830:IBJ589831 IBJ655366:IBJ655367 IBJ720902:IBJ720903 IBJ786438:IBJ786439 IBJ851974:IBJ851975 IBJ917510:IBJ917511 IBJ983046:IBJ983047 ILF6:ILF7 ILF65542:ILF65543 ILF131078:ILF131079 ILF196614:ILF196615 ILF262150:ILF262151 ILF327686:ILF327687 ILF393222:ILF393223 ILF458758:ILF458759 ILF524294:ILF524295 ILF589830:ILF589831 ILF655366:ILF655367 ILF720902:ILF720903 ILF786438:ILF786439 ILF851974:ILF851975 ILF917510:ILF917511 ILF983046:ILF983047 IVB6:IVB7 IVB65542:IVB65543 IVB131078:IVB131079 IVB196614:IVB196615 IVB262150:IVB262151 IVB327686:IVB327687 IVB393222:IVB393223 IVB458758:IVB458759 IVB524294:IVB524295 IVB589830:IVB589831 IVB655366:IVB655367 IVB720902:IVB720903 IVB786438:IVB786439 IVB851974:IVB851975 IVB917510:IVB917511 IVB983046:IVB983047 JEX6:JEX7 JEX65542:JEX65543 JEX131078:JEX131079 JEX196614:JEX196615 JEX262150:JEX262151 JEX327686:JEX327687 JEX393222:JEX393223 JEX458758:JEX458759 JEX524294:JEX524295 JEX589830:JEX589831 JEX655366:JEX655367 JEX720902:JEX720903 JEX786438:JEX786439 JEX851974:JEX851975 JEX917510:JEX917511 JEX983046:JEX983047 JOT6:JOT7 JOT65542:JOT65543 JOT131078:JOT131079 JOT196614:JOT196615 JOT262150:JOT262151 JOT327686:JOT327687 JOT393222:JOT393223 JOT458758:JOT458759 JOT524294:JOT524295 JOT589830:JOT589831 JOT655366:JOT655367 JOT720902:JOT720903 JOT786438:JOT786439 JOT851974:JOT851975 JOT917510:JOT917511 JOT983046:JOT983047 JYP6:JYP7 JYP65542:JYP65543 JYP131078:JYP131079 JYP196614:JYP196615 JYP262150:JYP262151 JYP327686:JYP327687 JYP393222:JYP393223 JYP458758:JYP458759 JYP524294:JYP524295 JYP589830:JYP589831 JYP655366:JYP655367 JYP720902:JYP720903 JYP786438:JYP786439 JYP851974:JYP851975 JYP917510:JYP917511 JYP983046:JYP983047 KIL6:KIL7 KIL65542:KIL65543 KIL131078:KIL131079 KIL196614:KIL196615 KIL262150:KIL262151 KIL327686:KIL327687 KIL393222:KIL393223 KIL458758:KIL458759 KIL524294:KIL524295 KIL589830:KIL589831 KIL655366:KIL655367 KIL720902:KIL720903 KIL786438:KIL786439 KIL851974:KIL851975 KIL917510:KIL917511 KIL983046:KIL983047 KSH6:KSH7 KSH65542:KSH65543 KSH131078:KSH131079 KSH196614:KSH196615 KSH262150:KSH262151 KSH327686:KSH327687 KSH393222:KSH393223 KSH458758:KSH458759 KSH524294:KSH524295 KSH589830:KSH589831 KSH655366:KSH655367 KSH720902:KSH720903 KSH786438:KSH786439 KSH851974:KSH851975 KSH917510:KSH917511 KSH983046:KSH983047 LCD6:LCD7 LCD65542:LCD65543 LCD131078:LCD131079 LCD196614:LCD196615 LCD262150:LCD262151 LCD327686:LCD327687 LCD393222:LCD393223 LCD458758:LCD458759 LCD524294:LCD524295 LCD589830:LCD589831 LCD655366:LCD655367 LCD720902:LCD720903 LCD786438:LCD786439 LCD851974:LCD851975 LCD917510:LCD917511 LCD983046:LCD983047 LLZ6:LLZ7 LLZ65542:LLZ65543 LLZ131078:LLZ131079 LLZ196614:LLZ196615 LLZ262150:LLZ262151 LLZ327686:LLZ327687 LLZ393222:LLZ393223 LLZ458758:LLZ458759 LLZ524294:LLZ524295 LLZ589830:LLZ589831 LLZ655366:LLZ655367 LLZ720902:LLZ720903 LLZ786438:LLZ786439 LLZ851974:LLZ851975 LLZ917510:LLZ917511 LLZ983046:LLZ983047 LVV6:LVV7 LVV65542:LVV65543 LVV131078:LVV131079 LVV196614:LVV196615 LVV262150:LVV262151 LVV327686:LVV327687 LVV393222:LVV393223 LVV458758:LVV458759 LVV524294:LVV524295 LVV589830:LVV589831 LVV655366:LVV655367 LVV720902:LVV720903 LVV786438:LVV786439 LVV851974:LVV851975 LVV917510:LVV917511 LVV983046:LVV983047 MFR6:MFR7 MFR65542:MFR65543 MFR131078:MFR131079 MFR196614:MFR196615 MFR262150:MFR262151 MFR327686:MFR327687 MFR393222:MFR393223 MFR458758:MFR458759 MFR524294:MFR524295 MFR589830:MFR589831 MFR655366:MFR655367 MFR720902:MFR720903 MFR786438:MFR786439 MFR851974:MFR851975 MFR917510:MFR917511 MFR983046:MFR983047 MPN6:MPN7 MPN65542:MPN65543 MPN131078:MPN131079 MPN196614:MPN196615 MPN262150:MPN262151 MPN327686:MPN327687 MPN393222:MPN393223 MPN458758:MPN458759 MPN524294:MPN524295 MPN589830:MPN589831 MPN655366:MPN655367 MPN720902:MPN720903 MPN786438:MPN786439 MPN851974:MPN851975 MPN917510:MPN917511 MPN983046:MPN983047 MZJ6:MZJ7 MZJ65542:MZJ65543 MZJ131078:MZJ131079 MZJ196614:MZJ196615 MZJ262150:MZJ262151 MZJ327686:MZJ327687 MZJ393222:MZJ393223 MZJ458758:MZJ458759 MZJ524294:MZJ524295 MZJ589830:MZJ589831 MZJ655366:MZJ655367 MZJ720902:MZJ720903 MZJ786438:MZJ786439 MZJ851974:MZJ851975 MZJ917510:MZJ917511 MZJ983046:MZJ983047 NJF6:NJF7 NJF65542:NJF65543 NJF131078:NJF131079 NJF196614:NJF196615 NJF262150:NJF262151 NJF327686:NJF327687 NJF393222:NJF393223 NJF458758:NJF458759 NJF524294:NJF524295 NJF589830:NJF589831 NJF655366:NJF655367 NJF720902:NJF720903 NJF786438:NJF786439 NJF851974:NJF851975 NJF917510:NJF917511 NJF983046:NJF983047 NTB6:NTB7 NTB65542:NTB65543 NTB131078:NTB131079 NTB196614:NTB196615 NTB262150:NTB262151 NTB327686:NTB327687 NTB393222:NTB393223 NTB458758:NTB458759 NTB524294:NTB524295 NTB589830:NTB589831 NTB655366:NTB655367 NTB720902:NTB720903 NTB786438:NTB786439 NTB851974:NTB851975 NTB917510:NTB917511 NTB983046:NTB983047 OCX6:OCX7 OCX65542:OCX65543 OCX131078:OCX131079 OCX196614:OCX196615 OCX262150:OCX262151 OCX327686:OCX327687 OCX393222:OCX393223 OCX458758:OCX458759 OCX524294:OCX524295 OCX589830:OCX589831 OCX655366:OCX655367 OCX720902:OCX720903 OCX786438:OCX786439 OCX851974:OCX851975 OCX917510:OCX917511 OCX983046:OCX983047 OMT6:OMT7 OMT65542:OMT65543 OMT131078:OMT131079 OMT196614:OMT196615 OMT262150:OMT262151 OMT327686:OMT327687 OMT393222:OMT393223 OMT458758:OMT458759 OMT524294:OMT524295 OMT589830:OMT589831 OMT655366:OMT655367 OMT720902:OMT720903 OMT786438:OMT786439 OMT851974:OMT851975 OMT917510:OMT917511 OMT983046:OMT983047 OWP6:OWP7 OWP65542:OWP65543 OWP131078:OWP131079 OWP196614:OWP196615 OWP262150:OWP262151 OWP327686:OWP327687 OWP393222:OWP393223 OWP458758:OWP458759 OWP524294:OWP524295 OWP589830:OWP589831 OWP655366:OWP655367 OWP720902:OWP720903 OWP786438:OWP786439 OWP851974:OWP851975 OWP917510:OWP917511 OWP983046:OWP983047 PGL6:PGL7 PGL65542:PGL65543 PGL131078:PGL131079 PGL196614:PGL196615 PGL262150:PGL262151 PGL327686:PGL327687 PGL393222:PGL393223 PGL458758:PGL458759 PGL524294:PGL524295 PGL589830:PGL589831 PGL655366:PGL655367 PGL720902:PGL720903 PGL786438:PGL786439 PGL851974:PGL851975 PGL917510:PGL917511 PGL983046:PGL983047 PQH6:PQH7 PQH65542:PQH65543 PQH131078:PQH131079 PQH196614:PQH196615 PQH262150:PQH262151 PQH327686:PQH327687 PQH393222:PQH393223 PQH458758:PQH458759 PQH524294:PQH524295 PQH589830:PQH589831 PQH655366:PQH655367 PQH720902:PQH720903 PQH786438:PQH786439 PQH851974:PQH851975 PQH917510:PQH917511 PQH983046:PQH983047 QAD6:QAD7 QAD65542:QAD65543 QAD131078:QAD131079 QAD196614:QAD196615 QAD262150:QAD262151 QAD327686:QAD327687 QAD393222:QAD393223 QAD458758:QAD458759 QAD524294:QAD524295 QAD589830:QAD589831 QAD655366:QAD655367 QAD720902:QAD720903 QAD786438:QAD786439 QAD851974:QAD851975 QAD917510:QAD917511 QAD983046:QAD983047 QJZ6:QJZ7 QJZ65542:QJZ65543 QJZ131078:QJZ131079 QJZ196614:QJZ196615 QJZ262150:QJZ262151 QJZ327686:QJZ327687 QJZ393222:QJZ393223 QJZ458758:QJZ458759 QJZ524294:QJZ524295 QJZ589830:QJZ589831 QJZ655366:QJZ655367 QJZ720902:QJZ720903 QJZ786438:QJZ786439 QJZ851974:QJZ851975 QJZ917510:QJZ917511 QJZ983046:QJZ983047 QTV6:QTV7 QTV65542:QTV65543 QTV131078:QTV131079 QTV196614:QTV196615 QTV262150:QTV262151 QTV327686:QTV327687 QTV393222:QTV393223 QTV458758:QTV458759 QTV524294:QTV524295 QTV589830:QTV589831 QTV655366:QTV655367 QTV720902:QTV720903 QTV786438:QTV786439 QTV851974:QTV851975 QTV917510:QTV917511 QTV983046:QTV983047 RDR6:RDR7 RDR65542:RDR65543 RDR131078:RDR131079 RDR196614:RDR196615 RDR262150:RDR262151 RDR327686:RDR327687 RDR393222:RDR393223 RDR458758:RDR458759 RDR524294:RDR524295 RDR589830:RDR589831 RDR655366:RDR655367 RDR720902:RDR720903 RDR786438:RDR786439 RDR851974:RDR851975 RDR917510:RDR917511 RDR983046:RDR983047 RNN6:RNN7 RNN65542:RNN65543 RNN131078:RNN131079 RNN196614:RNN196615 RNN262150:RNN262151 RNN327686:RNN327687 RNN393222:RNN393223 RNN458758:RNN458759 RNN524294:RNN524295 RNN589830:RNN589831 RNN655366:RNN655367 RNN720902:RNN720903 RNN786438:RNN786439 RNN851974:RNN851975 RNN917510:RNN917511 RNN983046:RNN983047 RXJ6:RXJ7 RXJ65542:RXJ65543 RXJ131078:RXJ131079 RXJ196614:RXJ196615 RXJ262150:RXJ262151 RXJ327686:RXJ327687 RXJ393222:RXJ393223 RXJ458758:RXJ458759 RXJ524294:RXJ524295 RXJ589830:RXJ589831 RXJ655366:RXJ655367 RXJ720902:RXJ720903 RXJ786438:RXJ786439 RXJ851974:RXJ851975 RXJ917510:RXJ917511 RXJ983046:RXJ983047 SHF6:SHF7 SHF65542:SHF65543 SHF131078:SHF131079 SHF196614:SHF196615 SHF262150:SHF262151 SHF327686:SHF327687 SHF393222:SHF393223 SHF458758:SHF458759 SHF524294:SHF524295 SHF589830:SHF589831 SHF655366:SHF655367 SHF720902:SHF720903 SHF786438:SHF786439 SHF851974:SHF851975 SHF917510:SHF917511 SHF983046:SHF983047 SRB6:SRB7 SRB65542:SRB65543 SRB131078:SRB131079 SRB196614:SRB196615 SRB262150:SRB262151 SRB327686:SRB327687 SRB393222:SRB393223 SRB458758:SRB458759 SRB524294:SRB524295 SRB589830:SRB589831 SRB655366:SRB655367 SRB720902:SRB720903 SRB786438:SRB786439 SRB851974:SRB851975 SRB917510:SRB917511 SRB983046:SRB983047 TAX6:TAX7 TAX65542:TAX65543 TAX131078:TAX131079 TAX196614:TAX196615 TAX262150:TAX262151 TAX327686:TAX327687 TAX393222:TAX393223 TAX458758:TAX458759 TAX524294:TAX524295 TAX589830:TAX589831 TAX655366:TAX655367 TAX720902:TAX720903 TAX786438:TAX786439 TAX851974:TAX851975 TAX917510:TAX917511 TAX983046:TAX983047 TKT6:TKT7 TKT65542:TKT65543 TKT131078:TKT131079 TKT196614:TKT196615 TKT262150:TKT262151 TKT327686:TKT327687 TKT393222:TKT393223 TKT458758:TKT458759 TKT524294:TKT524295 TKT589830:TKT589831 TKT655366:TKT655367 TKT720902:TKT720903 TKT786438:TKT786439 TKT851974:TKT851975 TKT917510:TKT917511 TKT983046:TKT983047 TUP6:TUP7 TUP65542:TUP65543 TUP131078:TUP131079 TUP196614:TUP196615 TUP262150:TUP262151 TUP327686:TUP327687 TUP393222:TUP393223 TUP458758:TUP458759 TUP524294:TUP524295 TUP589830:TUP589831 TUP655366:TUP655367 TUP720902:TUP720903 TUP786438:TUP786439 TUP851974:TUP851975 TUP917510:TUP917511 TUP983046:TUP983047 UEL6:UEL7 UEL65542:UEL65543 UEL131078:UEL131079 UEL196614:UEL196615 UEL262150:UEL262151 UEL327686:UEL327687 UEL393222:UEL393223 UEL458758:UEL458759 UEL524294:UEL524295 UEL589830:UEL589831 UEL655366:UEL655367 UEL720902:UEL720903 UEL786438:UEL786439 UEL851974:UEL851975 UEL917510:UEL917511 UEL983046:UEL983047 UOH6:UOH7 UOH65542:UOH65543 UOH131078:UOH131079 UOH196614:UOH196615 UOH262150:UOH262151 UOH327686:UOH327687 UOH393222:UOH393223 UOH458758:UOH458759 UOH524294:UOH524295 UOH589830:UOH589831 UOH655366:UOH655367 UOH720902:UOH720903 UOH786438:UOH786439 UOH851974:UOH851975 UOH917510:UOH917511 UOH983046:UOH983047 UYD6:UYD7 UYD65542:UYD65543 UYD131078:UYD131079 UYD196614:UYD196615 UYD262150:UYD262151 UYD327686:UYD327687 UYD393222:UYD393223 UYD458758:UYD458759 UYD524294:UYD524295 UYD589830:UYD589831 UYD655366:UYD655367 UYD720902:UYD720903 UYD786438:UYD786439 UYD851974:UYD851975 UYD917510:UYD917511 UYD983046:UYD983047 VHZ6:VHZ7 VHZ65542:VHZ65543 VHZ131078:VHZ131079 VHZ196614:VHZ196615 VHZ262150:VHZ262151 VHZ327686:VHZ327687 VHZ393222:VHZ393223 VHZ458758:VHZ458759 VHZ524294:VHZ524295 VHZ589830:VHZ589831 VHZ655366:VHZ655367 VHZ720902:VHZ720903 VHZ786438:VHZ786439 VHZ851974:VHZ851975 VHZ917510:VHZ917511 VHZ983046:VHZ983047 VRV6:VRV7 VRV65542:VRV65543 VRV131078:VRV131079 VRV196614:VRV196615 VRV262150:VRV262151 VRV327686:VRV327687 VRV393222:VRV393223 VRV458758:VRV458759 VRV524294:VRV524295 VRV589830:VRV589831 VRV655366:VRV655367 VRV720902:VRV720903 VRV786438:VRV786439 VRV851974:VRV851975 VRV917510:VRV917511 VRV983046:VRV983047 WBR6:WBR7 WBR65542:WBR65543 WBR131078:WBR131079 WBR196614:WBR196615 WBR262150:WBR262151 WBR327686:WBR327687 WBR393222:WBR393223 WBR458758:WBR458759 WBR524294:WBR524295 WBR589830:WBR589831 WBR655366:WBR655367 WBR720902:WBR720903 WBR786438:WBR786439 WBR851974:WBR851975 WBR917510:WBR917511 WBR983046:WBR983047 WLN6:WLN7 WLN65542:WLN65543 WLN131078:WLN131079 WLN196614:WLN196615 WLN262150:WLN262151 WLN327686:WLN327687 WLN393222:WLN393223 WLN458758:WLN458759 WLN524294:WLN524295 WLN589830:WLN589831 WLN655366:WLN655367 WLN720902:WLN720903 WLN786438:WLN786439 WLN851974:WLN851975 WLN917510:WLN917511 WLN983046:WLN983047 WVJ6:WVJ7 WVJ65542:WVJ65543 WVJ131078:WVJ131079 WVJ196614:WVJ196615 WVJ262150:WVJ262151 WVJ327686:WVJ327687 WVJ393222:WVJ393223 WVJ458758:WVJ458759 WVJ524294:WVJ524295 WVJ589830:WVJ589831 WVJ655366:WVJ655367 WVJ720902:WVJ720903 WVJ786438:WVJ786439 WVJ851974:WVJ851975 WVJ917510:WVJ917511 WVJ983046:WVJ983047" xr:uid="{00000000-0002-0000-0000-000003000000}"/>
  </dataValidations>
  <pageMargins left="0.7" right="0.7" top="0.75" bottom="0.75" header="0.3" footer="0.3"/>
  <pageSetup paperSize="9" orientation="portrait" horizontalDpi="1200" verticalDpi="1200"/>
  <ignoredErrors>
    <ignoredError sqref="B23:E23 B28:E29"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F42"/>
  <sheetViews>
    <sheetView showGridLines="0" tabSelected="1" topLeftCell="O33" zoomScale="85" zoomScaleNormal="85" workbookViewId="0">
      <selection activeCell="W46" sqref="W46"/>
    </sheetView>
  </sheetViews>
  <sheetFormatPr defaultColWidth="9" defaultRowHeight="15" customHeight="1"/>
  <cols>
    <col min="1" max="1" width="9" style="209"/>
    <col min="2" max="2" width="22.1640625" style="210" customWidth="1"/>
    <col min="3" max="3" width="8.6640625" style="211" hidden="1" customWidth="1"/>
    <col min="4" max="8" width="8.6640625" style="211" customWidth="1"/>
    <col min="9" max="9" width="1.33203125" style="209" customWidth="1"/>
    <col min="10" max="10" width="17" style="210" customWidth="1"/>
    <col min="11" max="11" width="8.6640625" style="211" hidden="1" customWidth="1"/>
    <col min="12" max="15" width="8.6640625" style="211" customWidth="1"/>
    <col min="16" max="16" width="9" style="209"/>
    <col min="17" max="17" width="6.6640625" style="332" customWidth="1"/>
    <col min="18" max="18" width="23.6640625" style="209" customWidth="1"/>
    <col min="19" max="19" width="8.6640625" style="211" hidden="1" customWidth="1"/>
    <col min="20" max="24" width="8.6640625" style="211" customWidth="1"/>
    <col min="25" max="25" width="1.33203125" style="212" customWidth="1"/>
    <col min="26" max="26" width="23.6640625" style="209" customWidth="1"/>
    <col min="27" max="27" width="8.6640625" style="211" hidden="1" customWidth="1"/>
    <col min="28" max="31" width="8.6640625" style="211" customWidth="1"/>
    <col min="32" max="16384" width="9" style="209"/>
  </cols>
  <sheetData>
    <row r="2" spans="2:32" ht="15" customHeight="1">
      <c r="B2" s="10" t="s">
        <v>46</v>
      </c>
      <c r="C2" s="10">
        <f>K17</f>
        <v>2023</v>
      </c>
      <c r="D2" s="10">
        <f>L17</f>
        <v>2024</v>
      </c>
      <c r="E2" s="10" t="str">
        <f>M17</f>
        <v>2025E</v>
      </c>
      <c r="F2" s="10" t="str">
        <f>N17</f>
        <v>2026E</v>
      </c>
      <c r="G2" s="10" t="str">
        <f>O17</f>
        <v>2027E</v>
      </c>
      <c r="H2" s="10" t="s">
        <v>524</v>
      </c>
      <c r="I2" s="213"/>
      <c r="J2" s="10" t="s">
        <v>47</v>
      </c>
      <c r="K2" s="10">
        <f>K17</f>
        <v>2023</v>
      </c>
      <c r="L2" s="10">
        <f>L17</f>
        <v>2024</v>
      </c>
      <c r="M2" s="10" t="str">
        <f>M17</f>
        <v>2025E</v>
      </c>
      <c r="N2" s="10" t="str">
        <f>N17</f>
        <v>2026E</v>
      </c>
      <c r="O2" s="10" t="str">
        <f>O17</f>
        <v>2027E</v>
      </c>
      <c r="P2" s="10" t="s">
        <v>524</v>
      </c>
      <c r="Q2" s="330"/>
      <c r="R2" s="9" t="s">
        <v>48</v>
      </c>
      <c r="S2" s="9">
        <f t="shared" ref="S2:S13" si="0">C2</f>
        <v>2023</v>
      </c>
      <c r="T2" s="9">
        <f t="shared" ref="T2:T13" si="1">D2</f>
        <v>2024</v>
      </c>
      <c r="U2" s="9" t="str">
        <f t="shared" ref="U2:U13" si="2">E2</f>
        <v>2025E</v>
      </c>
      <c r="V2" s="9" t="str">
        <f>F2</f>
        <v>2026E</v>
      </c>
      <c r="W2" s="9" t="str">
        <f>G2</f>
        <v>2027E</v>
      </c>
      <c r="X2" s="10" t="s">
        <v>524</v>
      </c>
      <c r="Y2" s="214"/>
      <c r="Z2" s="9" t="s">
        <v>49</v>
      </c>
      <c r="AA2" s="9">
        <f t="shared" ref="AA2:AC5" si="3">K2</f>
        <v>2023</v>
      </c>
      <c r="AB2" s="9">
        <f t="shared" si="3"/>
        <v>2024</v>
      </c>
      <c r="AC2" s="9" t="str">
        <f t="shared" si="3"/>
        <v>2025E</v>
      </c>
      <c r="AD2" s="9" t="str">
        <f t="shared" ref="AD2:AF5" si="4">N2</f>
        <v>2026E</v>
      </c>
      <c r="AE2" s="9" t="str">
        <f t="shared" si="4"/>
        <v>2027E</v>
      </c>
      <c r="AF2" s="10" t="s">
        <v>524</v>
      </c>
    </row>
    <row r="3" spans="2:32" ht="15" customHeight="1">
      <c r="B3" s="215" t="s">
        <v>50</v>
      </c>
      <c r="C3" s="216">
        <f>'PL-CF-BS'!I117</f>
        <v>246.869</v>
      </c>
      <c r="D3" s="216">
        <f>'PL-CF-BS'!J117</f>
        <v>391.83699999999999</v>
      </c>
      <c r="E3" s="216">
        <f>'PL-CF-BS'!K117</f>
        <v>279.5</v>
      </c>
      <c r="F3" s="216">
        <f>'PL-CF-BS'!L117</f>
        <v>281.92714254236461</v>
      </c>
      <c r="G3" s="216">
        <f>'PL-CF-BS'!M117</f>
        <v>291.4830909043493</v>
      </c>
      <c r="H3" s="216">
        <f>'PL-CF-BS'!N117</f>
        <v>303.74832675770267</v>
      </c>
      <c r="I3" s="217"/>
      <c r="J3" s="218" t="s">
        <v>51</v>
      </c>
      <c r="K3" s="219">
        <f>'PL-CF-BS'!I6</f>
        <v>1067.7080000000001</v>
      </c>
      <c r="L3" s="219">
        <f>'PL-CF-BS'!J6</f>
        <v>1197.133</v>
      </c>
      <c r="M3" s="219">
        <f>'PL-CF-BS'!K6</f>
        <v>1354.37</v>
      </c>
      <c r="N3" s="219">
        <f>'PL-CF-BS'!L6</f>
        <v>1522.2508760000001</v>
      </c>
      <c r="O3" s="219">
        <f>'PL-CF-BS'!M6</f>
        <v>1676.6468436600001</v>
      </c>
      <c r="P3" s="219">
        <f>'PL-CF-BS'!N6</f>
        <v>1844.3115280260001</v>
      </c>
      <c r="Q3" s="331"/>
      <c r="R3" s="220" t="s">
        <v>52</v>
      </c>
      <c r="S3" s="221">
        <f t="shared" si="0"/>
        <v>246.869</v>
      </c>
      <c r="T3" s="221">
        <f t="shared" si="1"/>
        <v>391.83699999999999</v>
      </c>
      <c r="U3" s="221">
        <f t="shared" si="2"/>
        <v>279.5</v>
      </c>
      <c r="V3" s="221">
        <f>F3</f>
        <v>281.92714254236461</v>
      </c>
      <c r="W3" s="221">
        <f>G3</f>
        <v>291.4830909043493</v>
      </c>
      <c r="X3" s="221">
        <f>H3</f>
        <v>303.74832675770267</v>
      </c>
      <c r="Y3" s="222"/>
      <c r="Z3" s="223" t="s">
        <v>11</v>
      </c>
      <c r="AA3" s="224">
        <f t="shared" si="3"/>
        <v>1067.7080000000001</v>
      </c>
      <c r="AB3" s="224">
        <f t="shared" si="3"/>
        <v>1197.133</v>
      </c>
      <c r="AC3" s="224">
        <f t="shared" si="3"/>
        <v>1354.37</v>
      </c>
      <c r="AD3" s="224">
        <f t="shared" si="4"/>
        <v>1522.2508760000001</v>
      </c>
      <c r="AE3" s="224">
        <f t="shared" si="4"/>
        <v>1676.6468436600001</v>
      </c>
      <c r="AF3" s="224">
        <f t="shared" si="4"/>
        <v>1844.3115280260001</v>
      </c>
    </row>
    <row r="4" spans="2:32" ht="15" customHeight="1">
      <c r="B4" s="215" t="s">
        <v>53</v>
      </c>
      <c r="C4" s="216">
        <f>'PL-CF-BS'!I118</f>
        <v>9.6690000000000005</v>
      </c>
      <c r="D4" s="216">
        <f>'PL-CF-BS'!J118</f>
        <v>15.244</v>
      </c>
      <c r="E4" s="216">
        <f>'PL-CF-BS'!K118</f>
        <v>16.0062</v>
      </c>
      <c r="F4" s="216">
        <f>'PL-CF-BS'!L118</f>
        <v>16.806509999999999</v>
      </c>
      <c r="G4" s="216">
        <f>'PL-CF-BS'!M118</f>
        <v>17.646835500000002</v>
      </c>
      <c r="H4" s="216">
        <f>'PL-CF-BS'!N118</f>
        <v>18.529177275000002</v>
      </c>
      <c r="I4" s="217"/>
      <c r="J4" s="215" t="s">
        <v>54</v>
      </c>
      <c r="K4" s="216">
        <f>'PL-CF-BS'!I8</f>
        <v>703.01599999999996</v>
      </c>
      <c r="L4" s="216">
        <f>'PL-CF-BS'!J8</f>
        <v>783.58299999999997</v>
      </c>
      <c r="M4" s="216">
        <f>'PL-CF-BS'!K8</f>
        <v>877.26999999999987</v>
      </c>
      <c r="N4" s="216">
        <f>'PL-CF-BS'!L8</f>
        <v>987.85065461000011</v>
      </c>
      <c r="O4" s="216">
        <f>'PL-CF-BS'!M8</f>
        <v>1082.5341133887</v>
      </c>
      <c r="P4" s="216">
        <f>'PL-CF-BS'!N8</f>
        <v>1185.3748541606265</v>
      </c>
      <c r="Q4" s="331"/>
      <c r="R4" s="220" t="s">
        <v>55</v>
      </c>
      <c r="S4" s="221">
        <f t="shared" si="0"/>
        <v>9.6690000000000005</v>
      </c>
      <c r="T4" s="221">
        <f t="shared" si="1"/>
        <v>15.244</v>
      </c>
      <c r="U4" s="221">
        <f t="shared" si="2"/>
        <v>16.0062</v>
      </c>
      <c r="V4" s="221">
        <f>F4</f>
        <v>16.806509999999999</v>
      </c>
      <c r="W4" s="221">
        <f>G4</f>
        <v>17.646835500000002</v>
      </c>
      <c r="X4" s="221">
        <f>H4</f>
        <v>18.529177275000002</v>
      </c>
      <c r="Y4" s="222"/>
      <c r="Z4" s="220" t="s">
        <v>56</v>
      </c>
      <c r="AA4" s="221">
        <f t="shared" si="3"/>
        <v>703.01599999999996</v>
      </c>
      <c r="AB4" s="221">
        <f t="shared" si="3"/>
        <v>783.58299999999997</v>
      </c>
      <c r="AC4" s="221">
        <f t="shared" si="3"/>
        <v>877.26999999999987</v>
      </c>
      <c r="AD4" s="221">
        <f t="shared" si="4"/>
        <v>987.85065461000011</v>
      </c>
      <c r="AE4" s="221">
        <f t="shared" si="4"/>
        <v>1082.5341133887</v>
      </c>
      <c r="AF4" s="221">
        <f t="shared" si="4"/>
        <v>1185.3748541606265</v>
      </c>
    </row>
    <row r="5" spans="2:32" ht="12">
      <c r="B5" s="215" t="s">
        <v>57</v>
      </c>
      <c r="C5" s="216">
        <f>'PL-CF-BS'!I119</f>
        <v>134.566</v>
      </c>
      <c r="D5" s="216">
        <f>'PL-CF-BS'!J119</f>
        <v>167.35300000000001</v>
      </c>
      <c r="E5" s="216">
        <f>'PL-CF-BS'!K119</f>
        <v>192.45595</v>
      </c>
      <c r="F5" s="216">
        <f>'PL-CF-BS'!L119</f>
        <v>221.32434249999997</v>
      </c>
      <c r="G5" s="216">
        <f>'PL-CF-BS'!M119</f>
        <v>254.52299387499994</v>
      </c>
      <c r="H5" s="216">
        <f>'PL-CF-BS'!N119</f>
        <v>292.70144295624993</v>
      </c>
      <c r="I5" s="217"/>
      <c r="J5" s="225" t="s">
        <v>58</v>
      </c>
      <c r="K5" s="219">
        <f>'PL-CF-BS'!I9</f>
        <v>364.69200000000012</v>
      </c>
      <c r="L5" s="219">
        <f>'PL-CF-BS'!J9</f>
        <v>413.55000000000007</v>
      </c>
      <c r="M5" s="219">
        <f>'PL-CF-BS'!K9</f>
        <v>477.1</v>
      </c>
      <c r="N5" s="219">
        <f>'PL-CF-BS'!L9</f>
        <v>534.40022138999996</v>
      </c>
      <c r="O5" s="219">
        <f>'PL-CF-BS'!M9</f>
        <v>594.11273027130005</v>
      </c>
      <c r="P5" s="219">
        <f>'PL-CF-BS'!N9</f>
        <v>658.93667386537368</v>
      </c>
      <c r="Q5" s="331"/>
      <c r="R5" s="220" t="s">
        <v>59</v>
      </c>
      <c r="S5" s="221">
        <f t="shared" si="0"/>
        <v>134.566</v>
      </c>
      <c r="T5" s="221">
        <f t="shared" si="1"/>
        <v>167.35300000000001</v>
      </c>
      <c r="U5" s="221">
        <f t="shared" si="2"/>
        <v>192.45595</v>
      </c>
      <c r="V5" s="221">
        <f>F5</f>
        <v>221.32434249999997</v>
      </c>
      <c r="W5" s="221">
        <f>G5</f>
        <v>254.52299387499994</v>
      </c>
      <c r="X5" s="221">
        <f>H5</f>
        <v>292.70144295624993</v>
      </c>
      <c r="Y5" s="222"/>
      <c r="Z5" s="226" t="s">
        <v>22</v>
      </c>
      <c r="AA5" s="224">
        <f t="shared" si="3"/>
        <v>364.69200000000012</v>
      </c>
      <c r="AB5" s="224">
        <f t="shared" si="3"/>
        <v>413.55000000000007</v>
      </c>
      <c r="AC5" s="224">
        <f t="shared" si="3"/>
        <v>477.1</v>
      </c>
      <c r="AD5" s="224">
        <f t="shared" si="4"/>
        <v>534.40022138999996</v>
      </c>
      <c r="AE5" s="224">
        <f t="shared" si="4"/>
        <v>594.11273027130005</v>
      </c>
      <c r="AF5" s="224">
        <f t="shared" si="4"/>
        <v>658.93667386537368</v>
      </c>
    </row>
    <row r="6" spans="2:32" ht="15" customHeight="1">
      <c r="B6" s="215" t="s">
        <v>60</v>
      </c>
      <c r="C6" s="216">
        <f>'PL-CF-BS'!I120</f>
        <v>0</v>
      </c>
      <c r="D6" s="216">
        <f>'PL-CF-BS'!J120</f>
        <v>103</v>
      </c>
      <c r="E6" s="216">
        <f>'PL-CF-BS'!K120</f>
        <v>34.333333333333336</v>
      </c>
      <c r="F6" s="216">
        <f>'PL-CF-BS'!L120</f>
        <v>45.777777777777779</v>
      </c>
      <c r="G6" s="216">
        <f>'PL-CF-BS'!M120</f>
        <v>61.037037037037038</v>
      </c>
      <c r="H6" s="216">
        <f>'PL-CF-BS'!N120</f>
        <v>47.049382716049386</v>
      </c>
      <c r="I6" s="213"/>
      <c r="J6" s="227" t="s">
        <v>61</v>
      </c>
      <c r="K6" s="216">
        <f>'PL-CF-BS'!I12</f>
        <v>106.76600000000001</v>
      </c>
      <c r="L6" s="216">
        <f>'PL-CF-BS'!J12</f>
        <v>123.53</v>
      </c>
      <c r="M6" s="216">
        <f>'PL-CF-BS'!K12</f>
        <v>144.1</v>
      </c>
      <c r="N6" s="216">
        <f>'PL-CF-BS'!L12</f>
        <v>160.59746741799998</v>
      </c>
      <c r="O6" s="216">
        <f>'PL-CF-BS'!M12</f>
        <v>175.37725984683601</v>
      </c>
      <c r="P6" s="216">
        <f>'PL-CF-BS'!N12</f>
        <v>194.39043505394042</v>
      </c>
      <c r="R6" s="220" t="s">
        <v>62</v>
      </c>
      <c r="S6" s="221">
        <f t="shared" si="0"/>
        <v>0</v>
      </c>
      <c r="T6" s="221">
        <f t="shared" si="1"/>
        <v>103</v>
      </c>
      <c r="U6" s="221">
        <f t="shared" si="2"/>
        <v>34.333333333333336</v>
      </c>
      <c r="V6" s="221">
        <f>F6</f>
        <v>45.777777777777779</v>
      </c>
      <c r="W6" s="221">
        <f>G6</f>
        <v>61.037037037037038</v>
      </c>
      <c r="X6" s="221">
        <f>H6</f>
        <v>47.049382716049386</v>
      </c>
      <c r="Z6" s="228" t="s">
        <v>63</v>
      </c>
      <c r="AA6" s="221">
        <f t="shared" ref="AA6:AA15" si="5">K6</f>
        <v>106.76600000000001</v>
      </c>
      <c r="AB6" s="221">
        <f t="shared" ref="AB6:AB15" si="6">L6</f>
        <v>123.53</v>
      </c>
      <c r="AC6" s="221">
        <f t="shared" ref="AC6:AC15" si="7">M6</f>
        <v>144.1</v>
      </c>
      <c r="AD6" s="221">
        <f t="shared" ref="AD6:AF15" si="8">N6</f>
        <v>160.59746741799998</v>
      </c>
      <c r="AE6" s="221">
        <f t="shared" si="8"/>
        <v>175.37725984683601</v>
      </c>
      <c r="AF6" s="221">
        <f t="shared" si="8"/>
        <v>194.39043505394042</v>
      </c>
    </row>
    <row r="7" spans="2:32" ht="15" customHeight="1">
      <c r="B7" s="225" t="s">
        <v>64</v>
      </c>
      <c r="C7" s="219">
        <f>'PL-CF-BS'!I122</f>
        <v>426.54200000000003</v>
      </c>
      <c r="D7" s="219">
        <f>'PL-CF-BS'!J122</f>
        <v>723.58999999999992</v>
      </c>
      <c r="E7" s="219">
        <f>'PL-CF-BS'!K122</f>
        <v>747.3</v>
      </c>
      <c r="F7" s="219">
        <f>'PL-CF-BS'!L122</f>
        <v>813.34074115347573</v>
      </c>
      <c r="G7" s="219">
        <f>'PL-CF-BS'!M122</f>
        <v>896.94542248305299</v>
      </c>
      <c r="H7" s="219">
        <f>'PL-CF-BS'!N122</f>
        <v>961.50934138833543</v>
      </c>
      <c r="I7" s="213"/>
      <c r="J7" s="227" t="s">
        <v>65</v>
      </c>
      <c r="K7" s="216">
        <f>'PL-CF-BS'!I22</f>
        <v>135.184</v>
      </c>
      <c r="L7" s="216">
        <f>'PL-CF-BS'!J22</f>
        <v>141.279</v>
      </c>
      <c r="M7" s="216">
        <f>'PL-CF-BS'!K22</f>
        <v>163.1</v>
      </c>
      <c r="N7" s="216">
        <f>'PL-CF-BS'!L22</f>
        <v>181.14785424400003</v>
      </c>
      <c r="O7" s="216">
        <f>'PL-CF-BS'!M22</f>
        <v>197.84432755188001</v>
      </c>
      <c r="P7" s="216">
        <f>'PL-CF-BS'!N22</f>
        <v>217.62876030706803</v>
      </c>
      <c r="R7" s="226" t="s">
        <v>66</v>
      </c>
      <c r="S7" s="224">
        <f t="shared" si="0"/>
        <v>426.54200000000003</v>
      </c>
      <c r="T7" s="224">
        <f t="shared" si="1"/>
        <v>723.58999999999992</v>
      </c>
      <c r="U7" s="224">
        <f t="shared" si="2"/>
        <v>747.3</v>
      </c>
      <c r="V7" s="224">
        <f>F7</f>
        <v>813.34074115347573</v>
      </c>
      <c r="W7" s="224">
        <f>G7</f>
        <v>896.94542248305299</v>
      </c>
      <c r="X7" s="224">
        <f>H7</f>
        <v>961.50934138833543</v>
      </c>
      <c r="Z7" s="228" t="s">
        <v>67</v>
      </c>
      <c r="AA7" s="221">
        <f t="shared" si="5"/>
        <v>135.184</v>
      </c>
      <c r="AB7" s="221">
        <f t="shared" si="6"/>
        <v>141.279</v>
      </c>
      <c r="AC7" s="221">
        <f t="shared" si="7"/>
        <v>163.1</v>
      </c>
      <c r="AD7" s="221">
        <f t="shared" si="8"/>
        <v>181.14785424400003</v>
      </c>
      <c r="AE7" s="221">
        <f t="shared" si="8"/>
        <v>197.84432755188001</v>
      </c>
      <c r="AF7" s="221">
        <f t="shared" si="8"/>
        <v>217.62876030706803</v>
      </c>
    </row>
    <row r="8" spans="2:32" ht="15" customHeight="1">
      <c r="B8" s="215" t="str">
        <f>'PL-CF-BS'!B125</f>
        <v>LT Investments &amp; Receivables</v>
      </c>
      <c r="C8" s="216">
        <f>'PL-CF-BS'!I125</f>
        <v>383.46000000000004</v>
      </c>
      <c r="D8" s="216">
        <f>'PL-CF-BS'!J125</f>
        <v>406.58200000000005</v>
      </c>
      <c r="E8" s="216">
        <f>'PL-CF-BS'!K125</f>
        <v>613.26099999999997</v>
      </c>
      <c r="F8" s="216">
        <f>'PL-CF-BS'!L125</f>
        <v>631.65882999999997</v>
      </c>
      <c r="G8" s="216">
        <f>'PL-CF-BS'!M125</f>
        <v>650.60859489999996</v>
      </c>
      <c r="H8" s="216">
        <f>'PL-CF-BS'!N125</f>
        <v>670.12685274699993</v>
      </c>
      <c r="I8" s="213"/>
      <c r="J8" s="227" t="s">
        <v>68</v>
      </c>
      <c r="K8" s="216">
        <f>'PL-CF-BS'!I48</f>
        <v>5.5289999999999999</v>
      </c>
      <c r="L8" s="216">
        <f>'PL-CF-BS'!J48</f>
        <v>5.1449999999999996</v>
      </c>
      <c r="M8" s="216">
        <f>'PL-CF-BS'!K48</f>
        <v>3.6</v>
      </c>
      <c r="N8" s="216">
        <f>'PL-CF-BS'!L48</f>
        <v>4.9958999999999998</v>
      </c>
      <c r="O8" s="216">
        <f>'PL-CF-BS'!M48</f>
        <v>4.8093150000000007</v>
      </c>
      <c r="P8" s="216">
        <f>'PL-CF-BS'!N48</f>
        <v>4.6918252500000008</v>
      </c>
      <c r="R8" s="220" t="str">
        <f>'PL-CF-BS'!B125</f>
        <v>LT Investments &amp; Receivables</v>
      </c>
      <c r="S8" s="221">
        <f t="shared" si="0"/>
        <v>383.46000000000004</v>
      </c>
      <c r="T8" s="221">
        <f t="shared" si="1"/>
        <v>406.58200000000005</v>
      </c>
      <c r="U8" s="221">
        <f t="shared" si="2"/>
        <v>613.26099999999997</v>
      </c>
      <c r="V8" s="221">
        <f>F8</f>
        <v>631.65882999999997</v>
      </c>
      <c r="W8" s="221">
        <f>G8</f>
        <v>650.60859489999996</v>
      </c>
      <c r="X8" s="221">
        <f>H8</f>
        <v>670.12685274699993</v>
      </c>
      <c r="Z8" s="228" t="s">
        <v>69</v>
      </c>
      <c r="AA8" s="221">
        <f t="shared" si="5"/>
        <v>5.5289999999999999</v>
      </c>
      <c r="AB8" s="221">
        <f t="shared" si="6"/>
        <v>5.1449999999999996</v>
      </c>
      <c r="AC8" s="221">
        <f t="shared" si="7"/>
        <v>3.6</v>
      </c>
      <c r="AD8" s="221">
        <f t="shared" si="8"/>
        <v>4.9958999999999998</v>
      </c>
      <c r="AE8" s="221">
        <f t="shared" si="8"/>
        <v>4.8093150000000007</v>
      </c>
      <c r="AF8" s="221">
        <f t="shared" si="8"/>
        <v>4.6918252500000008</v>
      </c>
    </row>
    <row r="9" spans="2:32" ht="15" customHeight="1">
      <c r="B9" s="215" t="s">
        <v>70</v>
      </c>
      <c r="C9" s="216">
        <f>'PL-CF-BS'!I124</f>
        <v>197.93299999999999</v>
      </c>
      <c r="D9" s="216">
        <f>'PL-CF-BS'!J124</f>
        <v>233.04900000000001</v>
      </c>
      <c r="E9" s="216">
        <f>'PL-CF-BS'!K124</f>
        <v>100</v>
      </c>
      <c r="F9" s="216">
        <f>'PL-CF-BS'!L124</f>
        <v>144.65</v>
      </c>
      <c r="G9" s="216">
        <f>'PL-CF-BS'!M124</f>
        <v>235.69250000000002</v>
      </c>
      <c r="H9" s="216">
        <f>'PL-CF-BS'!N124</f>
        <v>358.84712500000001</v>
      </c>
      <c r="I9" s="213"/>
      <c r="J9" s="215" t="s">
        <v>71</v>
      </c>
      <c r="K9" s="229">
        <f>'PL-CF-BS'!I54</f>
        <v>0</v>
      </c>
      <c r="L9" s="229">
        <f>'PL-CF-BS'!J54</f>
        <v>0</v>
      </c>
      <c r="M9" s="229">
        <f>'PL-CF-BS'!K54</f>
        <v>0</v>
      </c>
      <c r="N9" s="229">
        <f>'PL-CF-BS'!L54</f>
        <v>0</v>
      </c>
      <c r="O9" s="229">
        <f>'PL-CF-BS'!M54</f>
        <v>0</v>
      </c>
      <c r="P9" s="229">
        <f>'PL-CF-BS'!N54</f>
        <v>0</v>
      </c>
      <c r="R9" s="220" t="str">
        <f>'PL-CF-BS'!B124</f>
        <v>Property, Plant &amp; Equip, Net</v>
      </c>
      <c r="S9" s="221">
        <f t="shared" si="0"/>
        <v>197.93299999999999</v>
      </c>
      <c r="T9" s="221">
        <f t="shared" si="1"/>
        <v>233.04900000000001</v>
      </c>
      <c r="U9" s="221">
        <f t="shared" si="2"/>
        <v>100</v>
      </c>
      <c r="V9" s="221">
        <f>F9</f>
        <v>144.65</v>
      </c>
      <c r="W9" s="221">
        <f>G9</f>
        <v>235.69250000000002</v>
      </c>
      <c r="X9" s="221">
        <f>H9</f>
        <v>358.84712500000001</v>
      </c>
      <c r="Z9" s="220" t="s">
        <v>72</v>
      </c>
      <c r="AA9" s="230">
        <f t="shared" si="5"/>
        <v>0</v>
      </c>
      <c r="AB9" s="230">
        <f t="shared" si="6"/>
        <v>0</v>
      </c>
      <c r="AC9" s="230">
        <f t="shared" si="7"/>
        <v>0</v>
      </c>
      <c r="AD9" s="230">
        <f t="shared" si="8"/>
        <v>0</v>
      </c>
      <c r="AE9" s="230">
        <f t="shared" si="8"/>
        <v>0</v>
      </c>
      <c r="AF9" s="230">
        <f t="shared" si="8"/>
        <v>0</v>
      </c>
    </row>
    <row r="10" spans="2:32" ht="15" customHeight="1">
      <c r="B10" s="215" t="s">
        <v>73</v>
      </c>
      <c r="C10" s="216"/>
      <c r="D10" s="216"/>
      <c r="E10" s="216"/>
      <c r="F10" s="216"/>
      <c r="G10" s="216"/>
      <c r="H10" s="216"/>
      <c r="I10" s="213"/>
      <c r="J10" s="215" t="s">
        <v>74</v>
      </c>
      <c r="K10" s="216">
        <f>'PL-CF-BS'!I58</f>
        <v>0</v>
      </c>
      <c r="L10" s="216">
        <f>'PL-CF-BS'!J58</f>
        <v>0</v>
      </c>
      <c r="M10" s="216">
        <f>'PL-CF-BS'!K58</f>
        <v>0</v>
      </c>
      <c r="N10" s="216">
        <f>'PL-CF-BS'!L58</f>
        <v>0</v>
      </c>
      <c r="O10" s="216">
        <f>'PL-CF-BS'!M58</f>
        <v>0</v>
      </c>
      <c r="P10" s="216">
        <f>'PL-CF-BS'!N58</f>
        <v>0</v>
      </c>
      <c r="R10" s="220" t="s">
        <v>75</v>
      </c>
      <c r="S10" s="221">
        <f t="shared" si="0"/>
        <v>0</v>
      </c>
      <c r="T10" s="221">
        <f t="shared" si="1"/>
        <v>0</v>
      </c>
      <c r="U10" s="221">
        <f t="shared" si="2"/>
        <v>0</v>
      </c>
      <c r="V10" s="221">
        <f>F10</f>
        <v>0</v>
      </c>
      <c r="W10" s="221">
        <f>G10</f>
        <v>0</v>
      </c>
      <c r="X10" s="221">
        <f>H10</f>
        <v>0</v>
      </c>
      <c r="Z10" s="220" t="s">
        <v>76</v>
      </c>
      <c r="AA10" s="221">
        <f t="shared" si="5"/>
        <v>0</v>
      </c>
      <c r="AB10" s="221">
        <f t="shared" si="6"/>
        <v>0</v>
      </c>
      <c r="AC10" s="221">
        <f t="shared" si="7"/>
        <v>0</v>
      </c>
      <c r="AD10" s="221">
        <f t="shared" si="8"/>
        <v>0</v>
      </c>
      <c r="AE10" s="221">
        <f t="shared" si="8"/>
        <v>0</v>
      </c>
      <c r="AF10" s="221">
        <f t="shared" si="8"/>
        <v>0</v>
      </c>
    </row>
    <row r="11" spans="2:32" ht="15" customHeight="1">
      <c r="B11" s="213" t="s">
        <v>77</v>
      </c>
      <c r="C11" s="216">
        <f>'PL-CF-BS'!I126</f>
        <v>0</v>
      </c>
      <c r="D11" s="216">
        <f>'PL-CF-BS'!J126</f>
        <v>0</v>
      </c>
      <c r="E11" s="216">
        <f>'PL-CF-BS'!K126</f>
        <v>0</v>
      </c>
      <c r="F11" s="216">
        <f>'PL-CF-BS'!L126</f>
        <v>0</v>
      </c>
      <c r="G11" s="216">
        <f>'PL-CF-BS'!M126</f>
        <v>0</v>
      </c>
      <c r="H11" s="216">
        <f>'PL-CF-BS'!N126</f>
        <v>0</v>
      </c>
      <c r="I11" s="213"/>
      <c r="J11" s="218" t="s">
        <v>78</v>
      </c>
      <c r="K11" s="219">
        <f>'PL-CF-BS'!I59</f>
        <v>118.58500000000015</v>
      </c>
      <c r="L11" s="219">
        <f>'PL-CF-BS'!J59</f>
        <v>147.62400000000011</v>
      </c>
      <c r="M11" s="219">
        <f>'PL-CF-BS'!K59</f>
        <v>169.69300000000001</v>
      </c>
      <c r="N11" s="219">
        <f>'PL-CF-BS'!L59</f>
        <v>190.5899997279999</v>
      </c>
      <c r="O11" s="219">
        <f>'PL-CF-BS'!M59</f>
        <v>219.53249453925073</v>
      </c>
      <c r="P11" s="219">
        <f>'PL-CF-BS'!N59</f>
        <v>245.48387547658749</v>
      </c>
      <c r="R11" s="209" t="s">
        <v>79</v>
      </c>
      <c r="S11" s="221">
        <f t="shared" si="0"/>
        <v>0</v>
      </c>
      <c r="T11" s="221">
        <f t="shared" si="1"/>
        <v>0</v>
      </c>
      <c r="U11" s="221">
        <f t="shared" si="2"/>
        <v>0</v>
      </c>
      <c r="V11" s="221">
        <f>F11</f>
        <v>0</v>
      </c>
      <c r="W11" s="221">
        <f>G11</f>
        <v>0</v>
      </c>
      <c r="X11" s="221">
        <f>H11</f>
        <v>0</v>
      </c>
      <c r="Z11" s="223" t="s">
        <v>80</v>
      </c>
      <c r="AA11" s="224">
        <f t="shared" si="5"/>
        <v>118.58500000000015</v>
      </c>
      <c r="AB11" s="224">
        <f t="shared" si="6"/>
        <v>147.62400000000011</v>
      </c>
      <c r="AC11" s="224">
        <f t="shared" si="7"/>
        <v>169.69300000000001</v>
      </c>
      <c r="AD11" s="224">
        <f t="shared" si="8"/>
        <v>190.5899997279999</v>
      </c>
      <c r="AE11" s="224">
        <f t="shared" si="8"/>
        <v>219.53249453925073</v>
      </c>
      <c r="AF11" s="224">
        <f t="shared" si="8"/>
        <v>245.48387547658749</v>
      </c>
    </row>
    <row r="12" spans="2:32" ht="15" customHeight="1">
      <c r="B12" s="225" t="s">
        <v>81</v>
      </c>
      <c r="C12" s="219">
        <f>'PL-CF-BS'!I130</f>
        <v>581.39300000000003</v>
      </c>
      <c r="D12" s="219">
        <f>'PL-CF-BS'!J130</f>
        <v>639.63100000000009</v>
      </c>
      <c r="E12" s="219">
        <f>'PL-CF-BS'!K130</f>
        <v>713.26099999999997</v>
      </c>
      <c r="F12" s="219">
        <f>'PL-CF-BS'!L130</f>
        <v>776.30882999999994</v>
      </c>
      <c r="G12" s="219">
        <f>'PL-CF-BS'!M130</f>
        <v>886.30109489999995</v>
      </c>
      <c r="H12" s="219">
        <f>'PL-CF-BS'!N130</f>
        <v>1028.9739777469999</v>
      </c>
      <c r="I12" s="213"/>
      <c r="J12" s="227" t="s">
        <v>82</v>
      </c>
      <c r="K12" s="216">
        <f>'PL-CF-BS'!I60</f>
        <v>27.442</v>
      </c>
      <c r="L12" s="216">
        <f>'PL-CF-BS'!J60</f>
        <v>26.878</v>
      </c>
      <c r="M12" s="216">
        <f>'PL-CF-BS'!K60</f>
        <v>31.393205000000002</v>
      </c>
      <c r="N12" s="216">
        <f>'PL-CF-BS'!L60</f>
        <v>34.306199951039979</v>
      </c>
      <c r="O12" s="216">
        <f>'PL-CF-BS'!M60</f>
        <v>40.613511489761386</v>
      </c>
      <c r="P12" s="216">
        <f>'PL-CF-BS'!N60</f>
        <v>46.641936340551624</v>
      </c>
      <c r="R12" s="226" t="s">
        <v>83</v>
      </c>
      <c r="S12" s="224">
        <f t="shared" si="0"/>
        <v>581.39300000000003</v>
      </c>
      <c r="T12" s="224">
        <f t="shared" si="1"/>
        <v>639.63100000000009</v>
      </c>
      <c r="U12" s="224">
        <f t="shared" si="2"/>
        <v>713.26099999999997</v>
      </c>
      <c r="V12" s="224">
        <f>F12</f>
        <v>776.30882999999994</v>
      </c>
      <c r="W12" s="224">
        <f>G12</f>
        <v>886.30109489999995</v>
      </c>
      <c r="X12" s="224">
        <f>H12</f>
        <v>1028.9739777469999</v>
      </c>
      <c r="Z12" s="228" t="s">
        <v>84</v>
      </c>
      <c r="AA12" s="221">
        <f t="shared" si="5"/>
        <v>27.442</v>
      </c>
      <c r="AB12" s="221">
        <f t="shared" si="6"/>
        <v>26.878</v>
      </c>
      <c r="AC12" s="221">
        <f t="shared" si="7"/>
        <v>31.393205000000002</v>
      </c>
      <c r="AD12" s="221">
        <f t="shared" si="8"/>
        <v>34.306199951039979</v>
      </c>
      <c r="AE12" s="221">
        <f t="shared" si="8"/>
        <v>40.613511489761386</v>
      </c>
      <c r="AF12" s="221">
        <f t="shared" si="8"/>
        <v>46.641936340551624</v>
      </c>
    </row>
    <row r="13" spans="2:32" ht="15" customHeight="1">
      <c r="B13" s="225" t="s">
        <v>85</v>
      </c>
      <c r="C13" s="219">
        <f>'PL-CF-BS'!I132</f>
        <v>1007.9350000000001</v>
      </c>
      <c r="D13" s="219">
        <f>'PL-CF-BS'!J132</f>
        <v>1363.221</v>
      </c>
      <c r="E13" s="219">
        <f>'PL-CF-BS'!K132</f>
        <v>1460.5609999999999</v>
      </c>
      <c r="F13" s="219">
        <f>'PL-CF-BS'!L132</f>
        <v>1589.6495711534758</v>
      </c>
      <c r="G13" s="219">
        <f>'PL-CF-BS'!M132</f>
        <v>1783.2465173830528</v>
      </c>
      <c r="H13" s="219">
        <f>'PL-CF-BS'!N132</f>
        <v>1990.4833191353355</v>
      </c>
      <c r="I13" s="213"/>
      <c r="J13" s="218" t="s">
        <v>86</v>
      </c>
      <c r="K13" s="216">
        <f>'PL-CF-BS'!I66</f>
        <v>91.144000000000148</v>
      </c>
      <c r="L13" s="216">
        <f>'PL-CF-BS'!J66</f>
        <v>120.7420000000001</v>
      </c>
      <c r="M13" s="216">
        <f>'PL-CF-BS'!K66</f>
        <v>138.90152397880254</v>
      </c>
      <c r="N13" s="216">
        <f>'PL-CF-BS'!L66</f>
        <v>156.28551448680901</v>
      </c>
      <c r="O13" s="216">
        <f>'PL-CF-BS'!M66</f>
        <v>178.92094610735501</v>
      </c>
      <c r="P13" s="216">
        <f>'PL-CF-BS'!N66</f>
        <v>198.8441207839862</v>
      </c>
      <c r="R13" s="226" t="s">
        <v>87</v>
      </c>
      <c r="S13" s="224">
        <f t="shared" si="0"/>
        <v>1007.9350000000001</v>
      </c>
      <c r="T13" s="224">
        <f t="shared" si="1"/>
        <v>1363.221</v>
      </c>
      <c r="U13" s="224">
        <f t="shared" si="2"/>
        <v>1460.5609999999999</v>
      </c>
      <c r="V13" s="224">
        <f>F13</f>
        <v>1589.6495711534758</v>
      </c>
      <c r="W13" s="224">
        <f>G13</f>
        <v>1783.2465173830528</v>
      </c>
      <c r="X13" s="224">
        <f>H13</f>
        <v>1990.4833191353355</v>
      </c>
      <c r="Z13" s="223" t="s">
        <v>13</v>
      </c>
      <c r="AA13" s="224">
        <f t="shared" si="5"/>
        <v>91.144000000000148</v>
      </c>
      <c r="AB13" s="224">
        <f t="shared" si="6"/>
        <v>120.7420000000001</v>
      </c>
      <c r="AC13" s="224">
        <f t="shared" si="7"/>
        <v>138.90152397880254</v>
      </c>
      <c r="AD13" s="224">
        <f t="shared" si="8"/>
        <v>156.28551448680901</v>
      </c>
      <c r="AE13" s="224">
        <f t="shared" si="8"/>
        <v>178.92094610735501</v>
      </c>
      <c r="AF13" s="224">
        <f t="shared" si="8"/>
        <v>198.8441207839862</v>
      </c>
    </row>
    <row r="14" spans="2:32" ht="15" customHeight="1">
      <c r="B14" s="225"/>
      <c r="C14" s="219"/>
      <c r="D14" s="219"/>
      <c r="E14" s="219"/>
      <c r="F14" s="219"/>
      <c r="G14" s="219"/>
      <c r="H14" s="219"/>
      <c r="I14" s="213"/>
      <c r="J14" s="227" t="s">
        <v>88</v>
      </c>
      <c r="K14" s="216">
        <f>'PL-CF-BS'!I64</f>
        <v>-1E-3</v>
      </c>
      <c r="L14" s="216">
        <f>'PL-CF-BS'!J64</f>
        <v>4.0000000000000001E-3</v>
      </c>
      <c r="M14" s="216">
        <f>'PL-CF-BS'!K64</f>
        <v>-1.5239788025410597E-3</v>
      </c>
      <c r="N14" s="216">
        <f>'PL-CF-BS'!L64</f>
        <v>-1.7147098491048097E-3</v>
      </c>
      <c r="O14" s="216">
        <f>'PL-CF-BS'!M64</f>
        <v>-1.9630578656560471E-3</v>
      </c>
      <c r="P14" s="216">
        <f>'PL-CF-BS'!N64</f>
        <v>-2.1816479503202176E-3</v>
      </c>
      <c r="R14" s="220" t="s">
        <v>89</v>
      </c>
      <c r="S14" s="221">
        <f t="shared" ref="S14:S24" si="9">C15</f>
        <v>11.801</v>
      </c>
      <c r="T14" s="221">
        <f t="shared" ref="T14:T24" si="10">D15</f>
        <v>15.532</v>
      </c>
      <c r="U14" s="221">
        <f t="shared" ref="U14:U24" si="11">E15</f>
        <v>41.100000000000023</v>
      </c>
      <c r="V14" s="221">
        <f>F15</f>
        <v>45.210000000000029</v>
      </c>
      <c r="W14" s="221">
        <f>G15</f>
        <v>49.731000000000037</v>
      </c>
      <c r="X14" s="221">
        <f>H15</f>
        <v>54.704100000000047</v>
      </c>
      <c r="Z14" s="228" t="s">
        <v>90</v>
      </c>
      <c r="AA14" s="221">
        <f t="shared" si="5"/>
        <v>-1E-3</v>
      </c>
      <c r="AB14" s="221">
        <f t="shared" si="6"/>
        <v>4.0000000000000001E-3</v>
      </c>
      <c r="AC14" s="221">
        <f t="shared" si="7"/>
        <v>-1.5239788025410597E-3</v>
      </c>
      <c r="AD14" s="221">
        <f t="shared" si="8"/>
        <v>-1.7147098491048097E-3</v>
      </c>
      <c r="AE14" s="221">
        <f t="shared" si="8"/>
        <v>-1.9630578656560471E-3</v>
      </c>
      <c r="AF14" s="221">
        <f t="shared" si="8"/>
        <v>-2.1816479503202176E-3</v>
      </c>
    </row>
    <row r="15" spans="2:32" ht="15" customHeight="1">
      <c r="B15" s="215" t="s">
        <v>91</v>
      </c>
      <c r="C15" s="216">
        <f>'PL-CF-BS'!I138</f>
        <v>11.801</v>
      </c>
      <c r="D15" s="216">
        <f>'PL-CF-BS'!J138</f>
        <v>15.532</v>
      </c>
      <c r="E15" s="216">
        <f>'PL-CF-BS'!K138</f>
        <v>41.100000000000023</v>
      </c>
      <c r="F15" s="216">
        <f>'PL-CF-BS'!L138</f>
        <v>45.210000000000029</v>
      </c>
      <c r="G15" s="216">
        <f>'PL-CF-BS'!M138</f>
        <v>49.731000000000037</v>
      </c>
      <c r="H15" s="216">
        <f>'PL-CF-BS'!N138</f>
        <v>54.704100000000047</v>
      </c>
      <c r="I15" s="213"/>
      <c r="J15" s="218" t="s">
        <v>92</v>
      </c>
      <c r="K15" s="219">
        <f>'PL-CF-BS'!I66</f>
        <v>91.144000000000148</v>
      </c>
      <c r="L15" s="219">
        <f>'PL-CF-BS'!J66</f>
        <v>120.7420000000001</v>
      </c>
      <c r="M15" s="219">
        <f>'PL-CF-BS'!K66</f>
        <v>138.90152397880254</v>
      </c>
      <c r="N15" s="219">
        <f>'PL-CF-BS'!L66</f>
        <v>156.28551448680901</v>
      </c>
      <c r="O15" s="219">
        <f>'PL-CF-BS'!M66</f>
        <v>178.92094610735501</v>
      </c>
      <c r="P15" s="219">
        <f>'PL-CF-BS'!N66</f>
        <v>198.8441207839862</v>
      </c>
      <c r="R15" s="220" t="s">
        <v>93</v>
      </c>
      <c r="S15" s="221">
        <f t="shared" si="9"/>
        <v>42.427999999999997</v>
      </c>
      <c r="T15" s="221">
        <f t="shared" si="10"/>
        <v>50.738999999999997</v>
      </c>
      <c r="U15" s="221">
        <f t="shared" si="11"/>
        <v>40</v>
      </c>
      <c r="V15" s="221">
        <f>F16</f>
        <v>44</v>
      </c>
      <c r="W15" s="221">
        <f>G16</f>
        <v>48.400000000000006</v>
      </c>
      <c r="X15" s="221">
        <f>H16</f>
        <v>53.240000000000009</v>
      </c>
      <c r="Z15" s="223" t="s">
        <v>94</v>
      </c>
      <c r="AA15" s="224">
        <f t="shared" si="5"/>
        <v>91.144000000000148</v>
      </c>
      <c r="AB15" s="224">
        <f t="shared" si="6"/>
        <v>120.7420000000001</v>
      </c>
      <c r="AC15" s="224">
        <f t="shared" si="7"/>
        <v>138.90152397880254</v>
      </c>
      <c r="AD15" s="224">
        <f t="shared" si="8"/>
        <v>156.28551448680901</v>
      </c>
      <c r="AE15" s="224">
        <f t="shared" si="8"/>
        <v>178.92094610735501</v>
      </c>
      <c r="AF15" s="224">
        <f t="shared" si="8"/>
        <v>198.8441207839862</v>
      </c>
    </row>
    <row r="16" spans="2:32" ht="15" customHeight="1">
      <c r="B16" s="215" t="s">
        <v>95</v>
      </c>
      <c r="C16" s="216">
        <f>'PL-CF-BS'!I135</f>
        <v>42.427999999999997</v>
      </c>
      <c r="D16" s="216">
        <f>'PL-CF-BS'!J135</f>
        <v>50.738999999999997</v>
      </c>
      <c r="E16" s="216">
        <f>'PL-CF-BS'!K135</f>
        <v>40</v>
      </c>
      <c r="F16" s="216">
        <f>'PL-CF-BS'!L135</f>
        <v>44</v>
      </c>
      <c r="G16" s="216">
        <f>'PL-CF-BS'!M135</f>
        <v>48.400000000000006</v>
      </c>
      <c r="H16" s="216">
        <f>'PL-CF-BS'!N135</f>
        <v>53.240000000000009</v>
      </c>
      <c r="I16" s="213"/>
      <c r="J16" s="213"/>
      <c r="K16" s="231"/>
      <c r="L16" s="231"/>
      <c r="M16" s="231"/>
      <c r="N16" s="231"/>
      <c r="O16" s="231"/>
      <c r="R16" s="220" t="s">
        <v>96</v>
      </c>
      <c r="S16" s="221">
        <f t="shared" si="9"/>
        <v>0</v>
      </c>
      <c r="T16" s="221">
        <f t="shared" si="10"/>
        <v>0</v>
      </c>
      <c r="U16" s="221">
        <f t="shared" si="11"/>
        <v>0</v>
      </c>
      <c r="V16" s="221">
        <f>F17</f>
        <v>0</v>
      </c>
      <c r="W16" s="221">
        <f>G17</f>
        <v>0</v>
      </c>
      <c r="X16" s="221">
        <f>H17</f>
        <v>0</v>
      </c>
    </row>
    <row r="17" spans="2:32" ht="15" customHeight="1">
      <c r="B17" s="215" t="s">
        <v>97</v>
      </c>
      <c r="C17" s="216">
        <f>'PL-CF-BS'!I139</f>
        <v>0</v>
      </c>
      <c r="D17" s="216">
        <f>'PL-CF-BS'!J139</f>
        <v>0</v>
      </c>
      <c r="E17" s="216">
        <f>'PL-CF-BS'!K139</f>
        <v>0</v>
      </c>
      <c r="F17" s="216">
        <f>'PL-CF-BS'!L139</f>
        <v>0</v>
      </c>
      <c r="G17" s="216">
        <f>'PL-CF-BS'!M139</f>
        <v>0</v>
      </c>
      <c r="H17" s="216">
        <f>'PL-CF-BS'!N139</f>
        <v>0</v>
      </c>
      <c r="I17" s="213"/>
      <c r="J17" s="10" t="s">
        <v>98</v>
      </c>
      <c r="K17" s="10">
        <v>2023</v>
      </c>
      <c r="L17" s="10">
        <v>2024</v>
      </c>
      <c r="M17" s="10" t="s">
        <v>99</v>
      </c>
      <c r="N17" s="10" t="s">
        <v>100</v>
      </c>
      <c r="O17" s="10" t="s">
        <v>101</v>
      </c>
      <c r="P17" s="10" t="s">
        <v>524</v>
      </c>
      <c r="R17" s="226" t="s">
        <v>102</v>
      </c>
      <c r="S17" s="224">
        <f t="shared" si="9"/>
        <v>386.96999999999991</v>
      </c>
      <c r="T17" s="224">
        <f t="shared" si="10"/>
        <v>448.03399999999993</v>
      </c>
      <c r="U17" s="224">
        <f t="shared" si="11"/>
        <v>457.1</v>
      </c>
      <c r="V17" s="224">
        <f>F18</f>
        <v>502.81000000000006</v>
      </c>
      <c r="W17" s="224">
        <f>G18</f>
        <v>553.09100000000001</v>
      </c>
      <c r="X17" s="224">
        <f>H18</f>
        <v>608.40010000000007</v>
      </c>
      <c r="Z17" s="9" t="s">
        <v>103</v>
      </c>
      <c r="AA17" s="9">
        <f t="shared" ref="AA17:AA26" si="12">K17</f>
        <v>2023</v>
      </c>
      <c r="AB17" s="9">
        <f t="shared" ref="AB17:AF26" si="13">L17</f>
        <v>2024</v>
      </c>
      <c r="AC17" s="9" t="str">
        <f t="shared" si="13"/>
        <v>2025E</v>
      </c>
      <c r="AD17" s="9" t="str">
        <f t="shared" si="13"/>
        <v>2026E</v>
      </c>
      <c r="AE17" s="9" t="str">
        <f t="shared" si="13"/>
        <v>2027E</v>
      </c>
      <c r="AF17" s="10" t="s">
        <v>524</v>
      </c>
    </row>
    <row r="18" spans="2:32" ht="15" customHeight="1">
      <c r="B18" s="225" t="s">
        <v>104</v>
      </c>
      <c r="C18" s="219">
        <f>'PL-CF-BS'!I141</f>
        <v>386.96999999999991</v>
      </c>
      <c r="D18" s="219">
        <f>'PL-CF-BS'!J141</f>
        <v>448.03399999999993</v>
      </c>
      <c r="E18" s="219">
        <f>'PL-CF-BS'!K141</f>
        <v>457.1</v>
      </c>
      <c r="F18" s="219">
        <f>'PL-CF-BS'!L141</f>
        <v>502.81000000000006</v>
      </c>
      <c r="G18" s="219">
        <f>'PL-CF-BS'!M141</f>
        <v>553.09100000000001</v>
      </c>
      <c r="H18" s="219">
        <f>'PL-CF-BS'!N141</f>
        <v>608.40010000000007</v>
      </c>
      <c r="I18" s="213"/>
      <c r="J18" s="225" t="s">
        <v>105</v>
      </c>
      <c r="K18" s="231"/>
      <c r="L18" s="231"/>
      <c r="M18" s="231"/>
      <c r="N18" s="231"/>
      <c r="O18" s="231"/>
      <c r="R18" s="220" t="s">
        <v>106</v>
      </c>
      <c r="S18" s="221">
        <f t="shared" si="9"/>
        <v>55.948999999999998</v>
      </c>
      <c r="T18" s="221">
        <f t="shared" si="10"/>
        <v>40.415999999999997</v>
      </c>
      <c r="U18" s="221">
        <f t="shared" si="11"/>
        <v>32.415999999999997</v>
      </c>
      <c r="V18" s="221">
        <f>F19</f>
        <v>23.655999999999999</v>
      </c>
      <c r="W18" s="221">
        <f>G19</f>
        <v>13.144000000000002</v>
      </c>
      <c r="X18" s="221">
        <f>H19</f>
        <v>2.0200000000000014</v>
      </c>
      <c r="Z18" s="226" t="s">
        <v>107</v>
      </c>
    </row>
    <row r="19" spans="2:32" ht="15" customHeight="1">
      <c r="B19" s="215" t="s">
        <v>108</v>
      </c>
      <c r="C19" s="216">
        <f>'PL-CF-BS'!I143</f>
        <v>55.948999999999998</v>
      </c>
      <c r="D19" s="216">
        <f>'PL-CF-BS'!J143</f>
        <v>40.415999999999997</v>
      </c>
      <c r="E19" s="216">
        <f>'PL-CF-BS'!K143</f>
        <v>32.415999999999997</v>
      </c>
      <c r="F19" s="216">
        <f>'PL-CF-BS'!L143</f>
        <v>23.655999999999999</v>
      </c>
      <c r="G19" s="216">
        <f>'PL-CF-BS'!M143</f>
        <v>13.144000000000002</v>
      </c>
      <c r="H19" s="216">
        <f>'PL-CF-BS'!N143</f>
        <v>2.0200000000000014</v>
      </c>
      <c r="I19" s="213"/>
      <c r="J19" s="213" t="s">
        <v>16</v>
      </c>
      <c r="K19" s="232">
        <f>'PL-CF-BS'!I171</f>
        <v>0.21144450579277804</v>
      </c>
      <c r="L19" s="319">
        <f>'PL-CF-BS'!J171</f>
        <v>0.19236740705808142</v>
      </c>
      <c r="M19" s="232">
        <f>'PL-CF-BS'!K171</f>
        <v>0.16673001374853638</v>
      </c>
      <c r="N19" s="232">
        <f>'PL-CF-BS'!L171</f>
        <v>0.16908445295130961</v>
      </c>
      <c r="O19" s="232">
        <f>'PL-CF-BS'!M171</f>
        <v>0.17271498990601877</v>
      </c>
      <c r="P19" s="232">
        <f>'PL-CF-BS'!N171</f>
        <v>0.16786158693864225</v>
      </c>
      <c r="R19" s="220" t="s">
        <v>109</v>
      </c>
      <c r="S19" s="221">
        <f t="shared" si="9"/>
        <v>91.639999999999986</v>
      </c>
      <c r="T19" s="221">
        <f t="shared" si="10"/>
        <v>92.82</v>
      </c>
      <c r="U19" s="221">
        <f t="shared" si="11"/>
        <v>86.786000000000001</v>
      </c>
      <c r="V19" s="221">
        <f>F20</f>
        <v>95.464600000000004</v>
      </c>
      <c r="W19" s="221">
        <f>G20</f>
        <v>105.01106000000001</v>
      </c>
      <c r="X19" s="221">
        <f>H20</f>
        <v>115.51216600000002</v>
      </c>
      <c r="Z19" s="209" t="s">
        <v>16</v>
      </c>
      <c r="AA19" s="233">
        <f t="shared" si="12"/>
        <v>0.21144450579277804</v>
      </c>
      <c r="AB19" s="233">
        <f t="shared" si="13"/>
        <v>0.19236740705808142</v>
      </c>
      <c r="AC19" s="233">
        <f t="shared" si="13"/>
        <v>0.16673001374853638</v>
      </c>
      <c r="AD19" s="233">
        <f t="shared" si="13"/>
        <v>0.16908445295130961</v>
      </c>
      <c r="AE19" s="233">
        <f t="shared" si="13"/>
        <v>0.17271498990601877</v>
      </c>
      <c r="AF19" s="233">
        <f t="shared" si="13"/>
        <v>0.16786158693864225</v>
      </c>
    </row>
    <row r="20" spans="2:32" ht="15" customHeight="1">
      <c r="B20" s="215" t="s">
        <v>110</v>
      </c>
      <c r="C20" s="216">
        <f>'PL-CF-BS'!I144+'PL-CF-BS'!I145</f>
        <v>91.639999999999986</v>
      </c>
      <c r="D20" s="216">
        <f>'PL-CF-BS'!J144+'PL-CF-BS'!J145</f>
        <v>92.82</v>
      </c>
      <c r="E20" s="216">
        <f>'PL-CF-BS'!K144+'PL-CF-BS'!K145</f>
        <v>86.786000000000001</v>
      </c>
      <c r="F20" s="216">
        <f>'PL-CF-BS'!L144+'PL-CF-BS'!L145</f>
        <v>95.464600000000004</v>
      </c>
      <c r="G20" s="216">
        <f>'PL-CF-BS'!M144+'PL-CF-BS'!M145</f>
        <v>105.01106000000001</v>
      </c>
      <c r="H20" s="216">
        <f>'PL-CF-BS'!N144+'PL-CF-BS'!N145</f>
        <v>115.51216600000002</v>
      </c>
      <c r="I20" s="213"/>
      <c r="J20" s="213" t="s">
        <v>111</v>
      </c>
      <c r="K20" s="232">
        <f>'PL-CF-BS'!I166</f>
        <v>0.34156529687892206</v>
      </c>
      <c r="L20" s="319">
        <f>'PL-CF-BS'!J166</f>
        <v>0.34545033843357426</v>
      </c>
      <c r="M20" s="232">
        <f>'PL-CF-BS'!K166</f>
        <v>0.35226710573919984</v>
      </c>
      <c r="N20" s="232">
        <f>'PL-CF-BS'!L166</f>
        <v>0.35105923065338407</v>
      </c>
      <c r="O20" s="232">
        <f>'PL-CF-BS'!M166</f>
        <v>0.35434577801392836</v>
      </c>
      <c r="P20" s="232">
        <f>'PL-CF-BS'!N166</f>
        <v>0.35728056993204693</v>
      </c>
      <c r="R20" s="226" t="s">
        <v>112</v>
      </c>
      <c r="S20" s="224">
        <f t="shared" si="9"/>
        <v>147.589</v>
      </c>
      <c r="T20" s="224">
        <f t="shared" si="10"/>
        <v>133.23599999999999</v>
      </c>
      <c r="U20" s="224">
        <f t="shared" si="11"/>
        <v>119.202</v>
      </c>
      <c r="V20" s="224">
        <f>F21</f>
        <v>119.1206</v>
      </c>
      <c r="W20" s="224">
        <f>G21</f>
        <v>118.15506000000002</v>
      </c>
      <c r="X20" s="224">
        <f>H21</f>
        <v>117.53216600000002</v>
      </c>
      <c r="Z20" s="209" t="s">
        <v>113</v>
      </c>
      <c r="AA20" s="233">
        <f t="shared" si="12"/>
        <v>0.34156529687892206</v>
      </c>
      <c r="AB20" s="233">
        <f t="shared" si="13"/>
        <v>0.34545033843357426</v>
      </c>
      <c r="AC20" s="233">
        <f t="shared" si="13"/>
        <v>0.35226710573919984</v>
      </c>
      <c r="AD20" s="233">
        <f t="shared" si="13"/>
        <v>0.35105923065338407</v>
      </c>
      <c r="AE20" s="233">
        <f t="shared" si="13"/>
        <v>0.35434577801392836</v>
      </c>
      <c r="AF20" s="233">
        <f t="shared" si="13"/>
        <v>0.35728056993204693</v>
      </c>
    </row>
    <row r="21" spans="2:32" ht="15" customHeight="1">
      <c r="B21" s="225" t="s">
        <v>114</v>
      </c>
      <c r="C21" s="219">
        <f>'PL-CF-BS'!I146</f>
        <v>147.589</v>
      </c>
      <c r="D21" s="219">
        <f>'PL-CF-BS'!J146</f>
        <v>133.23599999999999</v>
      </c>
      <c r="E21" s="219">
        <f>'PL-CF-BS'!K146</f>
        <v>119.202</v>
      </c>
      <c r="F21" s="219">
        <f>'PL-CF-BS'!L146</f>
        <v>119.1206</v>
      </c>
      <c r="G21" s="219">
        <f>'PL-CF-BS'!M146</f>
        <v>118.15506000000002</v>
      </c>
      <c r="H21" s="219">
        <f>'PL-CF-BS'!N146</f>
        <v>117.53216600000002</v>
      </c>
      <c r="I21" s="213"/>
      <c r="J21" s="213" t="s">
        <v>115</v>
      </c>
      <c r="K21" s="232">
        <f>'PL-CF-BS'!I168</f>
        <v>0.22532190449074088</v>
      </c>
      <c r="L21" s="232">
        <f>'PL-CF-BS'!J168</f>
        <v>0.21783795117167429</v>
      </c>
      <c r="M21" s="232">
        <f>'PL-CF-BS'!K168</f>
        <v>0.22431610268981153</v>
      </c>
      <c r="N21" s="232">
        <f>'PL-CF-BS'!L168</f>
        <v>0.22257456179121951</v>
      </c>
      <c r="O21" s="232">
        <f>'PL-CF-BS'!M168</f>
        <v>0.22054192397778047</v>
      </c>
      <c r="P21" s="232">
        <f>'PL-CF-BS'!N168</f>
        <v>0.22163336666679648</v>
      </c>
      <c r="R21" s="226" t="s">
        <v>116</v>
      </c>
      <c r="S21" s="224">
        <f t="shared" si="9"/>
        <v>534.55899999999997</v>
      </c>
      <c r="T21" s="224">
        <f t="shared" si="10"/>
        <v>581.27</v>
      </c>
      <c r="U21" s="224">
        <f t="shared" si="11"/>
        <v>576.30200000000002</v>
      </c>
      <c r="V21" s="224">
        <f>F22</f>
        <v>621.93060000000003</v>
      </c>
      <c r="W21" s="224">
        <f>G22</f>
        <v>671.24606000000006</v>
      </c>
      <c r="X21" s="224">
        <f>H22</f>
        <v>725.93226600000003</v>
      </c>
      <c r="Z21" s="209" t="s">
        <v>117</v>
      </c>
      <c r="AA21" s="233">
        <f t="shared" si="12"/>
        <v>0.22532190449074088</v>
      </c>
      <c r="AB21" s="233">
        <f t="shared" si="13"/>
        <v>0.21783795117167429</v>
      </c>
      <c r="AC21" s="233">
        <f t="shared" si="13"/>
        <v>0.22431610268981153</v>
      </c>
      <c r="AD21" s="233">
        <f t="shared" si="13"/>
        <v>0.22257456179121951</v>
      </c>
      <c r="AE21" s="233">
        <f t="shared" si="13"/>
        <v>0.22054192397778047</v>
      </c>
      <c r="AF21" s="233">
        <f t="shared" si="13"/>
        <v>0.22163336666679648</v>
      </c>
    </row>
    <row r="22" spans="2:32" ht="15" customHeight="1">
      <c r="B22" s="225" t="s">
        <v>118</v>
      </c>
      <c r="C22" s="219">
        <f>'PL-CF-BS'!I148</f>
        <v>534.55899999999997</v>
      </c>
      <c r="D22" s="219">
        <f>'PL-CF-BS'!J148</f>
        <v>581.27</v>
      </c>
      <c r="E22" s="219">
        <f>'PL-CF-BS'!K148</f>
        <v>576.30200000000002</v>
      </c>
      <c r="F22" s="219">
        <f>'PL-CF-BS'!L148</f>
        <v>621.93060000000003</v>
      </c>
      <c r="G22" s="219">
        <f>'PL-CF-BS'!M148</f>
        <v>671.24606000000006</v>
      </c>
      <c r="H22" s="219">
        <f>'PL-CF-BS'!N148</f>
        <v>725.93226600000003</v>
      </c>
      <c r="I22" s="213"/>
      <c r="J22" s="213" t="s">
        <v>119</v>
      </c>
      <c r="K22" s="232">
        <f>'PL-CF-BS'!I170</f>
        <v>8.5364163235641333E-2</v>
      </c>
      <c r="L22" s="319">
        <f>'PL-CF-BS'!J170</f>
        <v>0.10085930301812757</v>
      </c>
      <c r="M22" s="232">
        <f>'PL-CF-BS'!K170</f>
        <v>0.10255803360883847</v>
      </c>
      <c r="N22" s="232">
        <f>'PL-CF-BS'!L170</f>
        <v>0.10266738351136873</v>
      </c>
      <c r="O22" s="232">
        <f>'PL-CF-BS'!M170</f>
        <v>0.10671355556116002</v>
      </c>
      <c r="P22" s="232">
        <f>'PL-CF-BS'!N170</f>
        <v>0.10781482290945318</v>
      </c>
      <c r="R22" s="220" t="s">
        <v>120</v>
      </c>
      <c r="S22" s="221">
        <f t="shared" si="9"/>
        <v>155.482</v>
      </c>
      <c r="T22" s="221">
        <f t="shared" si="10"/>
        <v>343.315</v>
      </c>
      <c r="U22" s="221">
        <f t="shared" si="11"/>
        <v>350.18130000000002</v>
      </c>
      <c r="V22" s="221">
        <f>F23</f>
        <v>357.18492600000002</v>
      </c>
      <c r="W22" s="221">
        <f>G23</f>
        <v>364.32862452000001</v>
      </c>
      <c r="X22" s="221">
        <f>H23</f>
        <v>371.61519701040004</v>
      </c>
      <c r="Z22" s="209" t="s">
        <v>121</v>
      </c>
      <c r="AA22" s="233">
        <f t="shared" si="12"/>
        <v>8.5364163235641333E-2</v>
      </c>
      <c r="AB22" s="233">
        <f t="shared" si="13"/>
        <v>0.10085930301812757</v>
      </c>
      <c r="AC22" s="233">
        <f t="shared" si="13"/>
        <v>0.10255803360883847</v>
      </c>
      <c r="AD22" s="233">
        <f t="shared" si="13"/>
        <v>0.10266738351136873</v>
      </c>
      <c r="AE22" s="233">
        <f t="shared" si="13"/>
        <v>0.10671355556116002</v>
      </c>
      <c r="AF22" s="233">
        <f t="shared" si="13"/>
        <v>0.10781482290945318</v>
      </c>
    </row>
    <row r="23" spans="2:32" ht="15" customHeight="1">
      <c r="B23" s="215" t="s">
        <v>122</v>
      </c>
      <c r="C23" s="216">
        <f>'PL-CF-BS'!I152</f>
        <v>155.482</v>
      </c>
      <c r="D23" s="216">
        <f>'PL-CF-BS'!J152</f>
        <v>343.315</v>
      </c>
      <c r="E23" s="216">
        <f>'PL-CF-BS'!K152</f>
        <v>350.18130000000002</v>
      </c>
      <c r="F23" s="216">
        <f>'PL-CF-BS'!L152</f>
        <v>357.18492600000002</v>
      </c>
      <c r="G23" s="216">
        <f>'PL-CF-BS'!M152</f>
        <v>364.32862452000001</v>
      </c>
      <c r="H23" s="216">
        <f>'PL-CF-BS'!N152</f>
        <v>371.61519701040004</v>
      </c>
      <c r="I23" s="213"/>
      <c r="J23" s="225" t="s">
        <v>123</v>
      </c>
      <c r="K23" s="231"/>
      <c r="L23" s="231"/>
      <c r="M23" s="231"/>
      <c r="N23" s="231"/>
      <c r="O23" s="231"/>
      <c r="P23" s="231"/>
      <c r="R23" s="226" t="s">
        <v>124</v>
      </c>
      <c r="S23" s="224">
        <f t="shared" si="9"/>
        <v>473.37600000000009</v>
      </c>
      <c r="T23" s="224">
        <f t="shared" si="10"/>
        <v>781.95100000000002</v>
      </c>
      <c r="U23" s="224">
        <f t="shared" si="11"/>
        <v>884.23400000000004</v>
      </c>
      <c r="V23" s="224">
        <f>F24</f>
        <v>964.37492600000007</v>
      </c>
      <c r="W23" s="224">
        <f>G24</f>
        <v>1107.48862452</v>
      </c>
      <c r="X23" s="224">
        <f>H24</f>
        <v>1261.6551970104001</v>
      </c>
      <c r="Z23" s="226" t="s">
        <v>125</v>
      </c>
      <c r="AF23" s="211"/>
    </row>
    <row r="24" spans="2:32" ht="12">
      <c r="B24" s="225" t="s">
        <v>126</v>
      </c>
      <c r="C24" s="219">
        <f>'PL-CF-BS'!I160</f>
        <v>473.37600000000009</v>
      </c>
      <c r="D24" s="219">
        <f>'PL-CF-BS'!J160</f>
        <v>781.95100000000002</v>
      </c>
      <c r="E24" s="219">
        <f>'PL-CF-BS'!K160</f>
        <v>884.23400000000004</v>
      </c>
      <c r="F24" s="219">
        <f>'PL-CF-BS'!L160</f>
        <v>964.37492600000007</v>
      </c>
      <c r="G24" s="219">
        <f>'PL-CF-BS'!M160</f>
        <v>1107.48862452</v>
      </c>
      <c r="H24" s="219">
        <f>'PL-CF-BS'!N160</f>
        <v>1261.6551970104001</v>
      </c>
      <c r="I24" s="219">
        <f>'PL-CF-BS'!M156</f>
        <v>1107.48862452</v>
      </c>
      <c r="J24" s="213" t="s">
        <v>127</v>
      </c>
      <c r="K24" s="232">
        <f>'PL-CF-BS'!I7</f>
        <v>0.1941947159209112</v>
      </c>
      <c r="L24" s="232">
        <f>'PL-CF-BS'!J7</f>
        <v>0.12121759881915284</v>
      </c>
      <c r="M24" s="232">
        <f>'PL-CF-BS'!K7</f>
        <v>0.13134463756324477</v>
      </c>
      <c r="N24" s="232">
        <f>'PL-CF-BS'!L7</f>
        <v>0.12395495765558917</v>
      </c>
      <c r="O24" s="232">
        <f>'PL-CF-BS'!M7</f>
        <v>0.10142609874247821</v>
      </c>
      <c r="P24" s="232">
        <f>'PL-CF-BS'!N7</f>
        <v>0.1</v>
      </c>
      <c r="R24" s="226" t="s">
        <v>128</v>
      </c>
      <c r="S24" s="224">
        <f t="shared" si="9"/>
        <v>1007.9350000000001</v>
      </c>
      <c r="T24" s="224">
        <f t="shared" si="10"/>
        <v>1363.221</v>
      </c>
      <c r="U24" s="224">
        <f t="shared" si="11"/>
        <v>1460.5360000000001</v>
      </c>
      <c r="V24" s="224">
        <f>F25</f>
        <v>1586.3055260000001</v>
      </c>
      <c r="W24" s="224">
        <f>G25</f>
        <v>1778.73468452</v>
      </c>
      <c r="X24" s="224">
        <f>H25</f>
        <v>1987.5874630104001</v>
      </c>
      <c r="Z24" s="209" t="s">
        <v>129</v>
      </c>
      <c r="AA24" s="233">
        <f t="shared" si="12"/>
        <v>0.1941947159209112</v>
      </c>
      <c r="AB24" s="233">
        <f t="shared" si="13"/>
        <v>0.12121759881915284</v>
      </c>
      <c r="AC24" s="233">
        <f t="shared" si="13"/>
        <v>0.13134463756324477</v>
      </c>
      <c r="AD24" s="233">
        <f t="shared" si="13"/>
        <v>0.12395495765558917</v>
      </c>
      <c r="AE24" s="233">
        <f t="shared" si="13"/>
        <v>0.10142609874247821</v>
      </c>
      <c r="AF24" s="233">
        <f t="shared" si="13"/>
        <v>0.1</v>
      </c>
    </row>
    <row r="25" spans="2:32" ht="15" customHeight="1">
      <c r="B25" s="225" t="s">
        <v>130</v>
      </c>
      <c r="C25" s="219">
        <f>'PL-CF-BS'!I160+'PL-CF-BS'!I148</f>
        <v>1007.9350000000001</v>
      </c>
      <c r="D25" s="219">
        <f>'PL-CF-BS'!J160+'PL-CF-BS'!J148</f>
        <v>1363.221</v>
      </c>
      <c r="E25" s="219">
        <f>'PL-CF-BS'!K160+'PL-CF-BS'!K148</f>
        <v>1460.5360000000001</v>
      </c>
      <c r="F25" s="219">
        <f>'PL-CF-BS'!L160+'PL-CF-BS'!L148</f>
        <v>1586.3055260000001</v>
      </c>
      <c r="G25" s="219">
        <f>'PL-CF-BS'!M160+'PL-CF-BS'!M148</f>
        <v>1778.73468452</v>
      </c>
      <c r="H25" s="219">
        <f>'PL-CF-BS'!N160+'PL-CF-BS'!N148</f>
        <v>1987.5874630104001</v>
      </c>
      <c r="I25" s="213"/>
      <c r="J25" s="213" t="s">
        <v>131</v>
      </c>
      <c r="K25" s="232">
        <f>'PL-CF-BS'!I10</f>
        <v>0.22326501861604031</v>
      </c>
      <c r="L25" s="232">
        <f>'PL-CF-BS'!J10</f>
        <v>0.1339705833964</v>
      </c>
      <c r="M25" s="232">
        <f>'PL-CF-BS'!K10</f>
        <v>0.15366944746705347</v>
      </c>
      <c r="N25" s="232">
        <f>'PL-CF-BS'!L10</f>
        <v>0.12010107187172481</v>
      </c>
      <c r="O25" s="232">
        <f>'PL-CF-BS'!M10</f>
        <v>0.11173743290372351</v>
      </c>
      <c r="P25" s="232">
        <f>'PL-CF-BS'!N10</f>
        <v>0.10911051100432068</v>
      </c>
      <c r="Z25" s="209" t="s">
        <v>132</v>
      </c>
      <c r="AA25" s="233">
        <f t="shared" si="12"/>
        <v>0.22326501861604031</v>
      </c>
      <c r="AB25" s="233">
        <f t="shared" si="13"/>
        <v>0.1339705833964</v>
      </c>
      <c r="AC25" s="233">
        <f t="shared" si="13"/>
        <v>0.15366944746705347</v>
      </c>
      <c r="AD25" s="233">
        <f t="shared" si="13"/>
        <v>0.12010107187172481</v>
      </c>
      <c r="AE25" s="233">
        <f t="shared" si="13"/>
        <v>0.11173743290372351</v>
      </c>
      <c r="AF25" s="233">
        <f t="shared" si="13"/>
        <v>0.10911051100432068</v>
      </c>
    </row>
    <row r="26" spans="2:32" ht="15" customHeight="1">
      <c r="B26" s="213"/>
      <c r="C26" s="231"/>
      <c r="D26" s="231"/>
      <c r="E26" s="231"/>
      <c r="F26" s="231"/>
      <c r="G26" s="231"/>
      <c r="H26" s="231"/>
      <c r="I26" s="213"/>
      <c r="J26" s="213" t="s">
        <v>133</v>
      </c>
      <c r="K26" s="232">
        <f>'PL-CF-BS'!I67</f>
        <v>3.4857052024435786E-2</v>
      </c>
      <c r="L26" s="232">
        <f>'PL-CF-BS'!J67</f>
        <v>0.32473887474765095</v>
      </c>
      <c r="M26" s="232">
        <f>'PL-CF-BS'!K67</f>
        <v>0.15039939688594206</v>
      </c>
      <c r="N26" s="232">
        <f>'PL-CF-BS'!L67</f>
        <v>0.12515334612642115</v>
      </c>
      <c r="O26" s="232">
        <f>'PL-CF-BS'!M67</f>
        <v>0.14483384269408095</v>
      </c>
      <c r="P26" s="232">
        <f>'PL-CF-BS'!N67</f>
        <v>0.11135182945364597</v>
      </c>
      <c r="R26" s="9" t="s">
        <v>134</v>
      </c>
      <c r="S26" s="9">
        <f t="shared" ref="S26:S35" si="14">C27</f>
        <v>2023</v>
      </c>
      <c r="T26" s="9">
        <f t="shared" ref="T26:T35" si="15">D27</f>
        <v>2024</v>
      </c>
      <c r="U26" s="9" t="str">
        <f t="shared" ref="U26:U35" si="16">E27</f>
        <v>2025E</v>
      </c>
      <c r="V26" s="9" t="str">
        <f>F27</f>
        <v>2026E</v>
      </c>
      <c r="W26" s="9" t="str">
        <f>G27</f>
        <v>2027E</v>
      </c>
      <c r="X26" s="10" t="s">
        <v>524</v>
      </c>
      <c r="Z26" s="209" t="s">
        <v>135</v>
      </c>
      <c r="AA26" s="233">
        <f t="shared" si="12"/>
        <v>3.4857052024435786E-2</v>
      </c>
      <c r="AB26" s="233">
        <f t="shared" si="13"/>
        <v>0.32473887474765095</v>
      </c>
      <c r="AC26" s="233">
        <f t="shared" si="13"/>
        <v>0.15039939688594206</v>
      </c>
      <c r="AD26" s="233">
        <f t="shared" si="13"/>
        <v>0.12515334612642115</v>
      </c>
      <c r="AE26" s="233">
        <f t="shared" si="13"/>
        <v>0.14483384269408095</v>
      </c>
      <c r="AF26" s="233">
        <f t="shared" si="13"/>
        <v>0.11135182945364597</v>
      </c>
    </row>
    <row r="27" spans="2:32" ht="15" customHeight="1">
      <c r="B27" s="10" t="s">
        <v>136</v>
      </c>
      <c r="C27" s="10">
        <f>K17</f>
        <v>2023</v>
      </c>
      <c r="D27" s="10">
        <f>L17</f>
        <v>2024</v>
      </c>
      <c r="E27" s="10" t="str">
        <f>M17</f>
        <v>2025E</v>
      </c>
      <c r="F27" s="10" t="str">
        <f>N17</f>
        <v>2026E</v>
      </c>
      <c r="G27" s="10" t="str">
        <f>O17</f>
        <v>2027E</v>
      </c>
      <c r="H27" s="10" t="s">
        <v>524</v>
      </c>
      <c r="I27" s="213"/>
      <c r="J27" s="225" t="s">
        <v>137</v>
      </c>
      <c r="K27" s="231"/>
      <c r="L27" s="231"/>
      <c r="M27" s="231"/>
      <c r="N27" s="231"/>
      <c r="O27" s="231"/>
      <c r="P27" s="231"/>
      <c r="R27" s="234" t="s">
        <v>13</v>
      </c>
      <c r="S27" s="224">
        <f t="shared" si="14"/>
        <v>91.144000000000148</v>
      </c>
      <c r="T27" s="224">
        <f t="shared" si="15"/>
        <v>120.7420000000001</v>
      </c>
      <c r="U27" s="224">
        <f t="shared" si="16"/>
        <v>138.90152397880254</v>
      </c>
      <c r="V27" s="224">
        <f>F28</f>
        <v>156.28551448680901</v>
      </c>
      <c r="W27" s="224">
        <f>G28</f>
        <v>178.92094610735501</v>
      </c>
      <c r="X27" s="224">
        <f>H28</f>
        <v>198.8441207839862</v>
      </c>
      <c r="Z27" s="226" t="s">
        <v>138</v>
      </c>
      <c r="AF27" s="211"/>
    </row>
    <row r="28" spans="2:32" ht="15" customHeight="1">
      <c r="B28" s="235" t="s">
        <v>86</v>
      </c>
      <c r="C28" s="216">
        <f>'PL-CF-BS'!I66</f>
        <v>91.144000000000148</v>
      </c>
      <c r="D28" s="216">
        <f>'PL-CF-BS'!J66</f>
        <v>120.7420000000001</v>
      </c>
      <c r="E28" s="216">
        <f>'PL-CF-BS'!K66</f>
        <v>138.90152397880254</v>
      </c>
      <c r="F28" s="216">
        <f>'PL-CF-BS'!L66</f>
        <v>156.28551448680901</v>
      </c>
      <c r="G28" s="216">
        <f>'PL-CF-BS'!M66</f>
        <v>178.92094610735501</v>
      </c>
      <c r="H28" s="216">
        <f>'PL-CF-BS'!N66</f>
        <v>198.8441207839862</v>
      </c>
      <c r="I28" s="213"/>
      <c r="J28" s="213" t="s">
        <v>139</v>
      </c>
      <c r="K28" s="236">
        <f>'PL-CF-BS'!I122/'PL-CF-BS'!I141</f>
        <v>1.1022611571956487</v>
      </c>
      <c r="L28" s="236">
        <f>'PL-CF-BS'!J122/'PL-CF-BS'!J141</f>
        <v>1.6150336804796066</v>
      </c>
      <c r="M28" s="236">
        <f>'PL-CF-BS'!K122/'PL-CF-BS'!K141</f>
        <v>1.6348720192518047</v>
      </c>
      <c r="N28" s="236">
        <f>'PL-CF-BS'!L122/'PL-CF-BS'!L141</f>
        <v>1.6175906230056594</v>
      </c>
      <c r="O28" s="236">
        <f>'PL-CF-BS'!M122/'PL-CF-BS'!M141</f>
        <v>1.6216959279450451</v>
      </c>
      <c r="P28" s="236">
        <f>'PL-CF-BS'!N122/'PL-CF-BS'!N141</f>
        <v>1.5803898477142515</v>
      </c>
      <c r="R28" s="237" t="s">
        <v>140</v>
      </c>
      <c r="S28" s="221">
        <f t="shared" si="14"/>
        <v>36.574999999999996</v>
      </c>
      <c r="T28" s="221">
        <f t="shared" si="15"/>
        <v>44.975999999999999</v>
      </c>
      <c r="U28" s="221">
        <f t="shared" si="16"/>
        <v>40.252800000000001</v>
      </c>
      <c r="V28" s="221">
        <f>F29</f>
        <v>42.631330000000005</v>
      </c>
      <c r="W28" s="221">
        <f>G29</f>
        <v>44.751045500000004</v>
      </c>
      <c r="X28" s="221">
        <f>H29</f>
        <v>46.799564350000004</v>
      </c>
      <c r="Z28" s="209" t="s">
        <v>141</v>
      </c>
      <c r="AA28" s="238">
        <f t="shared" ref="AA28:AF29" si="17">K28</f>
        <v>1.1022611571956487</v>
      </c>
      <c r="AB28" s="238">
        <f t="shared" si="17"/>
        <v>1.6150336804796066</v>
      </c>
      <c r="AC28" s="238">
        <f t="shared" si="17"/>
        <v>1.6348720192518047</v>
      </c>
      <c r="AD28" s="238">
        <f t="shared" si="17"/>
        <v>1.6175906230056594</v>
      </c>
      <c r="AE28" s="238">
        <f t="shared" si="17"/>
        <v>1.6216959279450451</v>
      </c>
      <c r="AF28" s="238">
        <f t="shared" si="17"/>
        <v>1.5803898477142515</v>
      </c>
    </row>
    <row r="29" spans="2:32" ht="15" customHeight="1">
      <c r="B29" s="235" t="s">
        <v>142</v>
      </c>
      <c r="C29" s="216">
        <f>'PL-CF-BS'!I90</f>
        <v>36.574999999999996</v>
      </c>
      <c r="D29" s="216">
        <f>'PL-CF-BS'!J90</f>
        <v>44.975999999999999</v>
      </c>
      <c r="E29" s="216">
        <f>'PL-CF-BS'!K90</f>
        <v>40.252800000000001</v>
      </c>
      <c r="F29" s="216">
        <f>'PL-CF-BS'!L90</f>
        <v>42.631330000000005</v>
      </c>
      <c r="G29" s="216">
        <f>'PL-CF-BS'!M90</f>
        <v>44.751045500000004</v>
      </c>
      <c r="H29" s="216">
        <f>'PL-CF-BS'!N90</f>
        <v>46.799564350000004</v>
      </c>
      <c r="I29" s="213"/>
      <c r="J29" s="213" t="s">
        <v>143</v>
      </c>
      <c r="K29" s="236">
        <f>('PL-CF-BS'!I122-'PL-CF-BS'!I119)/'PL-CF-BS'!I141</f>
        <v>0.7545184381218184</v>
      </c>
      <c r="L29" s="236">
        <f>('PL-CF-BS'!J122-'PL-CF-BS'!J119)/'PL-CF-BS'!J141</f>
        <v>1.2415062249739974</v>
      </c>
      <c r="M29" s="236">
        <f>('PL-CF-BS'!K122-'PL-CF-BS'!K119)/'PL-CF-BS'!K141</f>
        <v>1.2138351564209142</v>
      </c>
      <c r="N29" s="236">
        <f>('PL-CF-BS'!L122-'PL-CF-BS'!L119)/'PL-CF-BS'!L141</f>
        <v>1.1774157209551832</v>
      </c>
      <c r="O29" s="236">
        <f>('PL-CF-BS'!M122-'PL-CF-BS'!M119)/'PL-CF-BS'!M141</f>
        <v>1.1615130758013654</v>
      </c>
      <c r="P29" s="236">
        <f>('PL-CF-BS'!N122-'PL-CF-BS'!N119)/'PL-CF-BS'!N141</f>
        <v>1.0992895932004045</v>
      </c>
      <c r="R29" s="237" t="s">
        <v>144</v>
      </c>
      <c r="S29" s="221">
        <f t="shared" si="14"/>
        <v>32.421000000000006</v>
      </c>
      <c r="T29" s="221">
        <f t="shared" si="15"/>
        <v>27.974999999999994</v>
      </c>
      <c r="U29" s="221">
        <f t="shared" si="16"/>
        <v>-141.71679999999995</v>
      </c>
      <c r="V29" s="221">
        <f>F30</f>
        <v>-22.013288611111079</v>
      </c>
      <c r="W29" s="221">
        <f>G30</f>
        <v>-28.328407467592513</v>
      </c>
      <c r="X29" s="221">
        <f>H30</f>
        <v>-2.0483412769290794</v>
      </c>
      <c r="Z29" s="209" t="s">
        <v>145</v>
      </c>
      <c r="AA29" s="238">
        <f t="shared" si="17"/>
        <v>0.7545184381218184</v>
      </c>
      <c r="AB29" s="238">
        <f t="shared" si="17"/>
        <v>1.2415062249739974</v>
      </c>
      <c r="AC29" s="238">
        <f t="shared" si="17"/>
        <v>1.2138351564209142</v>
      </c>
      <c r="AD29" s="238">
        <f t="shared" si="17"/>
        <v>1.1774157209551832</v>
      </c>
      <c r="AE29" s="238">
        <f t="shared" si="17"/>
        <v>1.1615130758013654</v>
      </c>
      <c r="AF29" s="238">
        <f t="shared" si="17"/>
        <v>1.0992895932004045</v>
      </c>
    </row>
    <row r="30" spans="2:32" ht="15" customHeight="1">
      <c r="B30" s="235" t="s">
        <v>146</v>
      </c>
      <c r="C30" s="216">
        <f>'PL-CF-BS'!I91</f>
        <v>32.421000000000006</v>
      </c>
      <c r="D30" s="216">
        <f>'PL-CF-BS'!J91</f>
        <v>27.974999999999994</v>
      </c>
      <c r="E30" s="216">
        <f>'PL-CF-BS'!K91</f>
        <v>-141.71679999999995</v>
      </c>
      <c r="F30" s="216">
        <f>'PL-CF-BS'!L91</f>
        <v>-22.013288611111079</v>
      </c>
      <c r="G30" s="216">
        <f>'PL-CF-BS'!M91</f>
        <v>-28.328407467592513</v>
      </c>
      <c r="H30" s="216">
        <f>'PL-CF-BS'!N91</f>
        <v>-2.0483412769290794</v>
      </c>
      <c r="I30" s="213"/>
      <c r="J30" s="213"/>
      <c r="K30" s="231"/>
      <c r="L30" s="231"/>
      <c r="M30" s="231"/>
      <c r="N30" s="231"/>
      <c r="O30" s="231"/>
      <c r="R30" s="237" t="s">
        <v>147</v>
      </c>
      <c r="S30" s="221">
        <f t="shared" si="14"/>
        <v>-46.847999999999992</v>
      </c>
      <c r="T30" s="221">
        <f t="shared" si="15"/>
        <v>-29.161999999999999</v>
      </c>
      <c r="U30" s="221">
        <f t="shared" si="16"/>
        <v>5.7471999999999923</v>
      </c>
      <c r="V30" s="221">
        <f>F31</f>
        <v>-24.591980000000003</v>
      </c>
      <c r="W30" s="221">
        <f>G31</f>
        <v>-16.802373000000003</v>
      </c>
      <c r="X30" s="221">
        <f>H31</f>
        <v>-12.476503550000007</v>
      </c>
    </row>
    <row r="31" spans="2:32" ht="15" customHeight="1">
      <c r="B31" s="235" t="s">
        <v>148</v>
      </c>
      <c r="C31" s="216">
        <f>'PL-CF-BS'!I92</f>
        <v>-46.847999999999992</v>
      </c>
      <c r="D31" s="216">
        <f>'PL-CF-BS'!J92</f>
        <v>-29.161999999999999</v>
      </c>
      <c r="E31" s="216">
        <f>'PL-CF-BS'!K92</f>
        <v>5.7471999999999923</v>
      </c>
      <c r="F31" s="216">
        <f>'PL-CF-BS'!L92</f>
        <v>-24.591980000000003</v>
      </c>
      <c r="G31" s="216">
        <f>'PL-CF-BS'!M92</f>
        <v>-16.802373000000003</v>
      </c>
      <c r="H31" s="216">
        <f>'PL-CF-BS'!N92</f>
        <v>-12.476503550000007</v>
      </c>
      <c r="I31" s="213"/>
      <c r="J31" s="10" t="s">
        <v>149</v>
      </c>
      <c r="K31" s="10">
        <f>K17</f>
        <v>2023</v>
      </c>
      <c r="L31" s="10">
        <f>L17</f>
        <v>2024</v>
      </c>
      <c r="M31" s="10" t="str">
        <f>M17</f>
        <v>2025E</v>
      </c>
      <c r="N31" s="10" t="str">
        <f>N17</f>
        <v>2026E</v>
      </c>
      <c r="O31" s="10" t="str">
        <f>O17</f>
        <v>2027E</v>
      </c>
      <c r="P31" s="10" t="str">
        <f>P17</f>
        <v>2028E</v>
      </c>
      <c r="R31" s="234" t="s">
        <v>150</v>
      </c>
      <c r="S31" s="224">
        <f t="shared" si="14"/>
        <v>113.29200000000017</v>
      </c>
      <c r="T31" s="224">
        <f t="shared" si="15"/>
        <v>164.53100000000009</v>
      </c>
      <c r="U31" s="224">
        <f t="shared" si="16"/>
        <v>146</v>
      </c>
      <c r="V31" s="224">
        <f>F32</f>
        <v>152.31157587569791</v>
      </c>
      <c r="W31" s="224">
        <f>G32</f>
        <v>178.54121113976248</v>
      </c>
      <c r="X31" s="224">
        <f>H32</f>
        <v>231.1188403070571</v>
      </c>
      <c r="Z31" s="9" t="s">
        <v>151</v>
      </c>
      <c r="AA31" s="9">
        <f>K31</f>
        <v>2023</v>
      </c>
      <c r="AB31" s="9">
        <f>L31</f>
        <v>2024</v>
      </c>
      <c r="AC31" s="9" t="str">
        <f>M31</f>
        <v>2025E</v>
      </c>
      <c r="AD31" s="9" t="str">
        <f>N31</f>
        <v>2026E</v>
      </c>
      <c r="AE31" s="9" t="str">
        <f>O31</f>
        <v>2027E</v>
      </c>
      <c r="AF31" s="10" t="s">
        <v>524</v>
      </c>
    </row>
    <row r="32" spans="2:32" ht="15" customHeight="1">
      <c r="B32" s="239" t="s">
        <v>152</v>
      </c>
      <c r="C32" s="219">
        <f>'PL-CF-BS'!I93</f>
        <v>113.29200000000017</v>
      </c>
      <c r="D32" s="219">
        <f>'PL-CF-BS'!J93</f>
        <v>164.53100000000009</v>
      </c>
      <c r="E32" s="219">
        <f>'PL-CF-BS'!K93</f>
        <v>146</v>
      </c>
      <c r="F32" s="219">
        <f>'PL-CF-BS'!L93</f>
        <v>152.31157587569791</v>
      </c>
      <c r="G32" s="219">
        <f>'PL-CF-BS'!M93</f>
        <v>178.54121113976248</v>
      </c>
      <c r="H32" s="219">
        <f>'PL-CF-BS'!N93</f>
        <v>231.1188403070571</v>
      </c>
      <c r="I32" s="213"/>
      <c r="J32" s="225" t="s">
        <v>153</v>
      </c>
      <c r="K32" s="231"/>
      <c r="L32" s="240"/>
      <c r="M32" s="231"/>
      <c r="N32" s="231"/>
      <c r="O32" s="231"/>
      <c r="R32" s="237" t="s">
        <v>154</v>
      </c>
      <c r="S32" s="221">
        <f t="shared" si="14"/>
        <v>-90.331000000000003</v>
      </c>
      <c r="T32" s="221">
        <f t="shared" si="15"/>
        <v>-92.704999999999998</v>
      </c>
      <c r="U32" s="221">
        <f t="shared" si="16"/>
        <v>-93</v>
      </c>
      <c r="V32" s="221">
        <f>F33</f>
        <v>-100.44000000000001</v>
      </c>
      <c r="W32" s="221">
        <f>G33</f>
        <v>-108.47520000000002</v>
      </c>
      <c r="X32" s="221">
        <f>H33</f>
        <v>-117.15321600000003</v>
      </c>
      <c r="Z32" s="226" t="s">
        <v>155</v>
      </c>
    </row>
    <row r="33" spans="2:32" ht="15" customHeight="1">
      <c r="B33" s="235" t="s">
        <v>156</v>
      </c>
      <c r="C33" s="216">
        <f>'PL-CF-BS'!I96</f>
        <v>-90.331000000000003</v>
      </c>
      <c r="D33" s="216">
        <f>'PL-CF-BS'!J96</f>
        <v>-92.704999999999998</v>
      </c>
      <c r="E33" s="216">
        <f>'PL-CF-BS'!K96</f>
        <v>-93</v>
      </c>
      <c r="F33" s="216">
        <f>'PL-CF-BS'!L96</f>
        <v>-100.44000000000001</v>
      </c>
      <c r="G33" s="216">
        <f>'PL-CF-BS'!M96</f>
        <v>-108.47520000000002</v>
      </c>
      <c r="H33" s="216">
        <f>'PL-CF-BS'!N96</f>
        <v>-117.15321600000003</v>
      </c>
      <c r="I33" s="213"/>
      <c r="J33" s="213" t="s">
        <v>38</v>
      </c>
      <c r="K33" s="241">
        <f>'PL-CF-BS'!I75</f>
        <v>0.586204190167537</v>
      </c>
      <c r="L33" s="241">
        <f>'PL-CF-BS'!J75</f>
        <v>0.32990625413042018</v>
      </c>
      <c r="M33" s="241">
        <f>'PL-CF-BS'!K75</f>
        <v>0.37952395578053577</v>
      </c>
      <c r="N33" s="241">
        <f>'PL-CF-BS'!L75</f>
        <v>0.42700960242297542</v>
      </c>
      <c r="O33" s="241">
        <f>'PL-CF-BS'!M75</f>
        <v>0.48885504400916668</v>
      </c>
      <c r="P33" s="241">
        <f>'PL-CF-BS'!N75</f>
        <v>0.54328994749723003</v>
      </c>
      <c r="R33" s="237" t="s">
        <v>147</v>
      </c>
      <c r="S33" s="221">
        <f t="shared" si="14"/>
        <v>0</v>
      </c>
      <c r="T33" s="221">
        <f t="shared" si="15"/>
        <v>-103</v>
      </c>
      <c r="U33" s="221">
        <f t="shared" si="16"/>
        <v>-78.818799999999982</v>
      </c>
      <c r="V33" s="221">
        <f>F34</f>
        <v>-63.636580000000002</v>
      </c>
      <c r="W33" s="221">
        <f>G34</f>
        <v>-85.909383000000005</v>
      </c>
      <c r="X33" s="221">
        <f>H34</f>
        <v>-79.927667049999997</v>
      </c>
      <c r="Z33" s="209" t="s">
        <v>38</v>
      </c>
      <c r="AA33" s="242">
        <f t="shared" ref="AA33:AF34" si="18">K33</f>
        <v>0.586204190167537</v>
      </c>
      <c r="AB33" s="242">
        <f t="shared" si="18"/>
        <v>0.32990625413042018</v>
      </c>
      <c r="AC33" s="242">
        <f t="shared" si="18"/>
        <v>0.37952395578053577</v>
      </c>
      <c r="AD33" s="242">
        <f t="shared" si="18"/>
        <v>0.42700960242297542</v>
      </c>
      <c r="AE33" s="242">
        <f t="shared" si="18"/>
        <v>0.48885504400916668</v>
      </c>
      <c r="AF33" s="242">
        <f t="shared" si="18"/>
        <v>0.54328994749723003</v>
      </c>
    </row>
    <row r="34" spans="2:32" ht="15" customHeight="1">
      <c r="B34" s="235" t="s">
        <v>148</v>
      </c>
      <c r="C34" s="216">
        <f>'PL-CF-BS'!I98</f>
        <v>0</v>
      </c>
      <c r="D34" s="216">
        <f>'PL-CF-BS'!J98</f>
        <v>-103</v>
      </c>
      <c r="E34" s="216">
        <f>'PL-CF-BS'!K98</f>
        <v>-78.818799999999982</v>
      </c>
      <c r="F34" s="216">
        <f>'PL-CF-BS'!L98</f>
        <v>-63.636580000000002</v>
      </c>
      <c r="G34" s="216">
        <f>'PL-CF-BS'!M98</f>
        <v>-85.909383000000005</v>
      </c>
      <c r="H34" s="216">
        <f>'PL-CF-BS'!N98</f>
        <v>-79.927667049999997</v>
      </c>
      <c r="I34" s="213"/>
      <c r="J34" s="213" t="s">
        <v>157</v>
      </c>
      <c r="K34" s="241">
        <f>'PL-CF-BS'!I156/'PL-CF-BS'!I72</f>
        <v>3.0445777530583209</v>
      </c>
      <c r="L34" s="241">
        <f>'PL-CF-BS'!J156/'PL-CF-BS'!J72</f>
        <v>2.1365434175641949</v>
      </c>
      <c r="M34" s="241">
        <f>'PL-CF-BS'!K156/'PL-CF-BS'!K72</f>
        <v>2.4160137045498478</v>
      </c>
      <c r="N34" s="241">
        <f>'PL-CF-BS'!L156/'PL-CF-BS'!L72</f>
        <v>2.6349041693989075</v>
      </c>
      <c r="O34" s="241">
        <f>'PL-CF-BS'!M156/'PL-CF-BS'!M72</f>
        <v>3.0259252036065574</v>
      </c>
      <c r="P34" s="241">
        <f>'PL-CF-BS'!N156/'PL-CF-BS'!N72</f>
        <v>3.4471453470229512</v>
      </c>
      <c r="R34" s="234" t="s">
        <v>158</v>
      </c>
      <c r="S34" s="224">
        <f t="shared" si="14"/>
        <v>-90.637</v>
      </c>
      <c r="T34" s="224">
        <f t="shared" si="15"/>
        <v>-193.38499999999999</v>
      </c>
      <c r="U34" s="224">
        <f t="shared" si="16"/>
        <v>-171.2</v>
      </c>
      <c r="V34" s="224">
        <f>F35</f>
        <v>-163.1551</v>
      </c>
      <c r="W34" s="224">
        <f>G35</f>
        <v>-193.03348500000004</v>
      </c>
      <c r="X34" s="224">
        <f>H35</f>
        <v>-196.06890075000001</v>
      </c>
      <c r="Z34" s="209" t="s">
        <v>157</v>
      </c>
      <c r="AA34" s="242">
        <f t="shared" si="18"/>
        <v>3.0445777530583209</v>
      </c>
      <c r="AB34" s="242">
        <f t="shared" si="18"/>
        <v>2.1365434175641949</v>
      </c>
      <c r="AC34" s="242">
        <f t="shared" si="18"/>
        <v>2.4160137045498478</v>
      </c>
      <c r="AD34" s="242">
        <f t="shared" si="18"/>
        <v>2.6349041693989075</v>
      </c>
      <c r="AE34" s="242">
        <f t="shared" si="18"/>
        <v>3.0259252036065574</v>
      </c>
      <c r="AF34" s="242">
        <f t="shared" si="18"/>
        <v>3.4471453470229512</v>
      </c>
    </row>
    <row r="35" spans="2:32" ht="15" customHeight="1">
      <c r="B35" s="239" t="s">
        <v>159</v>
      </c>
      <c r="C35" s="219">
        <f>'PL-CF-BS'!I99</f>
        <v>-90.637</v>
      </c>
      <c r="D35" s="219">
        <f>'PL-CF-BS'!J99</f>
        <v>-193.38499999999999</v>
      </c>
      <c r="E35" s="219">
        <f>'PL-CF-BS'!K99</f>
        <v>-171.2</v>
      </c>
      <c r="F35" s="219">
        <f>'PL-CF-BS'!L99</f>
        <v>-163.1551</v>
      </c>
      <c r="G35" s="219">
        <f>'PL-CF-BS'!M99</f>
        <v>-193.03348500000004</v>
      </c>
      <c r="H35" s="219">
        <f>'PL-CF-BS'!N99</f>
        <v>-196.06890075000001</v>
      </c>
      <c r="I35" s="213"/>
      <c r="J35" s="225" t="s">
        <v>160</v>
      </c>
      <c r="K35" s="231"/>
      <c r="L35" s="231"/>
      <c r="M35" s="231"/>
      <c r="N35" s="231"/>
      <c r="O35" s="231"/>
      <c r="P35" s="231"/>
      <c r="R35" s="237" t="s">
        <v>161</v>
      </c>
      <c r="S35" s="221">
        <f t="shared" si="14"/>
        <v>-3.629</v>
      </c>
      <c r="T35" s="221">
        <f t="shared" si="15"/>
        <v>-3.927</v>
      </c>
      <c r="U35" s="221">
        <f t="shared" si="16"/>
        <v>-6</v>
      </c>
      <c r="V35" s="221">
        <f>F36</f>
        <v>-6.36</v>
      </c>
      <c r="W35" s="221">
        <f>G36</f>
        <v>-7.6319999999999997</v>
      </c>
      <c r="X35" s="221">
        <f>H36</f>
        <v>-8.0136000000000003</v>
      </c>
      <c r="Z35" s="226" t="s">
        <v>162</v>
      </c>
      <c r="AF35" s="211"/>
    </row>
    <row r="36" spans="2:32" ht="15" customHeight="1">
      <c r="B36" s="235" t="s">
        <v>163</v>
      </c>
      <c r="C36" s="216">
        <f>'PL-CF-BS'!I106</f>
        <v>-3.629</v>
      </c>
      <c r="D36" s="216">
        <f>'PL-CF-BS'!J106</f>
        <v>-3.927</v>
      </c>
      <c r="E36" s="216">
        <f>'PL-CF-BS'!K106</f>
        <v>-6</v>
      </c>
      <c r="F36" s="216">
        <f>'PL-CF-BS'!L106</f>
        <v>-6.36</v>
      </c>
      <c r="G36" s="216">
        <f>'PL-CF-BS'!M106</f>
        <v>-7.6319999999999997</v>
      </c>
      <c r="H36" s="216">
        <f>'PL-CF-BS'!N106</f>
        <v>-8.0136000000000003</v>
      </c>
      <c r="I36" s="213"/>
      <c r="J36" s="213" t="s">
        <v>164</v>
      </c>
      <c r="K36" s="241">
        <f>K40/K33</f>
        <v>8.9690798762470134</v>
      </c>
      <c r="L36" s="241">
        <f>L40/L33</f>
        <v>15.943923263487422</v>
      </c>
      <c r="M36" s="241">
        <f>M40/M33</f>
        <v>13.859467682829637</v>
      </c>
      <c r="N36" s="241">
        <f>N40/N33</f>
        <v>12.318224157380175</v>
      </c>
      <c r="O36" s="241">
        <f>O40/O33</f>
        <v>10.759835792757757</v>
      </c>
      <c r="P36" s="241">
        <f>P40/P33</f>
        <v>9.6817546951332432</v>
      </c>
      <c r="R36" s="237" t="s">
        <v>147</v>
      </c>
      <c r="S36" s="221">
        <f>'PL-CF-BS'!I104+'PL-CF-BS'!I107+'PL-CF-BS'!I108</f>
        <v>-15.41</v>
      </c>
      <c r="T36" s="221">
        <f>'PL-CF-BS'!J104+'PL-CF-BS'!J107+'PL-CF-BS'!J108</f>
        <v>177.74500000000003</v>
      </c>
      <c r="U36" s="221">
        <f>'PL-CF-BS'!K104+'PL-CF-BS'!K107+'PL-CF-BS'!K108</f>
        <v>-79.099999999999994</v>
      </c>
      <c r="V36" s="221">
        <f>'PL-CF-BS'!L104+'PL-CF-BS'!L107+'PL-CF-BS'!L108</f>
        <v>21.99366666666667</v>
      </c>
      <c r="W36" s="221">
        <f>'PL-CF-BS'!M104+'PL-CF-BS'!M107+'PL-CF-BS'!M108</f>
        <v>34.560222222222237</v>
      </c>
      <c r="X36" s="221">
        <f>'PL-CF-BS'!N104+'PL-CF-BS'!N107+'PL-CF-BS'!N108</f>
        <v>-11.6607037037037</v>
      </c>
      <c r="Z36" s="209" t="s">
        <v>164</v>
      </c>
      <c r="AA36" s="243">
        <f t="shared" ref="AA36:AF38" si="19">K36</f>
        <v>8.9690798762470134</v>
      </c>
      <c r="AB36" s="243">
        <f t="shared" si="19"/>
        <v>15.943923263487422</v>
      </c>
      <c r="AC36" s="243">
        <f t="shared" si="19"/>
        <v>13.859467682829637</v>
      </c>
      <c r="AD36" s="243">
        <f t="shared" si="19"/>
        <v>12.318224157380175</v>
      </c>
      <c r="AE36" s="243">
        <f t="shared" si="19"/>
        <v>10.759835792757757</v>
      </c>
      <c r="AF36" s="243">
        <f t="shared" si="19"/>
        <v>9.6817546951332432</v>
      </c>
    </row>
    <row r="37" spans="2:32" ht="15" customHeight="1">
      <c r="B37" s="239" t="s">
        <v>165</v>
      </c>
      <c r="C37" s="219">
        <f>'PL-CF-BS'!I109</f>
        <v>-19.039000000000001</v>
      </c>
      <c r="D37" s="219">
        <f>'PL-CF-BS'!J109</f>
        <v>173.81800000000004</v>
      </c>
      <c r="E37" s="219">
        <f>'PL-CF-BS'!K109</f>
        <v>-87.1</v>
      </c>
      <c r="F37" s="219">
        <f>'PL-CF-BS'!L109</f>
        <v>13.233666666666672</v>
      </c>
      <c r="G37" s="219">
        <f>'PL-CF-BS'!M109</f>
        <v>24.048222222222236</v>
      </c>
      <c r="H37" s="219">
        <f>'PL-CF-BS'!N109</f>
        <v>-22.784703703703705</v>
      </c>
      <c r="I37" s="213"/>
      <c r="J37" s="213" t="s">
        <v>166</v>
      </c>
      <c r="K37" s="241">
        <f>K40/K34</f>
        <v>1.7269101438194139</v>
      </c>
      <c r="L37" s="241">
        <f>L40/L34</f>
        <v>2.4619204818204716</v>
      </c>
      <c r="M37" s="241">
        <f>M40/M34</f>
        <v>2.1771399682437003</v>
      </c>
      <c r="N37" s="241">
        <f>N40/N34</f>
        <v>1.9962775349055473</v>
      </c>
      <c r="O37" s="241">
        <f>O40/O34</f>
        <v>1.7383113084654838</v>
      </c>
      <c r="P37" s="241">
        <f>P40/P34</f>
        <v>1.525900265430548</v>
      </c>
      <c r="R37" s="234" t="s">
        <v>167</v>
      </c>
      <c r="S37" s="224">
        <f t="shared" ref="S37:X38" si="20">C37</f>
        <v>-19.039000000000001</v>
      </c>
      <c r="T37" s="224">
        <f t="shared" si="20"/>
        <v>173.81800000000004</v>
      </c>
      <c r="U37" s="224">
        <f t="shared" si="20"/>
        <v>-87.1</v>
      </c>
      <c r="V37" s="224">
        <f t="shared" si="20"/>
        <v>13.233666666666672</v>
      </c>
      <c r="W37" s="224">
        <f t="shared" si="20"/>
        <v>24.048222222222236</v>
      </c>
      <c r="X37" s="224">
        <f t="shared" si="20"/>
        <v>-22.784703703703705</v>
      </c>
      <c r="Z37" s="209" t="s">
        <v>166</v>
      </c>
      <c r="AA37" s="243">
        <f t="shared" si="19"/>
        <v>1.7269101438194139</v>
      </c>
      <c r="AB37" s="243">
        <f t="shared" si="19"/>
        <v>2.4619204818204716</v>
      </c>
      <c r="AC37" s="243">
        <f t="shared" si="19"/>
        <v>2.1771399682437003</v>
      </c>
      <c r="AD37" s="243">
        <f t="shared" si="19"/>
        <v>1.9962775349055473</v>
      </c>
      <c r="AE37" s="243">
        <f t="shared" si="19"/>
        <v>1.7383113084654838</v>
      </c>
      <c r="AF37" s="243">
        <f t="shared" si="19"/>
        <v>1.525900265430548</v>
      </c>
    </row>
    <row r="38" spans="2:32" ht="15" customHeight="1">
      <c r="B38" s="239" t="s">
        <v>168</v>
      </c>
      <c r="C38" s="219">
        <f>C32+C35+C37</f>
        <v>3.6160000000001702</v>
      </c>
      <c r="D38" s="219">
        <f>D32+D35+D37</f>
        <v>144.96400000000014</v>
      </c>
      <c r="E38" s="219">
        <f>E32+E35+E37</f>
        <v>-112.29999999999998</v>
      </c>
      <c r="F38" s="219">
        <f>F32+F35+F37</f>
        <v>2.390142542364579</v>
      </c>
      <c r="G38" s="219">
        <f>G32+G35+G37</f>
        <v>9.5559483619846759</v>
      </c>
      <c r="H38" s="219">
        <f>H32+H35+H37</f>
        <v>12.265235853353381</v>
      </c>
      <c r="I38" s="213"/>
      <c r="J38" s="213" t="s">
        <v>169</v>
      </c>
      <c r="K38" s="241">
        <f>K40*'PL-CF-BS'!I72/'PL-CF-BS'!I6</f>
        <v>0.76563799862945581</v>
      </c>
      <c r="L38" s="241">
        <f>L40*'PL-CF-BS'!J72/'PL-CF-BS'!J6</f>
        <v>1.6080929877298509</v>
      </c>
      <c r="M38" s="241">
        <f>M40*'PL-CF-BS'!K72/'PL-CF-BS'!K6</f>
        <v>1.4213997524162525</v>
      </c>
      <c r="N38" s="241">
        <f>N40*'PL-CF-BS'!L72/'PL-CF-BS'!L6</f>
        <v>1.2646798437447573</v>
      </c>
      <c r="O38" s="241">
        <f>O40*'PL-CF-BS'!M72/'PL-CF-BS'!M6</f>
        <v>1.1482203346994131</v>
      </c>
      <c r="P38" s="241">
        <f>P40*'PL-CF-BS'!N72/'PL-CF-BS'!N6</f>
        <v>1.0438366679085573</v>
      </c>
      <c r="R38" s="234" t="s">
        <v>170</v>
      </c>
      <c r="S38" s="224">
        <f t="shared" si="20"/>
        <v>3.6160000000001702</v>
      </c>
      <c r="T38" s="224">
        <f t="shared" si="20"/>
        <v>144.96400000000014</v>
      </c>
      <c r="U38" s="224">
        <f t="shared" si="20"/>
        <v>-112.29999999999998</v>
      </c>
      <c r="V38" s="224">
        <f t="shared" si="20"/>
        <v>2.390142542364579</v>
      </c>
      <c r="W38" s="224">
        <f t="shared" si="20"/>
        <v>9.5559483619846759</v>
      </c>
      <c r="X38" s="224">
        <f t="shared" si="20"/>
        <v>12.265235853353381</v>
      </c>
      <c r="Z38" s="209" t="s">
        <v>169</v>
      </c>
      <c r="AA38" s="242">
        <f t="shared" si="19"/>
        <v>0.76563799862945581</v>
      </c>
      <c r="AB38" s="242">
        <f t="shared" si="19"/>
        <v>1.6080929877298509</v>
      </c>
      <c r="AC38" s="242">
        <f t="shared" si="19"/>
        <v>1.4213997524162525</v>
      </c>
      <c r="AD38" s="242">
        <f t="shared" si="19"/>
        <v>1.2646798437447573</v>
      </c>
      <c r="AE38" s="242">
        <f t="shared" si="19"/>
        <v>1.1482203346994131</v>
      </c>
      <c r="AF38" s="242">
        <f t="shared" si="19"/>
        <v>1.0438366679085573</v>
      </c>
    </row>
    <row r="39" spans="2:32" ht="15" customHeight="1">
      <c r="K39" s="242"/>
      <c r="L39" s="242"/>
      <c r="M39" s="242"/>
      <c r="N39" s="242"/>
      <c r="O39" s="242"/>
      <c r="AA39" s="242"/>
      <c r="AB39" s="242"/>
      <c r="AC39" s="242"/>
      <c r="AD39" s="242"/>
      <c r="AE39" s="242"/>
    </row>
    <row r="40" spans="2:32" ht="15" customHeight="1">
      <c r="K40" s="244">
        <f>K41/K42</f>
        <v>5.2577122054033332</v>
      </c>
      <c r="L40" s="244">
        <v>5.26</v>
      </c>
      <c r="M40" s="244">
        <v>5.26</v>
      </c>
      <c r="N40" s="244">
        <v>5.26</v>
      </c>
      <c r="O40" s="244">
        <v>5.26</v>
      </c>
      <c r="P40" s="244">
        <v>5.26</v>
      </c>
      <c r="AA40" s="242"/>
      <c r="AB40" s="242"/>
      <c r="AC40" s="242"/>
      <c r="AD40" s="242"/>
      <c r="AE40" s="242"/>
    </row>
    <row r="41" spans="2:32" ht="15" customHeight="1">
      <c r="K41" s="245">
        <v>41.16</v>
      </c>
      <c r="L41" s="242"/>
      <c r="M41" s="242"/>
      <c r="N41" s="242"/>
      <c r="O41" s="242"/>
      <c r="AA41" s="242"/>
      <c r="AB41" s="242"/>
      <c r="AC41" s="242"/>
      <c r="AD41" s="242"/>
      <c r="AE41" s="242"/>
    </row>
    <row r="42" spans="2:32" ht="15" customHeight="1">
      <c r="K42" s="242">
        <v>7.8285</v>
      </c>
      <c r="L42" s="242"/>
      <c r="M42" s="242"/>
      <c r="N42" s="242"/>
      <c r="O42" s="242"/>
      <c r="AA42" s="242"/>
      <c r="AB42" s="242"/>
      <c r="AC42" s="242"/>
      <c r="AD42" s="242"/>
      <c r="AE42" s="242"/>
    </row>
  </sheetData>
  <phoneticPr fontId="133" type="noConversion"/>
  <pageMargins left="0.75" right="0.75" top="1" bottom="1" header="0.5" footer="0.5"/>
  <pageSetup paperSize="9" orientation="portrait"/>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Y179"/>
  <sheetViews>
    <sheetView zoomScaleNormal="100" zoomScaleSheetLayoutView="122" workbookViewId="0">
      <pane xSplit="5" ySplit="4" topLeftCell="J5" activePane="bottomRight" state="frozen"/>
      <selection pane="topRight"/>
      <selection pane="bottomLeft"/>
      <selection pane="bottomRight" activeCell="P7" sqref="P7:R7"/>
    </sheetView>
  </sheetViews>
  <sheetFormatPr defaultColWidth="9" defaultRowHeight="11.5"/>
  <cols>
    <col min="1" max="3" width="3.1640625" style="127" customWidth="1"/>
    <col min="4" max="4" width="3.1640625" style="123" customWidth="1"/>
    <col min="5" max="5" width="26.9140625" style="123" customWidth="1"/>
    <col min="6" max="6" width="12.33203125" style="123" hidden="1" customWidth="1"/>
    <col min="7" max="8" width="10.6640625" style="123" hidden="1" customWidth="1"/>
    <col min="9" max="16" width="10.6640625" style="123" customWidth="1"/>
    <col min="17" max="17" width="11.5" style="123" customWidth="1"/>
    <col min="18" max="18" width="12.4140625" style="123" customWidth="1"/>
    <col min="19" max="16384" width="9" style="127"/>
  </cols>
  <sheetData>
    <row r="1" spans="1:19">
      <c r="B1" s="128"/>
      <c r="H1" s="129"/>
      <c r="I1" s="129"/>
      <c r="J1" s="129"/>
    </row>
    <row r="2" spans="1:19">
      <c r="B2" s="128" t="s">
        <v>171</v>
      </c>
      <c r="D2" s="129"/>
      <c r="E2" s="129"/>
      <c r="F2" s="130">
        <f t="shared" ref="F2:R2" si="0">F132-F148-F160</f>
        <v>-4.0999999999968395E-2</v>
      </c>
      <c r="G2" s="130">
        <f t="shared" si="0"/>
        <v>-6.2000000000182354E-2</v>
      </c>
      <c r="H2" s="130">
        <f t="shared" si="0"/>
        <v>-2.0999999999958163E-2</v>
      </c>
      <c r="I2" s="130">
        <f t="shared" si="0"/>
        <v>0</v>
      </c>
      <c r="J2" s="130">
        <f t="shared" si="0"/>
        <v>0</v>
      </c>
      <c r="K2" s="130">
        <f t="shared" si="0"/>
        <v>2.4999999999863576E-2</v>
      </c>
      <c r="L2" s="130">
        <f>L132-L148-L160</f>
        <v>3.3440451534756903</v>
      </c>
      <c r="M2" s="130">
        <f t="shared" si="0"/>
        <v>4.5118328630528595</v>
      </c>
      <c r="N2" s="130">
        <f t="shared" si="0"/>
        <v>2.8958561249353352</v>
      </c>
      <c r="O2" s="130">
        <f t="shared" si="0"/>
        <v>-76.547656159063081</v>
      </c>
      <c r="P2" s="130">
        <f t="shared" si="0"/>
        <v>-148.33222720318145</v>
      </c>
      <c r="Q2" s="130">
        <f t="shared" si="0"/>
        <v>-174.8209902872718</v>
      </c>
      <c r="R2" s="130">
        <f t="shared" si="0"/>
        <v>-150.93278156341967</v>
      </c>
    </row>
    <row r="3" spans="1:19">
      <c r="B3" s="131" t="s">
        <v>172</v>
      </c>
      <c r="D3" s="129"/>
      <c r="E3" s="129"/>
      <c r="F3" s="129"/>
      <c r="G3" s="129"/>
      <c r="H3" s="129"/>
      <c r="I3" s="132"/>
      <c r="J3" s="132"/>
      <c r="K3" s="132"/>
      <c r="L3" s="132"/>
      <c r="M3" s="132"/>
      <c r="N3" s="132"/>
      <c r="O3" s="132"/>
      <c r="P3" s="132"/>
      <c r="Q3" s="132"/>
      <c r="R3" s="132"/>
    </row>
    <row r="4" spans="1:19" s="116" customFormat="1">
      <c r="B4" s="133"/>
      <c r="D4" s="134"/>
      <c r="E4" s="134"/>
      <c r="F4" s="134">
        <v>2020</v>
      </c>
      <c r="G4" s="134">
        <v>2021</v>
      </c>
      <c r="H4" s="134">
        <v>2022</v>
      </c>
      <c r="I4" s="134">
        <v>2023</v>
      </c>
      <c r="J4" s="134">
        <v>2024</v>
      </c>
      <c r="K4" s="134" t="s">
        <v>523</v>
      </c>
      <c r="L4" s="134" t="s">
        <v>100</v>
      </c>
      <c r="M4" s="134" t="s">
        <v>101</v>
      </c>
      <c r="N4" s="134" t="s">
        <v>173</v>
      </c>
      <c r="O4" s="134" t="s">
        <v>174</v>
      </c>
      <c r="P4" s="134" t="s">
        <v>175</v>
      </c>
      <c r="Q4" s="134" t="s">
        <v>176</v>
      </c>
      <c r="R4" s="134" t="s">
        <v>177</v>
      </c>
    </row>
    <row r="5" spans="1:19" s="117" customFormat="1">
      <c r="B5" s="135" t="s">
        <v>178</v>
      </c>
      <c r="D5" s="136"/>
      <c r="E5" s="136"/>
      <c r="F5" s="136"/>
      <c r="G5" s="137"/>
      <c r="H5" s="137"/>
      <c r="I5" s="137"/>
      <c r="J5" s="137"/>
      <c r="K5" s="137"/>
      <c r="L5" s="137"/>
      <c r="M5" s="137"/>
      <c r="N5" s="137"/>
      <c r="O5" s="137"/>
      <c r="P5" s="137"/>
      <c r="Q5" s="137"/>
      <c r="R5" s="137"/>
    </row>
    <row r="6" spans="1:19" s="118" customFormat="1">
      <c r="B6" s="138" t="s">
        <v>11</v>
      </c>
      <c r="D6" s="139"/>
      <c r="E6" s="139"/>
      <c r="F6" s="139">
        <f>PL!B4</f>
        <v>586.46299999999997</v>
      </c>
      <c r="G6" s="139">
        <f>PL!C4</f>
        <v>738.13</v>
      </c>
      <c r="H6" s="139">
        <f>PL!D4</f>
        <v>894.08199999999999</v>
      </c>
      <c r="I6" s="139">
        <f>PL!E4</f>
        <v>1067.7080000000001</v>
      </c>
      <c r="J6" s="139">
        <f>PL!F4</f>
        <v>1197.133</v>
      </c>
      <c r="K6" s="139">
        <v>1354.37</v>
      </c>
      <c r="L6" s="139">
        <f>forecast!H23</f>
        <v>1522.2508760000001</v>
      </c>
      <c r="M6" s="139">
        <f>forecast!I23</f>
        <v>1676.6468436600001</v>
      </c>
      <c r="N6" s="139">
        <f>M6*(1+N7)</f>
        <v>1844.3115280260001</v>
      </c>
      <c r="O6" s="139">
        <f t="shared" ref="O6:R6" si="1">N6*(1+O7)</f>
        <v>2010.2995655483403</v>
      </c>
      <c r="P6" s="139">
        <f t="shared" si="1"/>
        <v>2171.1235307922075</v>
      </c>
      <c r="Q6" s="139">
        <f t="shared" si="1"/>
        <v>2344.8134132555842</v>
      </c>
      <c r="R6" s="139">
        <f t="shared" si="1"/>
        <v>2532.3984863160313</v>
      </c>
    </row>
    <row r="7" spans="1:19">
      <c r="B7" s="119" t="s">
        <v>179</v>
      </c>
      <c r="D7" s="140"/>
      <c r="E7" s="140"/>
      <c r="F7" s="141"/>
      <c r="G7" s="141">
        <f>G6/F6-1</f>
        <v>0.25861307533467581</v>
      </c>
      <c r="H7" s="141">
        <f>H6/G6-1</f>
        <v>0.21127985585195019</v>
      </c>
      <c r="I7" s="141">
        <f>I6/H6-1</f>
        <v>0.1941947159209112</v>
      </c>
      <c r="J7" s="141">
        <f t="shared" ref="J7:M7" si="2">J6/I6-1</f>
        <v>0.12121759881915284</v>
      </c>
      <c r="K7" s="141">
        <f t="shared" si="2"/>
        <v>0.13134463756324477</v>
      </c>
      <c r="L7" s="141">
        <f t="shared" si="2"/>
        <v>0.12395495765558917</v>
      </c>
      <c r="M7" s="141">
        <f t="shared" si="2"/>
        <v>0.10142609874247821</v>
      </c>
      <c r="N7" s="142">
        <v>0.1</v>
      </c>
      <c r="O7" s="142">
        <v>0.09</v>
      </c>
      <c r="P7" s="142">
        <v>0.08</v>
      </c>
      <c r="Q7" s="142">
        <v>0.08</v>
      </c>
      <c r="R7" s="142">
        <v>0.08</v>
      </c>
    </row>
    <row r="8" spans="1:19">
      <c r="A8" s="143"/>
      <c r="B8" s="119" t="s">
        <v>180</v>
      </c>
      <c r="D8" s="144"/>
      <c r="E8" s="144"/>
      <c r="F8" s="144">
        <f>-PL!B5</f>
        <v>401.13099999999997</v>
      </c>
      <c r="G8" s="144">
        <f>-PL!C5</f>
        <v>495.85500000000002</v>
      </c>
      <c r="H8" s="144">
        <f>-PL!D5</f>
        <v>595.952</v>
      </c>
      <c r="I8" s="144">
        <f>-PL!E5</f>
        <v>703.01599999999996</v>
      </c>
      <c r="J8" s="144">
        <f>-PL!F5</f>
        <v>783.58299999999997</v>
      </c>
      <c r="K8" s="144">
        <f>K6-K9</f>
        <v>877.26999999999987</v>
      </c>
      <c r="L8" s="144">
        <f>forecast!H25</f>
        <v>987.85065461000011</v>
      </c>
      <c r="M8" s="144">
        <f>forecast!I25</f>
        <v>1082.5341133887</v>
      </c>
      <c r="N8" s="144">
        <f>M8*1.095</f>
        <v>1185.3748541606265</v>
      </c>
      <c r="O8" s="144">
        <f>N8*1.075</f>
        <v>1274.2779682226733</v>
      </c>
      <c r="P8" s="144">
        <f t="shared" ref="P8:S8" si="3">O8*1.075</f>
        <v>1369.8488158393736</v>
      </c>
      <c r="Q8" s="144">
        <f>P8*1.065</f>
        <v>1458.8889888689328</v>
      </c>
      <c r="R8" s="144">
        <f>Q8*1.065</f>
        <v>1553.7167731454133</v>
      </c>
      <c r="S8" s="144"/>
    </row>
    <row r="9" spans="1:19" s="119" customFormat="1">
      <c r="A9" s="145"/>
      <c r="B9" s="146" t="s">
        <v>181</v>
      </c>
      <c r="C9" s="147"/>
      <c r="D9" s="148"/>
      <c r="E9" s="148"/>
      <c r="F9" s="148">
        <f t="shared" ref="F9:Q9" si="4">F6-F8</f>
        <v>185.33199999999999</v>
      </c>
      <c r="G9" s="148">
        <f t="shared" si="4"/>
        <v>242.27499999999998</v>
      </c>
      <c r="H9" s="148">
        <f t="shared" si="4"/>
        <v>298.13</v>
      </c>
      <c r="I9" s="148">
        <f t="shared" si="4"/>
        <v>364.69200000000012</v>
      </c>
      <c r="J9" s="148">
        <f t="shared" si="4"/>
        <v>413.55000000000007</v>
      </c>
      <c r="K9" s="148">
        <v>477.1</v>
      </c>
      <c r="L9" s="148">
        <f t="shared" si="4"/>
        <v>534.40022138999996</v>
      </c>
      <c r="M9" s="148">
        <f t="shared" si="4"/>
        <v>594.11273027130005</v>
      </c>
      <c r="N9" s="148">
        <f>N6-N8</f>
        <v>658.93667386537368</v>
      </c>
      <c r="O9" s="148">
        <f t="shared" si="4"/>
        <v>736.02159732566702</v>
      </c>
      <c r="P9" s="148">
        <f t="shared" si="4"/>
        <v>801.27471495283385</v>
      </c>
      <c r="Q9" s="148">
        <f t="shared" si="4"/>
        <v>885.92442438665148</v>
      </c>
      <c r="R9" s="148">
        <f t="shared" ref="R9" si="5">R6-R8</f>
        <v>978.68171317061797</v>
      </c>
      <c r="S9" s="146"/>
    </row>
    <row r="10" spans="1:19" s="120" customFormat="1">
      <c r="C10" s="120" t="s">
        <v>182</v>
      </c>
      <c r="D10" s="149"/>
      <c r="E10" s="149"/>
      <c r="F10" s="149"/>
      <c r="G10" s="149">
        <f>G9/F9-1</f>
        <v>0.30724861329937614</v>
      </c>
      <c r="H10" s="149">
        <f>H9/G9-1</f>
        <v>0.23054380352904769</v>
      </c>
      <c r="I10" s="149">
        <f>I9/H9-1</f>
        <v>0.22326501861604031</v>
      </c>
      <c r="J10" s="149">
        <f t="shared" ref="J10:R10" si="6">J9/I9-1</f>
        <v>0.1339705833964</v>
      </c>
      <c r="K10" s="149">
        <f t="shared" si="6"/>
        <v>0.15366944746705347</v>
      </c>
      <c r="L10" s="149">
        <f t="shared" si="6"/>
        <v>0.12010107187172481</v>
      </c>
      <c r="M10" s="149">
        <f t="shared" si="6"/>
        <v>0.11173743290372351</v>
      </c>
      <c r="N10" s="149">
        <f t="shared" si="6"/>
        <v>0.10911051100432068</v>
      </c>
      <c r="O10" s="149">
        <f t="shared" si="6"/>
        <v>0.11698381121831813</v>
      </c>
      <c r="P10" s="149">
        <f t="shared" si="6"/>
        <v>8.8656525656670704E-2</v>
      </c>
      <c r="Q10" s="149">
        <f t="shared" si="6"/>
        <v>0.10564380462049194</v>
      </c>
      <c r="R10" s="149">
        <f t="shared" si="6"/>
        <v>0.104701130514812</v>
      </c>
    </row>
    <row r="11" spans="1:19" s="121" customFormat="1">
      <c r="C11" s="121" t="s">
        <v>183</v>
      </c>
      <c r="D11" s="150"/>
      <c r="E11" s="150"/>
      <c r="F11" s="150">
        <f t="shared" ref="F11:Q11" si="7">F9/F6</f>
        <v>0.31601652619176318</v>
      </c>
      <c r="G11" s="150">
        <f t="shared" si="7"/>
        <v>0.32822808990286262</v>
      </c>
      <c r="H11" s="150">
        <f t="shared" si="7"/>
        <v>0.3334481624727933</v>
      </c>
      <c r="I11" s="150">
        <f t="shared" si="7"/>
        <v>0.34156529687892206</v>
      </c>
      <c r="J11" s="150">
        <f t="shared" si="7"/>
        <v>0.34545033843357426</v>
      </c>
      <c r="K11" s="150">
        <f t="shared" si="7"/>
        <v>0.35226710573919984</v>
      </c>
      <c r="L11" s="150">
        <f t="shared" si="7"/>
        <v>0.35105923065338407</v>
      </c>
      <c r="M11" s="150">
        <f t="shared" si="7"/>
        <v>0.35434577801392836</v>
      </c>
      <c r="N11" s="150">
        <f>N9/N6</f>
        <v>0.35728056993204693</v>
      </c>
      <c r="O11" s="150">
        <f t="shared" si="7"/>
        <v>0.36612533273114733</v>
      </c>
      <c r="P11" s="150">
        <f t="shared" si="7"/>
        <v>0.36905993767220691</v>
      </c>
      <c r="Q11" s="150">
        <f t="shared" si="7"/>
        <v>0.37782299409342635</v>
      </c>
      <c r="R11" s="150">
        <f t="shared" ref="R11" si="8">R9/R6</f>
        <v>0.38646434139768443</v>
      </c>
    </row>
    <row r="12" spans="1:19" s="120" customFormat="1">
      <c r="B12" s="127" t="s">
        <v>184</v>
      </c>
      <c r="D12" s="149"/>
      <c r="E12" s="149"/>
      <c r="F12" s="151">
        <f>-(PL!B7+PL!B8)</f>
        <v>133.703</v>
      </c>
      <c r="G12" s="151">
        <f>-PL!C7</f>
        <v>66.391000000000005</v>
      </c>
      <c r="H12" s="151">
        <f>-PL!D7</f>
        <v>88.29</v>
      </c>
      <c r="I12" s="151">
        <f>-PL!E7</f>
        <v>106.76600000000001</v>
      </c>
      <c r="J12" s="151">
        <f>-PL!F7</f>
        <v>123.53</v>
      </c>
      <c r="K12" s="151">
        <v>144.1</v>
      </c>
      <c r="L12" s="151">
        <f t="shared" ref="L12:R12" si="9">L14+L16+L18+L20</f>
        <v>160.59746741799998</v>
      </c>
      <c r="M12" s="151">
        <f t="shared" si="9"/>
        <v>175.37725984683601</v>
      </c>
      <c r="N12" s="151">
        <f t="shared" si="9"/>
        <v>194.39043505394042</v>
      </c>
      <c r="O12" s="151">
        <f t="shared" si="9"/>
        <v>211.88557420879505</v>
      </c>
      <c r="P12" s="151">
        <f t="shared" si="9"/>
        <v>228.83642014549864</v>
      </c>
      <c r="Q12" s="151">
        <f t="shared" si="9"/>
        <v>247.14333375713855</v>
      </c>
      <c r="R12" s="151">
        <f t="shared" si="9"/>
        <v>266.9148004577097</v>
      </c>
    </row>
    <row r="13" spans="1:19" s="120" customFormat="1" ht="12">
      <c r="B13" s="152" t="s">
        <v>185</v>
      </c>
      <c r="D13" s="149"/>
      <c r="E13" s="149"/>
      <c r="F13" s="153">
        <f t="shared" ref="F13:H13" si="10">F12/F6</f>
        <v>0.22798198692841665</v>
      </c>
      <c r="G13" s="153">
        <f>G12/G6</f>
        <v>8.9944860661401116E-2</v>
      </c>
      <c r="H13" s="153">
        <f t="shared" si="10"/>
        <v>9.8749331716777661E-2</v>
      </c>
      <c r="I13" s="153">
        <f>I12/I6</f>
        <v>9.9995504388840389E-2</v>
      </c>
      <c r="J13" s="153">
        <f>J12/J6</f>
        <v>0.10318820047563637</v>
      </c>
      <c r="K13" s="153">
        <f t="shared" ref="K13:R13" si="11">K12/K6</f>
        <v>0.10639633187386018</v>
      </c>
      <c r="L13" s="153">
        <f t="shared" si="11"/>
        <v>0.10549999999999998</v>
      </c>
      <c r="M13" s="153">
        <f t="shared" si="11"/>
        <v>0.1046</v>
      </c>
      <c r="N13" s="153">
        <f t="shared" si="11"/>
        <v>0.10540000000000001</v>
      </c>
      <c r="O13" s="153">
        <f t="shared" si="11"/>
        <v>0.10539999999999999</v>
      </c>
      <c r="P13" s="153">
        <f t="shared" si="11"/>
        <v>0.10539999999999998</v>
      </c>
      <c r="Q13" s="153">
        <f t="shared" si="11"/>
        <v>0.10539999999999999</v>
      </c>
      <c r="R13" s="153">
        <f t="shared" si="11"/>
        <v>0.10540000000000001</v>
      </c>
    </row>
    <row r="14" spans="1:19" s="120" customFormat="1" ht="13">
      <c r="C14" s="278" t="s">
        <v>503</v>
      </c>
      <c r="D14" s="149"/>
      <c r="E14" s="149"/>
      <c r="F14" s="153"/>
      <c r="G14" s="151">
        <v>35.71</v>
      </c>
      <c r="H14" s="151">
        <v>48.07</v>
      </c>
      <c r="I14" s="151">
        <v>65.790000000000006</v>
      </c>
      <c r="J14" s="151">
        <f>J15*J$6</f>
        <v>79.010778000000002</v>
      </c>
      <c r="K14" s="151">
        <f t="shared" ref="K14:R14" si="12">K15*K$6</f>
        <v>94.805900000000008</v>
      </c>
      <c r="L14" s="151">
        <f t="shared" si="12"/>
        <v>109.60206307199999</v>
      </c>
      <c r="M14" s="151">
        <f t="shared" si="12"/>
        <v>121.053902112252</v>
      </c>
      <c r="N14" s="151">
        <f t="shared" si="12"/>
        <v>134.63474154589801</v>
      </c>
      <c r="O14" s="151">
        <f t="shared" si="12"/>
        <v>146.75186828502882</v>
      </c>
      <c r="P14" s="151">
        <f t="shared" si="12"/>
        <v>158.49201774783114</v>
      </c>
      <c r="Q14" s="151">
        <f t="shared" si="12"/>
        <v>171.17137916765765</v>
      </c>
      <c r="R14" s="151">
        <f t="shared" si="12"/>
        <v>184.86508950107026</v>
      </c>
    </row>
    <row r="15" spans="1:19" s="120" customFormat="1" ht="13">
      <c r="C15" s="278"/>
      <c r="D15" s="279" t="s">
        <v>505</v>
      </c>
      <c r="E15" s="149"/>
      <c r="F15" s="153"/>
      <c r="G15" s="153">
        <f>G14/G$6</f>
        <v>4.8379011827184917E-2</v>
      </c>
      <c r="H15" s="153">
        <f t="shared" ref="H15:I15" si="13">H14/H$6</f>
        <v>5.3764643511445262E-2</v>
      </c>
      <c r="I15" s="153">
        <f t="shared" si="13"/>
        <v>6.1617970456342E-2</v>
      </c>
      <c r="J15" s="154">
        <v>6.6000000000000003E-2</v>
      </c>
      <c r="K15" s="154">
        <v>7.0000000000000007E-2</v>
      </c>
      <c r="L15" s="154">
        <v>7.1999999999999995E-2</v>
      </c>
      <c r="M15" s="154">
        <v>7.22E-2</v>
      </c>
      <c r="N15" s="154">
        <v>7.2999999999999995E-2</v>
      </c>
      <c r="O15" s="154">
        <v>7.2999999999999995E-2</v>
      </c>
      <c r="P15" s="154">
        <v>7.2999999999999995E-2</v>
      </c>
      <c r="Q15" s="154">
        <v>7.2999999999999995E-2</v>
      </c>
      <c r="R15" s="154">
        <v>7.2999999999999995E-2</v>
      </c>
    </row>
    <row r="16" spans="1:19" s="120" customFormat="1" ht="13">
      <c r="C16" s="278" t="s">
        <v>504</v>
      </c>
      <c r="D16" s="149"/>
      <c r="E16" s="149"/>
      <c r="F16" s="153"/>
      <c r="G16" s="151">
        <v>8.7100000000000009</v>
      </c>
      <c r="H16" s="151">
        <v>13.02</v>
      </c>
      <c r="I16" s="151">
        <v>15.05</v>
      </c>
      <c r="J16" s="151">
        <f>J17*J$6</f>
        <v>16.759862000000002</v>
      </c>
      <c r="K16" s="151">
        <f t="shared" ref="K16:R16" si="14">K17*K$6</f>
        <v>18.554869</v>
      </c>
      <c r="L16" s="151">
        <f t="shared" si="14"/>
        <v>20.550386826</v>
      </c>
      <c r="M16" s="151">
        <f t="shared" si="14"/>
        <v>22.467067705044002</v>
      </c>
      <c r="N16" s="151">
        <f t="shared" si="14"/>
        <v>24.713774475548401</v>
      </c>
      <c r="O16" s="151">
        <f t="shared" si="14"/>
        <v>26.93801417834776</v>
      </c>
      <c r="P16" s="151">
        <f t="shared" si="14"/>
        <v>29.093055312615583</v>
      </c>
      <c r="Q16" s="151">
        <f t="shared" si="14"/>
        <v>31.42049973762483</v>
      </c>
      <c r="R16" s="151">
        <f t="shared" si="14"/>
        <v>33.934139716634817</v>
      </c>
    </row>
    <row r="17" spans="2:19" s="120" customFormat="1" ht="13">
      <c r="C17" s="278"/>
      <c r="D17" s="279" t="s">
        <v>505</v>
      </c>
      <c r="E17" s="149"/>
      <c r="F17" s="153"/>
      <c r="G17" s="153">
        <f>G16/G$6</f>
        <v>1.1800089415143674E-2</v>
      </c>
      <c r="H17" s="153">
        <f t="shared" ref="H17" si="15">H16/H$6</f>
        <v>1.4562422686062351E-2</v>
      </c>
      <c r="I17" s="153">
        <f t="shared" ref="I17" si="16">I16/I$6</f>
        <v>1.4095614156679542E-2</v>
      </c>
      <c r="J17" s="154">
        <v>1.4E-2</v>
      </c>
      <c r="K17" s="154">
        <v>1.37E-2</v>
      </c>
      <c r="L17" s="154">
        <v>1.35E-2</v>
      </c>
      <c r="M17" s="154">
        <v>1.34E-2</v>
      </c>
      <c r="N17" s="154">
        <f>M17</f>
        <v>1.34E-2</v>
      </c>
      <c r="O17" s="154">
        <f t="shared" ref="O17:R17" si="17">N17</f>
        <v>1.34E-2</v>
      </c>
      <c r="P17" s="154">
        <f t="shared" si="17"/>
        <v>1.34E-2</v>
      </c>
      <c r="Q17" s="154">
        <f t="shared" si="17"/>
        <v>1.34E-2</v>
      </c>
      <c r="R17" s="154">
        <f t="shared" si="17"/>
        <v>1.34E-2</v>
      </c>
    </row>
    <row r="18" spans="2:19" s="120" customFormat="1" ht="13">
      <c r="C18" s="278" t="s">
        <v>501</v>
      </c>
      <c r="D18" s="149"/>
      <c r="E18" s="149"/>
      <c r="F18" s="153"/>
      <c r="G18" s="151">
        <v>14.8</v>
      </c>
      <c r="H18" s="151">
        <v>18.54</v>
      </c>
      <c r="I18" s="151">
        <v>21.79</v>
      </c>
      <c r="J18" s="151">
        <f>J19*J$6</f>
        <v>24.182086599999998</v>
      </c>
      <c r="K18" s="151">
        <f t="shared" ref="K18:R18" si="18">K19*K$6</f>
        <v>27.087399999999999</v>
      </c>
      <c r="L18" s="151">
        <f t="shared" si="18"/>
        <v>27.400515767999998</v>
      </c>
      <c r="M18" s="151">
        <f t="shared" si="18"/>
        <v>28.502996342220005</v>
      </c>
      <c r="N18" s="151">
        <f t="shared" si="18"/>
        <v>31.353295976442006</v>
      </c>
      <c r="O18" s="151">
        <f t="shared" si="18"/>
        <v>34.175092614321791</v>
      </c>
      <c r="P18" s="151">
        <f t="shared" si="18"/>
        <v>36.909100023467531</v>
      </c>
      <c r="Q18" s="151">
        <f t="shared" si="18"/>
        <v>39.861828025344934</v>
      </c>
      <c r="R18" s="151">
        <f t="shared" si="18"/>
        <v>43.050774267372532</v>
      </c>
    </row>
    <row r="19" spans="2:19" s="120" customFormat="1" ht="13">
      <c r="C19" s="278"/>
      <c r="D19" s="279" t="s">
        <v>505</v>
      </c>
      <c r="E19" s="149"/>
      <c r="F19" s="153"/>
      <c r="G19" s="153">
        <f>G18/G$6</f>
        <v>2.0050668581415198E-2</v>
      </c>
      <c r="H19" s="153">
        <f t="shared" ref="H19" si="19">H18/H$6</f>
        <v>2.0736353041443625E-2</v>
      </c>
      <c r="I19" s="153">
        <f t="shared" ref="I19" si="20">I18/I$6</f>
        <v>2.0408201493292172E-2</v>
      </c>
      <c r="J19" s="154">
        <v>2.0199999999999999E-2</v>
      </c>
      <c r="K19" s="154">
        <v>0.02</v>
      </c>
      <c r="L19" s="154">
        <v>1.7999999999999999E-2</v>
      </c>
      <c r="M19" s="154">
        <v>1.7000000000000001E-2</v>
      </c>
      <c r="N19" s="154">
        <f>M19</f>
        <v>1.7000000000000001E-2</v>
      </c>
      <c r="O19" s="154">
        <f t="shared" ref="O19:R19" si="21">N19</f>
        <v>1.7000000000000001E-2</v>
      </c>
      <c r="P19" s="154">
        <f t="shared" si="21"/>
        <v>1.7000000000000001E-2</v>
      </c>
      <c r="Q19" s="154">
        <f t="shared" si="21"/>
        <v>1.7000000000000001E-2</v>
      </c>
      <c r="R19" s="154">
        <f t="shared" si="21"/>
        <v>1.7000000000000001E-2</v>
      </c>
    </row>
    <row r="20" spans="2:19" s="120" customFormat="1" ht="13">
      <c r="C20" s="278" t="s">
        <v>502</v>
      </c>
      <c r="D20" s="149"/>
      <c r="E20" s="149"/>
      <c r="F20" s="153"/>
      <c r="G20" s="151">
        <v>7.17</v>
      </c>
      <c r="H20" s="151">
        <v>8.65</v>
      </c>
      <c r="I20" s="151">
        <v>4.13</v>
      </c>
      <c r="J20" s="151">
        <f>J21*J$6</f>
        <v>3.5772733999999953</v>
      </c>
      <c r="K20" s="151">
        <f>K21*K$6</f>
        <v>2.7087399999999997</v>
      </c>
      <c r="L20" s="151">
        <f t="shared" ref="L20:R20" si="22">L21*L$6</f>
        <v>3.0445017520000004</v>
      </c>
      <c r="M20" s="151">
        <f t="shared" si="22"/>
        <v>3.3532936873200003</v>
      </c>
      <c r="N20" s="151">
        <f t="shared" si="22"/>
        <v>3.6886230560520001</v>
      </c>
      <c r="O20" s="151">
        <f t="shared" si="22"/>
        <v>4.0205991310966809</v>
      </c>
      <c r="P20" s="151">
        <f t="shared" si="22"/>
        <v>4.3422470615844153</v>
      </c>
      <c r="Q20" s="151">
        <f t="shared" si="22"/>
        <v>4.6896268265111685</v>
      </c>
      <c r="R20" s="151">
        <f t="shared" si="22"/>
        <v>5.0647969726320623</v>
      </c>
    </row>
    <row r="21" spans="2:19" s="120" customFormat="1" ht="13">
      <c r="C21" s="278"/>
      <c r="D21" s="279" t="s">
        <v>505</v>
      </c>
      <c r="E21" s="149"/>
      <c r="F21" s="153"/>
      <c r="G21" s="153">
        <f>G20/G$6</f>
        <v>9.713736062753173E-3</v>
      </c>
      <c r="H21" s="153">
        <f t="shared" ref="H21" si="23">H20/H$6</f>
        <v>9.674727821385511E-3</v>
      </c>
      <c r="I21" s="153">
        <f t="shared" ref="I21" si="24">I20/I$6</f>
        <v>3.8680987685771762E-3</v>
      </c>
      <c r="J21" s="154">
        <f>J13-J15-J17-J19</f>
        <v>2.9882004756363705E-3</v>
      </c>
      <c r="K21" s="154">
        <v>2E-3</v>
      </c>
      <c r="L21" s="154">
        <v>2E-3</v>
      </c>
      <c r="M21" s="154">
        <v>2E-3</v>
      </c>
      <c r="N21" s="154">
        <v>2E-3</v>
      </c>
      <c r="O21" s="154">
        <v>2E-3</v>
      </c>
      <c r="P21" s="154">
        <v>2E-3</v>
      </c>
      <c r="Q21" s="154">
        <v>2E-3</v>
      </c>
      <c r="R21" s="154">
        <v>2E-3</v>
      </c>
    </row>
    <row r="22" spans="2:19" s="120" customFormat="1">
      <c r="B22" s="155" t="s">
        <v>186</v>
      </c>
      <c r="D22" s="149"/>
      <c r="E22" s="149"/>
      <c r="F22" s="151">
        <f>-PL!B8</f>
        <v>77.965000000000003</v>
      </c>
      <c r="G22" s="151">
        <f>-PL!C8</f>
        <v>93.661000000000001</v>
      </c>
      <c r="H22" s="151">
        <f>-PL!D8</f>
        <v>102.486</v>
      </c>
      <c r="I22" s="151">
        <f>-PL!E8</f>
        <v>135.184</v>
      </c>
      <c r="J22" s="151">
        <f>-PL!F8</f>
        <v>141.279</v>
      </c>
      <c r="K22" s="151">
        <v>163.1</v>
      </c>
      <c r="L22" s="151">
        <f t="shared" ref="L22:R22" si="25">L24+L26+L28+L30+L32</f>
        <v>181.14785424400003</v>
      </c>
      <c r="M22" s="151">
        <f t="shared" si="25"/>
        <v>197.84432755188001</v>
      </c>
      <c r="N22" s="151">
        <f t="shared" si="25"/>
        <v>217.62876030706803</v>
      </c>
      <c r="O22" s="151">
        <f t="shared" si="25"/>
        <v>237.21534873470418</v>
      </c>
      <c r="P22" s="151">
        <f t="shared" si="25"/>
        <v>256.19257663348048</v>
      </c>
      <c r="Q22" s="151">
        <f t="shared" si="25"/>
        <v>276.68798276415902</v>
      </c>
      <c r="R22" s="151">
        <f t="shared" si="25"/>
        <v>298.82302138529172</v>
      </c>
    </row>
    <row r="23" spans="2:19" s="120" customFormat="1" ht="12">
      <c r="B23" s="152" t="s">
        <v>187</v>
      </c>
      <c r="D23" s="149"/>
      <c r="E23" s="149"/>
      <c r="F23" s="153">
        <f t="shared" ref="F23:J23" si="26">F22/F6</f>
        <v>0.13294103805355156</v>
      </c>
      <c r="G23" s="153">
        <f t="shared" si="26"/>
        <v>0.12688957229756276</v>
      </c>
      <c r="H23" s="153">
        <f t="shared" si="26"/>
        <v>0.11462707000029081</v>
      </c>
      <c r="I23" s="153">
        <f t="shared" si="26"/>
        <v>0.12661139562502105</v>
      </c>
      <c r="J23" s="153">
        <f t="shared" si="26"/>
        <v>0.11801445620494966</v>
      </c>
      <c r="K23" s="153">
        <f>K22/K6</f>
        <v>0.12042499464695763</v>
      </c>
      <c r="L23" s="153">
        <f t="shared" ref="L23:R23" si="27">L22/L6</f>
        <v>0.11900000000000001</v>
      </c>
      <c r="M23" s="153">
        <f t="shared" si="27"/>
        <v>0.11800000000000001</v>
      </c>
      <c r="N23" s="153">
        <f t="shared" si="27"/>
        <v>0.11800000000000001</v>
      </c>
      <c r="O23" s="153">
        <f t="shared" si="27"/>
        <v>0.11800000000000001</v>
      </c>
      <c r="P23" s="153">
        <f t="shared" si="27"/>
        <v>0.11800000000000001</v>
      </c>
      <c r="Q23" s="153">
        <f t="shared" si="27"/>
        <v>0.11800000000000004</v>
      </c>
      <c r="R23" s="153">
        <f t="shared" si="27"/>
        <v>0.11800000000000001</v>
      </c>
    </row>
    <row r="24" spans="2:19" s="120" customFormat="1" ht="13">
      <c r="B24" s="152"/>
      <c r="C24" s="278" t="s">
        <v>503</v>
      </c>
      <c r="D24" s="149"/>
      <c r="E24" s="149"/>
      <c r="F24" s="153"/>
      <c r="G24" s="151">
        <v>55.26</v>
      </c>
      <c r="H24" s="151">
        <v>60.27</v>
      </c>
      <c r="I24" s="151">
        <v>75.61</v>
      </c>
      <c r="J24" s="151">
        <f>J25*J$6</f>
        <v>80.20791100000001</v>
      </c>
      <c r="K24" s="151">
        <f t="shared" ref="K24:R24" si="28">K25*K$6</f>
        <v>88.034049999999993</v>
      </c>
      <c r="L24" s="151">
        <f t="shared" si="28"/>
        <v>100.46855781600001</v>
      </c>
      <c r="M24" s="151">
        <f t="shared" si="28"/>
        <v>117.36527905620001</v>
      </c>
      <c r="N24" s="151">
        <f t="shared" si="28"/>
        <v>129.10180696182002</v>
      </c>
      <c r="O24" s="151">
        <f t="shared" si="28"/>
        <v>140.72096958838384</v>
      </c>
      <c r="P24" s="151">
        <f t="shared" si="28"/>
        <v>151.97864715545452</v>
      </c>
      <c r="Q24" s="151">
        <f t="shared" si="28"/>
        <v>164.13693892789092</v>
      </c>
      <c r="R24" s="151">
        <f t="shared" si="28"/>
        <v>177.26789404212221</v>
      </c>
    </row>
    <row r="25" spans="2:19" s="120" customFormat="1" ht="13">
      <c r="B25" s="152"/>
      <c r="C25" s="278"/>
      <c r="D25" s="279" t="s">
        <v>505</v>
      </c>
      <c r="E25" s="149"/>
      <c r="F25" s="153"/>
      <c r="G25" s="153">
        <f>G24/G$6</f>
        <v>7.4864861203311067E-2</v>
      </c>
      <c r="H25" s="153">
        <f t="shared" ref="H25" si="29">H24/H$6</f>
        <v>6.7409924369353155E-2</v>
      </c>
      <c r="I25" s="153">
        <f t="shared" ref="I25" si="30">I24/I$6</f>
        <v>7.0815241620368105E-2</v>
      </c>
      <c r="J25" s="154">
        <v>6.7000000000000004E-2</v>
      </c>
      <c r="K25" s="154">
        <v>6.5000000000000002E-2</v>
      </c>
      <c r="L25" s="154">
        <v>6.6000000000000003E-2</v>
      </c>
      <c r="M25" s="154">
        <v>7.0000000000000007E-2</v>
      </c>
      <c r="N25" s="154">
        <f>M25</f>
        <v>7.0000000000000007E-2</v>
      </c>
      <c r="O25" s="154">
        <f t="shared" ref="O25:R25" si="31">N25</f>
        <v>7.0000000000000007E-2</v>
      </c>
      <c r="P25" s="154">
        <f t="shared" si="31"/>
        <v>7.0000000000000007E-2</v>
      </c>
      <c r="Q25" s="154">
        <f t="shared" si="31"/>
        <v>7.0000000000000007E-2</v>
      </c>
      <c r="R25" s="154">
        <f t="shared" si="31"/>
        <v>7.0000000000000007E-2</v>
      </c>
    </row>
    <row r="26" spans="2:19" s="120" customFormat="1" ht="13">
      <c r="B26" s="152"/>
      <c r="C26" s="278" t="s">
        <v>504</v>
      </c>
      <c r="D26" s="149"/>
      <c r="E26" s="149"/>
      <c r="F26" s="153"/>
      <c r="G26" s="151">
        <v>18.41</v>
      </c>
      <c r="H26" s="151">
        <v>22.7</v>
      </c>
      <c r="I26" s="151">
        <v>26.54</v>
      </c>
      <c r="J26" s="151">
        <f>J27*J$6</f>
        <v>28.731192</v>
      </c>
      <c r="K26" s="151">
        <f t="shared" ref="K26:R26" si="32">K27*K$6</f>
        <v>29.796139999999998</v>
      </c>
      <c r="L26" s="151">
        <f t="shared" si="32"/>
        <v>45.667526279999997</v>
      </c>
      <c r="M26" s="151">
        <f t="shared" si="32"/>
        <v>46.946111622480004</v>
      </c>
      <c r="N26" s="151">
        <f t="shared" si="32"/>
        <v>51.640722784728005</v>
      </c>
      <c r="O26" s="151">
        <f t="shared" si="32"/>
        <v>56.288387835353532</v>
      </c>
      <c r="P26" s="151">
        <f t="shared" si="32"/>
        <v>60.791458862181813</v>
      </c>
      <c r="Q26" s="151">
        <f t="shared" si="32"/>
        <v>65.654775571156364</v>
      </c>
      <c r="R26" s="151">
        <f t="shared" si="32"/>
        <v>70.907157616848878</v>
      </c>
    </row>
    <row r="27" spans="2:19" s="120" customFormat="1" ht="13">
      <c r="B27" s="152"/>
      <c r="C27" s="278"/>
      <c r="D27" s="279" t="s">
        <v>505</v>
      </c>
      <c r="E27" s="149"/>
      <c r="F27" s="153"/>
      <c r="G27" s="153">
        <f>G26/G$6</f>
        <v>2.4941405985395525E-2</v>
      </c>
      <c r="H27" s="153">
        <f t="shared" ref="H27" si="33">H26/H$6</f>
        <v>2.5389170120861396E-2</v>
      </c>
      <c r="I27" s="153">
        <f t="shared" ref="I27" si="34">I26/I$6</f>
        <v>2.4856983369985049E-2</v>
      </c>
      <c r="J27" s="154">
        <v>2.4E-2</v>
      </c>
      <c r="K27" s="154">
        <v>2.1999999999999999E-2</v>
      </c>
      <c r="L27" s="154">
        <v>0.03</v>
      </c>
      <c r="M27" s="154">
        <v>2.8000000000000001E-2</v>
      </c>
      <c r="N27" s="154">
        <f>M27</f>
        <v>2.8000000000000001E-2</v>
      </c>
      <c r="O27" s="154">
        <f t="shared" ref="O27:R27" si="35">N27</f>
        <v>2.8000000000000001E-2</v>
      </c>
      <c r="P27" s="154">
        <f t="shared" si="35"/>
        <v>2.8000000000000001E-2</v>
      </c>
      <c r="Q27" s="154">
        <f t="shared" si="35"/>
        <v>2.8000000000000001E-2</v>
      </c>
      <c r="R27" s="154">
        <f t="shared" si="35"/>
        <v>2.8000000000000001E-2</v>
      </c>
    </row>
    <row r="28" spans="2:19" s="120" customFormat="1" ht="13">
      <c r="B28" s="152"/>
      <c r="C28" s="278" t="s">
        <v>506</v>
      </c>
      <c r="D28" s="149"/>
      <c r="E28" s="149"/>
      <c r="F28" s="153"/>
      <c r="G28" s="151">
        <v>8.9600000000000009</v>
      </c>
      <c r="H28" s="151">
        <v>8.5399999999999991</v>
      </c>
      <c r="I28" s="151">
        <v>17.899999999999999</v>
      </c>
      <c r="J28" s="151">
        <f>J29*J$6</f>
        <v>15.562728999999999</v>
      </c>
      <c r="K28" s="151">
        <f t="shared" ref="K28:R28" si="36">K29*K$6</f>
        <v>16.25244</v>
      </c>
      <c r="L28" s="151">
        <f t="shared" si="36"/>
        <v>22.833763139999999</v>
      </c>
      <c r="M28" s="151">
        <f t="shared" si="36"/>
        <v>20.119762123920001</v>
      </c>
      <c r="N28" s="151">
        <f t="shared" si="36"/>
        <v>22.131738336312001</v>
      </c>
      <c r="O28" s="151">
        <f t="shared" si="36"/>
        <v>24.123594786580085</v>
      </c>
      <c r="P28" s="151">
        <f t="shared" si="36"/>
        <v>26.05348236950649</v>
      </c>
      <c r="Q28" s="151">
        <f t="shared" si="36"/>
        <v>28.137760959067013</v>
      </c>
      <c r="R28" s="151">
        <f t="shared" si="36"/>
        <v>30.388781835792376</v>
      </c>
    </row>
    <row r="29" spans="2:19" s="120" customFormat="1" ht="13">
      <c r="B29" s="152"/>
      <c r="C29" s="278"/>
      <c r="D29" s="279" t="s">
        <v>505</v>
      </c>
      <c r="E29" s="149"/>
      <c r="F29" s="153"/>
      <c r="G29" s="153">
        <f>G28/G$6</f>
        <v>1.2138783141181095E-2</v>
      </c>
      <c r="H29" s="153">
        <f t="shared" ref="H29" si="37">H28/H$6</f>
        <v>9.5516966005355208E-3</v>
      </c>
      <c r="I29" s="153">
        <f t="shared" ref="I29" si="38">I28/I$6</f>
        <v>1.6764883282695268E-2</v>
      </c>
      <c r="J29" s="154">
        <v>1.2999999999999999E-2</v>
      </c>
      <c r="K29" s="154">
        <v>1.2E-2</v>
      </c>
      <c r="L29" s="154">
        <v>1.4999999999999999E-2</v>
      </c>
      <c r="M29" s="154">
        <v>1.2E-2</v>
      </c>
      <c r="N29" s="154">
        <f>M29</f>
        <v>1.2E-2</v>
      </c>
      <c r="O29" s="154">
        <f t="shared" ref="O29:R29" si="39">N29</f>
        <v>1.2E-2</v>
      </c>
      <c r="P29" s="154">
        <f t="shared" si="39"/>
        <v>1.2E-2</v>
      </c>
      <c r="Q29" s="154">
        <f t="shared" si="39"/>
        <v>1.2E-2</v>
      </c>
      <c r="R29" s="154">
        <f t="shared" si="39"/>
        <v>1.2E-2</v>
      </c>
    </row>
    <row r="30" spans="2:19" s="120" customFormat="1" ht="13">
      <c r="B30" s="152"/>
      <c r="C30" s="278" t="s">
        <v>507</v>
      </c>
      <c r="D30" s="149"/>
      <c r="E30" s="149"/>
      <c r="F30" s="153"/>
      <c r="G30" s="151">
        <v>6.37</v>
      </c>
      <c r="H30" s="151">
        <v>7.12</v>
      </c>
      <c r="I30" s="151">
        <v>11.42</v>
      </c>
      <c r="J30" s="151">
        <f>J31*J$6</f>
        <v>11.97133</v>
      </c>
      <c r="K30" s="151">
        <f t="shared" ref="K30:R30" si="40">K31*K$6</f>
        <v>10.834959999999999</v>
      </c>
      <c r="L30" s="151">
        <f t="shared" si="40"/>
        <v>9.1335052560000012</v>
      </c>
      <c r="M30" s="151">
        <f t="shared" si="40"/>
        <v>10.059881061960001</v>
      </c>
      <c r="N30" s="151">
        <f t="shared" si="40"/>
        <v>11.065869168156</v>
      </c>
      <c r="O30" s="151">
        <f t="shared" si="40"/>
        <v>12.061797393290043</v>
      </c>
      <c r="P30" s="151">
        <f t="shared" si="40"/>
        <v>13.026741184753245</v>
      </c>
      <c r="Q30" s="151">
        <f t="shared" si="40"/>
        <v>14.068880479533506</v>
      </c>
      <c r="R30" s="151">
        <f t="shared" si="40"/>
        <v>15.194390917896188</v>
      </c>
    </row>
    <row r="31" spans="2:19" s="120" customFormat="1" ht="13">
      <c r="B31" s="152"/>
      <c r="C31" s="278"/>
      <c r="D31" s="279" t="s">
        <v>505</v>
      </c>
      <c r="E31" s="149"/>
      <c r="F31" s="153"/>
      <c r="G31" s="153">
        <f>G30/G$6</f>
        <v>8.6299161394334332E-3</v>
      </c>
      <c r="H31" s="153">
        <f t="shared" ref="H31" si="41">H30/H$6</f>
        <v>7.9634753859265713E-3</v>
      </c>
      <c r="I31" s="153">
        <f t="shared" ref="I31" si="42">I30/I$6</f>
        <v>1.0695808217227931E-2</v>
      </c>
      <c r="J31" s="154">
        <v>0.01</v>
      </c>
      <c r="K31" s="154">
        <v>8.0000000000000002E-3</v>
      </c>
      <c r="L31" s="154">
        <v>6.0000000000000001E-3</v>
      </c>
      <c r="M31" s="154">
        <f>L31</f>
        <v>6.0000000000000001E-3</v>
      </c>
      <c r="N31" s="154">
        <f t="shared" ref="N31:R31" si="43">M31</f>
        <v>6.0000000000000001E-3</v>
      </c>
      <c r="O31" s="154">
        <f t="shared" si="43"/>
        <v>6.0000000000000001E-3</v>
      </c>
      <c r="P31" s="154">
        <f t="shared" si="43"/>
        <v>6.0000000000000001E-3</v>
      </c>
      <c r="Q31" s="154">
        <f t="shared" si="43"/>
        <v>6.0000000000000001E-3</v>
      </c>
      <c r="R31" s="154">
        <f t="shared" si="43"/>
        <v>6.0000000000000001E-3</v>
      </c>
    </row>
    <row r="32" spans="2:19" s="120" customFormat="1" ht="13">
      <c r="B32" s="278"/>
      <c r="C32" s="280" t="s">
        <v>502</v>
      </c>
      <c r="D32" s="149"/>
      <c r="E32" s="149"/>
      <c r="F32" s="153"/>
      <c r="G32" s="151">
        <v>4.67</v>
      </c>
      <c r="H32" s="151">
        <v>3.86</v>
      </c>
      <c r="I32" s="151">
        <v>3.71</v>
      </c>
      <c r="J32" s="151">
        <f>J33*J$6</f>
        <v>4.8058379999999943</v>
      </c>
      <c r="K32" s="151">
        <f t="shared" ref="K32:R32" si="44">K33*K$6</f>
        <v>4.06311</v>
      </c>
      <c r="L32" s="151">
        <f t="shared" si="44"/>
        <v>3.0445017520000004</v>
      </c>
      <c r="M32" s="151">
        <f t="shared" si="44"/>
        <v>3.3532936873200003</v>
      </c>
      <c r="N32" s="151">
        <f t="shared" si="44"/>
        <v>3.6886230560520001</v>
      </c>
      <c r="O32" s="151">
        <f t="shared" si="44"/>
        <v>4.0205991310966809</v>
      </c>
      <c r="P32" s="151">
        <f t="shared" si="44"/>
        <v>4.3422470615844153</v>
      </c>
      <c r="Q32" s="151">
        <f t="shared" si="44"/>
        <v>4.6896268265111685</v>
      </c>
      <c r="R32" s="151">
        <f t="shared" si="44"/>
        <v>5.0647969726320623</v>
      </c>
      <c r="S32" s="151"/>
    </row>
    <row r="33" spans="1:25" s="120" customFormat="1" ht="13">
      <c r="B33" s="278"/>
      <c r="C33" s="280"/>
      <c r="D33" s="279" t="s">
        <v>505</v>
      </c>
      <c r="E33" s="149"/>
      <c r="F33" s="153"/>
      <c r="G33" s="153">
        <f>G32/G$6</f>
        <v>6.3267988023789851E-3</v>
      </c>
      <c r="H33" s="153">
        <f t="shared" ref="H33" si="45">H32/H$6</f>
        <v>4.3172773861905279E-3</v>
      </c>
      <c r="I33" s="153">
        <f t="shared" ref="I33" si="46">I32/I$6</f>
        <v>3.4747327921117008E-3</v>
      </c>
      <c r="J33" s="154">
        <f>J23-J25-J27-J29-J31</f>
        <v>4.0144562049496541E-3</v>
      </c>
      <c r="K33" s="154">
        <v>3.0000000000000001E-3</v>
      </c>
      <c r="L33" s="154">
        <v>2E-3</v>
      </c>
      <c r="M33" s="154">
        <v>2E-3</v>
      </c>
      <c r="N33" s="154">
        <f>M33</f>
        <v>2E-3</v>
      </c>
      <c r="O33" s="154">
        <f t="shared" ref="O33:R33" si="47">N33</f>
        <v>2E-3</v>
      </c>
      <c r="P33" s="154">
        <f t="shared" si="47"/>
        <v>2E-3</v>
      </c>
      <c r="Q33" s="154">
        <f t="shared" si="47"/>
        <v>2E-3</v>
      </c>
      <c r="R33" s="154">
        <f t="shared" si="47"/>
        <v>2E-3</v>
      </c>
    </row>
    <row r="34" spans="1:25">
      <c r="A34" s="156"/>
      <c r="B34" s="127" t="s">
        <v>188</v>
      </c>
      <c r="D34" s="144"/>
      <c r="E34" s="144"/>
      <c r="F34" s="144"/>
      <c r="G34" s="144"/>
      <c r="H34" s="144"/>
      <c r="I34" s="144"/>
      <c r="J34" s="144"/>
      <c r="K34" s="144"/>
      <c r="L34" s="144"/>
      <c r="M34" s="144"/>
      <c r="N34" s="144"/>
      <c r="O34" s="144"/>
      <c r="P34" s="144"/>
      <c r="Q34" s="144"/>
      <c r="R34" s="144"/>
    </row>
    <row r="35" spans="1:25">
      <c r="A35" s="156"/>
      <c r="B35" s="127" t="s">
        <v>189</v>
      </c>
      <c r="D35" s="144"/>
      <c r="E35" s="144"/>
      <c r="F35" s="144"/>
      <c r="G35" s="144"/>
      <c r="H35" s="144"/>
      <c r="I35" s="144"/>
      <c r="J35" s="144"/>
      <c r="K35" s="144"/>
      <c r="L35" s="144"/>
      <c r="M35" s="144"/>
      <c r="N35" s="144"/>
      <c r="O35" s="144"/>
      <c r="P35" s="144"/>
      <c r="Q35" s="144"/>
      <c r="R35" s="144"/>
    </row>
    <row r="36" spans="1:25">
      <c r="A36" s="156"/>
      <c r="B36" s="127" t="s">
        <v>190</v>
      </c>
      <c r="D36" s="144"/>
      <c r="E36" s="144"/>
      <c r="F36" s="144"/>
      <c r="G36" s="144"/>
      <c r="H36" s="144"/>
      <c r="I36" s="144"/>
      <c r="J36" s="144"/>
      <c r="K36" s="144"/>
      <c r="L36" s="144"/>
      <c r="M36" s="144"/>
      <c r="N36" s="144"/>
      <c r="O36" s="144"/>
      <c r="P36" s="144"/>
      <c r="Q36" s="144"/>
      <c r="R36" s="144"/>
    </row>
    <row r="37" spans="1:25">
      <c r="A37" s="156"/>
      <c r="B37" s="127" t="s">
        <v>191</v>
      </c>
      <c r="D37" s="144"/>
      <c r="E37" s="144"/>
      <c r="F37" s="144">
        <f>PL!B10</f>
        <v>1.147</v>
      </c>
      <c r="G37" s="144">
        <f>PL!C10</f>
        <v>7.4859999999999998</v>
      </c>
      <c r="H37" s="144">
        <f>PL!D10</f>
        <v>4.7789999999999999</v>
      </c>
      <c r="I37" s="144">
        <f>PL!E10</f>
        <v>1.3720000000000001</v>
      </c>
      <c r="J37" s="144">
        <f>PL!F10</f>
        <v>4.0279999999999996</v>
      </c>
      <c r="K37" s="144">
        <f t="shared" ref="K37:R37" si="48">AVERAGE(H37:J37)</f>
        <v>3.3929999999999993</v>
      </c>
      <c r="L37" s="144">
        <f t="shared" si="48"/>
        <v>2.9309999999999996</v>
      </c>
      <c r="M37" s="144">
        <f t="shared" si="48"/>
        <v>3.4506666666666663</v>
      </c>
      <c r="N37" s="144">
        <f t="shared" si="48"/>
        <v>3.2582222222222215</v>
      </c>
      <c r="O37" s="144">
        <f t="shared" si="48"/>
        <v>3.2132962962962957</v>
      </c>
      <c r="P37" s="144">
        <f t="shared" si="48"/>
        <v>3.3073950617283945</v>
      </c>
      <c r="Q37" s="144">
        <f t="shared" si="48"/>
        <v>3.2596378600823037</v>
      </c>
      <c r="R37" s="144">
        <f t="shared" si="48"/>
        <v>3.2601097393689979</v>
      </c>
    </row>
    <row r="38" spans="1:25">
      <c r="A38" s="156"/>
      <c r="B38" s="127" t="s">
        <v>192</v>
      </c>
      <c r="D38" s="144"/>
      <c r="E38" s="144"/>
      <c r="F38" s="144">
        <f t="shared" ref="F38:R38" si="49">F12+F22-F37</f>
        <v>210.52100000000002</v>
      </c>
      <c r="G38" s="144">
        <f t="shared" si="49"/>
        <v>152.56600000000003</v>
      </c>
      <c r="H38" s="144">
        <f t="shared" si="49"/>
        <v>185.99700000000001</v>
      </c>
      <c r="I38" s="144">
        <f t="shared" si="49"/>
        <v>240.57799999999997</v>
      </c>
      <c r="J38" s="144">
        <f t="shared" si="49"/>
        <v>260.78099999999995</v>
      </c>
      <c r="K38" s="144">
        <f t="shared" si="49"/>
        <v>303.80700000000002</v>
      </c>
      <c r="L38" s="144">
        <f t="shared" si="49"/>
        <v>338.81432166200005</v>
      </c>
      <c r="M38" s="144">
        <f t="shared" si="49"/>
        <v>369.77092073204932</v>
      </c>
      <c r="N38" s="144">
        <f t="shared" si="49"/>
        <v>408.7609731387862</v>
      </c>
      <c r="O38" s="144">
        <f t="shared" si="49"/>
        <v>445.88762664720292</v>
      </c>
      <c r="P38" s="144">
        <f t="shared" si="49"/>
        <v>481.72160171725073</v>
      </c>
      <c r="Q38" s="144">
        <f t="shared" si="49"/>
        <v>520.57167866121529</v>
      </c>
      <c r="R38" s="144">
        <f t="shared" si="49"/>
        <v>562.47771210363248</v>
      </c>
    </row>
    <row r="39" spans="1:25" s="120" customFormat="1">
      <c r="C39" s="120" t="s">
        <v>182</v>
      </c>
      <c r="D39" s="149"/>
      <c r="E39" s="149"/>
      <c r="F39" s="149"/>
      <c r="G39" s="149">
        <f>G38/F38-1</f>
        <v>-0.275293201153329</v>
      </c>
      <c r="H39" s="149">
        <f>H38/G38-1</f>
        <v>0.2191248377751267</v>
      </c>
      <c r="I39" s="149">
        <f>I38/H38-1</f>
        <v>0.29345096963929507</v>
      </c>
      <c r="J39" s="149">
        <f t="shared" ref="J39:R39" si="50">J38/I38-1</f>
        <v>8.3976922245591723E-2</v>
      </c>
      <c r="K39" s="149">
        <f t="shared" si="50"/>
        <v>0.16498901377017527</v>
      </c>
      <c r="L39" s="149">
        <f t="shared" si="50"/>
        <v>0.11522881849990307</v>
      </c>
      <c r="M39" s="149">
        <f t="shared" si="50"/>
        <v>9.1367445502883671E-2</v>
      </c>
      <c r="N39" s="149">
        <f t="shared" si="50"/>
        <v>0.10544380377328433</v>
      </c>
      <c r="O39" s="149">
        <f t="shared" si="50"/>
        <v>9.0827295040740497E-2</v>
      </c>
      <c r="P39" s="149">
        <f t="shared" si="50"/>
        <v>8.0365484325046088E-2</v>
      </c>
      <c r="Q39" s="149">
        <f t="shared" si="50"/>
        <v>8.0648401079526089E-2</v>
      </c>
      <c r="R39" s="149">
        <f t="shared" si="50"/>
        <v>8.0500025568408518E-2</v>
      </c>
    </row>
    <row r="40" spans="1:25" s="120" customFormat="1">
      <c r="C40" s="120" t="s">
        <v>193</v>
      </c>
      <c r="D40" s="149"/>
      <c r="E40" s="149"/>
      <c r="F40" s="149">
        <f t="shared" ref="F40:R40" si="51">F38/F6</f>
        <v>0.35896723237442096</v>
      </c>
      <c r="G40" s="149">
        <f t="shared" si="51"/>
        <v>0.20669258802649945</v>
      </c>
      <c r="H40" s="149">
        <f t="shared" si="51"/>
        <v>0.2080312544039585</v>
      </c>
      <c r="I40" s="149">
        <f t="shared" si="51"/>
        <v>0.22532190449074088</v>
      </c>
      <c r="J40" s="149">
        <f t="shared" si="51"/>
        <v>0.21783795117167429</v>
      </c>
      <c r="K40" s="149">
        <f t="shared" si="51"/>
        <v>0.22431610268981153</v>
      </c>
      <c r="L40" s="149">
        <f t="shared" si="51"/>
        <v>0.22257456179121951</v>
      </c>
      <c r="M40" s="149">
        <f t="shared" si="51"/>
        <v>0.22054192397778047</v>
      </c>
      <c r="N40" s="149">
        <f t="shared" si="51"/>
        <v>0.22163336666679648</v>
      </c>
      <c r="O40" s="149">
        <f t="shared" si="51"/>
        <v>0.22180158335038</v>
      </c>
      <c r="P40" s="149">
        <f t="shared" si="51"/>
        <v>0.22187664353740313</v>
      </c>
      <c r="Q40" s="149">
        <f t="shared" si="51"/>
        <v>0.2220098519218395</v>
      </c>
      <c r="R40" s="149">
        <f t="shared" si="51"/>
        <v>0.22211263951665383</v>
      </c>
    </row>
    <row r="41" spans="1:25" s="119" customFormat="1">
      <c r="A41" s="157"/>
      <c r="B41" s="158" t="s">
        <v>194</v>
      </c>
      <c r="C41" s="158"/>
      <c r="D41" s="139"/>
      <c r="E41" s="139"/>
      <c r="F41" s="139">
        <f t="shared" ref="F41:R41" si="52">F9-F38</f>
        <v>-25.189000000000021</v>
      </c>
      <c r="G41" s="139">
        <f t="shared" si="52"/>
        <v>89.708999999999946</v>
      </c>
      <c r="H41" s="139">
        <f t="shared" si="52"/>
        <v>112.13299999999998</v>
      </c>
      <c r="I41" s="139">
        <f t="shared" si="52"/>
        <v>124.11400000000015</v>
      </c>
      <c r="J41" s="139">
        <f t="shared" si="52"/>
        <v>152.76900000000012</v>
      </c>
      <c r="K41" s="139">
        <f t="shared" si="52"/>
        <v>173.29300000000001</v>
      </c>
      <c r="L41" s="139">
        <f t="shared" si="52"/>
        <v>195.5858997279999</v>
      </c>
      <c r="M41" s="139">
        <f t="shared" si="52"/>
        <v>224.34180953925073</v>
      </c>
      <c r="N41" s="139">
        <f t="shared" si="52"/>
        <v>250.17570072658748</v>
      </c>
      <c r="O41" s="139">
        <f t="shared" si="52"/>
        <v>290.1339706784641</v>
      </c>
      <c r="P41" s="139">
        <f t="shared" si="52"/>
        <v>319.55311323558311</v>
      </c>
      <c r="Q41" s="139">
        <f t="shared" si="52"/>
        <v>365.35274572543619</v>
      </c>
      <c r="R41" s="139">
        <f t="shared" si="52"/>
        <v>416.20400106698548</v>
      </c>
      <c r="S41" s="138"/>
      <c r="T41" s="138"/>
      <c r="U41" s="138"/>
      <c r="V41" s="138"/>
      <c r="W41" s="138"/>
      <c r="X41" s="138"/>
      <c r="Y41" s="138"/>
    </row>
    <row r="42" spans="1:25" s="120" customFormat="1">
      <c r="C42" s="120" t="s">
        <v>182</v>
      </c>
      <c r="D42" s="149"/>
      <c r="E42" s="149"/>
      <c r="F42" s="149"/>
      <c r="G42" s="149">
        <f>G41/F41-1</f>
        <v>-4.5614355472626888</v>
      </c>
      <c r="H42" s="149">
        <f>H41/G41-1</f>
        <v>0.24996377175088402</v>
      </c>
      <c r="I42" s="149">
        <f>I41/H41-1</f>
        <v>0.10684633426377754</v>
      </c>
      <c r="J42" s="149">
        <f t="shared" ref="J42:R42" si="53">J41/I41-1</f>
        <v>0.23087645229385845</v>
      </c>
      <c r="K42" s="149">
        <f t="shared" si="53"/>
        <v>0.13434662791534846</v>
      </c>
      <c r="L42" s="149">
        <f t="shared" si="53"/>
        <v>0.1286428172401648</v>
      </c>
      <c r="M42" s="149">
        <f t="shared" si="53"/>
        <v>0.14702445243364415</v>
      </c>
      <c r="N42" s="149">
        <f t="shared" si="53"/>
        <v>0.11515415356769187</v>
      </c>
      <c r="O42" s="149">
        <f t="shared" si="53"/>
        <v>0.15972082754570271</v>
      </c>
      <c r="P42" s="149">
        <f t="shared" si="53"/>
        <v>0.10139847632569121</v>
      </c>
      <c r="Q42" s="149">
        <f t="shared" si="53"/>
        <v>0.14332400653561583</v>
      </c>
      <c r="R42" s="149">
        <f t="shared" si="53"/>
        <v>0.13918399666213044</v>
      </c>
    </row>
    <row r="43" spans="1:25" s="120" customFormat="1">
      <c r="C43" s="120" t="s">
        <v>195</v>
      </c>
      <c r="D43" s="149"/>
      <c r="E43" s="149"/>
      <c r="F43" s="149">
        <f>F41/F6</f>
        <v>-4.2950706182657769E-2</v>
      </c>
      <c r="G43" s="149">
        <f>G41/G6</f>
        <v>0.12153550187636317</v>
      </c>
      <c r="H43" s="149">
        <f>H41/H6</f>
        <v>0.12541690806883482</v>
      </c>
      <c r="I43" s="149">
        <f>I41/I6</f>
        <v>0.11624339238818117</v>
      </c>
      <c r="J43" s="149">
        <f t="shared" ref="J43:Q43" si="54">J41/J$6</f>
        <v>0.1276123872619</v>
      </c>
      <c r="K43" s="149">
        <f t="shared" si="54"/>
        <v>0.12795100304938828</v>
      </c>
      <c r="L43" s="149">
        <f t="shared" si="54"/>
        <v>0.12848466886216453</v>
      </c>
      <c r="M43" s="149">
        <f t="shared" si="54"/>
        <v>0.13380385403614789</v>
      </c>
      <c r="N43" s="149">
        <f t="shared" si="54"/>
        <v>0.13564720326525045</v>
      </c>
      <c r="O43" s="149">
        <f t="shared" si="54"/>
        <v>0.14432374938076734</v>
      </c>
      <c r="P43" s="149">
        <f t="shared" si="54"/>
        <v>0.14718329413480374</v>
      </c>
      <c r="Q43" s="149">
        <f t="shared" si="54"/>
        <v>0.15581314217158684</v>
      </c>
      <c r="R43" s="149">
        <f t="shared" ref="R43" si="55">R41/R$6</f>
        <v>0.1643517018810306</v>
      </c>
    </row>
    <row r="44" spans="1:25" s="120" customFormat="1">
      <c r="B44" s="159" t="s">
        <v>196</v>
      </c>
      <c r="D44" s="149"/>
      <c r="E44" s="149"/>
      <c r="F44" s="144">
        <f>F90</f>
        <v>25.981999999999999</v>
      </c>
      <c r="G44" s="144">
        <f>G90</f>
        <v>35.175999999999995</v>
      </c>
      <c r="H44" s="144">
        <f>H90</f>
        <v>33.457000000000001</v>
      </c>
      <c r="I44" s="144">
        <f>I90</f>
        <v>36.574999999999996</v>
      </c>
      <c r="J44" s="144">
        <f>J90</f>
        <v>44.975999999999999</v>
      </c>
      <c r="K44" s="144">
        <f>AVERAGE(H44:J44)*1.05</f>
        <v>40.252800000000001</v>
      </c>
      <c r="L44" s="144">
        <f>AVERAGE(I44:K44)*1.05</f>
        <v>42.631330000000005</v>
      </c>
      <c r="M44" s="144">
        <f>AVERAGE(J44:L44)*1.05</f>
        <v>44.751045500000004</v>
      </c>
      <c r="N44" s="144">
        <f>AVERAGE(K44:M44)*1.1</f>
        <v>46.799564350000004</v>
      </c>
      <c r="O44" s="144">
        <f>AVERAGE(L44:N44)*1.1</f>
        <v>49.200044611666677</v>
      </c>
      <c r="P44" s="144">
        <f>AVERAGE(M44:O44)*1.1</f>
        <v>51.60857330261112</v>
      </c>
      <c r="Q44" s="144">
        <f>AVERAGE(N44:P44)*1.1</f>
        <v>54.123000163568527</v>
      </c>
      <c r="R44" s="144">
        <f>AVERAGE(O44:Q44)*1.1</f>
        <v>56.808259961876985</v>
      </c>
    </row>
    <row r="45" spans="1:25" s="119" customFormat="1">
      <c r="A45" s="156"/>
      <c r="B45" s="160" t="s">
        <v>17</v>
      </c>
      <c r="C45" s="160"/>
      <c r="D45" s="140"/>
      <c r="E45" s="140"/>
      <c r="F45" s="140">
        <f>F41+F44</f>
        <v>0.79299999999997794</v>
      </c>
      <c r="G45" s="140">
        <f>G41+G44</f>
        <v>124.88499999999993</v>
      </c>
      <c r="H45" s="140">
        <f>H41+H44</f>
        <v>145.58999999999997</v>
      </c>
      <c r="I45" s="140">
        <f>I41+I44</f>
        <v>160.68900000000014</v>
      </c>
      <c r="J45" s="140">
        <f t="shared" ref="J45:Q45" si="56">J41+J44</f>
        <v>197.74500000000012</v>
      </c>
      <c r="K45" s="140">
        <f t="shared" si="56"/>
        <v>213.54580000000001</v>
      </c>
      <c r="L45" s="140">
        <f t="shared" si="56"/>
        <v>238.21722972799989</v>
      </c>
      <c r="M45" s="140">
        <f t="shared" si="56"/>
        <v>269.09285503925071</v>
      </c>
      <c r="N45" s="140">
        <f t="shared" si="56"/>
        <v>296.9752650765875</v>
      </c>
      <c r="O45" s="140">
        <f t="shared" si="56"/>
        <v>339.33401529013076</v>
      </c>
      <c r="P45" s="140">
        <f t="shared" si="56"/>
        <v>371.1616865381942</v>
      </c>
      <c r="Q45" s="140">
        <f t="shared" si="56"/>
        <v>419.47574588900471</v>
      </c>
      <c r="R45" s="140">
        <f t="shared" ref="R45" si="57">R41+R44</f>
        <v>473.01226102886244</v>
      </c>
      <c r="T45" s="160"/>
    </row>
    <row r="46" spans="1:25" s="120" customFormat="1">
      <c r="C46" s="120" t="s">
        <v>182</v>
      </c>
      <c r="D46" s="149"/>
      <c r="E46" s="149"/>
      <c r="F46" s="149"/>
      <c r="G46" s="149">
        <f t="shared" ref="G46:R46" si="58">G45/F45-1</f>
        <v>156.48423707440531</v>
      </c>
      <c r="H46" s="149">
        <f t="shared" si="58"/>
        <v>0.16579252912679698</v>
      </c>
      <c r="I46" s="149">
        <f t="shared" si="58"/>
        <v>0.10370904595095931</v>
      </c>
      <c r="J46" s="149">
        <f t="shared" si="58"/>
        <v>0.23060694882661514</v>
      </c>
      <c r="K46" s="149">
        <f t="shared" si="58"/>
        <v>7.9904928063920133E-2</v>
      </c>
      <c r="L46" s="149">
        <f t="shared" si="58"/>
        <v>0.11553226393588578</v>
      </c>
      <c r="M46" s="149">
        <f t="shared" si="58"/>
        <v>0.1296112180739617</v>
      </c>
      <c r="N46" s="149">
        <f t="shared" si="58"/>
        <v>0.10361631501984614</v>
      </c>
      <c r="O46" s="149">
        <f t="shared" si="58"/>
        <v>0.14263393351166553</v>
      </c>
      <c r="P46" s="149">
        <f t="shared" si="58"/>
        <v>9.379452048404513E-2</v>
      </c>
      <c r="Q46" s="149">
        <f t="shared" si="58"/>
        <v>0.13016984538849696</v>
      </c>
      <c r="R46" s="149">
        <f t="shared" si="58"/>
        <v>0.12762720053431575</v>
      </c>
    </row>
    <row r="47" spans="1:25" s="120" customFormat="1">
      <c r="C47" s="120" t="s">
        <v>197</v>
      </c>
      <c r="D47" s="149"/>
      <c r="E47" s="149"/>
      <c r="F47" s="149">
        <f t="shared" ref="F47:R47" si="59">F45/F$6</f>
        <v>1.3521739649389271E-3</v>
      </c>
      <c r="G47" s="149">
        <f t="shared" si="59"/>
        <v>0.16919106390473215</v>
      </c>
      <c r="H47" s="149">
        <f t="shared" si="59"/>
        <v>0.16283741312318106</v>
      </c>
      <c r="I47" s="149">
        <f t="shared" si="59"/>
        <v>0.15049901283871631</v>
      </c>
      <c r="J47" s="149">
        <f t="shared" si="59"/>
        <v>0.16518214768116835</v>
      </c>
      <c r="K47" s="149">
        <f t="shared" si="59"/>
        <v>0.1576716849900692</v>
      </c>
      <c r="L47" s="149">
        <f t="shared" si="59"/>
        <v>0.15649012490895087</v>
      </c>
      <c r="M47" s="149">
        <f t="shared" si="59"/>
        <v>0.16049465399155868</v>
      </c>
      <c r="N47" s="149">
        <f t="shared" si="59"/>
        <v>0.16102228965322657</v>
      </c>
      <c r="O47" s="149">
        <f t="shared" si="59"/>
        <v>0.16879773597203765</v>
      </c>
      <c r="P47" s="149">
        <f t="shared" si="59"/>
        <v>0.17095373951511794</v>
      </c>
      <c r="Q47" s="149">
        <f t="shared" si="59"/>
        <v>0.17889514940406132</v>
      </c>
      <c r="R47" s="149">
        <f t="shared" si="59"/>
        <v>0.18678429306636093</v>
      </c>
    </row>
    <row r="48" spans="1:25" s="120" customFormat="1">
      <c r="C48" s="120" t="s">
        <v>198</v>
      </c>
      <c r="D48" s="149"/>
      <c r="E48" s="149"/>
      <c r="F48" s="144">
        <f>-PL!B12</f>
        <v>6.1719999999999997</v>
      </c>
      <c r="G48" s="144">
        <f>-PL!C12</f>
        <v>3.5089999999999999</v>
      </c>
      <c r="H48" s="144">
        <f>-PL!D12</f>
        <v>3.1989999999999998</v>
      </c>
      <c r="I48" s="144">
        <f>-PL!E12</f>
        <v>5.5289999999999999</v>
      </c>
      <c r="J48" s="144">
        <f>-PL!F12</f>
        <v>5.1449999999999996</v>
      </c>
      <c r="K48" s="144">
        <v>3.6</v>
      </c>
      <c r="L48" s="144">
        <f t="shared" ref="L48:R48" si="60">AVERAGE(I48:K48)*1.05</f>
        <v>4.9958999999999998</v>
      </c>
      <c r="M48" s="144">
        <f t="shared" si="60"/>
        <v>4.8093150000000007</v>
      </c>
      <c r="N48" s="144">
        <f t="shared" si="60"/>
        <v>4.6918252500000008</v>
      </c>
      <c r="O48" s="144">
        <f t="shared" si="60"/>
        <v>5.0739640875000003</v>
      </c>
      <c r="P48" s="144">
        <f t="shared" si="60"/>
        <v>5.1012865181250016</v>
      </c>
      <c r="Q48" s="144">
        <f t="shared" si="60"/>
        <v>5.2034765494687507</v>
      </c>
      <c r="R48" s="144">
        <f t="shared" si="60"/>
        <v>5.3825545042828136</v>
      </c>
    </row>
    <row r="49" spans="1:18" ht="13">
      <c r="A49" s="156"/>
      <c r="B49" s="161" t="s">
        <v>199</v>
      </c>
      <c r="D49" s="144"/>
      <c r="E49" s="144"/>
      <c r="F49" s="144"/>
      <c r="G49" s="144"/>
      <c r="H49" s="144"/>
      <c r="I49" s="144"/>
      <c r="J49" s="144"/>
      <c r="K49" s="144"/>
      <c r="L49" s="144"/>
      <c r="M49" s="144"/>
      <c r="N49" s="144"/>
      <c r="O49" s="144"/>
      <c r="P49" s="144"/>
      <c r="Q49" s="144"/>
      <c r="R49" s="144"/>
    </row>
    <row r="50" spans="1:18" ht="13">
      <c r="A50" s="156"/>
      <c r="B50" s="161" t="s">
        <v>200</v>
      </c>
      <c r="D50" s="144"/>
      <c r="E50" s="144"/>
      <c r="F50" s="144"/>
      <c r="G50" s="144"/>
      <c r="H50" s="144"/>
      <c r="I50" s="144"/>
      <c r="J50" s="144"/>
      <c r="K50" s="144"/>
      <c r="L50" s="144"/>
      <c r="M50" s="144"/>
      <c r="N50" s="144"/>
      <c r="O50" s="144"/>
      <c r="P50" s="144"/>
      <c r="Q50" s="144"/>
      <c r="R50" s="144"/>
    </row>
    <row r="51" spans="1:18" ht="12.5">
      <c r="A51" s="156"/>
      <c r="B51" s="162" t="s">
        <v>201</v>
      </c>
      <c r="D51" s="144"/>
      <c r="E51" s="144"/>
      <c r="F51" s="144"/>
      <c r="G51" s="144"/>
      <c r="H51" s="144"/>
      <c r="I51" s="144"/>
      <c r="J51" s="144"/>
      <c r="K51" s="144"/>
      <c r="L51" s="144"/>
      <c r="M51" s="144"/>
      <c r="N51" s="144"/>
      <c r="O51" s="144"/>
      <c r="P51" s="144"/>
      <c r="Q51" s="144"/>
      <c r="R51" s="144"/>
    </row>
    <row r="52" spans="1:18" ht="12.5">
      <c r="A52" s="156"/>
      <c r="B52" s="162" t="s">
        <v>202</v>
      </c>
      <c r="D52" s="144"/>
      <c r="E52" s="144"/>
      <c r="F52" s="144"/>
      <c r="G52" s="144"/>
      <c r="H52" s="144"/>
      <c r="I52" s="144"/>
      <c r="J52" s="144"/>
      <c r="K52" s="144"/>
      <c r="L52" s="144"/>
      <c r="M52" s="144"/>
      <c r="N52" s="144"/>
      <c r="O52" s="144"/>
      <c r="P52" s="144"/>
      <c r="Q52" s="144"/>
      <c r="R52" s="144"/>
    </row>
    <row r="53" spans="1:18" ht="12.5">
      <c r="A53" s="156"/>
      <c r="B53" s="162" t="s">
        <v>203</v>
      </c>
      <c r="D53" s="144"/>
      <c r="E53" s="144"/>
      <c r="F53" s="144"/>
      <c r="G53" s="144"/>
      <c r="H53" s="144"/>
      <c r="I53" s="144"/>
      <c r="J53" s="144"/>
      <c r="K53" s="144"/>
      <c r="L53" s="144"/>
      <c r="M53" s="144"/>
      <c r="N53" s="144"/>
      <c r="O53" s="144"/>
      <c r="P53" s="144"/>
      <c r="Q53" s="144"/>
      <c r="R53" s="144"/>
    </row>
    <row r="54" spans="1:18" ht="12.5">
      <c r="A54" s="156"/>
      <c r="B54" s="162" t="s">
        <v>204</v>
      </c>
      <c r="D54" s="144"/>
      <c r="E54" s="144"/>
      <c r="F54" s="144"/>
      <c r="G54" s="144"/>
      <c r="H54" s="144"/>
      <c r="I54" s="144"/>
      <c r="J54" s="144"/>
      <c r="K54" s="144"/>
      <c r="L54" s="144"/>
      <c r="M54" s="144"/>
      <c r="N54" s="144"/>
      <c r="O54" s="144"/>
      <c r="P54" s="144"/>
      <c r="Q54" s="144"/>
      <c r="R54" s="144"/>
    </row>
    <row r="55" spans="1:18" s="119" customFormat="1">
      <c r="B55" s="119" t="s">
        <v>205</v>
      </c>
      <c r="D55" s="140"/>
      <c r="E55" s="140"/>
      <c r="F55" s="140">
        <f t="shared" ref="F55:R55" si="61">F41-F48+SUM(F51:F54)</f>
        <v>-31.361000000000022</v>
      </c>
      <c r="G55" s="140">
        <f t="shared" si="61"/>
        <v>86.199999999999946</v>
      </c>
      <c r="H55" s="140">
        <f t="shared" si="61"/>
        <v>108.93399999999998</v>
      </c>
      <c r="I55" s="140">
        <f t="shared" si="61"/>
        <v>118.58500000000015</v>
      </c>
      <c r="J55" s="140">
        <f t="shared" si="61"/>
        <v>147.62400000000011</v>
      </c>
      <c r="K55" s="140">
        <f t="shared" si="61"/>
        <v>169.69300000000001</v>
      </c>
      <c r="L55" s="140">
        <f t="shared" si="61"/>
        <v>190.5899997279999</v>
      </c>
      <c r="M55" s="140">
        <f t="shared" si="61"/>
        <v>219.53249453925073</v>
      </c>
      <c r="N55" s="140">
        <f t="shared" si="61"/>
        <v>245.48387547658749</v>
      </c>
      <c r="O55" s="140">
        <f t="shared" si="61"/>
        <v>285.06000659096412</v>
      </c>
      <c r="P55" s="140">
        <f t="shared" si="61"/>
        <v>314.45182671745812</v>
      </c>
      <c r="Q55" s="140">
        <f t="shared" si="61"/>
        <v>360.14926917596745</v>
      </c>
      <c r="R55" s="140">
        <f t="shared" si="61"/>
        <v>410.82144656270265</v>
      </c>
    </row>
    <row r="56" spans="1:18" s="120" customFormat="1">
      <c r="C56" s="120" t="s">
        <v>182</v>
      </c>
      <c r="D56" s="149"/>
      <c r="E56" s="149"/>
      <c r="F56" s="149"/>
      <c r="G56" s="149">
        <f>G55/F55-1</f>
        <v>-3.7486368419374347</v>
      </c>
      <c r="H56" s="149">
        <f>H55/G55-1</f>
        <v>0.26373549883990788</v>
      </c>
      <c r="I56" s="149">
        <f t="shared" ref="I56:R56" si="62">I55/H55-1</f>
        <v>8.8594929039603532E-2</v>
      </c>
      <c r="J56" s="149">
        <f t="shared" si="62"/>
        <v>0.24487920057342771</v>
      </c>
      <c r="K56" s="149">
        <f t="shared" si="62"/>
        <v>0.14949466211456053</v>
      </c>
      <c r="L56" s="149">
        <f t="shared" si="62"/>
        <v>0.1231459148462215</v>
      </c>
      <c r="M56" s="149">
        <f t="shared" si="62"/>
        <v>0.15185736320140641</v>
      </c>
      <c r="N56" s="149">
        <f t="shared" si="62"/>
        <v>0.11821202593175495</v>
      </c>
      <c r="O56" s="149">
        <f t="shared" si="62"/>
        <v>0.16121682549431293</v>
      </c>
      <c r="P56" s="149">
        <f t="shared" si="62"/>
        <v>0.10310748420303195</v>
      </c>
      <c r="Q56" s="149">
        <f t="shared" si="62"/>
        <v>0.14532414371874358</v>
      </c>
      <c r="R56" s="149">
        <f t="shared" si="62"/>
        <v>0.14069770987644836</v>
      </c>
    </row>
    <row r="57" spans="1:18" s="120" customFormat="1">
      <c r="C57" s="120" t="s">
        <v>206</v>
      </c>
      <c r="D57" s="149"/>
      <c r="E57" s="149"/>
      <c r="F57" s="149">
        <f>F55/F6</f>
        <v>-5.3474814267907823E-2</v>
      </c>
      <c r="G57" s="149">
        <f>G55/G6</f>
        <v>0.11678159673770196</v>
      </c>
      <c r="H57" s="149">
        <f>H55/H6</f>
        <v>0.12183893647338832</v>
      </c>
      <c r="I57" s="149">
        <f>I55/I6</f>
        <v>0.11106501028371066</v>
      </c>
      <c r="J57" s="149">
        <f>J55/J6</f>
        <v>0.12331461917765203</v>
      </c>
      <c r="K57" s="149">
        <f t="shared" ref="K57:Q57" si="63">K55/K$6</f>
        <v>0.12529294062922247</v>
      </c>
      <c r="L57" s="149">
        <f t="shared" si="63"/>
        <v>0.12520275253761778</v>
      </c>
      <c r="M57" s="149">
        <f t="shared" si="63"/>
        <v>0.13093544139565313</v>
      </c>
      <c r="N57" s="149">
        <f t="shared" si="63"/>
        <v>0.13310325926300168</v>
      </c>
      <c r="O57" s="149">
        <f t="shared" si="63"/>
        <v>0.14179976530672411</v>
      </c>
      <c r="P57" s="149">
        <f t="shared" si="63"/>
        <v>0.1448336873778526</v>
      </c>
      <c r="Q57" s="149">
        <f t="shared" si="63"/>
        <v>0.15359399905339557</v>
      </c>
      <c r="R57" s="149">
        <f t="shared" ref="R57" si="64">R55/R$6</f>
        <v>0.16222622497312381</v>
      </c>
    </row>
    <row r="58" spans="1:18" s="120" customFormat="1">
      <c r="B58" s="120" t="s">
        <v>207</v>
      </c>
      <c r="D58" s="149"/>
      <c r="E58" s="149"/>
      <c r="F58" s="163"/>
      <c r="G58" s="163"/>
      <c r="H58" s="163"/>
      <c r="I58" s="163"/>
      <c r="J58" s="144"/>
      <c r="K58" s="144"/>
      <c r="L58" s="144"/>
      <c r="M58" s="144"/>
      <c r="N58" s="144"/>
      <c r="O58" s="144"/>
      <c r="P58" s="144"/>
      <c r="Q58" s="144"/>
      <c r="R58" s="144"/>
    </row>
    <row r="59" spans="1:18" s="120" customFormat="1">
      <c r="B59" s="119" t="s">
        <v>205</v>
      </c>
      <c r="D59" s="149"/>
      <c r="E59" s="149"/>
      <c r="F59" s="151">
        <f>F55-F58</f>
        <v>-31.361000000000022</v>
      </c>
      <c r="G59" s="151">
        <f>G55-G58</f>
        <v>86.199999999999946</v>
      </c>
      <c r="H59" s="151">
        <f>H55-H58</f>
        <v>108.93399999999998</v>
      </c>
      <c r="I59" s="151">
        <f>I55-I58</f>
        <v>118.58500000000015</v>
      </c>
      <c r="J59" s="151">
        <f>J55-J58</f>
        <v>147.62400000000011</v>
      </c>
      <c r="K59" s="151">
        <f t="shared" ref="K59:R59" si="65">K55-K58</f>
        <v>169.69300000000001</v>
      </c>
      <c r="L59" s="151">
        <f t="shared" si="65"/>
        <v>190.5899997279999</v>
      </c>
      <c r="M59" s="151">
        <f t="shared" si="65"/>
        <v>219.53249453925073</v>
      </c>
      <c r="N59" s="151">
        <f t="shared" si="65"/>
        <v>245.48387547658749</v>
      </c>
      <c r="O59" s="151">
        <f t="shared" si="65"/>
        <v>285.06000659096412</v>
      </c>
      <c r="P59" s="151">
        <f t="shared" si="65"/>
        <v>314.45182671745812</v>
      </c>
      <c r="Q59" s="151">
        <f t="shared" si="65"/>
        <v>360.14926917596745</v>
      </c>
      <c r="R59" s="151">
        <f t="shared" si="65"/>
        <v>410.82144656270265</v>
      </c>
    </row>
    <row r="60" spans="1:18">
      <c r="B60" s="127" t="s">
        <v>208</v>
      </c>
      <c r="D60" s="144"/>
      <c r="E60" s="144"/>
      <c r="F60" s="144">
        <f>-PL!B14</f>
        <v>10.488</v>
      </c>
      <c r="G60" s="144">
        <f>-PL!C14</f>
        <v>13.797000000000001</v>
      </c>
      <c r="H60" s="144">
        <f>-PL!D14</f>
        <v>20.858000000000001</v>
      </c>
      <c r="I60" s="144">
        <f>-PL!E14</f>
        <v>27.442</v>
      </c>
      <c r="J60" s="144">
        <f>-PL!F14</f>
        <v>26.878</v>
      </c>
      <c r="K60" s="144">
        <f>K55*K61</f>
        <v>31.393205000000002</v>
      </c>
      <c r="L60" s="144">
        <f t="shared" ref="L60:Q60" si="66">L55*L61</f>
        <v>34.306199951039979</v>
      </c>
      <c r="M60" s="144">
        <f t="shared" si="66"/>
        <v>40.613511489761386</v>
      </c>
      <c r="N60" s="144">
        <f t="shared" si="66"/>
        <v>46.641936340551624</v>
      </c>
      <c r="O60" s="144">
        <f t="shared" si="66"/>
        <v>54.161401252283184</v>
      </c>
      <c r="P60" s="144">
        <f t="shared" si="66"/>
        <v>59.745847076317041</v>
      </c>
      <c r="Q60" s="144">
        <f t="shared" si="66"/>
        <v>68.428361143433818</v>
      </c>
      <c r="R60" s="144">
        <f t="shared" ref="R60" si="67">R55*R61</f>
        <v>78.056074846913504</v>
      </c>
    </row>
    <row r="61" spans="1:18" s="120" customFormat="1">
      <c r="C61" s="120" t="s">
        <v>209</v>
      </c>
      <c r="D61" s="164"/>
      <c r="E61" s="164"/>
      <c r="F61" s="164">
        <f>F60/F59</f>
        <v>-0.33442811134848993</v>
      </c>
      <c r="G61" s="164">
        <f>G60/G59</f>
        <v>0.16005800464037134</v>
      </c>
      <c r="H61" s="164">
        <f>H60/H59</f>
        <v>0.1914737363908422</v>
      </c>
      <c r="I61" s="164">
        <f>I60/I59</f>
        <v>0.23141206729350225</v>
      </c>
      <c r="J61" s="164">
        <f>J60/J59</f>
        <v>0.18207066601636576</v>
      </c>
      <c r="K61" s="165">
        <v>0.185</v>
      </c>
      <c r="L61" s="165">
        <v>0.18</v>
      </c>
      <c r="M61" s="165">
        <v>0.185</v>
      </c>
      <c r="N61" s="165">
        <v>0.19</v>
      </c>
      <c r="O61" s="165">
        <f t="shared" ref="N61:R61" si="68">N61</f>
        <v>0.19</v>
      </c>
      <c r="P61" s="165">
        <f t="shared" si="68"/>
        <v>0.19</v>
      </c>
      <c r="Q61" s="165">
        <f t="shared" si="68"/>
        <v>0.19</v>
      </c>
      <c r="R61" s="165">
        <f t="shared" si="68"/>
        <v>0.19</v>
      </c>
    </row>
    <row r="62" spans="1:18">
      <c r="B62" s="119" t="s">
        <v>210</v>
      </c>
      <c r="C62" s="119"/>
      <c r="D62" s="140"/>
      <c r="E62" s="140"/>
      <c r="F62" s="140">
        <f>F59-F60</f>
        <v>-41.849000000000018</v>
      </c>
      <c r="G62" s="140">
        <f>G59-G60</f>
        <v>72.402999999999949</v>
      </c>
      <c r="H62" s="140">
        <f>H59-H60</f>
        <v>88.075999999999979</v>
      </c>
      <c r="I62" s="140">
        <f>I59-I60</f>
        <v>91.143000000000143</v>
      </c>
      <c r="J62" s="140">
        <f>J59-J60</f>
        <v>120.74600000000011</v>
      </c>
      <c r="K62" s="140">
        <v>138.9</v>
      </c>
      <c r="L62" s="140">
        <f t="shared" ref="L62:Q62" si="69">L59-L60</f>
        <v>156.28379977695991</v>
      </c>
      <c r="M62" s="140">
        <f t="shared" si="69"/>
        <v>178.91898304948936</v>
      </c>
      <c r="N62" s="140">
        <f t="shared" si="69"/>
        <v>198.84193913603588</v>
      </c>
      <c r="O62" s="140">
        <f t="shared" si="69"/>
        <v>230.89860533868094</v>
      </c>
      <c r="P62" s="140">
        <f t="shared" si="69"/>
        <v>254.70597964114108</v>
      </c>
      <c r="Q62" s="140">
        <f t="shared" si="69"/>
        <v>291.72090803253366</v>
      </c>
      <c r="R62" s="140">
        <f t="shared" ref="R62" si="70">R59-R60</f>
        <v>332.76537171578912</v>
      </c>
    </row>
    <row r="63" spans="1:18">
      <c r="B63" s="119"/>
      <c r="C63" s="127" t="s">
        <v>211</v>
      </c>
      <c r="D63" s="140"/>
      <c r="E63" s="140"/>
      <c r="F63" s="166"/>
      <c r="G63" s="166"/>
      <c r="H63" s="323"/>
      <c r="I63" s="166"/>
      <c r="J63" s="166"/>
      <c r="K63" s="323">
        <f>K62/J62-1</f>
        <v>0.15034866579431094</v>
      </c>
      <c r="L63" s="323">
        <f>L62/K62-1</f>
        <v>0.12515334612642115</v>
      </c>
      <c r="M63" s="323">
        <f t="shared" ref="M63:N63" si="71">M62/L62-1</f>
        <v>0.14483384269408095</v>
      </c>
      <c r="N63" s="323">
        <f t="shared" si="71"/>
        <v>0.11135182945364597</v>
      </c>
      <c r="O63" s="166"/>
      <c r="P63" s="166"/>
      <c r="Q63" s="166"/>
      <c r="R63" s="166"/>
    </row>
    <row r="64" spans="1:18">
      <c r="C64" s="127" t="s">
        <v>212</v>
      </c>
      <c r="D64" s="144"/>
      <c r="E64" s="144"/>
      <c r="F64" s="144">
        <f>-PL!B16</f>
        <v>2E-3</v>
      </c>
      <c r="G64" s="144">
        <f>-PL!C16</f>
        <v>-2.4E-2</v>
      </c>
      <c r="H64" s="144">
        <f>-PL!D16</f>
        <v>2E-3</v>
      </c>
      <c r="I64" s="144">
        <f>-PL!E16</f>
        <v>-1E-3</v>
      </c>
      <c r="J64" s="144">
        <f>-PL!F16</f>
        <v>4.0000000000000001E-3</v>
      </c>
      <c r="K64" s="144">
        <f t="shared" ref="K64:R64" si="72">K62*K65</f>
        <v>-1.5239788025410597E-3</v>
      </c>
      <c r="L64" s="144">
        <f t="shared" si="72"/>
        <v>-1.7147098491048097E-3</v>
      </c>
      <c r="M64" s="144">
        <f t="shared" si="72"/>
        <v>-1.9630578656560471E-3</v>
      </c>
      <c r="N64" s="144">
        <f t="shared" si="72"/>
        <v>-2.1816479503202176E-3</v>
      </c>
      <c r="O64" s="144">
        <f t="shared" si="72"/>
        <v>-2.533366307217017E-3</v>
      </c>
      <c r="P64" s="144">
        <f t="shared" si="72"/>
        <v>-2.794575333718889E-3</v>
      </c>
      <c r="Q64" s="144">
        <f t="shared" si="72"/>
        <v>-3.2006946011491088E-3</v>
      </c>
      <c r="R64" s="144">
        <f t="shared" si="72"/>
        <v>-3.6510250015447001E-3</v>
      </c>
    </row>
    <row r="65" spans="2:19" s="120" customFormat="1">
      <c r="C65" s="120" t="s">
        <v>213</v>
      </c>
      <c r="D65" s="164"/>
      <c r="E65" s="164"/>
      <c r="F65" s="164">
        <f>F64/F62</f>
        <v>-4.7790867165284697E-5</v>
      </c>
      <c r="G65" s="164">
        <f>G64/G62</f>
        <v>-3.3147797743187459E-4</v>
      </c>
      <c r="H65" s="164">
        <f>H64/H62</f>
        <v>2.2707661565012039E-5</v>
      </c>
      <c r="I65" s="164">
        <f>I64/I62</f>
        <v>-1.0971769636724691E-5</v>
      </c>
      <c r="J65" s="165">
        <f>I65</f>
        <v>-1.0971769636724691E-5</v>
      </c>
      <c r="K65" s="165">
        <f t="shared" ref="K65:R65" si="73">J65</f>
        <v>-1.0971769636724691E-5</v>
      </c>
      <c r="L65" s="165">
        <f t="shared" si="73"/>
        <v>-1.0971769636724691E-5</v>
      </c>
      <c r="M65" s="165">
        <f t="shared" si="73"/>
        <v>-1.0971769636724691E-5</v>
      </c>
      <c r="N65" s="165">
        <f t="shared" si="73"/>
        <v>-1.0971769636724691E-5</v>
      </c>
      <c r="O65" s="165">
        <f t="shared" si="73"/>
        <v>-1.0971769636724691E-5</v>
      </c>
      <c r="P65" s="165">
        <f t="shared" si="73"/>
        <v>-1.0971769636724691E-5</v>
      </c>
      <c r="Q65" s="165">
        <f t="shared" si="73"/>
        <v>-1.0971769636724691E-5</v>
      </c>
      <c r="R65" s="165">
        <f t="shared" si="73"/>
        <v>-1.0971769636724691E-5</v>
      </c>
    </row>
    <row r="66" spans="2:19">
      <c r="B66" s="119" t="s">
        <v>214</v>
      </c>
      <c r="C66" s="119"/>
      <c r="D66" s="140"/>
      <c r="E66" s="140"/>
      <c r="F66" s="140">
        <f t="shared" ref="F66:Q66" si="74">F62-F64</f>
        <v>-41.85100000000002</v>
      </c>
      <c r="G66" s="140">
        <f t="shared" si="74"/>
        <v>72.42699999999995</v>
      </c>
      <c r="H66" s="140">
        <f t="shared" si="74"/>
        <v>88.073999999999984</v>
      </c>
      <c r="I66" s="140">
        <f t="shared" si="74"/>
        <v>91.144000000000148</v>
      </c>
      <c r="J66" s="140">
        <f t="shared" si="74"/>
        <v>120.7420000000001</v>
      </c>
      <c r="K66" s="140">
        <f t="shared" si="74"/>
        <v>138.90152397880254</v>
      </c>
      <c r="L66" s="140">
        <f t="shared" si="74"/>
        <v>156.28551448680901</v>
      </c>
      <c r="M66" s="140">
        <f t="shared" si="74"/>
        <v>178.92094610735501</v>
      </c>
      <c r="N66" s="140">
        <f t="shared" si="74"/>
        <v>198.8441207839862</v>
      </c>
      <c r="O66" s="140">
        <f t="shared" si="74"/>
        <v>230.90113870498814</v>
      </c>
      <c r="P66" s="140">
        <f t="shared" si="74"/>
        <v>254.70877421647481</v>
      </c>
      <c r="Q66" s="140">
        <f t="shared" si="74"/>
        <v>291.72410872713482</v>
      </c>
      <c r="R66" s="140">
        <f t="shared" ref="R66" si="75">R62-R64</f>
        <v>332.76902274079066</v>
      </c>
      <c r="S66" s="167"/>
    </row>
    <row r="67" spans="2:19" s="120" customFormat="1">
      <c r="C67" s="120" t="s">
        <v>182</v>
      </c>
      <c r="D67" s="149"/>
      <c r="E67" s="149"/>
      <c r="F67" s="149"/>
      <c r="G67" s="149">
        <f>G66/F66-1</f>
        <v>-2.7305918616042604</v>
      </c>
      <c r="H67" s="149">
        <f>H66/G66-1</f>
        <v>0.21603821779170818</v>
      </c>
      <c r="I67" s="149">
        <f t="shared" ref="I67:R67" si="76">I66/H66-1</f>
        <v>3.4857052024435786E-2</v>
      </c>
      <c r="J67" s="149">
        <f t="shared" si="76"/>
        <v>0.32473887474765095</v>
      </c>
      <c r="K67" s="149">
        <f t="shared" si="76"/>
        <v>0.15039939688594206</v>
      </c>
      <c r="L67" s="149">
        <f t="shared" si="76"/>
        <v>0.12515334612642115</v>
      </c>
      <c r="M67" s="149">
        <f t="shared" si="76"/>
        <v>0.14483384269408095</v>
      </c>
      <c r="N67" s="149">
        <f t="shared" si="76"/>
        <v>0.11135182945364597</v>
      </c>
      <c r="O67" s="149">
        <f t="shared" si="76"/>
        <v>0.16121682549431271</v>
      </c>
      <c r="P67" s="149">
        <f t="shared" si="76"/>
        <v>0.10310748420303195</v>
      </c>
      <c r="Q67" s="149">
        <f t="shared" si="76"/>
        <v>0.14532414371874358</v>
      </c>
      <c r="R67" s="149">
        <f t="shared" si="76"/>
        <v>0.14069770987644814</v>
      </c>
    </row>
    <row r="68" spans="2:19" s="120" customFormat="1">
      <c r="C68" s="120" t="s">
        <v>215</v>
      </c>
      <c r="D68" s="149"/>
      <c r="E68" s="149"/>
      <c r="F68" s="149">
        <f>F66/F$6</f>
        <v>-7.1361705683052501E-2</v>
      </c>
      <c r="G68" s="149">
        <f>G66/G$6</f>
        <v>9.8122281982848489E-2</v>
      </c>
      <c r="H68" s="149">
        <f>H66/H$6</f>
        <v>9.8507743137654022E-2</v>
      </c>
      <c r="I68" s="149">
        <f>I66/I$6</f>
        <v>8.5364163235641333E-2</v>
      </c>
      <c r="J68" s="149">
        <f t="shared" ref="J68:Q68" si="77">J66/J$6</f>
        <v>0.10085930301812757</v>
      </c>
      <c r="K68" s="149">
        <f t="shared" si="77"/>
        <v>0.10255803360883847</v>
      </c>
      <c r="L68" s="149">
        <f t="shared" si="77"/>
        <v>0.10266738351136873</v>
      </c>
      <c r="M68" s="149">
        <f t="shared" si="77"/>
        <v>0.10671355556116002</v>
      </c>
      <c r="N68" s="149">
        <f t="shared" si="77"/>
        <v>0.10781482290945318</v>
      </c>
      <c r="O68" s="149">
        <f t="shared" si="77"/>
        <v>0.11485907009187772</v>
      </c>
      <c r="P68" s="149">
        <f t="shared" si="77"/>
        <v>0.11731657393236199</v>
      </c>
      <c r="Q68" s="149">
        <f t="shared" si="77"/>
        <v>0.12441250424361033</v>
      </c>
      <c r="R68" s="149">
        <f t="shared" ref="R68" si="78">R66/R$6</f>
        <v>0.1314046839543335</v>
      </c>
    </row>
    <row r="69" spans="2:19">
      <c r="B69" s="127" t="s">
        <v>216</v>
      </c>
      <c r="D69" s="144"/>
      <c r="E69" s="144"/>
      <c r="F69" s="144">
        <f>F66</f>
        <v>-41.85100000000002</v>
      </c>
      <c r="G69" s="144">
        <f>G66</f>
        <v>72.42699999999995</v>
      </c>
      <c r="H69" s="144">
        <f>H66</f>
        <v>88.073999999999984</v>
      </c>
      <c r="I69" s="144">
        <f>I66</f>
        <v>91.144000000000148</v>
      </c>
      <c r="J69" s="144">
        <f>J66</f>
        <v>120.7420000000001</v>
      </c>
      <c r="K69" s="144">
        <f t="shared" ref="K69:Q69" si="79">K66*K70</f>
        <v>138.90152397880254</v>
      </c>
      <c r="L69" s="144">
        <f t="shared" si="79"/>
        <v>156.28551448680901</v>
      </c>
      <c r="M69" s="144">
        <f t="shared" si="79"/>
        <v>178.92094610735501</v>
      </c>
      <c r="N69" s="144">
        <f t="shared" si="79"/>
        <v>198.8441207839862</v>
      </c>
      <c r="O69" s="144">
        <f t="shared" si="79"/>
        <v>230.90113870498814</v>
      </c>
      <c r="P69" s="144">
        <f t="shared" si="79"/>
        <v>254.70877421647481</v>
      </c>
      <c r="Q69" s="144">
        <f t="shared" si="79"/>
        <v>291.72410872713482</v>
      </c>
      <c r="R69" s="144">
        <f t="shared" ref="R69" si="80">R66*R70</f>
        <v>332.76902274079066</v>
      </c>
    </row>
    <row r="70" spans="2:19">
      <c r="C70" s="168" t="s">
        <v>217</v>
      </c>
      <c r="D70" s="169"/>
      <c r="E70" s="169"/>
      <c r="F70" s="169">
        <f>F69/F66</f>
        <v>1</v>
      </c>
      <c r="G70" s="169">
        <f>G69/G66</f>
        <v>1</v>
      </c>
      <c r="H70" s="169">
        <f>H69/H66</f>
        <v>1</v>
      </c>
      <c r="I70" s="169">
        <f>I69/I66</f>
        <v>1</v>
      </c>
      <c r="J70" s="169">
        <f>J69/J66</f>
        <v>1</v>
      </c>
      <c r="K70" s="169">
        <f t="shared" ref="K70:R70" si="81">J70</f>
        <v>1</v>
      </c>
      <c r="L70" s="169">
        <f t="shared" si="81"/>
        <v>1</v>
      </c>
      <c r="M70" s="169">
        <f t="shared" si="81"/>
        <v>1</v>
      </c>
      <c r="N70" s="169">
        <f t="shared" si="81"/>
        <v>1</v>
      </c>
      <c r="O70" s="169">
        <f t="shared" si="81"/>
        <v>1</v>
      </c>
      <c r="P70" s="169">
        <f t="shared" si="81"/>
        <v>1</v>
      </c>
      <c r="Q70" s="169">
        <f t="shared" si="81"/>
        <v>1</v>
      </c>
      <c r="R70" s="169">
        <f t="shared" si="81"/>
        <v>1</v>
      </c>
    </row>
    <row r="71" spans="2:19">
      <c r="C71" s="123"/>
      <c r="D71" s="170"/>
      <c r="E71" s="170"/>
      <c r="F71" s="170"/>
      <c r="G71" s="170"/>
      <c r="H71" s="170"/>
      <c r="I71" s="170"/>
      <c r="J71" s="170"/>
      <c r="K71" s="170"/>
      <c r="L71" s="170"/>
      <c r="M71" s="170"/>
      <c r="N71" s="170"/>
      <c r="O71" s="170"/>
      <c r="P71" s="170"/>
      <c r="Q71" s="170"/>
      <c r="R71" s="170"/>
    </row>
    <row r="72" spans="2:19">
      <c r="B72" s="127" t="s">
        <v>218</v>
      </c>
      <c r="C72" s="123"/>
      <c r="D72" s="144"/>
      <c r="E72" s="144"/>
      <c r="F72" s="144">
        <v>155.48165900000001</v>
      </c>
      <c r="G72" s="144">
        <v>155.48165900000001</v>
      </c>
      <c r="H72" s="144">
        <v>155.48165900000001</v>
      </c>
      <c r="I72" s="144">
        <v>155.48165900000001</v>
      </c>
      <c r="J72" s="144">
        <v>365.98881799999998</v>
      </c>
      <c r="K72" s="144">
        <f t="shared" ref="K72:R73" si="82">J72</f>
        <v>365.98881799999998</v>
      </c>
      <c r="L72" s="144">
        <v>366</v>
      </c>
      <c r="M72" s="144">
        <v>366</v>
      </c>
      <c r="N72" s="144">
        <v>366</v>
      </c>
      <c r="O72" s="144">
        <f t="shared" si="82"/>
        <v>366</v>
      </c>
      <c r="P72" s="144">
        <f t="shared" si="82"/>
        <v>366</v>
      </c>
      <c r="Q72" s="144">
        <f t="shared" si="82"/>
        <v>366</v>
      </c>
      <c r="R72" s="144">
        <f t="shared" si="82"/>
        <v>366</v>
      </c>
      <c r="S72" s="171"/>
    </row>
    <row r="73" spans="2:19">
      <c r="B73" s="127" t="s">
        <v>219</v>
      </c>
      <c r="D73" s="144"/>
      <c r="E73" s="144"/>
      <c r="F73" s="144">
        <v>155.48165900000001</v>
      </c>
      <c r="G73" s="144">
        <v>155.48165900000001</v>
      </c>
      <c r="H73" s="144">
        <v>155.48165900000001</v>
      </c>
      <c r="I73" s="144">
        <v>155.48165900000001</v>
      </c>
      <c r="J73" s="144">
        <v>365.98881799999998</v>
      </c>
      <c r="K73" s="144">
        <v>366</v>
      </c>
      <c r="L73" s="144">
        <f t="shared" si="82"/>
        <v>366</v>
      </c>
      <c r="M73" s="144">
        <f t="shared" si="82"/>
        <v>366</v>
      </c>
      <c r="N73" s="144">
        <f t="shared" si="82"/>
        <v>366</v>
      </c>
      <c r="O73" s="144">
        <f t="shared" si="82"/>
        <v>366</v>
      </c>
      <c r="P73" s="144">
        <f t="shared" si="82"/>
        <v>366</v>
      </c>
      <c r="Q73" s="144">
        <f t="shared" si="82"/>
        <v>366</v>
      </c>
      <c r="R73" s="144">
        <f t="shared" si="82"/>
        <v>366</v>
      </c>
    </row>
    <row r="74" spans="2:19">
      <c r="D74" s="144"/>
      <c r="E74" s="144"/>
      <c r="F74" s="144"/>
      <c r="G74" s="144"/>
      <c r="H74" s="144"/>
      <c r="I74" s="144"/>
      <c r="J74" s="144"/>
      <c r="K74" s="144"/>
      <c r="L74" s="144"/>
      <c r="M74" s="144"/>
      <c r="N74" s="144"/>
      <c r="O74" s="144"/>
      <c r="P74" s="144"/>
      <c r="Q74" s="144"/>
      <c r="R74" s="144"/>
    </row>
    <row r="75" spans="2:19" s="122" customFormat="1">
      <c r="B75" s="172" t="s">
        <v>220</v>
      </c>
      <c r="C75" s="172"/>
      <c r="D75" s="173"/>
      <c r="E75" s="173"/>
      <c r="F75" s="174">
        <f t="shared" ref="F75:K75" si="83">F66/F72</f>
        <v>-0.26917001187902179</v>
      </c>
      <c r="G75" s="174">
        <f t="shared" si="83"/>
        <v>0.46582343194575732</v>
      </c>
      <c r="H75" s="174">
        <f t="shared" si="83"/>
        <v>0.56645909598893573</v>
      </c>
      <c r="I75" s="174">
        <f t="shared" si="83"/>
        <v>0.586204190167537</v>
      </c>
      <c r="J75" s="174">
        <f t="shared" si="83"/>
        <v>0.32990625413042018</v>
      </c>
      <c r="K75" s="174">
        <f t="shared" si="83"/>
        <v>0.37952395578053577</v>
      </c>
      <c r="L75" s="174">
        <f t="shared" ref="L75:Q75" si="84">L66/L72</f>
        <v>0.42700960242297542</v>
      </c>
      <c r="M75" s="174">
        <f t="shared" si="84"/>
        <v>0.48885504400916668</v>
      </c>
      <c r="N75" s="174">
        <f t="shared" si="84"/>
        <v>0.54328994749723003</v>
      </c>
      <c r="O75" s="174">
        <f t="shared" si="84"/>
        <v>0.63087742815570536</v>
      </c>
      <c r="P75" s="174">
        <f t="shared" si="84"/>
        <v>0.6959256126133192</v>
      </c>
      <c r="Q75" s="174">
        <f t="shared" si="84"/>
        <v>0.7970604063582919</v>
      </c>
      <c r="R75" s="174">
        <f t="shared" ref="R75" si="85">R66/R72</f>
        <v>0.90920498016609475</v>
      </c>
    </row>
    <row r="76" spans="2:19">
      <c r="B76" s="175"/>
      <c r="C76" s="175"/>
      <c r="D76" s="176"/>
      <c r="E76" s="176"/>
      <c r="F76" s="176"/>
      <c r="G76" s="176"/>
      <c r="H76" s="176"/>
      <c r="I76" s="176"/>
      <c r="J76" s="176"/>
      <c r="K76" s="176"/>
      <c r="L76" s="176"/>
      <c r="M76" s="176"/>
      <c r="N76" s="176"/>
      <c r="O76" s="176"/>
      <c r="P76" s="176"/>
      <c r="Q76" s="176"/>
      <c r="R76" s="176"/>
    </row>
    <row r="77" spans="2:19" s="120" customFormat="1">
      <c r="C77" s="120" t="s">
        <v>182</v>
      </c>
      <c r="D77" s="149"/>
      <c r="E77" s="149"/>
      <c r="F77" s="149"/>
      <c r="G77" s="149">
        <f>G75/F75-1</f>
        <v>-2.7305918616042608</v>
      </c>
      <c r="H77" s="149">
        <f>H75/G75-1</f>
        <v>0.21603821779170795</v>
      </c>
      <c r="I77" s="149">
        <f>I75/H75-1</f>
        <v>3.4857052024436008E-2</v>
      </c>
      <c r="J77" s="149">
        <f t="shared" ref="J77:R77" si="86">J75/I75-1</f>
        <v>-0.43721614470866699</v>
      </c>
      <c r="K77" s="149">
        <f t="shared" si="86"/>
        <v>0.15039939688594228</v>
      </c>
      <c r="L77" s="149">
        <f t="shared" si="86"/>
        <v>0.12511897053976417</v>
      </c>
      <c r="M77" s="149">
        <f t="shared" si="86"/>
        <v>0.14483384269408095</v>
      </c>
      <c r="N77" s="149">
        <f t="shared" si="86"/>
        <v>0.11135182945364597</v>
      </c>
      <c r="O77" s="149">
        <f t="shared" si="86"/>
        <v>0.16121682549431293</v>
      </c>
      <c r="P77" s="149">
        <f t="shared" si="86"/>
        <v>0.10310748420303195</v>
      </c>
      <c r="Q77" s="149">
        <f t="shared" si="86"/>
        <v>0.14532414371874358</v>
      </c>
      <c r="R77" s="149">
        <f t="shared" si="86"/>
        <v>0.14069770987644814</v>
      </c>
    </row>
    <row r="78" spans="2:19">
      <c r="B78" s="175"/>
      <c r="C78" s="175"/>
      <c r="D78" s="176"/>
      <c r="E78" s="176"/>
      <c r="F78" s="176"/>
      <c r="G78" s="176"/>
      <c r="H78" s="176"/>
      <c r="I78" s="176"/>
      <c r="J78" s="176"/>
      <c r="K78" s="176"/>
      <c r="L78" s="176"/>
      <c r="M78" s="176"/>
      <c r="N78" s="176"/>
      <c r="O78" s="176"/>
      <c r="P78" s="176"/>
      <c r="Q78" s="176"/>
      <c r="R78" s="176"/>
    </row>
    <row r="79" spans="2:19" s="122" customFormat="1">
      <c r="B79" s="172" t="s">
        <v>221</v>
      </c>
      <c r="C79" s="172"/>
      <c r="D79" s="173"/>
      <c r="E79" s="173"/>
      <c r="F79" s="174">
        <f t="shared" ref="F79:Q79" si="87">F66/F73</f>
        <v>-0.26917001187902179</v>
      </c>
      <c r="G79" s="174">
        <f t="shared" si="87"/>
        <v>0.46582343194575732</v>
      </c>
      <c r="H79" s="174">
        <f t="shared" si="87"/>
        <v>0.56645909598893573</v>
      </c>
      <c r="I79" s="174">
        <f t="shared" si="87"/>
        <v>0.586204190167537</v>
      </c>
      <c r="J79" s="174">
        <f t="shared" si="87"/>
        <v>0.32990625413042018</v>
      </c>
      <c r="K79" s="174">
        <f>K66/K73</f>
        <v>0.37951236059782117</v>
      </c>
      <c r="L79" s="174">
        <f t="shared" si="87"/>
        <v>0.42700960242297542</v>
      </c>
      <c r="M79" s="174">
        <f t="shared" si="87"/>
        <v>0.48885504400916668</v>
      </c>
      <c r="N79" s="174">
        <f t="shared" si="87"/>
        <v>0.54328994749723003</v>
      </c>
      <c r="O79" s="174">
        <f t="shared" si="87"/>
        <v>0.63087742815570536</v>
      </c>
      <c r="P79" s="174">
        <f t="shared" si="87"/>
        <v>0.6959256126133192</v>
      </c>
      <c r="Q79" s="174">
        <f t="shared" si="87"/>
        <v>0.7970604063582919</v>
      </c>
      <c r="R79" s="174">
        <f t="shared" ref="R79" si="88">R66/R73</f>
        <v>0.90920498016609475</v>
      </c>
    </row>
    <row r="80" spans="2:19">
      <c r="B80" s="175"/>
      <c r="C80" s="175"/>
      <c r="D80" s="176"/>
      <c r="E80" s="176"/>
      <c r="F80" s="176"/>
      <c r="G80" s="176"/>
      <c r="H80" s="176"/>
      <c r="I80" s="176"/>
      <c r="J80" s="176"/>
      <c r="K80" s="176"/>
      <c r="L80" s="176"/>
      <c r="M80" s="176"/>
      <c r="N80" s="176"/>
      <c r="O80" s="176"/>
      <c r="P80" s="176"/>
      <c r="Q80" s="176"/>
      <c r="R80" s="176"/>
    </row>
    <row r="81" spans="2:22" s="120" customFormat="1">
      <c r="C81" s="120" t="s">
        <v>182</v>
      </c>
      <c r="D81" s="149"/>
      <c r="E81" s="149"/>
      <c r="F81" s="149"/>
      <c r="G81" s="149">
        <f>G79/F79-1</f>
        <v>-2.7305918616042608</v>
      </c>
      <c r="H81" s="149">
        <f>H79/G79-1</f>
        <v>0.21603821779170795</v>
      </c>
      <c r="I81" s="149">
        <f t="shared" ref="I81:R81" si="89">I79/H79-1</f>
        <v>3.4857052024436008E-2</v>
      </c>
      <c r="J81" s="149">
        <f t="shared" si="89"/>
        <v>-0.43721614470866699</v>
      </c>
      <c r="K81" s="149">
        <f t="shared" si="89"/>
        <v>0.15036424998414999</v>
      </c>
      <c r="L81" s="149">
        <f t="shared" si="89"/>
        <v>0.12515334612642115</v>
      </c>
      <c r="M81" s="149">
        <f t="shared" si="89"/>
        <v>0.14483384269408095</v>
      </c>
      <c r="N81" s="149">
        <f t="shared" si="89"/>
        <v>0.11135182945364597</v>
      </c>
      <c r="O81" s="149">
        <f t="shared" si="89"/>
        <v>0.16121682549431293</v>
      </c>
      <c r="P81" s="149">
        <f t="shared" si="89"/>
        <v>0.10310748420303195</v>
      </c>
      <c r="Q81" s="149">
        <f t="shared" si="89"/>
        <v>0.14532414371874358</v>
      </c>
      <c r="R81" s="149">
        <f t="shared" si="89"/>
        <v>0.14069770987644814</v>
      </c>
    </row>
    <row r="82" spans="2:22">
      <c r="B82" s="175"/>
      <c r="C82" s="175"/>
      <c r="D82" s="176"/>
      <c r="E82" s="176"/>
      <c r="F82" s="176"/>
      <c r="G82" s="176"/>
      <c r="H82" s="176"/>
      <c r="I82" s="176"/>
      <c r="J82" s="176"/>
      <c r="K82" s="176"/>
      <c r="L82" s="176"/>
      <c r="M82" s="176"/>
      <c r="N82" s="176"/>
      <c r="O82" s="176"/>
      <c r="P82" s="176"/>
      <c r="Q82" s="176"/>
      <c r="R82" s="176"/>
    </row>
    <row r="83" spans="2:22" s="122" customFormat="1">
      <c r="B83" s="172" t="s">
        <v>222</v>
      </c>
      <c r="C83" s="172"/>
      <c r="D83" s="173"/>
      <c r="E83" s="173"/>
      <c r="F83" s="174">
        <f t="shared" ref="F83:Q83" si="90">F69/F72</f>
        <v>-0.26917001187902179</v>
      </c>
      <c r="G83" s="174">
        <f t="shared" si="90"/>
        <v>0.46582343194575732</v>
      </c>
      <c r="H83" s="174">
        <f t="shared" si="90"/>
        <v>0.56645909598893573</v>
      </c>
      <c r="I83" s="174">
        <f t="shared" si="90"/>
        <v>0.586204190167537</v>
      </c>
      <c r="J83" s="174">
        <f t="shared" si="90"/>
        <v>0.32990625413042018</v>
      </c>
      <c r="K83" s="174">
        <f t="shared" si="90"/>
        <v>0.37952395578053577</v>
      </c>
      <c r="L83" s="174">
        <f t="shared" si="90"/>
        <v>0.42700960242297542</v>
      </c>
      <c r="M83" s="174">
        <f t="shared" si="90"/>
        <v>0.48885504400916668</v>
      </c>
      <c r="N83" s="174">
        <f t="shared" si="90"/>
        <v>0.54328994749723003</v>
      </c>
      <c r="O83" s="174">
        <f t="shared" si="90"/>
        <v>0.63087742815570536</v>
      </c>
      <c r="P83" s="174">
        <f t="shared" si="90"/>
        <v>0.6959256126133192</v>
      </c>
      <c r="Q83" s="174">
        <f t="shared" si="90"/>
        <v>0.7970604063582919</v>
      </c>
      <c r="R83" s="174">
        <f t="shared" ref="R83" si="91">R69/R72</f>
        <v>0.90920498016609475</v>
      </c>
    </row>
    <row r="84" spans="2:22">
      <c r="B84" s="175"/>
      <c r="C84" s="175"/>
      <c r="D84" s="176"/>
      <c r="E84" s="176"/>
      <c r="F84" s="176"/>
      <c r="G84" s="176"/>
      <c r="H84" s="176"/>
      <c r="I84" s="176"/>
      <c r="J84" s="176"/>
      <c r="K84" s="176"/>
      <c r="L84" s="176"/>
      <c r="M84" s="176"/>
      <c r="N84" s="176"/>
      <c r="O84" s="176"/>
      <c r="P84" s="176"/>
      <c r="Q84" s="176"/>
      <c r="R84" s="176"/>
    </row>
    <row r="85" spans="2:22" s="120" customFormat="1">
      <c r="C85" s="120" t="s">
        <v>182</v>
      </c>
      <c r="D85" s="149"/>
      <c r="E85" s="149"/>
      <c r="F85" s="149"/>
      <c r="G85" s="149">
        <f>G83/F83-1</f>
        <v>-2.7305918616042608</v>
      </c>
      <c r="H85" s="149">
        <f>H83/G83-1</f>
        <v>0.21603821779170795</v>
      </c>
      <c r="I85" s="149">
        <f t="shared" ref="I85:R85" si="92">I83/H83-1</f>
        <v>3.4857052024436008E-2</v>
      </c>
      <c r="J85" s="149">
        <f t="shared" si="92"/>
        <v>-0.43721614470866699</v>
      </c>
      <c r="K85" s="149">
        <f t="shared" si="92"/>
        <v>0.15039939688594228</v>
      </c>
      <c r="L85" s="149">
        <f t="shared" si="92"/>
        <v>0.12511897053976417</v>
      </c>
      <c r="M85" s="149">
        <f t="shared" si="92"/>
        <v>0.14483384269408095</v>
      </c>
      <c r="N85" s="149">
        <f t="shared" si="92"/>
        <v>0.11135182945364597</v>
      </c>
      <c r="O85" s="149">
        <f t="shared" si="92"/>
        <v>0.16121682549431293</v>
      </c>
      <c r="P85" s="149">
        <f t="shared" si="92"/>
        <v>0.10310748420303195</v>
      </c>
      <c r="Q85" s="149">
        <f t="shared" si="92"/>
        <v>0.14532414371874358</v>
      </c>
      <c r="R85" s="149">
        <f t="shared" si="92"/>
        <v>0.14069770987644814</v>
      </c>
    </row>
    <row r="86" spans="2:22">
      <c r="B86" s="175"/>
      <c r="C86" s="175"/>
      <c r="D86" s="176"/>
      <c r="E86" s="176"/>
      <c r="F86" s="176"/>
      <c r="G86" s="176"/>
      <c r="H86" s="176"/>
      <c r="I86" s="176"/>
      <c r="J86" s="176"/>
      <c r="K86" s="176"/>
      <c r="L86" s="176"/>
      <c r="M86" s="176"/>
      <c r="N86" s="176"/>
      <c r="O86" s="176"/>
      <c r="P86" s="176"/>
      <c r="Q86" s="176"/>
      <c r="R86" s="176"/>
    </row>
    <row r="87" spans="2:22" s="117" customFormat="1">
      <c r="B87" s="135" t="s">
        <v>223</v>
      </c>
      <c r="D87" s="136"/>
      <c r="E87" s="136"/>
      <c r="F87" s="136"/>
      <c r="G87" s="137"/>
      <c r="H87" s="137"/>
      <c r="I87" s="137"/>
      <c r="J87" s="137"/>
      <c r="K87" s="137"/>
      <c r="L87" s="137"/>
      <c r="M87" s="137"/>
      <c r="N87" s="137"/>
      <c r="O87" s="137"/>
      <c r="P87" s="137"/>
      <c r="Q87" s="137"/>
      <c r="R87" s="137"/>
    </row>
    <row r="88" spans="2:22">
      <c r="B88" s="119" t="s">
        <v>224</v>
      </c>
      <c r="F88" s="177"/>
      <c r="G88" s="177"/>
      <c r="H88" s="177"/>
      <c r="I88" s="177"/>
      <c r="J88" s="144"/>
      <c r="K88" s="144"/>
      <c r="L88" s="144"/>
      <c r="M88" s="144"/>
      <c r="N88" s="144"/>
      <c r="O88" s="144"/>
      <c r="P88" s="144"/>
      <c r="Q88" s="144"/>
      <c r="R88" s="144"/>
    </row>
    <row r="89" spans="2:22">
      <c r="B89" s="124" t="s">
        <v>214</v>
      </c>
      <c r="C89" s="124"/>
      <c r="D89" s="178"/>
      <c r="E89" s="178"/>
      <c r="F89" s="144">
        <f t="shared" ref="F89:J89" si="93">F66</f>
        <v>-41.85100000000002</v>
      </c>
      <c r="G89" s="144">
        <f t="shared" si="93"/>
        <v>72.42699999999995</v>
      </c>
      <c r="H89" s="144">
        <f t="shared" si="93"/>
        <v>88.073999999999984</v>
      </c>
      <c r="I89" s="144">
        <f t="shared" si="93"/>
        <v>91.144000000000148</v>
      </c>
      <c r="J89" s="144">
        <f t="shared" si="93"/>
        <v>120.7420000000001</v>
      </c>
      <c r="K89" s="144">
        <v>100</v>
      </c>
      <c r="L89" s="144">
        <f t="shared" ref="L89:R89" si="94">L66</f>
        <v>156.28551448680901</v>
      </c>
      <c r="M89" s="144">
        <f t="shared" si="94"/>
        <v>178.92094610735501</v>
      </c>
      <c r="N89" s="144">
        <f t="shared" si="94"/>
        <v>198.8441207839862</v>
      </c>
      <c r="O89" s="144">
        <f t="shared" si="94"/>
        <v>230.90113870498814</v>
      </c>
      <c r="P89" s="144">
        <f t="shared" si="94"/>
        <v>254.70877421647481</v>
      </c>
      <c r="Q89" s="144">
        <f t="shared" si="94"/>
        <v>291.72410872713482</v>
      </c>
      <c r="R89" s="144">
        <f t="shared" si="94"/>
        <v>332.76902274079066</v>
      </c>
      <c r="S89" s="144"/>
    </row>
    <row r="90" spans="2:22" s="123" customFormat="1">
      <c r="B90" s="127" t="s">
        <v>225</v>
      </c>
      <c r="C90" s="127"/>
      <c r="D90" s="144"/>
      <c r="E90" s="144"/>
      <c r="F90" s="179">
        <f>CF!B13+CF!B15+CF!B14</f>
        <v>25.981999999999999</v>
      </c>
      <c r="G90" s="179">
        <f>CF!C13+CF!C15+CF!C14</f>
        <v>35.175999999999995</v>
      </c>
      <c r="H90" s="179">
        <f>CF!D13+CF!D15+CF!D14</f>
        <v>33.457000000000001</v>
      </c>
      <c r="I90" s="179">
        <f>CF!E13+CF!E15+CF!E14</f>
        <v>36.574999999999996</v>
      </c>
      <c r="J90" s="179">
        <f>CF!F13+CF!F15+CF!F14</f>
        <v>44.975999999999999</v>
      </c>
      <c r="K90" s="180">
        <f t="shared" ref="K90:R90" si="95">K44</f>
        <v>40.252800000000001</v>
      </c>
      <c r="L90" s="180">
        <f t="shared" si="95"/>
        <v>42.631330000000005</v>
      </c>
      <c r="M90" s="180">
        <f t="shared" si="95"/>
        <v>44.751045500000004</v>
      </c>
      <c r="N90" s="180">
        <f t="shared" si="95"/>
        <v>46.799564350000004</v>
      </c>
      <c r="O90" s="180">
        <f t="shared" si="95"/>
        <v>49.200044611666677</v>
      </c>
      <c r="P90" s="180">
        <f t="shared" si="95"/>
        <v>51.60857330261112</v>
      </c>
      <c r="Q90" s="180">
        <f t="shared" si="95"/>
        <v>54.123000163568527</v>
      </c>
      <c r="R90" s="180">
        <f t="shared" si="95"/>
        <v>56.808259961876985</v>
      </c>
      <c r="S90" s="144"/>
      <c r="T90" s="144"/>
      <c r="U90" s="144"/>
      <c r="V90" s="144"/>
    </row>
    <row r="91" spans="2:22" s="124" customFormat="1">
      <c r="B91" s="124" t="s">
        <v>226</v>
      </c>
      <c r="D91" s="178"/>
      <c r="E91" s="178"/>
      <c r="F91" s="181">
        <f>CF!B11+CF!B12+CF!B16+CF!B18+CF!B19</f>
        <v>15.555</v>
      </c>
      <c r="G91" s="181">
        <f>CF!C11+CF!C12+CF!C16+CF!C18+CF!C19</f>
        <v>15.916</v>
      </c>
      <c r="H91" s="181">
        <f>CF!D11+CF!D12+CF!D16+CF!D18+CF!D19</f>
        <v>24.412000000000003</v>
      </c>
      <c r="I91" s="181">
        <f>CF!E11+CF!E12+CF!E16+CF!E18+CF!E19</f>
        <v>32.421000000000006</v>
      </c>
      <c r="J91" s="181">
        <f>CF!F11+CF!F12+CF!F16+CF!F18+CF!F19</f>
        <v>27.974999999999994</v>
      </c>
      <c r="K91" s="178">
        <f>-SUM(K119:K121)+SUM(J119:J121)+K135-J135+K137-J137</f>
        <v>-141.71679999999995</v>
      </c>
      <c r="L91" s="178">
        <f>-SUM(L119:L121)+SUM(K119:K121)+L135-K135+L137-K137</f>
        <v>-22.013288611111079</v>
      </c>
      <c r="M91" s="178">
        <f t="shared" ref="M91:P91" si="96">-SUM(M119:M121)+SUM(L119:L121)+M135-L135+M137-L137</f>
        <v>-28.328407467592513</v>
      </c>
      <c r="N91" s="178">
        <f t="shared" si="96"/>
        <v>-2.0483412769290794</v>
      </c>
      <c r="O91" s="178">
        <f t="shared" si="96"/>
        <v>-23.787200739342666</v>
      </c>
      <c r="P91" s="178">
        <f t="shared" si="96"/>
        <v>-25.535392883734289</v>
      </c>
      <c r="Q91" s="178">
        <f>-SUM(Q119:Q121)+SUM(P119:P121)</f>
        <v>-91.664448325195622</v>
      </c>
      <c r="R91" s="178">
        <f>-SUM(R119:R121)+SUM(Q119:Q121)</f>
        <v>-107.78128304054906</v>
      </c>
    </row>
    <row r="92" spans="2:22">
      <c r="B92" s="127" t="s">
        <v>147</v>
      </c>
      <c r="D92" s="144"/>
      <c r="E92" s="144"/>
      <c r="F92" s="179">
        <f>SUM(CF!B20:B29)</f>
        <v>36.311</v>
      </c>
      <c r="G92" s="179">
        <f>SUM(CF!C20:C29)</f>
        <v>74.782000000000011</v>
      </c>
      <c r="H92" s="179">
        <f>SUM(CF!D20:D29)</f>
        <v>-13.086000000000004</v>
      </c>
      <c r="I92" s="179">
        <f>SUM(CF!E20:E29)</f>
        <v>-46.847999999999992</v>
      </c>
      <c r="J92" s="179">
        <f>SUM(CF!F20:F29)</f>
        <v>-29.161999999999999</v>
      </c>
      <c r="K92" s="144">
        <f>K93-SUM(K89:K90)</f>
        <v>5.7471999999999923</v>
      </c>
      <c r="L92" s="144">
        <f t="shared" ref="L92:R92" si="97">AVERAGE(I92:K92)*1.05</f>
        <v>-24.591980000000003</v>
      </c>
      <c r="M92" s="144">
        <f t="shared" si="97"/>
        <v>-16.802373000000003</v>
      </c>
      <c r="N92" s="144">
        <f t="shared" si="97"/>
        <v>-12.476503550000007</v>
      </c>
      <c r="O92" s="144">
        <f t="shared" si="97"/>
        <v>-18.854799792500007</v>
      </c>
      <c r="P92" s="144">
        <f t="shared" si="97"/>
        <v>-16.846786719875006</v>
      </c>
      <c r="Q92" s="144">
        <f t="shared" si="97"/>
        <v>-16.862331521831258</v>
      </c>
      <c r="R92" s="144">
        <f t="shared" si="97"/>
        <v>-18.397371311972197</v>
      </c>
    </row>
    <row r="93" spans="2:22" ht="12">
      <c r="B93" s="182"/>
      <c r="C93" s="119"/>
      <c r="D93" s="140"/>
      <c r="E93" s="140"/>
      <c r="F93" s="140">
        <f>SUM(F89:F92)</f>
        <v>35.996999999999979</v>
      </c>
      <c r="G93" s="140">
        <f>SUM(G89:G92)</f>
        <v>198.30099999999996</v>
      </c>
      <c r="H93" s="140">
        <f>SUM(H89:H92)</f>
        <v>132.85699999999997</v>
      </c>
      <c r="I93" s="140">
        <f>SUM(I89:I92)</f>
        <v>113.29200000000017</v>
      </c>
      <c r="J93" s="140">
        <f>SUM(J89:J90,J91:J92)</f>
        <v>164.53100000000009</v>
      </c>
      <c r="K93" s="140">
        <v>146</v>
      </c>
      <c r="L93" s="140">
        <f t="shared" ref="L93:Q93" si="98">SUM(L89:L90,L91:L92)</f>
        <v>152.31157587569791</v>
      </c>
      <c r="M93" s="140">
        <f t="shared" si="98"/>
        <v>178.54121113976248</v>
      </c>
      <c r="N93" s="140">
        <f t="shared" si="98"/>
        <v>231.1188403070571</v>
      </c>
      <c r="O93" s="140">
        <f t="shared" si="98"/>
        <v>237.45918278481216</v>
      </c>
      <c r="P93" s="140">
        <f t="shared" si="98"/>
        <v>263.93516791547665</v>
      </c>
      <c r="Q93" s="140">
        <f t="shared" si="98"/>
        <v>237.32032904367645</v>
      </c>
      <c r="R93" s="140">
        <f t="shared" ref="R93" si="99">SUM(R89:R90,R91:R92)</f>
        <v>263.39862835014634</v>
      </c>
    </row>
    <row r="94" spans="2:22">
      <c r="D94" s="183"/>
      <c r="E94" s="183"/>
      <c r="F94" s="183"/>
      <c r="G94" s="144"/>
      <c r="H94" s="178"/>
      <c r="I94" s="144"/>
      <c r="J94" s="144"/>
      <c r="K94" s="144"/>
      <c r="L94" s="144"/>
      <c r="M94" s="144"/>
      <c r="N94" s="144"/>
      <c r="O94" s="144"/>
      <c r="P94" s="144"/>
      <c r="Q94" s="144"/>
      <c r="R94" s="144"/>
    </row>
    <row r="95" spans="2:22">
      <c r="B95" s="119" t="s">
        <v>227</v>
      </c>
      <c r="D95" s="164"/>
      <c r="E95" s="164"/>
      <c r="F95" s="164"/>
      <c r="G95" s="184"/>
      <c r="H95" s="184"/>
      <c r="I95" s="184"/>
      <c r="J95" s="184"/>
      <c r="K95" s="184"/>
      <c r="L95" s="184"/>
      <c r="M95" s="184"/>
      <c r="N95" s="184"/>
      <c r="O95" s="184"/>
      <c r="P95" s="184"/>
      <c r="Q95" s="184"/>
      <c r="R95" s="184"/>
    </row>
    <row r="96" spans="2:22">
      <c r="B96" s="127" t="s">
        <v>228</v>
      </c>
      <c r="D96" s="144"/>
      <c r="E96" s="144"/>
      <c r="F96" s="144">
        <f>CF!B35+CF!B36+CF!B37</f>
        <v>-11.816000000000001</v>
      </c>
      <c r="G96" s="144">
        <f>CF!C35+CF!C36+CF!C37</f>
        <v>-49.156999999999996</v>
      </c>
      <c r="H96" s="144">
        <f>CF!D35+CF!D36+CF!D37</f>
        <v>-70.786999999999992</v>
      </c>
      <c r="I96" s="144">
        <f>CF!E35+CF!E36+CF!E37</f>
        <v>-90.331000000000003</v>
      </c>
      <c r="J96" s="144">
        <f>CF!F35+CF!F36+CF!F37</f>
        <v>-92.704999999999998</v>
      </c>
      <c r="K96" s="144">
        <v>-93</v>
      </c>
      <c r="L96" s="144">
        <f t="shared" ref="L96:P96" si="100">K96*1.08</f>
        <v>-100.44000000000001</v>
      </c>
      <c r="M96" s="144">
        <f t="shared" si="100"/>
        <v>-108.47520000000002</v>
      </c>
      <c r="N96" s="144">
        <f t="shared" si="100"/>
        <v>-117.15321600000003</v>
      </c>
      <c r="O96" s="144">
        <f t="shared" si="100"/>
        <v>-126.52547328000004</v>
      </c>
      <c r="P96" s="144">
        <f t="shared" si="100"/>
        <v>-136.64751114240005</v>
      </c>
      <c r="Q96" s="144">
        <f>P96*1.05</f>
        <v>-143.47988669952005</v>
      </c>
      <c r="R96" s="144">
        <f>Q96*1.05</f>
        <v>-150.65388103449607</v>
      </c>
    </row>
    <row r="97" spans="2:18">
      <c r="B97" s="127" t="s">
        <v>229</v>
      </c>
      <c r="D97" s="144"/>
      <c r="E97" s="144"/>
      <c r="F97" s="179">
        <f>SUM(CF!B31:B33)</f>
        <v>4.0169999999999995</v>
      </c>
      <c r="G97" s="179">
        <f>SUM(CF!C31:C33)</f>
        <v>1.6379999999999999</v>
      </c>
      <c r="H97" s="179">
        <f>SUM(CF!D31:D33)</f>
        <v>-0.24600000000000002</v>
      </c>
      <c r="I97" s="179">
        <f>SUM(CF!E31:E33)</f>
        <v>-0.30599999999999999</v>
      </c>
      <c r="J97" s="179">
        <f>SUM(CF!F31:F33)</f>
        <v>2.3199999999999998</v>
      </c>
      <c r="K97" s="144">
        <f>AVERAGE(H97:J97)*1.05</f>
        <v>0.61879999999999991</v>
      </c>
      <c r="L97" s="144">
        <f t="shared" ref="L97:Q97" si="101">AVERAGE(I97:K97)*1.05</f>
        <v>0.92147999999999985</v>
      </c>
      <c r="M97" s="144">
        <f t="shared" si="101"/>
        <v>1.3510979999999999</v>
      </c>
      <c r="N97" s="144">
        <f t="shared" si="101"/>
        <v>1.0119822999999999</v>
      </c>
      <c r="O97" s="144">
        <f t="shared" si="101"/>
        <v>1.1495961050000001</v>
      </c>
      <c r="P97" s="144">
        <f t="shared" si="101"/>
        <v>1.2294367417500001</v>
      </c>
      <c r="Q97" s="144">
        <f t="shared" si="101"/>
        <v>1.1868553013625001</v>
      </c>
      <c r="R97" s="144">
        <f>Q97</f>
        <v>1.1868553013625001</v>
      </c>
    </row>
    <row r="98" spans="2:18" s="119" customFormat="1">
      <c r="B98" s="127" t="s">
        <v>230</v>
      </c>
      <c r="C98" s="127"/>
      <c r="D98" s="144"/>
      <c r="E98" s="144"/>
      <c r="F98" s="179">
        <f>CF!B34</f>
        <v>0</v>
      </c>
      <c r="G98" s="179">
        <f>CF!C34</f>
        <v>0</v>
      </c>
      <c r="H98" s="179">
        <f>CF!D34</f>
        <v>0</v>
      </c>
      <c r="I98" s="179">
        <f>CF!E34</f>
        <v>0</v>
      </c>
      <c r="J98" s="179">
        <f>CF!F34</f>
        <v>-103</v>
      </c>
      <c r="K98" s="144">
        <f>K99-SUM(K96:K97)</f>
        <v>-78.818799999999982</v>
      </c>
      <c r="L98" s="144">
        <f t="shared" ref="L98:Q98" si="102">AVERAGE(I98:K98)*1.05</f>
        <v>-63.636580000000002</v>
      </c>
      <c r="M98" s="144">
        <f t="shared" si="102"/>
        <v>-85.909383000000005</v>
      </c>
      <c r="N98" s="144">
        <f t="shared" si="102"/>
        <v>-79.927667049999997</v>
      </c>
      <c r="O98" s="144">
        <f t="shared" si="102"/>
        <v>-80.315770517500013</v>
      </c>
      <c r="P98" s="144">
        <f t="shared" si="102"/>
        <v>-86.153487198625015</v>
      </c>
      <c r="Q98" s="144">
        <f t="shared" si="102"/>
        <v>-86.238923668143769</v>
      </c>
      <c r="R98" s="179">
        <f>Q98</f>
        <v>-86.238923668143769</v>
      </c>
    </row>
    <row r="99" spans="2:18" s="119" customFormat="1">
      <c r="D99" s="140"/>
      <c r="E99" s="140"/>
      <c r="F99" s="140">
        <f>SUM(F96:F98)</f>
        <v>-7.7990000000000013</v>
      </c>
      <c r="G99" s="140">
        <f>SUM(G96:G98)</f>
        <v>-47.518999999999998</v>
      </c>
      <c r="H99" s="140">
        <f>SUM(H96:H98)</f>
        <v>-71.032999999999987</v>
      </c>
      <c r="I99" s="140">
        <f>SUM(I96:I98)</f>
        <v>-90.637</v>
      </c>
      <c r="J99" s="140">
        <f>SUM(J96:J98)</f>
        <v>-193.38499999999999</v>
      </c>
      <c r="K99" s="140">
        <v>-171.2</v>
      </c>
      <c r="L99" s="140">
        <f t="shared" ref="L99:Q99" si="103">SUM(L96:L98)</f>
        <v>-163.1551</v>
      </c>
      <c r="M99" s="140">
        <f t="shared" si="103"/>
        <v>-193.03348500000004</v>
      </c>
      <c r="N99" s="140">
        <f t="shared" si="103"/>
        <v>-196.06890075000001</v>
      </c>
      <c r="O99" s="140">
        <f t="shared" si="103"/>
        <v>-205.69164769250006</v>
      </c>
      <c r="P99" s="140">
        <f t="shared" si="103"/>
        <v>-221.57156159927507</v>
      </c>
      <c r="Q99" s="140">
        <f t="shared" si="103"/>
        <v>-228.53195506630132</v>
      </c>
      <c r="R99" s="140">
        <f t="shared" ref="R99" si="104">SUM(R96:R98)</f>
        <v>-235.70594940127734</v>
      </c>
    </row>
    <row r="100" spans="2:18">
      <c r="D100" s="185"/>
      <c r="E100" s="185"/>
      <c r="F100" s="185"/>
      <c r="G100" s="144"/>
      <c r="H100" s="178"/>
      <c r="I100" s="144"/>
      <c r="J100" s="144"/>
      <c r="K100" s="144"/>
      <c r="L100" s="144"/>
      <c r="M100" s="144"/>
      <c r="N100" s="144"/>
      <c r="O100" s="144"/>
      <c r="P100" s="144"/>
      <c r="Q100" s="144"/>
      <c r="R100" s="144"/>
    </row>
    <row r="101" spans="2:18">
      <c r="B101" s="119" t="s">
        <v>231</v>
      </c>
      <c r="D101" s="186"/>
      <c r="E101" s="186"/>
      <c r="F101" s="144">
        <f t="shared" ref="F101:J101" si="105">F93+F99</f>
        <v>28.197999999999979</v>
      </c>
      <c r="G101" s="144">
        <f t="shared" si="105"/>
        <v>150.78199999999995</v>
      </c>
      <c r="H101" s="144">
        <f t="shared" si="105"/>
        <v>61.823999999999984</v>
      </c>
      <c r="I101" s="144">
        <f t="shared" si="105"/>
        <v>22.655000000000172</v>
      </c>
      <c r="J101" s="144">
        <f t="shared" si="105"/>
        <v>-28.8539999999999</v>
      </c>
      <c r="K101" s="144">
        <f>K93+K99</f>
        <v>-25.199999999999989</v>
      </c>
      <c r="L101" s="144">
        <f t="shared" ref="L101:Q101" si="106">L93+L99</f>
        <v>-10.843524124302093</v>
      </c>
      <c r="M101" s="144">
        <f t="shared" si="106"/>
        <v>-14.49227386023756</v>
      </c>
      <c r="N101" s="144">
        <f t="shared" si="106"/>
        <v>35.049939557057087</v>
      </c>
      <c r="O101" s="144">
        <f t="shared" si="106"/>
        <v>31.767535092312102</v>
      </c>
      <c r="P101" s="144">
        <f t="shared" si="106"/>
        <v>42.363606316201583</v>
      </c>
      <c r="Q101" s="144">
        <f t="shared" si="106"/>
        <v>8.7883739773751302</v>
      </c>
      <c r="R101" s="144">
        <f t="shared" ref="R101" si="107">R93+R99</f>
        <v>27.692678948869002</v>
      </c>
    </row>
    <row r="102" spans="2:18">
      <c r="G102" s="144"/>
      <c r="H102" s="178"/>
      <c r="I102" s="144"/>
      <c r="J102" s="144"/>
      <c r="K102" s="144"/>
      <c r="L102" s="144"/>
      <c r="M102" s="144"/>
      <c r="N102" s="144"/>
      <c r="O102" s="144"/>
      <c r="P102" s="144"/>
      <c r="Q102" s="144"/>
      <c r="R102" s="144"/>
    </row>
    <row r="103" spans="2:18" s="119" customFormat="1">
      <c r="B103" s="119" t="s">
        <v>232</v>
      </c>
      <c r="C103" s="127"/>
      <c r="D103" s="144"/>
      <c r="E103" s="144"/>
      <c r="F103" s="144"/>
      <c r="G103" s="144"/>
      <c r="H103" s="144"/>
      <c r="I103" s="144"/>
      <c r="J103" s="144"/>
      <c r="K103" s="144"/>
      <c r="L103" s="144"/>
      <c r="M103" s="144"/>
      <c r="N103" s="144"/>
      <c r="O103" s="144"/>
      <c r="P103" s="144"/>
      <c r="Q103" s="144"/>
      <c r="R103" s="144"/>
    </row>
    <row r="104" spans="2:18">
      <c r="B104" s="127" t="s">
        <v>233</v>
      </c>
      <c r="D104" s="186"/>
      <c r="E104" s="186"/>
      <c r="F104" s="186">
        <f>CF!B40</f>
        <v>-118.026</v>
      </c>
      <c r="G104" s="186">
        <f>CF!C40</f>
        <v>-123.619</v>
      </c>
      <c r="H104" s="186">
        <f>CF!D40</f>
        <v>-70.978999999999999</v>
      </c>
      <c r="I104" s="186">
        <f>CF!E40</f>
        <v>-8.0440000000000005</v>
      </c>
      <c r="J104" s="186">
        <f>CF!F40</f>
        <v>-11.802</v>
      </c>
      <c r="K104" s="187">
        <v>-20</v>
      </c>
      <c r="L104" s="187">
        <f>K104*1.06</f>
        <v>-21.200000000000003</v>
      </c>
      <c r="M104" s="187">
        <f t="shared" ref="L104:Q104" si="108">L104*1.1</f>
        <v>-23.320000000000004</v>
      </c>
      <c r="N104" s="187">
        <f t="shared" si="108"/>
        <v>-25.652000000000005</v>
      </c>
      <c r="O104" s="187">
        <f t="shared" si="108"/>
        <v>-28.217200000000009</v>
      </c>
      <c r="P104" s="187">
        <f t="shared" si="108"/>
        <v>-31.038920000000012</v>
      </c>
      <c r="Q104" s="187">
        <f t="shared" si="108"/>
        <v>-34.142812000000013</v>
      </c>
      <c r="R104" s="187">
        <f>AVERAGE(O104:Q104)</f>
        <v>-31.132977333333343</v>
      </c>
    </row>
    <row r="105" spans="2:18">
      <c r="B105" s="127" t="s">
        <v>234</v>
      </c>
      <c r="D105" s="186"/>
      <c r="E105" s="186"/>
      <c r="F105" s="186">
        <f>CF!B39</f>
        <v>117.575</v>
      </c>
      <c r="G105" s="186">
        <f>CF!C39</f>
        <v>0</v>
      </c>
      <c r="H105" s="186">
        <f>CF!D39</f>
        <v>75</v>
      </c>
      <c r="I105" s="186">
        <f>CF!E39</f>
        <v>0</v>
      </c>
      <c r="J105" s="186">
        <f>CF!F39</f>
        <v>0</v>
      </c>
      <c r="K105" s="187">
        <v>-2</v>
      </c>
      <c r="L105" s="187">
        <f t="shared" ref="L105:R105" si="109">K105*1.2</f>
        <v>-2.4</v>
      </c>
      <c r="M105" s="187">
        <f t="shared" si="109"/>
        <v>-2.88</v>
      </c>
      <c r="N105" s="187">
        <f>M105*1.08</f>
        <v>-3.1104000000000003</v>
      </c>
      <c r="O105" s="187">
        <f t="shared" ref="O105:R105" si="110">N105*1.08</f>
        <v>-3.3592320000000004</v>
      </c>
      <c r="P105" s="187">
        <f t="shared" si="110"/>
        <v>-3.6279705600000005</v>
      </c>
      <c r="Q105" s="187">
        <f t="shared" si="110"/>
        <v>-3.9182082048000009</v>
      </c>
      <c r="R105" s="187">
        <f t="shared" si="110"/>
        <v>-4.2316648611840009</v>
      </c>
    </row>
    <row r="106" spans="2:18" s="119" customFormat="1">
      <c r="B106" s="127" t="s">
        <v>235</v>
      </c>
      <c r="C106" s="127"/>
      <c r="D106" s="144"/>
      <c r="E106" s="144"/>
      <c r="F106" s="186">
        <f>CF!B41</f>
        <v>-2.6930000000000001</v>
      </c>
      <c r="G106" s="186">
        <f>CF!C41</f>
        <v>-2.524</v>
      </c>
      <c r="H106" s="186">
        <f>CF!D41</f>
        <v>-3.9740000000000002</v>
      </c>
      <c r="I106" s="186">
        <f>CF!E41</f>
        <v>-3.629</v>
      </c>
      <c r="J106" s="186">
        <f>CF!F41</f>
        <v>-3.927</v>
      </c>
      <c r="K106" s="187">
        <v>-6</v>
      </c>
      <c r="L106" s="187">
        <f>K106*1.06</f>
        <v>-6.36</v>
      </c>
      <c r="M106" s="187">
        <f t="shared" ref="L106:Q106" si="111">L106*1.2</f>
        <v>-7.6319999999999997</v>
      </c>
      <c r="N106" s="187">
        <f>M106*1.05</f>
        <v>-8.0136000000000003</v>
      </c>
      <c r="O106" s="187">
        <f t="shared" ref="O106:R106" si="112">N106*1.05</f>
        <v>-8.4142800000000015</v>
      </c>
      <c r="P106" s="187">
        <f t="shared" si="112"/>
        <v>-8.8349940000000018</v>
      </c>
      <c r="Q106" s="187">
        <f t="shared" si="112"/>
        <v>-9.2767437000000026</v>
      </c>
      <c r="R106" s="187">
        <f t="shared" si="112"/>
        <v>-9.7405808850000035</v>
      </c>
    </row>
    <row r="107" spans="2:18">
      <c r="B107" s="127" t="s">
        <v>236</v>
      </c>
      <c r="D107" s="144"/>
      <c r="E107" s="144"/>
      <c r="F107" s="144">
        <f>CF!B43</f>
        <v>0</v>
      </c>
      <c r="G107" s="144">
        <f>CF!C43</f>
        <v>0</v>
      </c>
      <c r="H107" s="144">
        <f>CF!D43</f>
        <v>0</v>
      </c>
      <c r="I107" s="144">
        <f>CF!E43</f>
        <v>-6.5</v>
      </c>
      <c r="J107" s="144">
        <f>CF!F43</f>
        <v>0</v>
      </c>
      <c r="K107" s="187">
        <v>0</v>
      </c>
      <c r="L107" s="187">
        <v>0</v>
      </c>
      <c r="M107" s="187">
        <v>0</v>
      </c>
      <c r="N107" s="187">
        <v>0</v>
      </c>
      <c r="O107" s="187">
        <v>0</v>
      </c>
      <c r="P107" s="187">
        <v>0</v>
      </c>
      <c r="Q107" s="187">
        <v>0</v>
      </c>
      <c r="R107" s="187">
        <v>0</v>
      </c>
    </row>
    <row r="108" spans="2:18">
      <c r="B108" s="127" t="s">
        <v>237</v>
      </c>
      <c r="D108" s="144"/>
      <c r="E108" s="144"/>
      <c r="F108" s="144">
        <f>CF!B42+CF!B44+CF!B45</f>
        <v>0</v>
      </c>
      <c r="G108" s="144">
        <f>CF!C42+CF!C44+CF!C45</f>
        <v>0</v>
      </c>
      <c r="H108" s="144">
        <f>CF!D42+CF!D44+CF!D45</f>
        <v>0</v>
      </c>
      <c r="I108" s="144">
        <f>CF!E42+CF!E44+CF!E45</f>
        <v>-0.86599999999999999</v>
      </c>
      <c r="J108" s="144">
        <f>CF!F42+CF!F44+CF!F45</f>
        <v>189.54700000000003</v>
      </c>
      <c r="K108" s="144">
        <f>K109-SUM(K104:K107)</f>
        <v>-59.099999999999994</v>
      </c>
      <c r="L108" s="144">
        <f t="shared" ref="L108:Q108" si="113">AVERAGE(I108:K108)</f>
        <v>43.193666666666672</v>
      </c>
      <c r="M108" s="144">
        <f t="shared" si="113"/>
        <v>57.880222222222237</v>
      </c>
      <c r="N108" s="144">
        <f t="shared" si="113"/>
        <v>13.991296296296305</v>
      </c>
      <c r="O108" s="144">
        <f t="shared" si="113"/>
        <v>38.355061728395071</v>
      </c>
      <c r="P108" s="144">
        <f t="shared" si="113"/>
        <v>36.742193415637871</v>
      </c>
      <c r="Q108" s="144">
        <f t="shared" si="113"/>
        <v>29.696183813443081</v>
      </c>
      <c r="R108" s="187">
        <f>Q108</f>
        <v>29.696183813443081</v>
      </c>
    </row>
    <row r="109" spans="2:18">
      <c r="B109" s="119"/>
      <c r="C109" s="119"/>
      <c r="D109" s="188"/>
      <c r="E109" s="188"/>
      <c r="F109" s="140">
        <f t="shared" ref="F109:Q109" si="114">SUM(F104:F108)</f>
        <v>-3.1439999999999935</v>
      </c>
      <c r="G109" s="140">
        <f t="shared" si="114"/>
        <v>-126.143</v>
      </c>
      <c r="H109" s="140">
        <f t="shared" si="114"/>
        <v>4.7000000000000597E-2</v>
      </c>
      <c r="I109" s="140">
        <f t="shared" si="114"/>
        <v>-19.039000000000001</v>
      </c>
      <c r="J109" s="140">
        <f t="shared" si="114"/>
        <v>173.81800000000004</v>
      </c>
      <c r="K109" s="140">
        <v>-87.1</v>
      </c>
      <c r="L109" s="140">
        <f t="shared" si="114"/>
        <v>13.233666666666672</v>
      </c>
      <c r="M109" s="140">
        <f t="shared" si="114"/>
        <v>24.048222222222236</v>
      </c>
      <c r="N109" s="140">
        <f t="shared" si="114"/>
        <v>-22.784703703703705</v>
      </c>
      <c r="O109" s="140">
        <f t="shared" si="114"/>
        <v>-1.6356502716049448</v>
      </c>
      <c r="P109" s="140">
        <f t="shared" si="114"/>
        <v>-6.7596911443621437</v>
      </c>
      <c r="Q109" s="140">
        <f t="shared" si="114"/>
        <v>-17.641580091356939</v>
      </c>
      <c r="R109" s="140">
        <f t="shared" ref="R109" si="115">SUM(R104:R108)</f>
        <v>-15.409039266074263</v>
      </c>
    </row>
    <row r="110" spans="2:18">
      <c r="B110" s="127" t="s">
        <v>238</v>
      </c>
      <c r="F110" s="144"/>
      <c r="G110" s="144"/>
      <c r="H110" s="144"/>
      <c r="I110" s="144"/>
      <c r="J110" s="144"/>
      <c r="K110" s="144"/>
      <c r="L110" s="144"/>
      <c r="M110" s="144"/>
      <c r="N110" s="144"/>
      <c r="O110" s="144"/>
      <c r="P110" s="144"/>
      <c r="Q110" s="144"/>
      <c r="R110" s="144">
        <f>Q110</f>
        <v>0</v>
      </c>
    </row>
    <row r="111" spans="2:18" s="119" customFormat="1">
      <c r="B111" s="119" t="s">
        <v>239</v>
      </c>
      <c r="D111" s="140"/>
      <c r="E111" s="140"/>
      <c r="F111" s="140">
        <f>F101+F109+F110</f>
        <v>25.053999999999984</v>
      </c>
      <c r="G111" s="140">
        <f>G101+G109+G110</f>
        <v>24.638999999999953</v>
      </c>
      <c r="H111" s="140">
        <f>H101+H109+H110</f>
        <v>61.870999999999981</v>
      </c>
      <c r="I111" s="140">
        <f>I101+I109+I110</f>
        <v>3.6160000000001702</v>
      </c>
      <c r="J111" s="140">
        <f>J101+J109+J110</f>
        <v>144.96400000000014</v>
      </c>
      <c r="K111" s="140">
        <f t="shared" ref="K111:Q111" si="116">K101+K109+K110</f>
        <v>-112.29999999999998</v>
      </c>
      <c r="L111" s="140">
        <f t="shared" si="116"/>
        <v>2.390142542364579</v>
      </c>
      <c r="M111" s="140">
        <f t="shared" si="116"/>
        <v>9.5559483619846759</v>
      </c>
      <c r="N111" s="140">
        <f t="shared" si="116"/>
        <v>12.265235853353381</v>
      </c>
      <c r="O111" s="140">
        <f t="shared" si="116"/>
        <v>30.131884820707157</v>
      </c>
      <c r="P111" s="140">
        <f t="shared" si="116"/>
        <v>35.603915171839439</v>
      </c>
      <c r="Q111" s="140">
        <f t="shared" si="116"/>
        <v>-8.853206113981809</v>
      </c>
      <c r="R111" s="140">
        <f t="shared" ref="R111" si="117">R101+R109+R110</f>
        <v>12.283639682794739</v>
      </c>
    </row>
    <row r="112" spans="2:18">
      <c r="B112" s="119" t="s">
        <v>240</v>
      </c>
      <c r="C112" s="119"/>
      <c r="D112" s="188"/>
      <c r="E112" s="188"/>
      <c r="F112" s="189">
        <f>CF!B46</f>
        <v>53.744999999999997</v>
      </c>
      <c r="G112" s="189">
        <f>CF!C46</f>
        <v>156.76599999999999</v>
      </c>
      <c r="H112" s="189">
        <f>CF!D46</f>
        <v>181.381</v>
      </c>
      <c r="I112" s="189">
        <f>CF!E46</f>
        <v>243.25399999999999</v>
      </c>
      <c r="J112" s="189">
        <f>CF!F46</f>
        <v>246.869</v>
      </c>
      <c r="K112" s="140">
        <f t="shared" ref="K112:R112" si="118">J113</f>
        <v>391.83699999999999</v>
      </c>
      <c r="L112" s="140">
        <f t="shared" si="118"/>
        <v>279.53700000000003</v>
      </c>
      <c r="M112" s="140">
        <f t="shared" si="118"/>
        <v>281.92714254236461</v>
      </c>
      <c r="N112" s="140">
        <f t="shared" si="118"/>
        <v>291.4830909043493</v>
      </c>
      <c r="O112" s="140">
        <f t="shared" si="118"/>
        <v>303.74832675770267</v>
      </c>
      <c r="P112" s="140">
        <f t="shared" si="118"/>
        <v>333.88021157840984</v>
      </c>
      <c r="Q112" s="140">
        <f t="shared" si="118"/>
        <v>369.48412675024929</v>
      </c>
      <c r="R112" s="140">
        <f t="shared" si="118"/>
        <v>360.63092063626749</v>
      </c>
    </row>
    <row r="113" spans="2:22" s="119" customFormat="1">
      <c r="B113" s="119" t="s">
        <v>241</v>
      </c>
      <c r="D113" s="140"/>
      <c r="E113" s="140"/>
      <c r="F113" s="140">
        <f>CF!B5</f>
        <v>156.76599999999999</v>
      </c>
      <c r="G113" s="140">
        <f>CF!C5</f>
        <v>181.381</v>
      </c>
      <c r="H113" s="140">
        <f>CF!D5</f>
        <v>243.25399999999999</v>
      </c>
      <c r="I113" s="140">
        <f>CF!E5</f>
        <v>246.869</v>
      </c>
      <c r="J113" s="140">
        <f>CF!F5</f>
        <v>391.83699999999999</v>
      </c>
      <c r="K113" s="140">
        <f t="shared" ref="K113:Q113" si="119">K111+K112</f>
        <v>279.53700000000003</v>
      </c>
      <c r="L113" s="140">
        <f t="shared" si="119"/>
        <v>281.92714254236461</v>
      </c>
      <c r="M113" s="140">
        <f t="shared" si="119"/>
        <v>291.4830909043493</v>
      </c>
      <c r="N113" s="140">
        <f t="shared" si="119"/>
        <v>303.74832675770267</v>
      </c>
      <c r="O113" s="140">
        <f t="shared" si="119"/>
        <v>333.88021157840984</v>
      </c>
      <c r="P113" s="140">
        <f t="shared" si="119"/>
        <v>369.48412675024929</v>
      </c>
      <c r="Q113" s="140">
        <f t="shared" si="119"/>
        <v>360.63092063626749</v>
      </c>
      <c r="R113" s="140">
        <f t="shared" ref="R113" si="120">R111+R112</f>
        <v>372.91456031906222</v>
      </c>
    </row>
    <row r="114" spans="2:22">
      <c r="B114" s="119"/>
      <c r="C114" s="119"/>
      <c r="D114" s="190"/>
      <c r="E114" s="190"/>
      <c r="F114" s="190"/>
      <c r="G114" s="140"/>
      <c r="H114" s="140"/>
      <c r="I114" s="140"/>
      <c r="J114" s="140"/>
      <c r="K114" s="140"/>
      <c r="L114" s="140"/>
      <c r="M114" s="140"/>
      <c r="N114" s="140"/>
      <c r="O114" s="140"/>
      <c r="P114" s="140"/>
      <c r="Q114" s="140"/>
      <c r="R114" s="140"/>
    </row>
    <row r="115" spans="2:22" s="117" customFormat="1">
      <c r="B115" s="135" t="s">
        <v>25</v>
      </c>
      <c r="D115" s="136"/>
      <c r="E115" s="136"/>
      <c r="F115" s="136"/>
      <c r="G115" s="137"/>
      <c r="H115" s="137"/>
      <c r="I115" s="137"/>
      <c r="J115" s="137"/>
      <c r="K115" s="137"/>
      <c r="L115" s="137"/>
      <c r="M115" s="137"/>
      <c r="N115" s="137"/>
      <c r="O115" s="137"/>
      <c r="P115" s="137"/>
      <c r="Q115" s="137"/>
      <c r="R115" s="137"/>
    </row>
    <row r="116" spans="2:22">
      <c r="B116" s="119" t="s">
        <v>242</v>
      </c>
      <c r="D116" s="144"/>
      <c r="E116" s="144"/>
      <c r="F116" s="144"/>
      <c r="G116" s="144"/>
      <c r="H116" s="144"/>
      <c r="I116" s="144"/>
      <c r="J116" s="144"/>
      <c r="K116" s="144"/>
      <c r="L116" s="144"/>
      <c r="M116" s="144"/>
      <c r="N116" s="144"/>
      <c r="O116" s="144"/>
      <c r="P116" s="144"/>
      <c r="Q116" s="144"/>
      <c r="R116" s="144"/>
    </row>
    <row r="117" spans="2:22">
      <c r="B117" s="127" t="s">
        <v>243</v>
      </c>
      <c r="D117" s="127"/>
      <c r="E117" s="191"/>
      <c r="F117" s="144">
        <f>F113</f>
        <v>156.76599999999999</v>
      </c>
      <c r="G117" s="144">
        <f>G113</f>
        <v>181.381</v>
      </c>
      <c r="H117" s="144">
        <f>H113</f>
        <v>243.25399999999999</v>
      </c>
      <c r="I117" s="144">
        <f>I113</f>
        <v>246.869</v>
      </c>
      <c r="J117" s="144">
        <f>J113</f>
        <v>391.83699999999999</v>
      </c>
      <c r="K117" s="192">
        <v>279.5</v>
      </c>
      <c r="L117" s="192">
        <f t="shared" ref="L117:Q117" si="121">L113</f>
        <v>281.92714254236461</v>
      </c>
      <c r="M117" s="192">
        <f t="shared" si="121"/>
        <v>291.4830909043493</v>
      </c>
      <c r="N117" s="192">
        <f t="shared" si="121"/>
        <v>303.74832675770267</v>
      </c>
      <c r="O117" s="192">
        <f t="shared" si="121"/>
        <v>333.88021157840984</v>
      </c>
      <c r="P117" s="192">
        <f t="shared" si="121"/>
        <v>369.48412675024929</v>
      </c>
      <c r="Q117" s="192">
        <f t="shared" si="121"/>
        <v>360.63092063626749</v>
      </c>
      <c r="R117" s="192">
        <f t="shared" ref="R117" si="122">R113</f>
        <v>372.91456031906222</v>
      </c>
    </row>
    <row r="118" spans="2:22">
      <c r="B118" s="127" t="s">
        <v>244</v>
      </c>
      <c r="D118" s="127"/>
      <c r="E118" s="191"/>
      <c r="F118" s="191">
        <f>BS!B19+BS!B20</f>
        <v>4.0250000000000004</v>
      </c>
      <c r="G118" s="191">
        <f>BS!C19+BS!C20</f>
        <v>5.4050000000000002</v>
      </c>
      <c r="H118" s="191">
        <f>BS!D19+BS!D20</f>
        <v>13.99</v>
      </c>
      <c r="I118" s="191">
        <f>BS!E19+BS!E20</f>
        <v>9.6690000000000005</v>
      </c>
      <c r="J118" s="191">
        <f>BS!F19+BS!F20</f>
        <v>15.244</v>
      </c>
      <c r="K118" s="192">
        <f>J118*1.05</f>
        <v>16.0062</v>
      </c>
      <c r="L118" s="192">
        <f t="shared" ref="L118:R118" si="123">K118*1.05</f>
        <v>16.806509999999999</v>
      </c>
      <c r="M118" s="192">
        <f t="shared" si="123"/>
        <v>17.646835500000002</v>
      </c>
      <c r="N118" s="192">
        <f t="shared" si="123"/>
        <v>18.529177275000002</v>
      </c>
      <c r="O118" s="192">
        <f t="shared" si="123"/>
        <v>19.455636138750002</v>
      </c>
      <c r="P118" s="192">
        <f t="shared" si="123"/>
        <v>20.428417945687503</v>
      </c>
      <c r="Q118" s="192">
        <f t="shared" si="123"/>
        <v>21.449838842971879</v>
      </c>
      <c r="R118" s="192">
        <f t="shared" si="123"/>
        <v>22.522330785120474</v>
      </c>
    </row>
    <row r="119" spans="2:22">
      <c r="B119" s="127" t="s">
        <v>59</v>
      </c>
      <c r="D119" s="127"/>
      <c r="E119" s="144"/>
      <c r="F119" s="144">
        <f>BS!B15</f>
        <v>72.947000000000003</v>
      </c>
      <c r="G119" s="144">
        <f>BS!C15</f>
        <v>100.708</v>
      </c>
      <c r="H119" s="144">
        <f>BS!D15</f>
        <v>113.017</v>
      </c>
      <c r="I119" s="144">
        <f>BS!E15</f>
        <v>134.566</v>
      </c>
      <c r="J119" s="144">
        <f>BS!F15</f>
        <v>167.35300000000001</v>
      </c>
      <c r="K119" s="192">
        <f>J119*1.15</f>
        <v>192.45595</v>
      </c>
      <c r="L119" s="192">
        <f t="shared" ref="L119:R119" si="124">K119*1.15</f>
        <v>221.32434249999997</v>
      </c>
      <c r="M119" s="192">
        <f t="shared" si="124"/>
        <v>254.52299387499994</v>
      </c>
      <c r="N119" s="192">
        <f t="shared" si="124"/>
        <v>292.70144295624993</v>
      </c>
      <c r="O119" s="192">
        <f t="shared" si="124"/>
        <v>336.60665939968737</v>
      </c>
      <c r="P119" s="192">
        <f t="shared" si="124"/>
        <v>387.09765830964045</v>
      </c>
      <c r="Q119" s="192">
        <f t="shared" si="124"/>
        <v>445.16230705608649</v>
      </c>
      <c r="R119" s="192">
        <f t="shared" si="124"/>
        <v>511.93665311449945</v>
      </c>
    </row>
    <row r="120" spans="2:22">
      <c r="B120" s="127" t="s">
        <v>245</v>
      </c>
      <c r="D120" s="127"/>
      <c r="E120" s="186"/>
      <c r="F120" s="186">
        <f>BS!B22</f>
        <v>0</v>
      </c>
      <c r="G120" s="186">
        <f>BS!C22</f>
        <v>0</v>
      </c>
      <c r="H120" s="186">
        <f>BS!D22</f>
        <v>0</v>
      </c>
      <c r="I120" s="186">
        <f>BS!E22</f>
        <v>0</v>
      </c>
      <c r="J120" s="186">
        <f>BS!F22</f>
        <v>103</v>
      </c>
      <c r="K120" s="144">
        <f>SUM(H120:J120)/3</f>
        <v>34.333333333333336</v>
      </c>
      <c r="L120" s="144">
        <f t="shared" ref="L120:R120" si="125">SUM(I120:K120)/3</f>
        <v>45.777777777777779</v>
      </c>
      <c r="M120" s="144">
        <f t="shared" si="125"/>
        <v>61.037037037037038</v>
      </c>
      <c r="N120" s="144">
        <f t="shared" si="125"/>
        <v>47.049382716049386</v>
      </c>
      <c r="O120" s="144">
        <f t="shared" si="125"/>
        <v>51.288065843621403</v>
      </c>
      <c r="P120" s="144">
        <f t="shared" si="125"/>
        <v>53.124828532235945</v>
      </c>
      <c r="Q120" s="144">
        <f t="shared" si="125"/>
        <v>50.48742569730225</v>
      </c>
      <c r="R120" s="144">
        <f t="shared" si="125"/>
        <v>51.633440024386537</v>
      </c>
    </row>
    <row r="121" spans="2:22">
      <c r="B121" s="127" t="s">
        <v>246</v>
      </c>
      <c r="D121" s="127"/>
      <c r="E121" s="186"/>
      <c r="F121" s="193">
        <f>BS!B16+BS!B17+BS!B18+BS!B21</f>
        <v>21.941000000000003</v>
      </c>
      <c r="G121" s="193">
        <f>BS!C16+BS!C17+BS!C18+BS!C21</f>
        <v>29.186</v>
      </c>
      <c r="H121" s="193">
        <f>BS!D16+BS!D17+BS!D18+BS!D21</f>
        <v>48.752000000000002</v>
      </c>
      <c r="I121" s="193">
        <f>BS!E16+BS!E17+BS!E18+BS!E21</f>
        <v>35.438000000000009</v>
      </c>
      <c r="J121" s="193">
        <f>BS!F16+BS!F17+BS!F18+BS!F21</f>
        <v>46.155999999999992</v>
      </c>
      <c r="K121" s="144">
        <f>K122-SUM(K117:K120)</f>
        <v>225.00451666666663</v>
      </c>
      <c r="L121" s="144">
        <f t="shared" ref="L121:R121" si="126">K121*1.1</f>
        <v>247.50496833333332</v>
      </c>
      <c r="M121" s="144">
        <f t="shared" si="126"/>
        <v>272.25546516666668</v>
      </c>
      <c r="N121" s="144">
        <f t="shared" si="126"/>
        <v>299.48101168333335</v>
      </c>
      <c r="O121" s="144">
        <f t="shared" si="126"/>
        <v>329.42911285166673</v>
      </c>
      <c r="P121" s="144">
        <f t="shared" si="126"/>
        <v>362.37202413683343</v>
      </c>
      <c r="Q121" s="144">
        <f t="shared" si="126"/>
        <v>398.60922655051678</v>
      </c>
      <c r="R121" s="144">
        <f t="shared" si="126"/>
        <v>438.47014920556848</v>
      </c>
    </row>
    <row r="122" spans="2:22">
      <c r="D122" s="127"/>
      <c r="E122" s="140"/>
      <c r="F122" s="140">
        <f>SUM(F117:F121)</f>
        <v>255.679</v>
      </c>
      <c r="G122" s="140">
        <f>SUM(G117:G121)</f>
        <v>316.68</v>
      </c>
      <c r="H122" s="140">
        <f>SUM(H117:H121)</f>
        <v>419.01299999999998</v>
      </c>
      <c r="I122" s="140">
        <f t="shared" ref="I122:R122" si="127">SUM(I117:I121)</f>
        <v>426.54200000000003</v>
      </c>
      <c r="J122" s="140">
        <f t="shared" si="127"/>
        <v>723.58999999999992</v>
      </c>
      <c r="K122" s="140">
        <v>747.3</v>
      </c>
      <c r="L122" s="140">
        <f t="shared" si="127"/>
        <v>813.34074115347573</v>
      </c>
      <c r="M122" s="140">
        <f t="shared" si="127"/>
        <v>896.94542248305299</v>
      </c>
      <c r="N122" s="140">
        <f t="shared" si="127"/>
        <v>961.50934138833543</v>
      </c>
      <c r="O122" s="140">
        <f t="shared" si="127"/>
        <v>1070.6596858121354</v>
      </c>
      <c r="P122" s="140">
        <f t="shared" si="127"/>
        <v>1192.5070556746466</v>
      </c>
      <c r="Q122" s="140">
        <f t="shared" si="127"/>
        <v>1276.3397187831449</v>
      </c>
      <c r="R122" s="140">
        <f t="shared" si="127"/>
        <v>1397.4771334486372</v>
      </c>
    </row>
    <row r="123" spans="2:22" ht="14">
      <c r="B123" s="194" t="s">
        <v>247</v>
      </c>
      <c r="C123" s="124"/>
      <c r="D123" s="144"/>
      <c r="E123" s="144"/>
      <c r="F123" s="144"/>
      <c r="G123" s="195"/>
      <c r="H123" s="144"/>
      <c r="I123" s="144"/>
      <c r="J123" s="144"/>
      <c r="K123" s="144"/>
      <c r="L123" s="144"/>
      <c r="M123" s="144"/>
      <c r="N123" s="144"/>
      <c r="O123" s="144"/>
      <c r="P123" s="144"/>
      <c r="Q123" s="144"/>
      <c r="R123" s="144"/>
    </row>
    <row r="124" spans="2:22">
      <c r="B124" s="127" t="s">
        <v>248</v>
      </c>
      <c r="D124" s="144"/>
      <c r="E124" s="144"/>
      <c r="F124" s="144">
        <f>BS!B6</f>
        <v>86.682000000000002</v>
      </c>
      <c r="G124" s="144">
        <f>BS!C6</f>
        <v>112.748</v>
      </c>
      <c r="H124" s="144">
        <f>BS!D6</f>
        <v>161.78399999999999</v>
      </c>
      <c r="I124" s="144">
        <f>BS!E6</f>
        <v>197.93299999999999</v>
      </c>
      <c r="J124" s="144">
        <f>BS!F6</f>
        <v>233.04900000000001</v>
      </c>
      <c r="K124" s="196">
        <v>100</v>
      </c>
      <c r="L124" s="196">
        <f>K124*1.05+39.65</f>
        <v>144.65</v>
      </c>
      <c r="M124" s="196">
        <f>L124*1.05+83.81</f>
        <v>235.69250000000002</v>
      </c>
      <c r="N124" s="196">
        <f>M124*1.05+111.37</f>
        <v>358.84712500000001</v>
      </c>
      <c r="O124" s="196">
        <f t="shared" ref="L124:R124" si="128">N124*1.05</f>
        <v>376.78948124999999</v>
      </c>
      <c r="P124" s="196">
        <f t="shared" si="128"/>
        <v>395.62895531250001</v>
      </c>
      <c r="Q124" s="196">
        <f t="shared" si="128"/>
        <v>415.41040307812506</v>
      </c>
      <c r="R124" s="196">
        <f t="shared" si="128"/>
        <v>436.18092323203132</v>
      </c>
    </row>
    <row r="125" spans="2:22">
      <c r="B125" s="127" t="s">
        <v>249</v>
      </c>
      <c r="D125" s="144"/>
      <c r="E125" s="144"/>
      <c r="F125" s="144">
        <f>SUM(BS!B7:B12)</f>
        <v>376.96300000000002</v>
      </c>
      <c r="G125" s="144">
        <f>SUM(BS!C7:C12)</f>
        <v>357.43199999999996</v>
      </c>
      <c r="H125" s="144">
        <f>SUM(BS!D7:D12)</f>
        <v>368.91899999999998</v>
      </c>
      <c r="I125" s="144">
        <f>SUM(BS!E7:E12)</f>
        <v>383.46000000000004</v>
      </c>
      <c r="J125" s="144">
        <f>SUM(BS!F7:F12)</f>
        <v>406.58200000000005</v>
      </c>
      <c r="K125" s="144">
        <f>K132-K122-K124</f>
        <v>613.26099999999997</v>
      </c>
      <c r="L125" s="144">
        <f t="shared" ref="L125:R125" si="129">K125*1.03</f>
        <v>631.65882999999997</v>
      </c>
      <c r="M125" s="144">
        <f t="shared" si="129"/>
        <v>650.60859489999996</v>
      </c>
      <c r="N125" s="144">
        <f t="shared" si="129"/>
        <v>670.12685274699993</v>
      </c>
      <c r="O125" s="144">
        <f t="shared" si="129"/>
        <v>690.23065832940995</v>
      </c>
      <c r="P125" s="144">
        <f t="shared" si="129"/>
        <v>710.93757807929228</v>
      </c>
      <c r="Q125" s="144">
        <f t="shared" si="129"/>
        <v>732.2657054216711</v>
      </c>
      <c r="R125" s="144">
        <f t="shared" si="129"/>
        <v>754.2336765843213</v>
      </c>
      <c r="S125" s="156"/>
      <c r="T125" s="156"/>
      <c r="U125" s="156"/>
      <c r="V125" s="156"/>
    </row>
    <row r="126" spans="2:22">
      <c r="B126" s="127" t="s">
        <v>250</v>
      </c>
      <c r="D126" s="144"/>
      <c r="E126" s="144"/>
      <c r="F126" s="144"/>
      <c r="G126" s="144"/>
      <c r="H126" s="144"/>
      <c r="I126" s="144"/>
      <c r="J126" s="144"/>
      <c r="K126" s="144"/>
      <c r="L126" s="144"/>
      <c r="M126" s="144"/>
      <c r="N126" s="144"/>
      <c r="O126" s="144"/>
      <c r="P126" s="144"/>
      <c r="Q126" s="144"/>
      <c r="R126" s="144"/>
      <c r="S126" s="156"/>
      <c r="T126" s="156"/>
      <c r="U126" s="156"/>
      <c r="V126" s="156"/>
    </row>
    <row r="127" spans="2:22">
      <c r="D127" s="144"/>
      <c r="E127" s="144"/>
      <c r="F127" s="144"/>
      <c r="G127" s="144"/>
      <c r="H127" s="144"/>
      <c r="I127" s="144"/>
      <c r="J127" s="144"/>
      <c r="K127" s="144"/>
      <c r="L127" s="144"/>
      <c r="M127" s="144"/>
      <c r="N127" s="144"/>
      <c r="O127" s="144"/>
      <c r="P127" s="144"/>
      <c r="Q127" s="144"/>
      <c r="R127" s="144"/>
    </row>
    <row r="128" spans="2:22" s="119" customFormat="1">
      <c r="B128" s="127"/>
      <c r="C128" s="127"/>
      <c r="D128" s="144"/>
      <c r="E128" s="144"/>
      <c r="F128" s="144"/>
      <c r="G128" s="144"/>
      <c r="H128" s="144"/>
      <c r="I128" s="144"/>
      <c r="J128" s="193"/>
      <c r="K128" s="193"/>
      <c r="L128" s="193"/>
      <c r="M128" s="193"/>
      <c r="N128" s="193"/>
      <c r="O128" s="193"/>
      <c r="P128" s="193"/>
      <c r="Q128" s="193"/>
      <c r="R128" s="193"/>
    </row>
    <row r="129" spans="2:18">
      <c r="D129" s="144"/>
      <c r="E129" s="144"/>
      <c r="F129" s="144"/>
      <c r="G129" s="144"/>
      <c r="H129" s="144"/>
      <c r="I129" s="144"/>
      <c r="J129" s="193"/>
      <c r="K129" s="193"/>
      <c r="L129" s="193"/>
      <c r="M129" s="193"/>
      <c r="N129" s="193"/>
      <c r="O129" s="193"/>
      <c r="P129" s="193"/>
      <c r="Q129" s="193"/>
      <c r="R129" s="193"/>
    </row>
    <row r="130" spans="2:18">
      <c r="D130" s="140"/>
      <c r="E130" s="140"/>
      <c r="F130" s="140">
        <f>SUM(F124:F129)</f>
        <v>463.64500000000004</v>
      </c>
      <c r="G130" s="140">
        <f>SUM(G124:G129)</f>
        <v>470.17999999999995</v>
      </c>
      <c r="H130" s="140">
        <f>SUM(H124:H129)</f>
        <v>530.70299999999997</v>
      </c>
      <c r="I130" s="140">
        <f>SUM(I124:I129)</f>
        <v>581.39300000000003</v>
      </c>
      <c r="J130" s="140">
        <f>SUM(J124:J129)</f>
        <v>639.63100000000009</v>
      </c>
      <c r="K130" s="140">
        <v>713.26099999999997</v>
      </c>
      <c r="L130" s="140">
        <f t="shared" ref="L130:Q130" si="130">SUM(L124:L129)</f>
        <v>776.30882999999994</v>
      </c>
      <c r="M130" s="140">
        <f t="shared" si="130"/>
        <v>886.30109489999995</v>
      </c>
      <c r="N130" s="140">
        <f t="shared" si="130"/>
        <v>1028.9739777469999</v>
      </c>
      <c r="O130" s="140">
        <f t="shared" si="130"/>
        <v>1067.0201395794099</v>
      </c>
      <c r="P130" s="140">
        <f t="shared" si="130"/>
        <v>1106.5665333917923</v>
      </c>
      <c r="Q130" s="140">
        <f t="shared" si="130"/>
        <v>1147.6761084997961</v>
      </c>
      <c r="R130" s="140">
        <f t="shared" ref="R130" si="131">SUM(R124:R129)</f>
        <v>1190.4145998163526</v>
      </c>
    </row>
    <row r="131" spans="2:18">
      <c r="D131" s="144"/>
      <c r="E131" s="144"/>
      <c r="F131" s="144"/>
      <c r="G131" s="144"/>
      <c r="H131" s="144"/>
      <c r="I131" s="144"/>
      <c r="J131" s="144"/>
      <c r="K131" s="144"/>
      <c r="L131" s="144"/>
      <c r="M131" s="144"/>
      <c r="N131" s="144"/>
      <c r="O131" s="144"/>
      <c r="P131" s="144"/>
      <c r="Q131" s="144"/>
      <c r="R131" s="144"/>
    </row>
    <row r="132" spans="2:18" s="125" customFormat="1">
      <c r="B132" s="126" t="s">
        <v>87</v>
      </c>
      <c r="C132" s="126"/>
      <c r="D132" s="197"/>
      <c r="E132" s="197"/>
      <c r="F132" s="197">
        <f>F122+F130</f>
        <v>719.32400000000007</v>
      </c>
      <c r="G132" s="197">
        <f>G122+G130</f>
        <v>786.8599999999999</v>
      </c>
      <c r="H132" s="197">
        <f>H122+H130</f>
        <v>949.71599999999989</v>
      </c>
      <c r="I132" s="197">
        <f t="shared" ref="I132:Q132" si="132">I122+I130</f>
        <v>1007.9350000000001</v>
      </c>
      <c r="J132" s="197">
        <f t="shared" si="132"/>
        <v>1363.221</v>
      </c>
      <c r="K132" s="197">
        <f t="shared" si="132"/>
        <v>1460.5609999999999</v>
      </c>
      <c r="L132" s="197">
        <f t="shared" si="132"/>
        <v>1589.6495711534758</v>
      </c>
      <c r="M132" s="197">
        <f t="shared" si="132"/>
        <v>1783.2465173830528</v>
      </c>
      <c r="N132" s="197">
        <f t="shared" si="132"/>
        <v>1990.4833191353355</v>
      </c>
      <c r="O132" s="197">
        <f t="shared" si="132"/>
        <v>2137.6798253915454</v>
      </c>
      <c r="P132" s="197">
        <f t="shared" si="132"/>
        <v>2299.0735890664391</v>
      </c>
      <c r="Q132" s="197">
        <f t="shared" si="132"/>
        <v>2424.0158272829412</v>
      </c>
      <c r="R132" s="197">
        <f t="shared" ref="R132" si="133">R122+R130</f>
        <v>2587.8917332649899</v>
      </c>
    </row>
    <row r="133" spans="2:18">
      <c r="D133" s="140"/>
      <c r="E133" s="140"/>
      <c r="F133" s="140"/>
      <c r="G133" s="140"/>
      <c r="H133" s="140"/>
      <c r="I133" s="140"/>
      <c r="J133" s="140"/>
      <c r="K133" s="140"/>
      <c r="L133" s="140"/>
      <c r="M133" s="140"/>
      <c r="N133" s="140"/>
      <c r="O133" s="140"/>
      <c r="P133" s="140"/>
    </row>
    <row r="134" spans="2:18">
      <c r="B134" s="119" t="s">
        <v>251</v>
      </c>
      <c r="D134" s="144"/>
      <c r="E134" s="144"/>
      <c r="F134" s="144"/>
      <c r="G134" s="144"/>
      <c r="H134" s="144"/>
      <c r="I134" s="198"/>
      <c r="J134" s="140"/>
      <c r="K134" s="140"/>
      <c r="L134" s="140"/>
      <c r="M134" s="140"/>
      <c r="N134" s="140"/>
      <c r="O134" s="140"/>
      <c r="P134" s="140"/>
      <c r="Q134" s="140"/>
      <c r="R134" s="140"/>
    </row>
    <row r="135" spans="2:18">
      <c r="B135" s="127" t="s">
        <v>252</v>
      </c>
      <c r="D135" s="144"/>
      <c r="E135" s="144"/>
      <c r="F135" s="144">
        <f>BS!B39</f>
        <v>29.773</v>
      </c>
      <c r="G135" s="144">
        <f>BS!C39</f>
        <v>41.651000000000003</v>
      </c>
      <c r="H135" s="144">
        <f>BS!D39</f>
        <v>45.078000000000003</v>
      </c>
      <c r="I135" s="144">
        <f>BS!E39</f>
        <v>42.427999999999997</v>
      </c>
      <c r="J135" s="144">
        <f>BS!F39</f>
        <v>50.738999999999997</v>
      </c>
      <c r="K135" s="193">
        <v>40</v>
      </c>
      <c r="L135" s="193">
        <f t="shared" ref="L135:R135" si="134">K135*1.1</f>
        <v>44</v>
      </c>
      <c r="M135" s="193">
        <f t="shared" si="134"/>
        <v>48.400000000000006</v>
      </c>
      <c r="N135" s="193">
        <f t="shared" si="134"/>
        <v>53.240000000000009</v>
      </c>
      <c r="O135" s="193">
        <f t="shared" si="134"/>
        <v>58.564000000000014</v>
      </c>
      <c r="P135" s="193">
        <f t="shared" si="134"/>
        <v>64.420400000000015</v>
      </c>
      <c r="Q135" s="193">
        <f t="shared" si="134"/>
        <v>70.862440000000021</v>
      </c>
      <c r="R135" s="193">
        <f t="shared" si="134"/>
        <v>77.948684000000029</v>
      </c>
    </row>
    <row r="136" spans="2:18">
      <c r="B136" s="127" t="s">
        <v>253</v>
      </c>
      <c r="D136" s="191"/>
      <c r="E136" s="191"/>
      <c r="F136" s="144">
        <f>BS!B45</f>
        <v>1.577</v>
      </c>
      <c r="G136" s="144">
        <f>BS!C45</f>
        <v>8.2789999999999999</v>
      </c>
      <c r="H136" s="144">
        <f>BS!D45</f>
        <v>11.644</v>
      </c>
      <c r="I136" s="144">
        <f>BS!E45</f>
        <v>8.5410000000000004</v>
      </c>
      <c r="J136" s="144">
        <f>BS!F45</f>
        <v>18.07</v>
      </c>
      <c r="K136" s="193">
        <v>8</v>
      </c>
      <c r="L136" s="193">
        <f t="shared" ref="L136:R136" si="135">K136*1.1</f>
        <v>8.8000000000000007</v>
      </c>
      <c r="M136" s="193">
        <f t="shared" si="135"/>
        <v>9.6800000000000015</v>
      </c>
      <c r="N136" s="193">
        <f t="shared" si="135"/>
        <v>10.648000000000003</v>
      </c>
      <c r="O136" s="193">
        <f t="shared" si="135"/>
        <v>11.712800000000005</v>
      </c>
      <c r="P136" s="193">
        <f t="shared" si="135"/>
        <v>12.884080000000006</v>
      </c>
      <c r="Q136" s="193">
        <f t="shared" si="135"/>
        <v>14.172488000000008</v>
      </c>
      <c r="R136" s="193">
        <f t="shared" si="135"/>
        <v>15.589736800000011</v>
      </c>
    </row>
    <row r="137" spans="2:18">
      <c r="B137" s="127" t="s">
        <v>254</v>
      </c>
      <c r="D137" s="144"/>
      <c r="E137" s="144"/>
      <c r="F137" s="144">
        <f>SUM(BS!B40:B44)+BS!B46+BS!B47+BS!B49+BS!B50</f>
        <v>193.328</v>
      </c>
      <c r="G137" s="144">
        <f>SUM(BS!C40:C44)+BS!C46+BS!C47+BS!C49+BS!C50</f>
        <v>282.86100000000005</v>
      </c>
      <c r="H137" s="144">
        <f>SUM(BS!D40:D44)+BS!D46+BS!D47+BS!D49+BS!D50</f>
        <v>348.64299999999992</v>
      </c>
      <c r="I137" s="144">
        <f>SUM(BS!E40:E44)+BS!E46+BS!E47+BS!E49+BS!E50</f>
        <v>324.19999999999993</v>
      </c>
      <c r="J137" s="144">
        <f>SUM(BS!F40:F44)+BS!F46+BS!F47+BS!F49+BS!F50</f>
        <v>363.69299999999998</v>
      </c>
      <c r="K137" s="193">
        <v>368</v>
      </c>
      <c r="L137" s="193">
        <f t="shared" ref="L137:R137" si="136">K137*1.1</f>
        <v>404.8</v>
      </c>
      <c r="M137" s="193">
        <f t="shared" si="136"/>
        <v>445.28000000000003</v>
      </c>
      <c r="N137" s="193">
        <f t="shared" si="136"/>
        <v>489.80800000000005</v>
      </c>
      <c r="O137" s="193">
        <f t="shared" si="136"/>
        <v>538.78880000000015</v>
      </c>
      <c r="P137" s="193">
        <f t="shared" si="136"/>
        <v>592.66768000000025</v>
      </c>
      <c r="Q137" s="193">
        <f t="shared" si="136"/>
        <v>651.93444800000032</v>
      </c>
      <c r="R137" s="193">
        <f t="shared" si="136"/>
        <v>717.12789280000038</v>
      </c>
    </row>
    <row r="138" spans="2:18">
      <c r="B138" s="127" t="s">
        <v>255</v>
      </c>
      <c r="D138" s="144"/>
      <c r="E138" s="144"/>
      <c r="F138" s="144">
        <f>BS!B48</f>
        <v>123.619</v>
      </c>
      <c r="G138" s="144">
        <f>BS!C48</f>
        <v>15.36</v>
      </c>
      <c r="H138" s="144">
        <f>BS!D48</f>
        <v>8.0440000000000005</v>
      </c>
      <c r="I138" s="144">
        <f>BS!E48</f>
        <v>11.801</v>
      </c>
      <c r="J138" s="144">
        <f>BS!F48</f>
        <v>15.532</v>
      </c>
      <c r="K138" s="193">
        <f>K141-SUM(K135:K137)</f>
        <v>41.100000000000023</v>
      </c>
      <c r="L138" s="193">
        <f t="shared" ref="L138:R138" si="137">K138*1.1</f>
        <v>45.210000000000029</v>
      </c>
      <c r="M138" s="193">
        <f t="shared" si="137"/>
        <v>49.731000000000037</v>
      </c>
      <c r="N138" s="193">
        <f t="shared" si="137"/>
        <v>54.704100000000047</v>
      </c>
      <c r="O138" s="193">
        <f t="shared" si="137"/>
        <v>60.174510000000055</v>
      </c>
      <c r="P138" s="193">
        <f t="shared" si="137"/>
        <v>66.191961000000063</v>
      </c>
      <c r="Q138" s="193">
        <f t="shared" si="137"/>
        <v>72.811157100000074</v>
      </c>
      <c r="R138" s="193">
        <f t="shared" si="137"/>
        <v>80.092272810000082</v>
      </c>
    </row>
    <row r="139" spans="2:18">
      <c r="B139" s="127" t="s">
        <v>256</v>
      </c>
      <c r="D139" s="144"/>
      <c r="E139" s="144"/>
      <c r="F139" s="144"/>
      <c r="G139" s="144"/>
      <c r="H139" s="144"/>
      <c r="I139" s="144"/>
      <c r="J139" s="144"/>
      <c r="K139" s="144"/>
      <c r="L139" s="144"/>
      <c r="M139" s="144"/>
      <c r="N139" s="144"/>
      <c r="O139" s="144"/>
      <c r="P139" s="144"/>
      <c r="Q139" s="144"/>
      <c r="R139" s="144">
        <f>Q139*1.01</f>
        <v>0</v>
      </c>
    </row>
    <row r="140" spans="2:18">
      <c r="D140" s="144"/>
      <c r="E140" s="144"/>
      <c r="F140" s="144"/>
      <c r="G140" s="144"/>
      <c r="H140" s="144"/>
      <c r="I140" s="144"/>
      <c r="J140" s="193"/>
      <c r="K140" s="193"/>
      <c r="L140" s="193"/>
      <c r="M140" s="193"/>
      <c r="N140" s="193"/>
      <c r="O140" s="193"/>
      <c r="P140" s="193"/>
      <c r="Q140" s="193"/>
      <c r="R140" s="193"/>
    </row>
    <row r="141" spans="2:18" s="119" customFormat="1">
      <c r="B141" s="127"/>
      <c r="C141" s="127"/>
      <c r="D141" s="140"/>
      <c r="E141" s="140"/>
      <c r="F141" s="140">
        <f>SUM(F135:F139)</f>
        <v>348.29700000000003</v>
      </c>
      <c r="G141" s="140">
        <f>SUM(G135:G139)</f>
        <v>348.15100000000007</v>
      </c>
      <c r="H141" s="140">
        <f>SUM(H135:H139)</f>
        <v>413.40899999999988</v>
      </c>
      <c r="I141" s="140">
        <f>SUM(I135:I139)</f>
        <v>386.96999999999991</v>
      </c>
      <c r="J141" s="140">
        <f>SUM(J135:J139)</f>
        <v>448.03399999999993</v>
      </c>
      <c r="K141" s="140">
        <v>457.1</v>
      </c>
      <c r="L141" s="140">
        <f t="shared" ref="L141:R141" si="138">SUM(L135:L139)</f>
        <v>502.81000000000006</v>
      </c>
      <c r="M141" s="140">
        <f t="shared" si="138"/>
        <v>553.09100000000001</v>
      </c>
      <c r="N141" s="140">
        <f t="shared" si="138"/>
        <v>608.40010000000007</v>
      </c>
      <c r="O141" s="140">
        <f t="shared" si="138"/>
        <v>669.24011000000019</v>
      </c>
      <c r="P141" s="140">
        <f t="shared" si="138"/>
        <v>736.16412100000036</v>
      </c>
      <c r="Q141" s="140">
        <f t="shared" si="138"/>
        <v>809.78053310000041</v>
      </c>
      <c r="R141" s="140">
        <f t="shared" si="138"/>
        <v>890.75858641000048</v>
      </c>
    </row>
    <row r="142" spans="2:18">
      <c r="B142" s="119" t="s">
        <v>257</v>
      </c>
      <c r="D142" s="144"/>
      <c r="E142" s="144"/>
      <c r="F142" s="144"/>
      <c r="G142" s="199"/>
      <c r="H142" s="199"/>
      <c r="I142" s="199"/>
      <c r="J142" s="144"/>
      <c r="K142" s="144"/>
      <c r="L142" s="144"/>
      <c r="M142" s="144"/>
      <c r="N142" s="144"/>
      <c r="O142" s="144"/>
      <c r="P142" s="144"/>
      <c r="Q142" s="144"/>
      <c r="R142" s="144"/>
    </row>
    <row r="143" spans="2:18">
      <c r="B143" s="127" t="s">
        <v>258</v>
      </c>
      <c r="D143" s="144"/>
      <c r="E143" s="144"/>
      <c r="F143" s="144">
        <f>BS!B32</f>
        <v>71.673000000000002</v>
      </c>
      <c r="G143" s="144">
        <f>BS!C32</f>
        <v>56.313000000000002</v>
      </c>
      <c r="H143" s="144">
        <f>BS!D32</f>
        <v>67.650000000000006</v>
      </c>
      <c r="I143" s="144">
        <f>BS!E32</f>
        <v>55.948999999999998</v>
      </c>
      <c r="J143" s="144">
        <f>BS!F32</f>
        <v>40.415999999999997</v>
      </c>
      <c r="K143" s="144">
        <f>J143+K106+K105</f>
        <v>32.415999999999997</v>
      </c>
      <c r="L143" s="144">
        <f>K143+L106+L105</f>
        <v>23.655999999999999</v>
      </c>
      <c r="M143" s="144">
        <f>L143+M106+M105</f>
        <v>13.144000000000002</v>
      </c>
      <c r="N143" s="144">
        <f>M143+N106+N105</f>
        <v>2.0200000000000014</v>
      </c>
      <c r="O143" s="144">
        <f t="shared" ref="L143:R143" si="139">N143+O106+O105</f>
        <v>-9.7535120000000006</v>
      </c>
      <c r="P143" s="144">
        <f t="shared" si="139"/>
        <v>-22.216476560000004</v>
      </c>
      <c r="Q143" s="144">
        <f t="shared" si="139"/>
        <v>-35.411428464800011</v>
      </c>
      <c r="R143" s="144">
        <f t="shared" si="139"/>
        <v>-49.383674210984012</v>
      </c>
    </row>
    <row r="144" spans="2:18">
      <c r="B144" s="127" t="s">
        <v>259</v>
      </c>
      <c r="D144" s="144"/>
      <c r="E144" s="144"/>
      <c r="F144" s="193">
        <f>BS!B33</f>
        <v>16.286000000000001</v>
      </c>
      <c r="G144" s="193">
        <f>BS!C33</f>
        <v>11.763999999999999</v>
      </c>
      <c r="H144" s="193">
        <f>BS!D33</f>
        <v>11.92</v>
      </c>
      <c r="I144" s="193">
        <f>BS!E33</f>
        <v>12.07</v>
      </c>
      <c r="J144" s="193">
        <f>BS!F33</f>
        <v>10.848000000000001</v>
      </c>
      <c r="K144" s="193">
        <f>J144*1.1</f>
        <v>11.932800000000002</v>
      </c>
      <c r="L144" s="193">
        <f t="shared" ref="L144:R144" si="140">K144*1.1</f>
        <v>13.126080000000004</v>
      </c>
      <c r="M144" s="193">
        <f t="shared" si="140"/>
        <v>14.438688000000004</v>
      </c>
      <c r="N144" s="193">
        <f t="shared" si="140"/>
        <v>15.882556800000007</v>
      </c>
      <c r="O144" s="193">
        <f t="shared" si="140"/>
        <v>17.47081248000001</v>
      </c>
      <c r="P144" s="193">
        <f t="shared" si="140"/>
        <v>19.217893728000014</v>
      </c>
      <c r="Q144" s="193">
        <f t="shared" si="140"/>
        <v>21.139683100800017</v>
      </c>
      <c r="R144" s="193">
        <f t="shared" si="140"/>
        <v>23.253651410880021</v>
      </c>
    </row>
    <row r="145" spans="2:19">
      <c r="B145" s="127" t="s">
        <v>260</v>
      </c>
      <c r="D145" s="144"/>
      <c r="E145" s="144"/>
      <c r="F145" s="144">
        <f>SUM(BS!B34:B36)</f>
        <v>54.878</v>
      </c>
      <c r="G145" s="144">
        <f>SUM(BS!C34:C36)</f>
        <v>70.036000000000001</v>
      </c>
      <c r="H145" s="144">
        <f>SUM(BS!D34:D36)</f>
        <v>68.025999999999996</v>
      </c>
      <c r="I145" s="144">
        <f>SUM(BS!E34:E36)</f>
        <v>79.569999999999993</v>
      </c>
      <c r="J145" s="144">
        <f>SUM(BS!F34:F36)</f>
        <v>81.971999999999994</v>
      </c>
      <c r="K145" s="193">
        <f>K146-SUM(K143:K144)</f>
        <v>74.853200000000001</v>
      </c>
      <c r="L145" s="193">
        <f t="shared" ref="L145:R145" si="141">K145*1.1</f>
        <v>82.338520000000003</v>
      </c>
      <c r="M145" s="193">
        <f t="shared" si="141"/>
        <v>90.572372000000016</v>
      </c>
      <c r="N145" s="193">
        <f t="shared" si="141"/>
        <v>99.629609200000019</v>
      </c>
      <c r="O145" s="193">
        <f t="shared" si="141"/>
        <v>109.59257012000003</v>
      </c>
      <c r="P145" s="193">
        <f t="shared" si="141"/>
        <v>120.55182713200004</v>
      </c>
      <c r="Q145" s="193">
        <f t="shared" si="141"/>
        <v>132.60700984520005</v>
      </c>
      <c r="R145" s="193">
        <f t="shared" si="141"/>
        <v>145.86771082972007</v>
      </c>
    </row>
    <row r="146" spans="2:19" s="119" customFormat="1">
      <c r="B146" s="127"/>
      <c r="C146" s="127"/>
      <c r="D146" s="140"/>
      <c r="E146" s="140"/>
      <c r="F146" s="140">
        <f>SUM(F143:F145)</f>
        <v>142.83699999999999</v>
      </c>
      <c r="G146" s="140">
        <f>SUM(G143:G145)</f>
        <v>138.113</v>
      </c>
      <c r="H146" s="140">
        <f>SUM(H143:H145)</f>
        <v>147.596</v>
      </c>
      <c r="I146" s="140">
        <f>SUM(I143:I145)</f>
        <v>147.589</v>
      </c>
      <c r="J146" s="140">
        <f t="shared" ref="J146:R146" si="142">SUM(J143:J145)</f>
        <v>133.23599999999999</v>
      </c>
      <c r="K146" s="140">
        <v>119.202</v>
      </c>
      <c r="L146" s="140">
        <f t="shared" si="142"/>
        <v>119.1206</v>
      </c>
      <c r="M146" s="140">
        <f t="shared" si="142"/>
        <v>118.15506000000002</v>
      </c>
      <c r="N146" s="140">
        <f t="shared" si="142"/>
        <v>117.53216600000002</v>
      </c>
      <c r="O146" s="140">
        <f t="shared" si="142"/>
        <v>117.30987060000004</v>
      </c>
      <c r="P146" s="140">
        <f t="shared" si="142"/>
        <v>117.55324430000005</v>
      </c>
      <c r="Q146" s="140">
        <f t="shared" si="142"/>
        <v>118.33526448120006</v>
      </c>
      <c r="R146" s="140">
        <f t="shared" si="142"/>
        <v>119.73768802961608</v>
      </c>
    </row>
    <row r="147" spans="2:19" ht="14">
      <c r="D147" s="144"/>
      <c r="E147" s="144"/>
      <c r="F147" s="144"/>
      <c r="G147" s="195"/>
      <c r="H147" s="144"/>
      <c r="I147" s="144"/>
      <c r="J147" s="144"/>
      <c r="K147" s="144"/>
      <c r="L147" s="144"/>
      <c r="M147" s="144"/>
      <c r="N147" s="144"/>
      <c r="O147" s="144"/>
      <c r="P147" s="144"/>
      <c r="Q147" s="144"/>
      <c r="R147" s="144"/>
    </row>
    <row r="148" spans="2:19" s="126" customFormat="1">
      <c r="B148" s="126" t="s">
        <v>116</v>
      </c>
      <c r="D148" s="197"/>
      <c r="E148" s="197"/>
      <c r="F148" s="197">
        <f>F141+F146</f>
        <v>491.13400000000001</v>
      </c>
      <c r="G148" s="197">
        <f>G141+G146</f>
        <v>486.26400000000007</v>
      </c>
      <c r="H148" s="197">
        <f>H141+H146</f>
        <v>561.00499999999988</v>
      </c>
      <c r="I148" s="197">
        <f>I141+I146</f>
        <v>534.55899999999997</v>
      </c>
      <c r="J148" s="197">
        <f t="shared" ref="J148:Q148" si="143">J141+J146</f>
        <v>581.27</v>
      </c>
      <c r="K148" s="197">
        <f t="shared" si="143"/>
        <v>576.30200000000002</v>
      </c>
      <c r="L148" s="197">
        <f t="shared" si="143"/>
        <v>621.93060000000003</v>
      </c>
      <c r="M148" s="197">
        <f t="shared" si="143"/>
        <v>671.24606000000006</v>
      </c>
      <c r="N148" s="197">
        <f t="shared" si="143"/>
        <v>725.93226600000003</v>
      </c>
      <c r="O148" s="197">
        <f t="shared" si="143"/>
        <v>786.54998060000025</v>
      </c>
      <c r="P148" s="197">
        <f t="shared" si="143"/>
        <v>853.71736530000044</v>
      </c>
      <c r="Q148" s="197">
        <f t="shared" si="143"/>
        <v>928.11579758120047</v>
      </c>
      <c r="R148" s="197">
        <f t="shared" ref="R148" si="144">R141+R146</f>
        <v>1010.4962744396165</v>
      </c>
    </row>
    <row r="149" spans="2:19" s="119" customFormat="1">
      <c r="D149" s="140"/>
      <c r="E149" s="140"/>
      <c r="F149" s="140"/>
      <c r="G149" s="140"/>
      <c r="H149" s="140"/>
      <c r="I149" s="140"/>
      <c r="J149" s="140"/>
      <c r="K149" s="140"/>
      <c r="L149" s="140"/>
      <c r="M149" s="140"/>
      <c r="N149" s="140"/>
      <c r="O149" s="140"/>
      <c r="P149" s="140"/>
      <c r="Q149" s="140"/>
      <c r="R149" s="140"/>
    </row>
    <row r="150" spans="2:19" s="119" customFormat="1">
      <c r="B150" s="119" t="s">
        <v>261</v>
      </c>
      <c r="D150" s="140"/>
      <c r="E150" s="140"/>
      <c r="F150" s="200"/>
      <c r="G150" s="200"/>
      <c r="H150" s="200"/>
      <c r="I150" s="200"/>
      <c r="K150" s="200"/>
      <c r="L150" s="200"/>
      <c r="M150" s="200"/>
      <c r="N150" s="200"/>
      <c r="O150" s="200"/>
      <c r="P150" s="200"/>
      <c r="Q150" s="200"/>
      <c r="R150" s="200"/>
    </row>
    <row r="151" spans="2:19">
      <c r="D151" s="144"/>
      <c r="E151" s="144"/>
      <c r="F151" s="144"/>
      <c r="G151" s="144"/>
      <c r="H151" s="144"/>
      <c r="I151" s="144"/>
      <c r="J151" s="144"/>
      <c r="K151" s="144"/>
      <c r="L151" s="144"/>
      <c r="M151" s="144"/>
      <c r="N151" s="144"/>
      <c r="O151" s="144"/>
      <c r="P151" s="144"/>
      <c r="Q151" s="144"/>
      <c r="R151" s="144"/>
    </row>
    <row r="152" spans="2:19">
      <c r="B152" s="127" t="s">
        <v>262</v>
      </c>
      <c r="D152" s="144"/>
      <c r="E152" s="144"/>
      <c r="F152" s="144">
        <f>BS!B26</f>
        <v>155.482</v>
      </c>
      <c r="G152" s="144">
        <f>BS!C26</f>
        <v>155.482</v>
      </c>
      <c r="H152" s="144">
        <f>BS!D26</f>
        <v>155.482</v>
      </c>
      <c r="I152" s="144">
        <f>BS!E26</f>
        <v>155.482</v>
      </c>
      <c r="J152" s="144">
        <f>BS!F26</f>
        <v>343.315</v>
      </c>
      <c r="K152" s="193">
        <f>J152*1.02</f>
        <v>350.18130000000002</v>
      </c>
      <c r="L152" s="193">
        <f t="shared" ref="L152:R152" si="145">K152*1.02</f>
        <v>357.18492600000002</v>
      </c>
      <c r="M152" s="193">
        <f t="shared" si="145"/>
        <v>364.32862452000001</v>
      </c>
      <c r="N152" s="193">
        <f t="shared" si="145"/>
        <v>371.61519701040004</v>
      </c>
      <c r="O152" s="193">
        <f t="shared" si="145"/>
        <v>379.04750095060803</v>
      </c>
      <c r="P152" s="193">
        <f t="shared" si="145"/>
        <v>386.62845096962019</v>
      </c>
      <c r="Q152" s="193">
        <f t="shared" si="145"/>
        <v>394.36101998901262</v>
      </c>
      <c r="R152" s="193">
        <f t="shared" si="145"/>
        <v>402.24824038879285</v>
      </c>
    </row>
    <row r="153" spans="2:19" s="122" customFormat="1">
      <c r="B153" s="122" t="s">
        <v>263</v>
      </c>
      <c r="D153" s="201"/>
      <c r="E153" s="201"/>
      <c r="F153" s="201">
        <f>BS!B29</f>
        <v>186.22200000000001</v>
      </c>
      <c r="G153" s="201">
        <f>BS!C29</f>
        <v>258.654</v>
      </c>
      <c r="H153" s="201">
        <f>BS!D29</f>
        <v>346.72899999999998</v>
      </c>
      <c r="I153" s="201">
        <f>BS!E29</f>
        <v>431.37200000000001</v>
      </c>
      <c r="J153" s="201">
        <f>BS!F29</f>
        <v>552.11800000000005</v>
      </c>
      <c r="K153" s="202">
        <f>K156-K155-K154-K152</f>
        <v>647.53469999999993</v>
      </c>
      <c r="L153" s="202">
        <v>607.19000000000005</v>
      </c>
      <c r="M153" s="202">
        <v>743.16</v>
      </c>
      <c r="N153" s="202">
        <v>890.04</v>
      </c>
      <c r="O153" s="202">
        <v>1048.6300000000001</v>
      </c>
      <c r="P153" s="202">
        <v>1207.06</v>
      </c>
      <c r="Q153" s="202">
        <v>1276.3599999999999</v>
      </c>
      <c r="R153" s="202">
        <v>1326.08</v>
      </c>
    </row>
    <row r="154" spans="2:19">
      <c r="B154" s="127" t="s">
        <v>264</v>
      </c>
      <c r="D154" s="144"/>
      <c r="E154" s="144"/>
      <c r="F154" s="144">
        <f>BS!B28</f>
        <v>8.9999999999999993E-3</v>
      </c>
      <c r="G154" s="144">
        <f>BS!C28</f>
        <v>4.0000000000000001E-3</v>
      </c>
      <c r="H154" s="144">
        <f>BS!D28</f>
        <v>3.0000000000000001E-3</v>
      </c>
      <c r="I154" s="144">
        <f>BS!E28</f>
        <v>4.0000000000000001E-3</v>
      </c>
      <c r="J154" s="144">
        <f>BS!F28</f>
        <v>0</v>
      </c>
      <c r="K154" s="144">
        <v>0</v>
      </c>
      <c r="L154" s="144">
        <v>0</v>
      </c>
      <c r="M154" s="144">
        <v>0</v>
      </c>
      <c r="N154" s="144">
        <v>0</v>
      </c>
      <c r="O154" s="144">
        <v>0</v>
      </c>
      <c r="P154" s="144">
        <v>0</v>
      </c>
      <c r="Q154" s="144">
        <v>0</v>
      </c>
      <c r="R154" s="144"/>
    </row>
    <row r="155" spans="2:19">
      <c r="B155" s="127" t="s">
        <v>265</v>
      </c>
      <c r="D155" s="144"/>
      <c r="E155" s="144"/>
      <c r="F155" s="144">
        <f>BS!B27</f>
        <v>-113.482</v>
      </c>
      <c r="G155" s="144">
        <f>BS!C27</f>
        <v>-113.482</v>
      </c>
      <c r="H155" s="144">
        <f>BS!D27</f>
        <v>-113.482</v>
      </c>
      <c r="I155" s="144">
        <f>BS!E27</f>
        <v>-113.482</v>
      </c>
      <c r="J155" s="144">
        <f>BS!F27</f>
        <v>-113.482</v>
      </c>
      <c r="K155" s="144">
        <f>J155</f>
        <v>-113.482</v>
      </c>
      <c r="L155" s="144">
        <f t="shared" ref="L155:R155" si="146">K155</f>
        <v>-113.482</v>
      </c>
      <c r="M155" s="144">
        <f t="shared" si="146"/>
        <v>-113.482</v>
      </c>
      <c r="N155" s="144">
        <f t="shared" si="146"/>
        <v>-113.482</v>
      </c>
      <c r="O155" s="144">
        <f t="shared" si="146"/>
        <v>-113.482</v>
      </c>
      <c r="P155" s="144">
        <f t="shared" si="146"/>
        <v>-113.482</v>
      </c>
      <c r="Q155" s="144">
        <f t="shared" si="146"/>
        <v>-113.482</v>
      </c>
      <c r="R155" s="144">
        <f t="shared" si="146"/>
        <v>-113.482</v>
      </c>
      <c r="S155" s="156"/>
    </row>
    <row r="156" spans="2:19">
      <c r="B156" s="175" t="s">
        <v>266</v>
      </c>
      <c r="D156" s="140"/>
      <c r="E156" s="140"/>
      <c r="F156" s="200">
        <f>SUM(F152:F155)</f>
        <v>228.23100000000002</v>
      </c>
      <c r="G156" s="200">
        <f>SUM(G152:G155)</f>
        <v>300.65800000000002</v>
      </c>
      <c r="H156" s="200">
        <f>SUM(H152:H155)</f>
        <v>388.73199999999997</v>
      </c>
      <c r="I156" s="200">
        <f>SUM(I152:I155)</f>
        <v>473.37600000000009</v>
      </c>
      <c r="J156" s="200">
        <f>SUM(J152:J155)</f>
        <v>781.95100000000002</v>
      </c>
      <c r="K156" s="140">
        <f>K160</f>
        <v>884.23400000000004</v>
      </c>
      <c r="L156" s="140">
        <f t="shared" ref="L156:Q156" si="147">SUM(L152:L154)</f>
        <v>964.37492600000007</v>
      </c>
      <c r="M156" s="140">
        <f t="shared" si="147"/>
        <v>1107.48862452</v>
      </c>
      <c r="N156" s="140">
        <f t="shared" si="147"/>
        <v>1261.6551970104001</v>
      </c>
      <c r="O156" s="140">
        <f t="shared" si="147"/>
        <v>1427.6775009506082</v>
      </c>
      <c r="P156" s="140">
        <f t="shared" si="147"/>
        <v>1593.6884509696201</v>
      </c>
      <c r="Q156" s="140">
        <f t="shared" si="147"/>
        <v>1670.7210199890126</v>
      </c>
      <c r="R156" s="140">
        <f t="shared" ref="R156" si="148">SUM(R152:R154)</f>
        <v>1728.3282403887929</v>
      </c>
    </row>
    <row r="157" spans="2:19" s="124" customFormat="1">
      <c r="B157" s="124" t="s">
        <v>267</v>
      </c>
      <c r="D157" s="178"/>
      <c r="E157" s="178"/>
      <c r="F157" s="203">
        <f>F156/F72</f>
        <v>1.46789660894987</v>
      </c>
      <c r="G157" s="203">
        <f>G156/G72</f>
        <v>1.9337200408956274</v>
      </c>
      <c r="H157" s="203">
        <f>H156/H72</f>
        <v>2.5001791368845629</v>
      </c>
      <c r="I157" s="203">
        <f>I156/I72</f>
        <v>3.0445777530583209</v>
      </c>
      <c r="J157" s="203">
        <f>J156/J72</f>
        <v>2.1365434175641949</v>
      </c>
      <c r="K157" s="203">
        <f t="shared" ref="K157:R157" si="149">K156/K72</f>
        <v>2.4160137045498478</v>
      </c>
      <c r="L157" s="203">
        <f t="shared" si="149"/>
        <v>2.6349041693989075</v>
      </c>
      <c r="M157" s="203">
        <f t="shared" si="149"/>
        <v>3.0259252036065574</v>
      </c>
      <c r="N157" s="203">
        <f t="shared" si="149"/>
        <v>3.4471453470229512</v>
      </c>
      <c r="O157" s="203">
        <f t="shared" si="149"/>
        <v>3.9007581993186018</v>
      </c>
      <c r="P157" s="203">
        <f t="shared" si="149"/>
        <v>4.3543400299716399</v>
      </c>
      <c r="Q157" s="203">
        <f t="shared" si="149"/>
        <v>4.5648115300246248</v>
      </c>
      <c r="R157" s="203">
        <f t="shared" si="149"/>
        <v>4.7222083070732044</v>
      </c>
    </row>
    <row r="158" spans="2:19">
      <c r="D158" s="144"/>
      <c r="E158" s="144"/>
      <c r="F158" s="144"/>
      <c r="G158" s="204"/>
      <c r="H158" s="204"/>
      <c r="I158" s="204"/>
      <c r="J158" s="204"/>
      <c r="K158" s="204"/>
      <c r="L158" s="204"/>
      <c r="M158" s="204"/>
      <c r="N158" s="204"/>
      <c r="O158" s="204"/>
      <c r="P158" s="204"/>
      <c r="Q158" s="204"/>
      <c r="R158" s="204"/>
    </row>
    <row r="159" spans="2:19">
      <c r="B159" s="127" t="s">
        <v>90</v>
      </c>
      <c r="D159" s="144"/>
      <c r="E159" s="144"/>
      <c r="F159" s="179">
        <v>0</v>
      </c>
      <c r="G159" s="179">
        <v>0</v>
      </c>
      <c r="H159" s="179">
        <v>0</v>
      </c>
      <c r="I159" s="179">
        <v>0</v>
      </c>
      <c r="J159" s="179">
        <v>0</v>
      </c>
      <c r="K159" s="144">
        <f>AVERAGE(G159:J159)</f>
        <v>0</v>
      </c>
      <c r="L159" s="144">
        <f t="shared" ref="L159:R159" si="150">AVERAGE(G159:K159)</f>
        <v>0</v>
      </c>
      <c r="M159" s="144">
        <f t="shared" si="150"/>
        <v>0</v>
      </c>
      <c r="N159" s="144">
        <f t="shared" si="150"/>
        <v>0</v>
      </c>
      <c r="O159" s="144">
        <f t="shared" si="150"/>
        <v>0</v>
      </c>
      <c r="P159" s="144">
        <f t="shared" si="150"/>
        <v>0</v>
      </c>
      <c r="Q159" s="144">
        <f t="shared" si="150"/>
        <v>0</v>
      </c>
      <c r="R159" s="144">
        <f t="shared" si="150"/>
        <v>0</v>
      </c>
    </row>
    <row r="160" spans="2:19" s="125" customFormat="1">
      <c r="B160" s="126" t="s">
        <v>268</v>
      </c>
      <c r="D160" s="205"/>
      <c r="E160" s="205"/>
      <c r="F160" s="205">
        <f>F156+F159</f>
        <v>228.23100000000002</v>
      </c>
      <c r="G160" s="205">
        <f>G156+G159</f>
        <v>300.65800000000002</v>
      </c>
      <c r="H160" s="205">
        <f>H156+H159</f>
        <v>388.73199999999997</v>
      </c>
      <c r="I160" s="205">
        <f>I156+I159</f>
        <v>473.37600000000009</v>
      </c>
      <c r="J160" s="205">
        <f>J156+J159</f>
        <v>781.95100000000002</v>
      </c>
      <c r="K160" s="205">
        <f>884.234</f>
        <v>884.23400000000004</v>
      </c>
      <c r="L160" s="205">
        <f t="shared" ref="L160:Q160" si="151">L156+L159</f>
        <v>964.37492600000007</v>
      </c>
      <c r="M160" s="205">
        <f t="shared" si="151"/>
        <v>1107.48862452</v>
      </c>
      <c r="N160" s="205">
        <f t="shared" si="151"/>
        <v>1261.6551970104001</v>
      </c>
      <c r="O160" s="205">
        <f t="shared" si="151"/>
        <v>1427.6775009506082</v>
      </c>
      <c r="P160" s="205">
        <f t="shared" si="151"/>
        <v>1593.6884509696201</v>
      </c>
      <c r="Q160" s="205">
        <f t="shared" si="151"/>
        <v>1670.7210199890126</v>
      </c>
      <c r="R160" s="205">
        <f t="shared" ref="R160" si="152">R156+R159</f>
        <v>1728.3282403887929</v>
      </c>
      <c r="S160" s="206"/>
    </row>
    <row r="161" spans="2:18">
      <c r="D161" s="207"/>
      <c r="E161" s="207"/>
      <c r="F161" s="207"/>
      <c r="G161" s="144"/>
      <c r="H161" s="144"/>
      <c r="I161" s="144"/>
      <c r="J161" s="144"/>
      <c r="K161" s="144"/>
      <c r="L161" s="144"/>
      <c r="M161" s="144"/>
      <c r="N161" s="144"/>
      <c r="O161" s="144"/>
      <c r="P161" s="144"/>
      <c r="Q161" s="144"/>
      <c r="R161" s="144"/>
    </row>
    <row r="162" spans="2:18">
      <c r="B162" s="127" t="s">
        <v>225</v>
      </c>
      <c r="D162" s="207"/>
      <c r="E162" s="207"/>
      <c r="F162" s="179">
        <f>F90</f>
        <v>25.981999999999999</v>
      </c>
      <c r="G162" s="179">
        <f>G90</f>
        <v>35.175999999999995</v>
      </c>
      <c r="H162" s="179">
        <f>H90</f>
        <v>33.457000000000001</v>
      </c>
      <c r="I162" s="179">
        <f>I90</f>
        <v>36.574999999999996</v>
      </c>
      <c r="J162" s="179">
        <f>J90</f>
        <v>44.975999999999999</v>
      </c>
      <c r="K162" s="144">
        <f>J162*1.04</f>
        <v>46.775040000000004</v>
      </c>
      <c r="L162" s="144">
        <f t="shared" ref="L162:R162" si="153">K162*1.04</f>
        <v>48.646041600000004</v>
      </c>
      <c r="M162" s="144">
        <f t="shared" si="153"/>
        <v>50.591883264000003</v>
      </c>
      <c r="N162" s="144">
        <f t="shared" si="153"/>
        <v>52.615558594560007</v>
      </c>
      <c r="O162" s="144">
        <f t="shared" si="153"/>
        <v>54.720180938342409</v>
      </c>
      <c r="P162" s="144">
        <f t="shared" si="153"/>
        <v>56.908988175876111</v>
      </c>
      <c r="Q162" s="144">
        <f t="shared" si="153"/>
        <v>59.185347702911159</v>
      </c>
      <c r="R162" s="144">
        <f t="shared" si="153"/>
        <v>61.552761611027606</v>
      </c>
    </row>
    <row r="163" spans="2:18">
      <c r="D163" s="207"/>
      <c r="E163" s="207"/>
      <c r="F163" s="207"/>
      <c r="G163" s="179"/>
      <c r="H163" s="144"/>
      <c r="I163" s="144"/>
      <c r="J163" s="144"/>
      <c r="K163" s="144"/>
      <c r="L163" s="144"/>
      <c r="M163" s="144"/>
      <c r="N163" s="144"/>
      <c r="O163" s="144"/>
      <c r="P163" s="144"/>
      <c r="Q163" s="144"/>
      <c r="R163" s="144"/>
    </row>
    <row r="164" spans="2:18">
      <c r="D164" s="207"/>
      <c r="E164" s="207"/>
      <c r="F164" s="207"/>
      <c r="G164" s="144"/>
      <c r="H164" s="144"/>
      <c r="I164" s="144"/>
      <c r="J164" s="144"/>
      <c r="K164" s="144"/>
      <c r="L164" s="144"/>
      <c r="M164" s="144"/>
      <c r="N164" s="144"/>
      <c r="O164" s="144"/>
      <c r="P164" s="144"/>
      <c r="Q164" s="144"/>
      <c r="R164" s="144"/>
    </row>
    <row r="165" spans="2:18" s="117" customFormat="1">
      <c r="B165" s="135" t="s">
        <v>269</v>
      </c>
      <c r="D165" s="136"/>
      <c r="E165" s="136"/>
      <c r="F165" s="136"/>
      <c r="G165" s="136"/>
      <c r="H165" s="136"/>
      <c r="I165" s="136"/>
      <c r="J165" s="136"/>
      <c r="K165" s="136"/>
      <c r="L165" s="136"/>
      <c r="M165" s="136"/>
      <c r="N165" s="136"/>
      <c r="O165" s="136"/>
      <c r="P165" s="136"/>
      <c r="Q165" s="136"/>
      <c r="R165" s="136"/>
    </row>
    <row r="166" spans="2:18">
      <c r="C166" s="127" t="s">
        <v>270</v>
      </c>
      <c r="D166" s="167"/>
      <c r="E166" s="167"/>
      <c r="F166" s="167">
        <f t="shared" ref="F166:R166" si="154">F11</f>
        <v>0.31601652619176318</v>
      </c>
      <c r="G166" s="167">
        <f t="shared" si="154"/>
        <v>0.32822808990286262</v>
      </c>
      <c r="H166" s="167">
        <f t="shared" si="154"/>
        <v>0.3334481624727933</v>
      </c>
      <c r="I166" s="167">
        <f t="shared" si="154"/>
        <v>0.34156529687892206</v>
      </c>
      <c r="J166" s="167">
        <f t="shared" si="154"/>
        <v>0.34545033843357426</v>
      </c>
      <c r="K166" s="167">
        <f t="shared" si="154"/>
        <v>0.35226710573919984</v>
      </c>
      <c r="L166" s="167">
        <f t="shared" si="154"/>
        <v>0.35105923065338407</v>
      </c>
      <c r="M166" s="167">
        <f t="shared" si="154"/>
        <v>0.35434577801392836</v>
      </c>
      <c r="N166" s="167">
        <f t="shared" si="154"/>
        <v>0.35728056993204693</v>
      </c>
      <c r="O166" s="167">
        <f t="shared" si="154"/>
        <v>0.36612533273114733</v>
      </c>
      <c r="P166" s="167">
        <f t="shared" si="154"/>
        <v>0.36905993767220691</v>
      </c>
      <c r="Q166" s="167">
        <f t="shared" si="154"/>
        <v>0.37782299409342635</v>
      </c>
      <c r="R166" s="167">
        <f t="shared" si="154"/>
        <v>0.38646434139768443</v>
      </c>
    </row>
    <row r="167" spans="2:18">
      <c r="C167" s="127" t="s">
        <v>271</v>
      </c>
      <c r="D167" s="167"/>
      <c r="E167" s="167"/>
      <c r="F167" s="167">
        <f>F37/F6</f>
        <v>1.9557926075472794E-3</v>
      </c>
      <c r="G167" s="167">
        <f>G37/G6</f>
        <v>1.0141844932464471E-2</v>
      </c>
      <c r="H167" s="167">
        <f>H37/H6</f>
        <v>5.345147313109983E-3</v>
      </c>
      <c r="I167" s="167">
        <f>I37/I6</f>
        <v>1.2849955231205535E-3</v>
      </c>
      <c r="J167" s="167">
        <f>J37/J6</f>
        <v>3.3647055089117079E-3</v>
      </c>
      <c r="K167" s="167">
        <f t="shared" ref="K167:R167" si="155">K35/K6</f>
        <v>0</v>
      </c>
      <c r="L167" s="167">
        <f t="shared" si="155"/>
        <v>0</v>
      </c>
      <c r="M167" s="167">
        <f t="shared" si="155"/>
        <v>0</v>
      </c>
      <c r="N167" s="167">
        <f t="shared" si="155"/>
        <v>0</v>
      </c>
      <c r="O167" s="167">
        <f t="shared" si="155"/>
        <v>0</v>
      </c>
      <c r="P167" s="167">
        <f t="shared" si="155"/>
        <v>0</v>
      </c>
      <c r="Q167" s="167">
        <f t="shared" si="155"/>
        <v>0</v>
      </c>
      <c r="R167" s="167">
        <f t="shared" si="155"/>
        <v>0</v>
      </c>
    </row>
    <row r="168" spans="2:18">
      <c r="C168" s="127" t="s">
        <v>272</v>
      </c>
      <c r="D168" s="167"/>
      <c r="E168" s="167"/>
      <c r="F168" s="167">
        <f t="shared" ref="F168:R168" si="156">F38/F6</f>
        <v>0.35896723237442096</v>
      </c>
      <c r="G168" s="167">
        <f t="shared" si="156"/>
        <v>0.20669258802649945</v>
      </c>
      <c r="H168" s="167">
        <f t="shared" si="156"/>
        <v>0.2080312544039585</v>
      </c>
      <c r="I168" s="167">
        <f t="shared" si="156"/>
        <v>0.22532190449074088</v>
      </c>
      <c r="J168" s="167">
        <f t="shared" si="156"/>
        <v>0.21783795117167429</v>
      </c>
      <c r="K168" s="167">
        <f t="shared" si="156"/>
        <v>0.22431610268981153</v>
      </c>
      <c r="L168" s="167">
        <f t="shared" si="156"/>
        <v>0.22257456179121951</v>
      </c>
      <c r="M168" s="167">
        <f t="shared" si="156"/>
        <v>0.22054192397778047</v>
      </c>
      <c r="N168" s="167">
        <f t="shared" si="156"/>
        <v>0.22163336666679648</v>
      </c>
      <c r="O168" s="167">
        <f t="shared" si="156"/>
        <v>0.22180158335038</v>
      </c>
      <c r="P168" s="167">
        <f t="shared" si="156"/>
        <v>0.22187664353740313</v>
      </c>
      <c r="Q168" s="167">
        <f t="shared" si="156"/>
        <v>0.2220098519218395</v>
      </c>
      <c r="R168" s="167">
        <f t="shared" si="156"/>
        <v>0.22211263951665383</v>
      </c>
    </row>
    <row r="169" spans="2:18">
      <c r="C169" s="127" t="s">
        <v>195</v>
      </c>
      <c r="D169" s="167"/>
      <c r="E169" s="167"/>
      <c r="F169" s="167">
        <f t="shared" ref="F169:R169" si="157">F43</f>
        <v>-4.2950706182657769E-2</v>
      </c>
      <c r="G169" s="167">
        <f t="shared" si="157"/>
        <v>0.12153550187636317</v>
      </c>
      <c r="H169" s="167">
        <f t="shared" si="157"/>
        <v>0.12541690806883482</v>
      </c>
      <c r="I169" s="167">
        <f t="shared" si="157"/>
        <v>0.11624339238818117</v>
      </c>
      <c r="J169" s="167">
        <f t="shared" si="157"/>
        <v>0.1276123872619</v>
      </c>
      <c r="K169" s="167">
        <f t="shared" si="157"/>
        <v>0.12795100304938828</v>
      </c>
      <c r="L169" s="167">
        <f t="shared" si="157"/>
        <v>0.12848466886216453</v>
      </c>
      <c r="M169" s="167">
        <f t="shared" si="157"/>
        <v>0.13380385403614789</v>
      </c>
      <c r="N169" s="167">
        <f t="shared" si="157"/>
        <v>0.13564720326525045</v>
      </c>
      <c r="O169" s="167">
        <f t="shared" si="157"/>
        <v>0.14432374938076734</v>
      </c>
      <c r="P169" s="167">
        <f t="shared" si="157"/>
        <v>0.14718329413480374</v>
      </c>
      <c r="Q169" s="167">
        <f t="shared" si="157"/>
        <v>0.15581314217158684</v>
      </c>
      <c r="R169" s="167">
        <f t="shared" si="157"/>
        <v>0.1643517018810306</v>
      </c>
    </row>
    <row r="170" spans="2:18">
      <c r="C170" s="127" t="s">
        <v>215</v>
      </c>
      <c r="D170" s="167"/>
      <c r="E170" s="167"/>
      <c r="F170" s="167">
        <f>F68</f>
        <v>-7.1361705683052501E-2</v>
      </c>
      <c r="G170" s="167">
        <f>G68</f>
        <v>9.8122281982848489E-2</v>
      </c>
      <c r="H170" s="167">
        <f>H68</f>
        <v>9.8507743137654022E-2</v>
      </c>
      <c r="I170" s="167">
        <f>I68</f>
        <v>8.5364163235641333E-2</v>
      </c>
      <c r="J170" s="167">
        <f t="shared" ref="J170:Q170" si="158">J68</f>
        <v>0.10085930301812757</v>
      </c>
      <c r="K170" s="167">
        <f t="shared" si="158"/>
        <v>0.10255803360883847</v>
      </c>
      <c r="L170" s="167">
        <f t="shared" si="158"/>
        <v>0.10266738351136873</v>
      </c>
      <c r="M170" s="167">
        <f t="shared" si="158"/>
        <v>0.10671355556116002</v>
      </c>
      <c r="N170" s="167">
        <f t="shared" si="158"/>
        <v>0.10781482290945318</v>
      </c>
      <c r="O170" s="167">
        <f t="shared" si="158"/>
        <v>0.11485907009187772</v>
      </c>
      <c r="P170" s="167">
        <f t="shared" si="158"/>
        <v>0.11731657393236199</v>
      </c>
      <c r="Q170" s="167">
        <f t="shared" si="158"/>
        <v>0.12441250424361033</v>
      </c>
      <c r="R170" s="167">
        <f t="shared" ref="R170" si="159">R68</f>
        <v>0.1314046839543335</v>
      </c>
    </row>
    <row r="171" spans="2:18">
      <c r="C171" s="208" t="s">
        <v>273</v>
      </c>
      <c r="D171" s="149"/>
      <c r="E171" s="149"/>
      <c r="F171" s="149">
        <f t="shared" ref="F171:K171" si="160">F66*2/(F156+E156)</f>
        <v>-0.36674246706188041</v>
      </c>
      <c r="G171" s="149">
        <f t="shared" si="160"/>
        <v>0.27388355590681579</v>
      </c>
      <c r="H171" s="149">
        <f t="shared" si="160"/>
        <v>0.25551284468878277</v>
      </c>
      <c r="I171" s="149">
        <f t="shared" si="160"/>
        <v>0.21144450579277804</v>
      </c>
      <c r="J171" s="149">
        <f t="shared" si="160"/>
        <v>0.19236740705808142</v>
      </c>
      <c r="K171" s="149">
        <f t="shared" si="160"/>
        <v>0.16673001374853638</v>
      </c>
      <c r="L171" s="149">
        <f t="shared" ref="L171:R171" si="161">L66*2/(L156+K156)</f>
        <v>0.16908445295130961</v>
      </c>
      <c r="M171" s="149">
        <f t="shared" si="161"/>
        <v>0.17271498990601877</v>
      </c>
      <c r="N171" s="149">
        <f t="shared" si="161"/>
        <v>0.16786158693864225</v>
      </c>
      <c r="O171" s="149">
        <f t="shared" si="161"/>
        <v>0.17171630633878227</v>
      </c>
      <c r="P171" s="149">
        <f t="shared" si="161"/>
        <v>0.16860504703483187</v>
      </c>
      <c r="Q171" s="149">
        <f t="shared" si="161"/>
        <v>0.17873009579369134</v>
      </c>
      <c r="R171" s="149">
        <f t="shared" si="161"/>
        <v>0.19580123572778305</v>
      </c>
    </row>
    <row r="172" spans="2:18">
      <c r="C172" s="208" t="s">
        <v>274</v>
      </c>
      <c r="D172" s="149"/>
      <c r="E172" s="149"/>
      <c r="F172" s="149">
        <f>F66*2/(F132+E132)</f>
        <v>-0.11636202879370079</v>
      </c>
      <c r="G172" s="149">
        <f>G66*2/(G132+F132)</f>
        <v>9.6172844752035538E-2</v>
      </c>
      <c r="H172" s="149">
        <f>H66*2/(H132+G132)</f>
        <v>0.10143408638608388</v>
      </c>
      <c r="I172" s="149">
        <f>I66*2/(I132+H132)</f>
        <v>9.3115677922162993E-2</v>
      </c>
      <c r="J172" s="149">
        <f t="shared" ref="J172:R172" si="162">J66*2/(J132+I132)</f>
        <v>0.10184230813999594</v>
      </c>
      <c r="K172" s="149">
        <f t="shared" si="162"/>
        <v>9.8379778593958411E-2</v>
      </c>
      <c r="L172" s="149">
        <f t="shared" si="162"/>
        <v>0.10247522972009611</v>
      </c>
      <c r="M172" s="149">
        <f t="shared" si="162"/>
        <v>0.1060933639286749</v>
      </c>
      <c r="N172" s="149">
        <f t="shared" si="162"/>
        <v>0.10538333659170372</v>
      </c>
      <c r="O172" s="149">
        <f t="shared" si="162"/>
        <v>0.11186628561960632</v>
      </c>
      <c r="P172" s="149">
        <f t="shared" si="162"/>
        <v>0.11481763822458964</v>
      </c>
      <c r="Q172" s="149">
        <f t="shared" si="162"/>
        <v>0.12353105478685486</v>
      </c>
      <c r="R172" s="149">
        <f t="shared" si="162"/>
        <v>0.13279136485287066</v>
      </c>
    </row>
    <row r="173" spans="2:18">
      <c r="D173" s="167"/>
      <c r="E173" s="167"/>
      <c r="F173" s="167"/>
      <c r="G173" s="167"/>
      <c r="H173" s="167"/>
      <c r="I173" s="167"/>
      <c r="J173" s="167"/>
      <c r="K173" s="167"/>
      <c r="L173" s="167"/>
      <c r="M173" s="167"/>
      <c r="N173" s="167"/>
      <c r="O173" s="167"/>
      <c r="P173" s="167"/>
      <c r="Q173" s="167"/>
      <c r="R173" s="167"/>
    </row>
    <row r="174" spans="2:18">
      <c r="C174" s="208" t="s">
        <v>275</v>
      </c>
      <c r="D174" s="207"/>
      <c r="E174" s="207"/>
      <c r="F174" s="207">
        <f t="shared" ref="F174:R174" si="163">365/(2*F6/(F118+E118))</f>
        <v>1.2525299976298592</v>
      </c>
      <c r="G174" s="207">
        <f t="shared" si="163"/>
        <v>2.3315337406689878</v>
      </c>
      <c r="H174" s="207">
        <f t="shared" si="163"/>
        <v>3.9589070130032815</v>
      </c>
      <c r="I174" s="207">
        <f t="shared" si="163"/>
        <v>4.0439591161628456</v>
      </c>
      <c r="J174" s="207">
        <f t="shared" si="163"/>
        <v>3.7979259614428806</v>
      </c>
      <c r="K174" s="207">
        <f t="shared" si="163"/>
        <v>4.2109331275796134</v>
      </c>
      <c r="L174" s="207">
        <f t="shared" si="163"/>
        <v>3.9338585179437917</v>
      </c>
      <c r="M174" s="207">
        <f t="shared" si="163"/>
        <v>3.7501848272497997</v>
      </c>
      <c r="N174" s="207">
        <f t="shared" si="163"/>
        <v>3.5797218805566278</v>
      </c>
      <c r="O174" s="207">
        <f t="shared" si="163"/>
        <v>3.448355939985742</v>
      </c>
      <c r="P174" s="207">
        <f t="shared" si="163"/>
        <v>3.3525682749861385</v>
      </c>
      <c r="Q174" s="207">
        <f t="shared" si="163"/>
        <v>3.2594413784587455</v>
      </c>
      <c r="R174" s="207">
        <f t="shared" si="163"/>
        <v>3.1689013401682242</v>
      </c>
    </row>
    <row r="175" spans="2:18">
      <c r="C175" s="208" t="s">
        <v>276</v>
      </c>
      <c r="D175" s="207"/>
      <c r="E175" s="207"/>
      <c r="F175" s="207">
        <f t="shared" ref="F175:R175" si="164">365/(2*F6/(F119+E119))</f>
        <v>22.700200183131759</v>
      </c>
      <c r="G175" s="207">
        <f t="shared" si="164"/>
        <v>42.935577066370421</v>
      </c>
      <c r="H175" s="207">
        <f t="shared" si="164"/>
        <v>43.625542735453791</v>
      </c>
      <c r="I175" s="207">
        <f t="shared" si="164"/>
        <v>42.318590382389189</v>
      </c>
      <c r="J175" s="207">
        <f t="shared" si="164"/>
        <v>46.026813645601614</v>
      </c>
      <c r="K175" s="207">
        <f t="shared" si="164"/>
        <v>48.48389537201799</v>
      </c>
      <c r="L175" s="207">
        <f t="shared" si="164"/>
        <v>49.607396896153922</v>
      </c>
      <c r="M175" s="207">
        <f t="shared" si="164"/>
        <v>51.795128602554918</v>
      </c>
      <c r="N175" s="207">
        <f t="shared" si="164"/>
        <v>54.149452629943774</v>
      </c>
      <c r="O175" s="207">
        <f t="shared" si="164"/>
        <v>57.130156444436082</v>
      </c>
      <c r="P175" s="207">
        <f t="shared" si="164"/>
        <v>60.833036954723589</v>
      </c>
      <c r="Q175" s="207">
        <f t="shared" si="164"/>
        <v>64.775918979566782</v>
      </c>
      <c r="R175" s="207">
        <f t="shared" si="164"/>
        <v>68.974358172686848</v>
      </c>
    </row>
    <row r="176" spans="2:18">
      <c r="C176" s="208" t="s">
        <v>277</v>
      </c>
      <c r="D176" s="207"/>
      <c r="E176" s="207"/>
      <c r="F176" s="207">
        <f t="shared" ref="F176:R176" si="165">365/(2*F6/(F135+E135))</f>
        <v>9.2649877315363458</v>
      </c>
      <c r="G176" s="207">
        <f t="shared" si="165"/>
        <v>17.659328302602525</v>
      </c>
      <c r="H176" s="207">
        <f t="shared" si="165"/>
        <v>17.703121749459225</v>
      </c>
      <c r="I176" s="207">
        <f t="shared" si="165"/>
        <v>14.957127791493551</v>
      </c>
      <c r="J176" s="207">
        <f t="shared" si="165"/>
        <v>14.203081445420015</v>
      </c>
      <c r="K176" s="207">
        <f t="shared" si="165"/>
        <v>12.226989301298762</v>
      </c>
      <c r="L176" s="207">
        <f t="shared" si="165"/>
        <v>10.070613354010643</v>
      </c>
      <c r="M176" s="207">
        <f t="shared" si="165"/>
        <v>10.057574177749489</v>
      </c>
      <c r="N176" s="207">
        <f t="shared" si="165"/>
        <v>10.05757417774949</v>
      </c>
      <c r="O176" s="207">
        <f t="shared" si="165"/>
        <v>10.149845500481137</v>
      </c>
      <c r="P176" s="207">
        <f t="shared" si="165"/>
        <v>10.337805602341897</v>
      </c>
      <c r="Q176" s="207">
        <f t="shared" si="165"/>
        <v>10.52924644682971</v>
      </c>
      <c r="R176" s="207">
        <f t="shared" si="165"/>
        <v>10.724232492141372</v>
      </c>
    </row>
    <row r="177" spans="3:18">
      <c r="C177" s="208" t="s">
        <v>278</v>
      </c>
      <c r="D177" s="207"/>
      <c r="E177" s="207"/>
      <c r="F177" s="207">
        <f t="shared" ref="F177:R177" si="166">F6*2/(E132+F132)</f>
        <v>1.6305948362629354</v>
      </c>
      <c r="G177" s="207">
        <f t="shared" si="166"/>
        <v>0.98013257344388205</v>
      </c>
      <c r="H177" s="207">
        <f t="shared" si="166"/>
        <v>1.0297067332497973</v>
      </c>
      <c r="I177" s="207">
        <f t="shared" si="166"/>
        <v>1.0908052558908612</v>
      </c>
      <c r="J177" s="207">
        <f t="shared" si="166"/>
        <v>1.0097463009603755</v>
      </c>
      <c r="K177" s="207">
        <f t="shared" si="166"/>
        <v>0.95925960290135703</v>
      </c>
      <c r="L177" s="207">
        <f t="shared" si="166"/>
        <v>0.99812838523101799</v>
      </c>
      <c r="M177" s="207">
        <f t="shared" si="166"/>
        <v>0.99418825819059431</v>
      </c>
      <c r="N177" s="207">
        <f t="shared" si="166"/>
        <v>0.9774475693403355</v>
      </c>
      <c r="O177" s="207">
        <f t="shared" si="166"/>
        <v>0.97394385598039912</v>
      </c>
      <c r="P177" s="207">
        <f t="shared" si="166"/>
        <v>0.97869920997511317</v>
      </c>
      <c r="Q177" s="207">
        <f t="shared" si="166"/>
        <v>0.99291510558271912</v>
      </c>
      <c r="R177" s="207">
        <f t="shared" si="166"/>
        <v>1.0105527509127381</v>
      </c>
    </row>
    <row r="178" spans="3:18">
      <c r="C178" s="208" t="s">
        <v>279</v>
      </c>
      <c r="D178" s="149"/>
      <c r="E178" s="149"/>
      <c r="F178" s="149">
        <f>F148/F132</f>
        <v>0.68277160222653488</v>
      </c>
      <c r="G178" s="149">
        <f>G148/G132</f>
        <v>0.61798032686882054</v>
      </c>
      <c r="H178" s="149">
        <f>H148/H132</f>
        <v>0.59070816960017514</v>
      </c>
      <c r="I178" s="149">
        <f>I148/I132</f>
        <v>0.53035066745375437</v>
      </c>
      <c r="J178" s="149">
        <f t="shared" ref="J178:Q178" si="167">J148/J132</f>
        <v>0.42639454644551394</v>
      </c>
      <c r="K178" s="149">
        <f t="shared" si="167"/>
        <v>0.3945757828669943</v>
      </c>
      <c r="L178" s="149">
        <f t="shared" si="167"/>
        <v>0.39123754775004721</v>
      </c>
      <c r="M178" s="149">
        <f t="shared" si="167"/>
        <v>0.37641798453366171</v>
      </c>
      <c r="N178" s="149">
        <f t="shared" si="167"/>
        <v>0.36470150692613917</v>
      </c>
      <c r="O178" s="149">
        <f t="shared" si="167"/>
        <v>0.36794564427155635</v>
      </c>
      <c r="P178" s="149">
        <f t="shared" si="167"/>
        <v>0.37133103062032069</v>
      </c>
      <c r="Q178" s="149">
        <f t="shared" si="167"/>
        <v>0.38288355510513211</v>
      </c>
      <c r="R178" s="149">
        <f t="shared" ref="R178" si="168">R148/R132</f>
        <v>0.39047084599815662</v>
      </c>
    </row>
    <row r="179" spans="3:18">
      <c r="C179" s="208" t="s">
        <v>280</v>
      </c>
      <c r="D179" s="149"/>
      <c r="E179" s="149"/>
      <c r="F179" s="163">
        <f>F148/F156</f>
        <v>2.1519162602801547</v>
      </c>
      <c r="G179" s="163">
        <f>G148/G156</f>
        <v>1.6173326503868184</v>
      </c>
      <c r="H179" s="163">
        <f>H148/H156</f>
        <v>1.4431665003138407</v>
      </c>
      <c r="I179" s="163">
        <f>I148/I156</f>
        <v>1.1292482086121811</v>
      </c>
      <c r="J179" s="163">
        <f>J148/J156</f>
        <v>0.74335859919611325</v>
      </c>
      <c r="K179" s="163">
        <f t="shared" ref="K179:Q179" si="169">K148/K156</f>
        <v>0.65175281656213169</v>
      </c>
      <c r="L179" s="163">
        <f t="shared" si="169"/>
        <v>0.64490540269397256</v>
      </c>
      <c r="M179" s="163">
        <f t="shared" si="169"/>
        <v>0.60609747598168495</v>
      </c>
      <c r="N179" s="163">
        <f t="shared" si="169"/>
        <v>0.57538087087514767</v>
      </c>
      <c r="O179" s="163">
        <f t="shared" si="169"/>
        <v>0.55092973033215276</v>
      </c>
      <c r="P179" s="163">
        <f t="shared" si="169"/>
        <v>0.53568648551138587</v>
      </c>
      <c r="Q179" s="163">
        <f t="shared" si="169"/>
        <v>0.55551811851107502</v>
      </c>
      <c r="R179" s="163">
        <f t="shared" ref="R179" si="170">R148/R156</f>
        <v>0.58466687682676655</v>
      </c>
    </row>
  </sheetData>
  <phoneticPr fontId="133" type="noConversion"/>
  <pageMargins left="0.74791666666666701" right="0.74791666666666701" top="0.98402777777777795" bottom="0.98402777777777795" header="0.51180555555555596" footer="0.51180555555555596"/>
  <pageSetup paperSize="9" scale="51" orientation="landscape" horizontalDpi="300" verticalDpi="300"/>
  <headerFooter alignWithMargins="0"/>
  <rowBreaks count="2" manualBreakCount="2">
    <brk id="86" max="19" man="1"/>
    <brk id="114" max="19"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I69"/>
  <sheetViews>
    <sheetView topLeftCell="C21" zoomScale="115" zoomScaleNormal="115" workbookViewId="0">
      <selection activeCell="A63" sqref="A63:I63"/>
    </sheetView>
  </sheetViews>
  <sheetFormatPr defaultColWidth="8.6640625" defaultRowHeight="13"/>
  <cols>
    <col min="1" max="1" width="21.58203125" style="5" customWidth="1"/>
    <col min="2" max="2" width="11" style="5" customWidth="1"/>
    <col min="3" max="3" width="13.08203125" style="5" customWidth="1"/>
    <col min="4" max="4" width="12.33203125" style="5" customWidth="1"/>
    <col min="5" max="5" width="12.75" style="5" customWidth="1"/>
    <col min="6" max="6" width="11.75" style="5" customWidth="1"/>
    <col min="7" max="7" width="12.83203125" style="5" customWidth="1"/>
    <col min="8" max="9" width="11.9140625" style="5"/>
    <col min="10" max="16384" width="8.6640625" style="5"/>
  </cols>
  <sheetData>
    <row r="1" spans="1:7" hidden="1">
      <c r="A1" s="2" t="s">
        <v>454</v>
      </c>
      <c r="B1" s="2" t="s">
        <v>455</v>
      </c>
      <c r="C1" s="2" t="s">
        <v>456</v>
      </c>
      <c r="D1" s="2" t="s">
        <v>457</v>
      </c>
      <c r="E1" s="2" t="s">
        <v>458</v>
      </c>
    </row>
    <row r="2" spans="1:7" hidden="1">
      <c r="A2" s="1" t="s">
        <v>459</v>
      </c>
      <c r="B2" s="1" t="s">
        <v>460</v>
      </c>
      <c r="C2" s="1" t="s">
        <v>461</v>
      </c>
      <c r="D2" s="1" t="s">
        <v>462</v>
      </c>
      <c r="E2" s="1" t="s">
        <v>463</v>
      </c>
      <c r="F2" s="1"/>
      <c r="G2" s="1"/>
    </row>
    <row r="3" spans="1:7" hidden="1">
      <c r="A3" s="1" t="s">
        <v>464</v>
      </c>
      <c r="B3" s="1" t="s">
        <v>465</v>
      </c>
      <c r="C3" s="1" t="s">
        <v>466</v>
      </c>
      <c r="D3" s="1" t="s">
        <v>467</v>
      </c>
      <c r="E3" s="1" t="s">
        <v>468</v>
      </c>
      <c r="F3" s="1"/>
      <c r="G3" s="1"/>
    </row>
    <row r="4" spans="1:7" hidden="1">
      <c r="B4" s="11"/>
      <c r="C4" s="11"/>
      <c r="D4" s="11"/>
    </row>
    <row r="5" spans="1:7" hidden="1"/>
    <row r="6" spans="1:7" hidden="1"/>
    <row r="7" spans="1:7" ht="14" hidden="1">
      <c r="A7" s="12" t="s">
        <v>469</v>
      </c>
    </row>
    <row r="8" spans="1:7" hidden="1"/>
    <row r="9" spans="1:7" hidden="1">
      <c r="A9" s="13" t="s">
        <v>470</v>
      </c>
      <c r="B9" s="14"/>
      <c r="C9" s="14"/>
      <c r="D9" s="14"/>
      <c r="E9" s="14"/>
      <c r="F9" s="15"/>
    </row>
    <row r="10" spans="1:7" hidden="1">
      <c r="A10" s="3" t="s">
        <v>459</v>
      </c>
      <c r="B10" s="4">
        <v>2020</v>
      </c>
      <c r="C10" s="4">
        <v>2021</v>
      </c>
      <c r="D10" s="4">
        <v>2022</v>
      </c>
      <c r="E10" s="4">
        <v>2023</v>
      </c>
      <c r="F10" s="16">
        <v>2024</v>
      </c>
    </row>
    <row r="11" spans="1:7" hidden="1">
      <c r="A11" s="17" t="s">
        <v>471</v>
      </c>
      <c r="B11" s="5">
        <v>290.46800000000002</v>
      </c>
      <c r="C11" s="5">
        <v>384.63799999999998</v>
      </c>
      <c r="D11" s="5">
        <v>492.82499999999999</v>
      </c>
      <c r="E11" s="5">
        <v>613.30399999999997</v>
      </c>
      <c r="F11" s="18">
        <f>F12*F13</f>
        <v>693</v>
      </c>
    </row>
    <row r="12" spans="1:7" hidden="1">
      <c r="A12" s="17" t="s">
        <v>472</v>
      </c>
      <c r="B12" s="5">
        <v>347</v>
      </c>
      <c r="C12" s="5">
        <v>442</v>
      </c>
      <c r="D12" s="5">
        <v>539</v>
      </c>
      <c r="E12" s="5">
        <v>612</v>
      </c>
      <c r="F12" s="19">
        <v>630</v>
      </c>
    </row>
    <row r="13" spans="1:7" hidden="1">
      <c r="A13" s="17" t="s">
        <v>473</v>
      </c>
      <c r="B13" s="5">
        <f>B11/B12</f>
        <v>0.837083573487032</v>
      </c>
      <c r="C13" s="5">
        <f>C11/C12</f>
        <v>0.87022171945701399</v>
      </c>
      <c r="D13" s="5">
        <f>D11/D12</f>
        <v>0.91433209647495395</v>
      </c>
      <c r="E13" s="5">
        <f>E11/E12</f>
        <v>1.0021307189542501</v>
      </c>
      <c r="F13" s="19">
        <v>1.1000000000000001</v>
      </c>
    </row>
    <row r="14" spans="1:7" hidden="1">
      <c r="A14" s="17"/>
      <c r="F14" s="19"/>
    </row>
    <row r="15" spans="1:7" hidden="1">
      <c r="A15" s="3" t="s">
        <v>464</v>
      </c>
      <c r="B15" s="4">
        <v>2020</v>
      </c>
      <c r="C15" s="4">
        <v>2021</v>
      </c>
      <c r="D15" s="4">
        <v>2022</v>
      </c>
      <c r="E15" s="4">
        <v>2023</v>
      </c>
      <c r="F15" s="16">
        <v>2024</v>
      </c>
    </row>
    <row r="16" spans="1:7" hidden="1">
      <c r="A16" s="17" t="s">
        <v>471</v>
      </c>
      <c r="B16" s="5">
        <v>197.822</v>
      </c>
      <c r="C16" s="5">
        <v>234.97399999999999</v>
      </c>
      <c r="D16" s="5">
        <v>266.91500000000002</v>
      </c>
      <c r="E16" s="5">
        <v>302.31400000000002</v>
      </c>
      <c r="F16" s="18">
        <f>F17*F18</f>
        <v>343.4</v>
      </c>
    </row>
    <row r="17" spans="1:9" hidden="1">
      <c r="A17" s="17" t="s">
        <v>472</v>
      </c>
      <c r="B17" s="5">
        <v>73</v>
      </c>
      <c r="C17" s="5">
        <v>86</v>
      </c>
      <c r="D17" s="5">
        <v>90</v>
      </c>
      <c r="E17" s="5">
        <v>96</v>
      </c>
      <c r="F17" s="19">
        <v>101</v>
      </c>
    </row>
    <row r="18" spans="1:9" hidden="1">
      <c r="A18" s="20" t="s">
        <v>473</v>
      </c>
      <c r="B18" s="21">
        <f>B16/B17</f>
        <v>2.7098904109588999</v>
      </c>
      <c r="C18" s="21">
        <f>C16/C17</f>
        <v>2.7322558139534898</v>
      </c>
      <c r="D18" s="21">
        <f>D16/D17</f>
        <v>2.9657222222222202</v>
      </c>
      <c r="E18" s="21">
        <f>E16/E17</f>
        <v>3.1491041666666701</v>
      </c>
      <c r="F18" s="22">
        <v>3.4</v>
      </c>
    </row>
    <row r="19" spans="1:9" hidden="1"/>
    <row r="20" spans="1:9" hidden="1"/>
    <row r="21" spans="1:9" s="4" customFormat="1" ht="14.5">
      <c r="A21" s="23"/>
      <c r="B21" s="23"/>
      <c r="C21" s="24">
        <v>2021</v>
      </c>
      <c r="D21" s="24">
        <v>2022</v>
      </c>
      <c r="E21" s="24">
        <v>2023</v>
      </c>
      <c r="F21" s="24">
        <v>2024</v>
      </c>
      <c r="G21" s="25" t="s">
        <v>99</v>
      </c>
      <c r="H21" s="25" t="s">
        <v>100</v>
      </c>
      <c r="I21" s="25" t="s">
        <v>101</v>
      </c>
    </row>
    <row r="22" spans="1:9" ht="14" customHeight="1">
      <c r="A22" s="26" t="s">
        <v>474</v>
      </c>
      <c r="B22" s="26"/>
      <c r="C22" s="26"/>
      <c r="D22" s="26"/>
      <c r="E22" s="26"/>
      <c r="F22" s="26"/>
      <c r="G22" s="26"/>
      <c r="H22" s="26"/>
      <c r="I22" s="26"/>
    </row>
    <row r="23" spans="1:9" ht="13" customHeight="1">
      <c r="A23" s="27" t="s">
        <v>475</v>
      </c>
      <c r="B23" s="28">
        <f t="shared" ref="B23:I23" si="0">B29+B64</f>
        <v>586.46299999999997</v>
      </c>
      <c r="C23" s="28">
        <f>C29+C64</f>
        <v>738.13</v>
      </c>
      <c r="D23" s="28">
        <f t="shared" si="0"/>
        <v>894.08199999999999</v>
      </c>
      <c r="E23" s="28">
        <f t="shared" si="0"/>
        <v>1067.7080000000001</v>
      </c>
      <c r="F23" s="28">
        <f t="shared" si="0"/>
        <v>1197.133</v>
      </c>
      <c r="G23" s="28">
        <f t="shared" si="0"/>
        <v>1376.86493</v>
      </c>
      <c r="H23" s="28">
        <f t="shared" si="0"/>
        <v>1522.2508760000001</v>
      </c>
      <c r="I23" s="28">
        <f t="shared" si="0"/>
        <v>1676.6468436600001</v>
      </c>
    </row>
    <row r="24" spans="1:9" ht="13" customHeight="1">
      <c r="A24" s="29" t="s">
        <v>179</v>
      </c>
      <c r="B24" s="29"/>
      <c r="C24" s="29">
        <f t="shared" ref="C24:I24" si="1">C23/B23-1</f>
        <v>0.25861307533467598</v>
      </c>
      <c r="D24" s="29">
        <f t="shared" si="1"/>
        <v>0.21127985585195</v>
      </c>
      <c r="E24" s="29">
        <f t="shared" si="1"/>
        <v>0.194194715920911</v>
      </c>
      <c r="F24" s="29">
        <f t="shared" si="1"/>
        <v>0.12121759881915301</v>
      </c>
      <c r="G24" s="29">
        <f t="shared" si="1"/>
        <v>0.15013530660335972</v>
      </c>
      <c r="H24" s="29">
        <f t="shared" si="1"/>
        <v>0.1055920176570988</v>
      </c>
      <c r="I24" s="29">
        <f t="shared" si="1"/>
        <v>0.10142609874247821</v>
      </c>
    </row>
    <row r="25" spans="1:9" ht="13" customHeight="1">
      <c r="A25" s="30" t="s">
        <v>476</v>
      </c>
      <c r="B25" s="31">
        <f>B60+B67</f>
        <v>401.13099999999997</v>
      </c>
      <c r="C25" s="31">
        <f>C60+C67</f>
        <v>495.85500000000002</v>
      </c>
      <c r="D25" s="31">
        <f>D60+D67</f>
        <v>595.952</v>
      </c>
      <c r="E25" s="31">
        <f>E60+E67</f>
        <v>703.01599999999996</v>
      </c>
      <c r="F25" s="28">
        <f>-PL!F5</f>
        <v>783.58299999999997</v>
      </c>
      <c r="G25" s="31">
        <f>G60+G67</f>
        <v>900.16046929999993</v>
      </c>
      <c r="H25" s="31">
        <f>H60+H67</f>
        <v>987.85065461000011</v>
      </c>
      <c r="I25" s="31">
        <f>I60+I67</f>
        <v>1082.5341133887</v>
      </c>
    </row>
    <row r="26" spans="1:9" ht="13" customHeight="1">
      <c r="A26" s="30" t="s">
        <v>477</v>
      </c>
      <c r="B26" s="31">
        <f>B23-B25</f>
        <v>185.33199999999999</v>
      </c>
      <c r="C26" s="31">
        <f t="shared" ref="C26:I26" si="2">C23-C25</f>
        <v>242.27500000000001</v>
      </c>
      <c r="D26" s="31">
        <f t="shared" si="2"/>
        <v>298.13</v>
      </c>
      <c r="E26" s="31">
        <f t="shared" si="2"/>
        <v>364.69200000000001</v>
      </c>
      <c r="F26" s="31">
        <f t="shared" si="2"/>
        <v>413.55</v>
      </c>
      <c r="G26" s="31">
        <f t="shared" si="2"/>
        <v>476.70446070000003</v>
      </c>
      <c r="H26" s="31">
        <f t="shared" si="2"/>
        <v>534.40022138999996</v>
      </c>
      <c r="I26" s="31">
        <f t="shared" si="2"/>
        <v>594.11273027130005</v>
      </c>
    </row>
    <row r="27" spans="1:9" ht="13" customHeight="1">
      <c r="A27" s="30" t="s">
        <v>14</v>
      </c>
      <c r="B27" s="31"/>
      <c r="C27" s="32">
        <f>C26/C23</f>
        <v>0.32822808990286301</v>
      </c>
      <c r="D27" s="32">
        <f t="shared" ref="D27:I27" si="3">D26/D23</f>
        <v>0.33344816247279302</v>
      </c>
      <c r="E27" s="32">
        <f t="shared" si="3"/>
        <v>0.34156529687892201</v>
      </c>
      <c r="F27" s="32">
        <f t="shared" si="3"/>
        <v>0.34545033843357398</v>
      </c>
      <c r="G27" s="32">
        <f t="shared" si="3"/>
        <v>0.34622456445310146</v>
      </c>
      <c r="H27" s="32">
        <f t="shared" si="3"/>
        <v>0.35105923065338407</v>
      </c>
      <c r="I27" s="32">
        <f t="shared" si="3"/>
        <v>0.35434577801392836</v>
      </c>
    </row>
    <row r="28" spans="1:9">
      <c r="A28" s="324" t="s">
        <v>478</v>
      </c>
      <c r="B28" s="324"/>
      <c r="C28" s="324"/>
      <c r="D28" s="324"/>
      <c r="E28" s="324"/>
      <c r="F28" s="324"/>
      <c r="G28" s="324"/>
      <c r="H28" s="324"/>
      <c r="I28" s="324"/>
    </row>
    <row r="29" spans="1:9">
      <c r="A29" s="33" t="s">
        <v>479</v>
      </c>
      <c r="B29" s="34">
        <f>'产品 -wind'!B8</f>
        <v>488.29</v>
      </c>
      <c r="C29" s="34">
        <f>'产品 -wind'!C8</f>
        <v>619.61199999999997</v>
      </c>
      <c r="D29" s="34">
        <f>'产品 -wind'!D8</f>
        <v>759.74</v>
      </c>
      <c r="E29" s="34">
        <f>'产品 -wind'!E8</f>
        <v>915.654</v>
      </c>
      <c r="F29" s="34">
        <f>'产品 -wind'!F8</f>
        <v>1023.914</v>
      </c>
      <c r="G29" s="28">
        <f>G31+G39</f>
        <v>1174.1986999999999</v>
      </c>
      <c r="H29" s="28">
        <f t="shared" ref="H29:I29" si="4">H31+H39</f>
        <v>1279.0514000000001</v>
      </c>
      <c r="I29" s="28">
        <f t="shared" si="4"/>
        <v>1382.3754777000001</v>
      </c>
    </row>
    <row r="30" spans="1:9">
      <c r="A30" s="35" t="s">
        <v>179</v>
      </c>
      <c r="B30" s="36"/>
      <c r="C30" s="37">
        <f t="shared" ref="C30:C61" si="5">C29/B29-1</f>
        <v>0.26894263654795297</v>
      </c>
      <c r="D30" s="37">
        <f t="shared" ref="D30:I30" si="6">D29/C29-1</f>
        <v>0.22615443212849301</v>
      </c>
      <c r="E30" s="37">
        <f t="shared" si="6"/>
        <v>0.205220206912891</v>
      </c>
      <c r="F30" s="37">
        <f t="shared" si="6"/>
        <v>0.11823243277482499</v>
      </c>
      <c r="G30" s="29">
        <f t="shared" si="6"/>
        <v>0.14677472912764156</v>
      </c>
      <c r="H30" s="29">
        <f t="shared" si="6"/>
        <v>8.9297237341516622E-2</v>
      </c>
      <c r="I30" s="29">
        <f t="shared" si="6"/>
        <v>8.0781802592139851E-2</v>
      </c>
    </row>
    <row r="31" spans="1:9">
      <c r="A31" s="38" t="s">
        <v>480</v>
      </c>
      <c r="B31" s="31"/>
      <c r="C31" s="39">
        <f>SUM(C33:C37)</f>
        <v>384.63800000000003</v>
      </c>
      <c r="D31" s="39">
        <f t="shared" ref="D31:E31" si="7">SUM(D33:D37)</f>
        <v>493.43927397927854</v>
      </c>
      <c r="E31" s="39">
        <f t="shared" si="7"/>
        <v>613.53282931125432</v>
      </c>
      <c r="F31" s="39">
        <f>F42*F49</f>
        <v>693</v>
      </c>
      <c r="G31" s="40">
        <f>G42*G49</f>
        <v>801.90550000000007</v>
      </c>
      <c r="H31" s="40">
        <f t="shared" ref="H31:I31" si="8">H42*H49</f>
        <v>873.39230000000009</v>
      </c>
      <c r="I31" s="40">
        <f t="shared" si="8"/>
        <v>949.35282750000022</v>
      </c>
    </row>
    <row r="32" spans="1:9">
      <c r="A32" s="41" t="s">
        <v>179</v>
      </c>
      <c r="B32" s="31"/>
      <c r="C32" s="42"/>
      <c r="D32" s="42">
        <f>D31/C31-1</f>
        <v>0.28286667978535274</v>
      </c>
      <c r="E32" s="42">
        <f t="shared" ref="E32:F32" si="9">E31/D31-1</f>
        <v>0.24338061776780862</v>
      </c>
      <c r="F32" s="42">
        <f t="shared" si="9"/>
        <v>0.12952390954849924</v>
      </c>
      <c r="G32" s="43">
        <f t="shared" ref="G32" si="10">G31/F31-1</f>
        <v>0.15715079365079365</v>
      </c>
      <c r="H32" s="43">
        <f t="shared" ref="H32" si="11">H31/G31-1</f>
        <v>8.9146164978292308E-2</v>
      </c>
      <c r="I32" s="43">
        <f t="shared" ref="I32" si="12">I31/H31-1</f>
        <v>8.6971830985915544E-2</v>
      </c>
    </row>
    <row r="33" spans="1:9" hidden="1">
      <c r="A33" s="44" t="s">
        <v>481</v>
      </c>
      <c r="B33" s="31"/>
      <c r="C33" s="45">
        <v>42.618000000000002</v>
      </c>
      <c r="D33" s="45">
        <v>57.048999999999999</v>
      </c>
      <c r="E33" s="45">
        <v>69.69</v>
      </c>
      <c r="F33" s="45"/>
      <c r="G33" s="46"/>
      <c r="H33" s="46"/>
      <c r="I33" s="46"/>
    </row>
    <row r="34" spans="1:9" hidden="1">
      <c r="A34" s="41" t="s">
        <v>179</v>
      </c>
      <c r="B34" s="31"/>
      <c r="C34" s="45"/>
      <c r="D34" s="42">
        <f>D33/C33-1</f>
        <v>0.33861279271669242</v>
      </c>
      <c r="E34" s="42">
        <f t="shared" ref="E34" si="13">E33/D33-1</f>
        <v>0.22158144752756392</v>
      </c>
      <c r="F34" s="42"/>
      <c r="G34" s="46"/>
      <c r="H34" s="46"/>
      <c r="I34" s="46"/>
    </row>
    <row r="35" spans="1:9" hidden="1">
      <c r="A35" s="44" t="s">
        <v>482</v>
      </c>
      <c r="B35" s="31"/>
      <c r="C35" s="45">
        <v>111.92</v>
      </c>
      <c r="D35" s="45">
        <v>142.77199999999999</v>
      </c>
      <c r="E35" s="45">
        <v>138.667</v>
      </c>
      <c r="F35" s="45"/>
      <c r="G35" s="46"/>
      <c r="H35" s="46"/>
      <c r="I35" s="46"/>
    </row>
    <row r="36" spans="1:9" hidden="1">
      <c r="A36" s="41" t="s">
        <v>179</v>
      </c>
      <c r="B36" s="31"/>
      <c r="C36" s="45"/>
      <c r="D36" s="42">
        <f>D35/C35-1</f>
        <v>0.2756611865618297</v>
      </c>
      <c r="E36" s="42">
        <f t="shared" ref="E36" si="14">E35/D35-1</f>
        <v>-2.875213627321882E-2</v>
      </c>
      <c r="F36" s="42"/>
      <c r="G36" s="46"/>
      <c r="H36" s="46"/>
      <c r="I36" s="46"/>
    </row>
    <row r="37" spans="1:9" hidden="1">
      <c r="A37" s="44" t="s">
        <v>483</v>
      </c>
      <c r="B37" s="31"/>
      <c r="C37" s="45">
        <v>230.1</v>
      </c>
      <c r="D37" s="45">
        <v>293.00400000000002</v>
      </c>
      <c r="E37" s="45">
        <v>404.983</v>
      </c>
      <c r="F37" s="45"/>
      <c r="G37" s="46"/>
      <c r="H37" s="46"/>
      <c r="I37" s="46"/>
    </row>
    <row r="38" spans="1:9" hidden="1">
      <c r="A38" s="41" t="s">
        <v>179</v>
      </c>
      <c r="B38" s="31"/>
      <c r="C38" s="45"/>
      <c r="D38" s="42">
        <f>D37/C37-1</f>
        <v>0.27337679269882664</v>
      </c>
      <c r="E38" s="42">
        <f t="shared" ref="E38" si="15">E37/D37-1</f>
        <v>0.38217566995672403</v>
      </c>
      <c r="F38" s="42"/>
      <c r="G38" s="46"/>
      <c r="H38" s="46"/>
      <c r="I38" s="46"/>
    </row>
    <row r="39" spans="1:9">
      <c r="A39" s="38" t="s">
        <v>484</v>
      </c>
      <c r="B39" s="31"/>
      <c r="C39" s="39">
        <v>234.97399999999999</v>
      </c>
      <c r="D39" s="39">
        <v>266.91500000000002</v>
      </c>
      <c r="E39" s="39">
        <v>302.31400000000002</v>
      </c>
      <c r="F39" s="39">
        <f>F46*F57</f>
        <v>343.4</v>
      </c>
      <c r="G39" s="40">
        <f>G46*G57</f>
        <v>372.29319999999996</v>
      </c>
      <c r="H39" s="40">
        <f t="shared" ref="H39:I39" si="16">H46*H57</f>
        <v>405.65909999999997</v>
      </c>
      <c r="I39" s="40">
        <f t="shared" si="16"/>
        <v>433.02265019999999</v>
      </c>
    </row>
    <row r="40" spans="1:9">
      <c r="A40" s="41" t="s">
        <v>179</v>
      </c>
      <c r="B40" s="31"/>
      <c r="C40" s="47"/>
      <c r="D40" s="48">
        <f>D39/C39-1</f>
        <v>0.13593418846340466</v>
      </c>
      <c r="E40" s="48">
        <f t="shared" ref="E40" si="17">E39/D39-1</f>
        <v>0.13262274506865479</v>
      </c>
      <c r="F40" s="48">
        <f t="shared" ref="F40" si="18">F39/E39-1</f>
        <v>0.13590505236277495</v>
      </c>
      <c r="G40" s="43">
        <f t="shared" ref="G40" si="19">G39/F39-1</f>
        <v>8.4138613861385991E-2</v>
      </c>
      <c r="H40" s="43">
        <f t="shared" ref="H40" si="20">H39/G39-1</f>
        <v>8.9622641509434109E-2</v>
      </c>
      <c r="I40" s="43">
        <f t="shared" ref="I40" si="21">I39/H39-1</f>
        <v>6.7454545454545434E-2</v>
      </c>
    </row>
    <row r="41" spans="1:9" s="4" customFormat="1">
      <c r="A41" s="27" t="s">
        <v>485</v>
      </c>
      <c r="B41" s="28">
        <v>420</v>
      </c>
      <c r="C41" s="28">
        <v>528</v>
      </c>
      <c r="D41" s="28">
        <v>629</v>
      </c>
      <c r="E41" s="28">
        <v>708</v>
      </c>
      <c r="F41" s="28">
        <v>731</v>
      </c>
      <c r="G41" s="315">
        <f>G42+G46</f>
        <v>797</v>
      </c>
      <c r="H41" s="315">
        <f t="shared" ref="H41:I41" si="22">H42+H46</f>
        <v>820</v>
      </c>
      <c r="I41" s="315">
        <f t="shared" si="22"/>
        <v>849</v>
      </c>
    </row>
    <row r="42" spans="1:9">
      <c r="A42" s="38" t="s">
        <v>480</v>
      </c>
      <c r="B42" s="31"/>
      <c r="C42" s="28">
        <f>SUM(C43:C45)</f>
        <v>442</v>
      </c>
      <c r="D42" s="28">
        <f t="shared" ref="D42:E42" si="23">SUM(D43:D45)</f>
        <v>539</v>
      </c>
      <c r="E42" s="28">
        <f t="shared" si="23"/>
        <v>612</v>
      </c>
      <c r="F42" s="28">
        <v>630</v>
      </c>
      <c r="G42" s="314">
        <v>691</v>
      </c>
      <c r="H42" s="314">
        <v>710</v>
      </c>
      <c r="I42" s="314">
        <v>735</v>
      </c>
    </row>
    <row r="43" spans="1:9" ht="13" hidden="1" customHeight="1">
      <c r="A43" s="44" t="s">
        <v>481</v>
      </c>
      <c r="B43" s="31"/>
      <c r="C43" s="31">
        <v>81</v>
      </c>
      <c r="D43" s="31">
        <v>100</v>
      </c>
      <c r="E43" s="31">
        <v>115</v>
      </c>
      <c r="F43" s="31"/>
      <c r="G43" s="49"/>
      <c r="H43" s="49"/>
      <c r="I43" s="49"/>
    </row>
    <row r="44" spans="1:9" ht="13" hidden="1" customHeight="1">
      <c r="A44" s="44" t="s">
        <v>482</v>
      </c>
      <c r="B44" s="31"/>
      <c r="C44" s="31">
        <v>131</v>
      </c>
      <c r="D44" s="31">
        <v>159</v>
      </c>
      <c r="E44" s="31">
        <v>142</v>
      </c>
      <c r="F44" s="31"/>
      <c r="G44" s="49"/>
      <c r="H44" s="49"/>
      <c r="I44" s="49"/>
    </row>
    <row r="45" spans="1:9" ht="13" hidden="1" customHeight="1">
      <c r="A45" s="44" t="s">
        <v>483</v>
      </c>
      <c r="B45" s="31"/>
      <c r="C45" s="31">
        <v>230</v>
      </c>
      <c r="D45" s="31">
        <v>280</v>
      </c>
      <c r="E45" s="31">
        <v>355</v>
      </c>
      <c r="F45" s="31"/>
      <c r="G45" s="49"/>
      <c r="H45" s="49"/>
      <c r="I45" s="49"/>
    </row>
    <row r="46" spans="1:9">
      <c r="A46" s="38" t="s">
        <v>484</v>
      </c>
      <c r="B46" s="31"/>
      <c r="C46" s="28">
        <v>86</v>
      </c>
      <c r="D46" s="28">
        <v>90</v>
      </c>
      <c r="E46" s="28">
        <v>96</v>
      </c>
      <c r="F46" s="28">
        <v>101</v>
      </c>
      <c r="G46" s="314">
        <v>106</v>
      </c>
      <c r="H46" s="314">
        <v>110</v>
      </c>
      <c r="I46" s="314">
        <v>114</v>
      </c>
    </row>
    <row r="47" spans="1:9">
      <c r="A47" s="27" t="s">
        <v>486</v>
      </c>
      <c r="B47" s="28">
        <f>B29/B41</f>
        <v>1.16259523809524</v>
      </c>
      <c r="C47" s="28">
        <f>C29/C41</f>
        <v>1.1735075757575799</v>
      </c>
      <c r="D47" s="28">
        <f>D29/D41</f>
        <v>1.20785373608903</v>
      </c>
      <c r="E47" s="28">
        <f>E29/E41</f>
        <v>1.29329661016949</v>
      </c>
      <c r="F47" s="28">
        <f>F29/F41</f>
        <v>1.4007031463748301</v>
      </c>
      <c r="G47" s="28">
        <f>F47*(1+G48)</f>
        <v>1.51275939808482</v>
      </c>
      <c r="H47" s="28">
        <f>G47*(1+H48)</f>
        <v>1.6337801499316</v>
      </c>
      <c r="I47" s="28">
        <f>H47*(1+I48)</f>
        <v>1.76448256192613</v>
      </c>
    </row>
    <row r="48" spans="1:9">
      <c r="A48" s="50" t="s">
        <v>179</v>
      </c>
      <c r="B48" s="50"/>
      <c r="C48" s="50">
        <f t="shared" si="5"/>
        <v>9.3861881631462901E-3</v>
      </c>
      <c r="D48" s="50">
        <f>D47/C47-1</f>
        <v>2.9267949386080301E-2</v>
      </c>
      <c r="E48" s="50">
        <f>E47/D47-1</f>
        <v>7.0739421113289E-2</v>
      </c>
      <c r="F48" s="50">
        <f>F47/E47-1</f>
        <v>8.3048648980268605E-2</v>
      </c>
      <c r="G48" s="29">
        <v>0.08</v>
      </c>
      <c r="H48" s="29">
        <v>0.08</v>
      </c>
      <c r="I48" s="29">
        <v>0.08</v>
      </c>
    </row>
    <row r="49" spans="1:9">
      <c r="A49" s="38" t="s">
        <v>480</v>
      </c>
      <c r="B49" s="31"/>
      <c r="C49" s="45">
        <f>C31/C42</f>
        <v>0.87022171945701365</v>
      </c>
      <c r="D49" s="45">
        <f t="shared" ref="D49:E49" si="24">D31/D42</f>
        <v>0.91547175135302139</v>
      </c>
      <c r="E49" s="45">
        <f t="shared" si="24"/>
        <v>1.0025046230576051</v>
      </c>
      <c r="F49" s="45">
        <v>1.1000000000000001</v>
      </c>
      <c r="G49" s="51">
        <f>F49*(1+G50)</f>
        <v>1.1605000000000001</v>
      </c>
      <c r="H49" s="51">
        <f t="shared" ref="H49:I49" si="25">G49*(1+H50)</f>
        <v>1.2301300000000002</v>
      </c>
      <c r="I49" s="51">
        <f t="shared" si="25"/>
        <v>1.2916365000000003</v>
      </c>
    </row>
    <row r="50" spans="1:9">
      <c r="A50" s="41" t="s">
        <v>179</v>
      </c>
      <c r="B50" s="31"/>
      <c r="C50" s="42"/>
      <c r="D50" s="42">
        <f>D49/C49-1</f>
        <v>5.1998279156077798E-2</v>
      </c>
      <c r="E50" s="42">
        <f t="shared" ref="E50" si="26">E49/D49-1</f>
        <v>9.5068877413151842E-2</v>
      </c>
      <c r="F50" s="42">
        <f t="shared" ref="F50" si="27">F49/E49-1</f>
        <v>9.7251797847113464E-2</v>
      </c>
      <c r="G50" s="52">
        <v>5.5E-2</v>
      </c>
      <c r="H50" s="52">
        <v>0.06</v>
      </c>
      <c r="I50" s="52">
        <v>0.05</v>
      </c>
    </row>
    <row r="51" spans="1:9" ht="13" hidden="1" customHeight="1">
      <c r="A51" s="44" t="s">
        <v>481</v>
      </c>
      <c r="B51" s="31"/>
      <c r="C51" s="45">
        <f t="shared" ref="C51:E51" si="28">C33/C43</f>
        <v>0.52614814814814814</v>
      </c>
      <c r="D51" s="45">
        <f t="shared" si="28"/>
        <v>0.57048999999999994</v>
      </c>
      <c r="E51" s="45">
        <f t="shared" si="28"/>
        <v>0.60599999999999998</v>
      </c>
      <c r="F51" s="45"/>
      <c r="G51" s="51"/>
      <c r="H51" s="51"/>
      <c r="I51" s="51"/>
    </row>
    <row r="52" spans="1:9" ht="13" hidden="1" customHeight="1">
      <c r="A52" s="41" t="s">
        <v>179</v>
      </c>
      <c r="B52" s="31"/>
      <c r="C52" s="42"/>
      <c r="D52" s="42">
        <f>D51/C51-1</f>
        <v>8.4276362100520696E-2</v>
      </c>
      <c r="E52" s="42">
        <f t="shared" ref="E52" si="29">E51/D51-1</f>
        <v>6.22447369804906E-2</v>
      </c>
      <c r="F52" s="42">
        <f t="shared" ref="F52" si="30">F51/E51-1</f>
        <v>-1</v>
      </c>
      <c r="G52" s="51"/>
      <c r="H52" s="51"/>
      <c r="I52" s="51"/>
    </row>
    <row r="53" spans="1:9" ht="13" hidden="1" customHeight="1">
      <c r="A53" s="44" t="s">
        <v>482</v>
      </c>
      <c r="B53" s="31"/>
      <c r="C53" s="45">
        <f>C35/C44</f>
        <v>0.854351145038168</v>
      </c>
      <c r="D53" s="45">
        <f>D35/D44</f>
        <v>0.89793710691823891</v>
      </c>
      <c r="E53" s="45">
        <f>E35/E44</f>
        <v>0.97652816901408457</v>
      </c>
      <c r="F53" s="45"/>
      <c r="G53" s="51"/>
      <c r="H53" s="51"/>
      <c r="I53" s="51"/>
    </row>
    <row r="54" spans="1:9" ht="13" hidden="1" customHeight="1">
      <c r="A54" s="41" t="s">
        <v>179</v>
      </c>
      <c r="B54" s="31"/>
      <c r="C54" s="42"/>
      <c r="D54" s="42">
        <f>D53/C53-1</f>
        <v>5.1016449305658407E-2</v>
      </c>
      <c r="E54" s="42">
        <f t="shared" ref="E54" si="31">E53/D53-1</f>
        <v>8.7524016426466344E-2</v>
      </c>
      <c r="F54" s="42">
        <f t="shared" ref="F54" si="32">F53/E53-1</f>
        <v>-1</v>
      </c>
      <c r="G54" s="51"/>
      <c r="H54" s="51"/>
      <c r="I54" s="51"/>
    </row>
    <row r="55" spans="1:9" ht="13" hidden="1" customHeight="1">
      <c r="A55" s="44" t="s">
        <v>483</v>
      </c>
      <c r="B55" s="31"/>
      <c r="C55" s="45">
        <f>C37/C45</f>
        <v>1.0004347826086957</v>
      </c>
      <c r="D55" s="45">
        <f>D37/D45</f>
        <v>1.0464428571428572</v>
      </c>
      <c r="E55" s="45">
        <f>E37/E45</f>
        <v>1.1407971830985915</v>
      </c>
      <c r="F55" s="45"/>
      <c r="G55" s="51"/>
      <c r="H55" s="51"/>
      <c r="I55" s="51"/>
    </row>
    <row r="56" spans="1:9" ht="13" hidden="1" customHeight="1">
      <c r="A56" s="41" t="s">
        <v>179</v>
      </c>
      <c r="B56" s="31"/>
      <c r="C56" s="42"/>
      <c r="D56" s="42">
        <f>D55/C55-1</f>
        <v>4.5988079716893449E-2</v>
      </c>
      <c r="E56" s="42">
        <f t="shared" ref="E56" si="33">E55/D55-1</f>
        <v>9.016672559966965E-2</v>
      </c>
      <c r="F56" s="42">
        <f t="shared" ref="F56" si="34">F55/E55-1</f>
        <v>-1</v>
      </c>
      <c r="G56" s="51"/>
      <c r="H56" s="51"/>
      <c r="I56" s="51"/>
    </row>
    <row r="57" spans="1:9">
      <c r="A57" s="38" t="s">
        <v>484</v>
      </c>
      <c r="B57" s="31"/>
      <c r="C57" s="45">
        <f>C39/C46</f>
        <v>2.732255813953488</v>
      </c>
      <c r="D57" s="45">
        <f>D39/D46</f>
        <v>2.9657222222222224</v>
      </c>
      <c r="E57" s="45">
        <f>E39/E46</f>
        <v>3.149104166666667</v>
      </c>
      <c r="F57" s="45">
        <v>3.4</v>
      </c>
      <c r="G57" s="51">
        <f>F57*(1+G58)</f>
        <v>3.5121999999999995</v>
      </c>
      <c r="H57" s="51">
        <f t="shared" ref="H57" si="35">G57*(1+H58)</f>
        <v>3.6878099999999998</v>
      </c>
      <c r="I57" s="51">
        <f t="shared" ref="I57" si="36">H57*(1+I58)</f>
        <v>3.7984442999999999</v>
      </c>
    </row>
    <row r="58" spans="1:9">
      <c r="A58" s="41" t="s">
        <v>179</v>
      </c>
      <c r="B58" s="31"/>
      <c r="C58" s="42"/>
      <c r="D58" s="42">
        <f>D57/C57-1</f>
        <v>8.5448224531697869E-2</v>
      </c>
      <c r="E58" s="42">
        <f t="shared" ref="E58" si="37">E57/D57-1</f>
        <v>6.183382350186406E-2</v>
      </c>
      <c r="F58" s="42">
        <f t="shared" ref="F58" si="38">F57/E57-1</f>
        <v>7.9672128978479195E-2</v>
      </c>
      <c r="G58" s="52">
        <v>3.3000000000000002E-2</v>
      </c>
      <c r="H58" s="52">
        <v>0.05</v>
      </c>
      <c r="I58" s="52">
        <v>0.03</v>
      </c>
    </row>
    <row r="59" spans="1:9">
      <c r="A59" s="41"/>
      <c r="B59" s="31"/>
      <c r="C59" s="42"/>
      <c r="D59" s="42"/>
      <c r="E59" s="42"/>
      <c r="F59" s="42"/>
      <c r="G59" s="51"/>
      <c r="H59" s="51"/>
      <c r="I59" s="51"/>
    </row>
    <row r="60" spans="1:9">
      <c r="A60" s="27" t="s">
        <v>476</v>
      </c>
      <c r="B60" s="28">
        <f>'产品 -wind'!B9</f>
        <v>323.50200000000001</v>
      </c>
      <c r="C60" s="28">
        <f>'产品 -wind'!C9</f>
        <v>400.065</v>
      </c>
      <c r="D60" s="28">
        <f>'产品 -wind'!D9</f>
        <v>501.52199999999999</v>
      </c>
      <c r="E60" s="28">
        <f>'产品 -wind'!E9</f>
        <v>601.71900000000005</v>
      </c>
      <c r="F60" s="28">
        <f>(1-F62)*F29</f>
        <v>665.54409999999996</v>
      </c>
      <c r="G60" s="28">
        <f>(1-G62)*G29</f>
        <v>762.05495629999996</v>
      </c>
      <c r="H60" s="28">
        <f t="shared" ref="H60:I60" si="39">(1-H62)*H29</f>
        <v>826.26720440000008</v>
      </c>
      <c r="I60" s="28">
        <f t="shared" si="39"/>
        <v>890.24980763880012</v>
      </c>
    </row>
    <row r="61" spans="1:9">
      <c r="A61" s="30" t="s">
        <v>179</v>
      </c>
      <c r="B61" s="45"/>
      <c r="C61" s="53">
        <f t="shared" si="5"/>
        <v>0.23666932507372401</v>
      </c>
      <c r="D61" s="53">
        <f t="shared" ref="D61" si="40">D60/C60-1</f>
        <v>0.25360128979040902</v>
      </c>
      <c r="E61" s="53">
        <f t="shared" ref="E61" si="41">E60/D60-1</f>
        <v>0.199785851866917</v>
      </c>
      <c r="F61" s="53">
        <f t="shared" ref="F61" si="42">F60/E60-1</f>
        <v>0.10607127247103687</v>
      </c>
      <c r="G61" s="32">
        <f t="shared" ref="G61" si="43">G60/F60-1</f>
        <v>0.1450104603135991</v>
      </c>
      <c r="H61" s="32">
        <f t="shared" ref="H61" si="44">H60/G60-1</f>
        <v>8.4261965057965682E-2</v>
      </c>
      <c r="I61" s="32">
        <f t="shared" ref="I61" si="45">I60/H60-1</f>
        <v>7.7435728899904133E-2</v>
      </c>
    </row>
    <row r="62" spans="1:9">
      <c r="A62" s="30" t="s">
        <v>14</v>
      </c>
      <c r="B62" s="31">
        <f>B60/B41</f>
        <v>0.77024285714285701</v>
      </c>
      <c r="C62" s="53">
        <f>1-C60/C29</f>
        <v>0.35432980639497003</v>
      </c>
      <c r="D62" s="53">
        <f t="shared" ref="D62:E62" si="46">1-D60/D29</f>
        <v>0.33987679995788</v>
      </c>
      <c r="E62" s="53">
        <f t="shared" si="46"/>
        <v>0.342853304850959</v>
      </c>
      <c r="F62" s="52">
        <v>0.35</v>
      </c>
      <c r="G62" s="52">
        <v>0.35099999999999998</v>
      </c>
      <c r="H62" s="52">
        <v>0.35399999999999998</v>
      </c>
      <c r="I62" s="52">
        <v>0.35599999999999998</v>
      </c>
    </row>
    <row r="63" spans="1:9">
      <c r="A63" s="324" t="s">
        <v>487</v>
      </c>
      <c r="B63" s="324"/>
      <c r="C63" s="324"/>
      <c r="D63" s="324"/>
      <c r="E63" s="324"/>
      <c r="F63" s="324"/>
      <c r="G63" s="324"/>
      <c r="H63" s="324"/>
      <c r="I63" s="324"/>
    </row>
    <row r="64" spans="1:9">
      <c r="A64" s="30" t="s">
        <v>488</v>
      </c>
      <c r="B64" s="31">
        <f>'产品 -wind'!B13</f>
        <v>98.173000000000002</v>
      </c>
      <c r="C64" s="31">
        <f>'产品 -wind'!C13</f>
        <v>118.518</v>
      </c>
      <c r="D64" s="31">
        <f>'产品 -wind'!D13</f>
        <v>134.34200000000001</v>
      </c>
      <c r="E64" s="31">
        <f>'产品 -wind'!E13</f>
        <v>152.054</v>
      </c>
      <c r="F64" s="31">
        <f>'产品 -wind'!F13</f>
        <v>173.21899999999999</v>
      </c>
      <c r="G64" s="31">
        <f>F64*(1+G65)</f>
        <v>202.66622999999998</v>
      </c>
      <c r="H64" s="31">
        <f>G64*(1+H65)</f>
        <v>243.19947599999998</v>
      </c>
      <c r="I64" s="31">
        <f>H64*(1+I65)</f>
        <v>294.27136595999997</v>
      </c>
    </row>
    <row r="65" spans="1:9">
      <c r="A65" s="54" t="s">
        <v>179</v>
      </c>
      <c r="B65" s="54"/>
      <c r="C65" s="54">
        <f>C64/B64-1</f>
        <v>0.20723620547401</v>
      </c>
      <c r="D65" s="54">
        <f>D64/C64-1</f>
        <v>0.13351558413068099</v>
      </c>
      <c r="E65" s="54">
        <f>E64/D64-1</f>
        <v>0.13184261065042899</v>
      </c>
      <c r="F65" s="54">
        <f>F64/E64-1</f>
        <v>0.13919397056308899</v>
      </c>
      <c r="G65" s="52">
        <v>0.17</v>
      </c>
      <c r="H65" s="52">
        <v>0.2</v>
      </c>
      <c r="I65" s="52">
        <v>0.21</v>
      </c>
    </row>
    <row r="66" spans="1:9">
      <c r="A66" s="30"/>
      <c r="B66" s="31"/>
      <c r="C66" s="31"/>
      <c r="D66" s="31"/>
      <c r="E66" s="31"/>
      <c r="F66" s="31"/>
      <c r="G66" s="31"/>
      <c r="H66" s="49"/>
      <c r="I66" s="49"/>
    </row>
    <row r="67" spans="1:9">
      <c r="A67" s="27" t="s">
        <v>476</v>
      </c>
      <c r="B67" s="28">
        <f>'产品 -wind'!B14</f>
        <v>77.629000000000005</v>
      </c>
      <c r="C67" s="28">
        <f>'产品 -wind'!C14</f>
        <v>95.79</v>
      </c>
      <c r="D67" s="28">
        <f>'产品 -wind'!D14</f>
        <v>94.43</v>
      </c>
      <c r="E67" s="28">
        <f>'产品 -wind'!E14</f>
        <v>101.297</v>
      </c>
      <c r="F67" s="31">
        <f>F25-F60</f>
        <v>118.03890000000001</v>
      </c>
      <c r="G67" s="28">
        <f>F67*(1+G68)</f>
        <v>138.105513</v>
      </c>
      <c r="H67" s="28">
        <f>G67*(1+H68)</f>
        <v>161.58345021</v>
      </c>
      <c r="I67" s="28">
        <f>H67*(1+I68)</f>
        <v>192.2843057499</v>
      </c>
    </row>
    <row r="68" spans="1:9">
      <c r="A68" s="30" t="s">
        <v>179</v>
      </c>
      <c r="B68" s="31"/>
      <c r="C68" s="32">
        <f t="shared" ref="C68:F68" si="47">C67/B67-1</f>
        <v>0.23394607685272301</v>
      </c>
      <c r="D68" s="32">
        <f t="shared" si="47"/>
        <v>-1.41977241883287E-2</v>
      </c>
      <c r="E68" s="32">
        <f t="shared" si="47"/>
        <v>7.2720533728687795E-2</v>
      </c>
      <c r="F68" s="32">
        <f t="shared" si="47"/>
        <v>0.16527537834289285</v>
      </c>
      <c r="G68" s="55">
        <v>0.17</v>
      </c>
      <c r="H68" s="55">
        <v>0.17</v>
      </c>
      <c r="I68" s="55">
        <v>0.19</v>
      </c>
    </row>
    <row r="69" spans="1:9">
      <c r="A69" s="30" t="s">
        <v>489</v>
      </c>
      <c r="B69" s="31"/>
      <c r="C69" s="32">
        <f>1-C67/C64</f>
        <v>0.19176833898648299</v>
      </c>
      <c r="D69" s="32">
        <f t="shared" ref="D69:I69" si="48">1-D67/D64</f>
        <v>0.29709249527325798</v>
      </c>
      <c r="E69" s="32">
        <f t="shared" si="48"/>
        <v>0.33380904152472102</v>
      </c>
      <c r="F69" s="32">
        <v>0.35</v>
      </c>
      <c r="G69" s="32">
        <f t="shared" si="48"/>
        <v>0.31855685577217274</v>
      </c>
      <c r="H69" s="32">
        <f t="shared" si="48"/>
        <v>0.33559293437786841</v>
      </c>
      <c r="I69" s="32">
        <f t="shared" si="48"/>
        <v>0.34657486934682924</v>
      </c>
    </row>
  </sheetData>
  <mergeCells count="2">
    <mergeCell ref="A63:I63"/>
    <mergeCell ref="A28:I28"/>
  </mergeCells>
  <phoneticPr fontId="133"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39991454817346722"/>
  </sheetPr>
  <dimension ref="A1:O50"/>
  <sheetViews>
    <sheetView showGridLines="0" showRowColHeaders="0" topLeftCell="A11" zoomScale="70" zoomScaleNormal="70" workbookViewId="0">
      <selection activeCell="E28" sqref="E28"/>
    </sheetView>
  </sheetViews>
  <sheetFormatPr defaultColWidth="10.83203125" defaultRowHeight="15.5"/>
  <cols>
    <col min="1" max="2" width="10.83203125" style="59"/>
    <col min="3" max="3" width="11.83203125" style="59" customWidth="1"/>
    <col min="4" max="4" width="21.6640625" style="59" customWidth="1"/>
    <col min="5" max="5" width="10.83203125" style="59"/>
    <col min="6" max="6" width="7.1640625" style="59" customWidth="1"/>
    <col min="7" max="7" width="8.6640625" style="59" customWidth="1"/>
    <col min="8" max="8" width="8.58203125" style="59" customWidth="1"/>
    <col min="9" max="10" width="7.83203125" style="59" customWidth="1"/>
    <col min="11" max="11" width="7.6640625" style="59" customWidth="1"/>
    <col min="12" max="12" width="7.83203125" style="59" customWidth="1"/>
    <col min="13" max="13" width="7.5" style="59" customWidth="1"/>
    <col min="14" max="14" width="7.6640625" style="60" customWidth="1"/>
    <col min="15" max="16384" width="10.83203125" style="60"/>
  </cols>
  <sheetData>
    <row r="1" spans="1:15">
      <c r="A1" s="61">
        <v>1</v>
      </c>
      <c r="B1" s="62"/>
      <c r="C1" s="61"/>
      <c r="D1" s="61"/>
      <c r="E1" s="63"/>
      <c r="F1" s="63"/>
      <c r="G1" s="63"/>
      <c r="H1" s="63"/>
      <c r="I1" s="63"/>
      <c r="J1" s="63"/>
      <c r="K1" s="63"/>
      <c r="L1" s="63"/>
      <c r="M1" s="60"/>
    </row>
    <row r="2" spans="1:15">
      <c r="A2" s="61"/>
      <c r="B2" s="64"/>
      <c r="C2" s="64" t="s">
        <v>281</v>
      </c>
      <c r="D2" s="65"/>
      <c r="E2" s="65"/>
      <c r="F2" s="65"/>
      <c r="G2" s="65"/>
      <c r="H2" s="65"/>
      <c r="I2" s="65"/>
      <c r="J2" s="65"/>
      <c r="K2" s="66"/>
      <c r="L2" s="66"/>
      <c r="M2" s="66"/>
      <c r="N2" s="66"/>
      <c r="O2" s="66"/>
    </row>
    <row r="3" spans="1:15">
      <c r="A3" s="61"/>
      <c r="B3" s="67"/>
      <c r="C3" s="67" t="s">
        <v>282</v>
      </c>
      <c r="D3" s="68"/>
      <c r="E3" s="69"/>
      <c r="F3" s="69"/>
      <c r="G3" s="69"/>
      <c r="H3" s="69"/>
      <c r="I3" s="69"/>
      <c r="J3" s="69"/>
      <c r="K3" s="70"/>
      <c r="L3" s="70"/>
      <c r="M3" s="70"/>
      <c r="N3" s="71"/>
      <c r="O3" s="71"/>
    </row>
    <row r="4" spans="1:15">
      <c r="A4" s="61"/>
      <c r="B4" s="64"/>
      <c r="C4" s="64" t="s">
        <v>283</v>
      </c>
      <c r="D4" s="65"/>
      <c r="E4" s="72">
        <v>2023</v>
      </c>
      <c r="F4" s="72">
        <v>2024</v>
      </c>
      <c r="G4" s="72" t="s">
        <v>99</v>
      </c>
      <c r="H4" s="72" t="s">
        <v>100</v>
      </c>
      <c r="I4" s="72" t="s">
        <v>101</v>
      </c>
      <c r="J4" s="72" t="s">
        <v>173</v>
      </c>
      <c r="K4" s="72" t="s">
        <v>174</v>
      </c>
      <c r="L4" s="72" t="s">
        <v>175</v>
      </c>
      <c r="M4" s="72" t="s">
        <v>176</v>
      </c>
      <c r="N4" s="72" t="s">
        <v>177</v>
      </c>
      <c r="O4" s="71"/>
    </row>
    <row r="5" spans="1:15">
      <c r="A5" s="61"/>
      <c r="B5" s="73"/>
      <c r="C5" s="73" t="s">
        <v>284</v>
      </c>
      <c r="D5" s="73"/>
      <c r="E5" s="74">
        <f>'PL-CF-BS'!I6</f>
        <v>1067.7080000000001</v>
      </c>
      <c r="F5" s="74">
        <f>'PL-CF-BS'!J6</f>
        <v>1197.133</v>
      </c>
      <c r="G5" s="74">
        <f>'PL-CF-BS'!K6</f>
        <v>1354.37</v>
      </c>
      <c r="H5" s="74">
        <f>'PL-CF-BS'!L6</f>
        <v>1522.2508760000001</v>
      </c>
      <c r="I5" s="74">
        <f>'PL-CF-BS'!M6</f>
        <v>1676.6468436600001</v>
      </c>
      <c r="J5" s="74">
        <f>'PL-CF-BS'!N6</f>
        <v>1844.3115280260001</v>
      </c>
      <c r="K5" s="74">
        <f>'PL-CF-BS'!O6</f>
        <v>2010.2995655483403</v>
      </c>
      <c r="L5" s="74">
        <f>'PL-CF-BS'!P6</f>
        <v>2171.1235307922075</v>
      </c>
      <c r="M5" s="74">
        <f>'PL-CF-BS'!Q6</f>
        <v>2344.8134132555842</v>
      </c>
      <c r="N5" s="74">
        <f>'PL-CF-BS'!R6</f>
        <v>2532.3984863160313</v>
      </c>
      <c r="O5" s="71"/>
    </row>
    <row r="6" spans="1:15">
      <c r="A6" s="61"/>
      <c r="B6" s="73"/>
      <c r="C6" s="73"/>
      <c r="D6" s="73" t="s">
        <v>182</v>
      </c>
      <c r="E6" s="75"/>
      <c r="F6" s="75">
        <f>F5/E5-1</f>
        <v>0.12121759881915284</v>
      </c>
      <c r="G6" s="75">
        <f t="shared" ref="G6:N6" si="0">G5/F5-1</f>
        <v>0.13134463756324477</v>
      </c>
      <c r="H6" s="75">
        <f t="shared" si="0"/>
        <v>0.12395495765558917</v>
      </c>
      <c r="I6" s="75">
        <f t="shared" si="0"/>
        <v>0.10142609874247821</v>
      </c>
      <c r="J6" s="75">
        <f t="shared" si="0"/>
        <v>0.10000000000000009</v>
      </c>
      <c r="K6" s="75">
        <f t="shared" si="0"/>
        <v>9.000000000000008E-2</v>
      </c>
      <c r="L6" s="75">
        <f t="shared" si="0"/>
        <v>8.0000000000000071E-2</v>
      </c>
      <c r="M6" s="75">
        <f t="shared" si="0"/>
        <v>8.0000000000000071E-2</v>
      </c>
      <c r="N6" s="75">
        <f t="shared" si="0"/>
        <v>8.0000000000000071E-2</v>
      </c>
      <c r="O6" s="71"/>
    </row>
    <row r="7" spans="1:15">
      <c r="A7" s="61"/>
      <c r="B7" s="73"/>
      <c r="C7" s="73" t="s">
        <v>18</v>
      </c>
      <c r="D7" s="73"/>
      <c r="E7" s="74">
        <f>'PL-CF-BS'!I41-'PL-CF-BS'!I58</f>
        <v>124.11400000000015</v>
      </c>
      <c r="F7" s="74">
        <f>'PL-CF-BS'!J41-'PL-CF-BS'!J58</f>
        <v>152.76900000000012</v>
      </c>
      <c r="G7" s="74">
        <f>'PL-CF-BS'!K41-'PL-CF-BS'!K58</f>
        <v>173.29300000000001</v>
      </c>
      <c r="H7" s="74">
        <f>'PL-CF-BS'!L41-'PL-CF-BS'!L58</f>
        <v>195.5858997279999</v>
      </c>
      <c r="I7" s="74">
        <f>'PL-CF-BS'!M41-'PL-CF-BS'!M58</f>
        <v>224.34180953925073</v>
      </c>
      <c r="J7" s="74">
        <f>'PL-CF-BS'!N41-'PL-CF-BS'!N58</f>
        <v>250.17570072658748</v>
      </c>
      <c r="K7" s="74">
        <f>'PL-CF-BS'!O41-'PL-CF-BS'!O58</f>
        <v>290.1339706784641</v>
      </c>
      <c r="L7" s="74">
        <f>'PL-CF-BS'!P41-'PL-CF-BS'!P58</f>
        <v>319.55311323558311</v>
      </c>
      <c r="M7" s="74">
        <f>'PL-CF-BS'!Q41-'PL-CF-BS'!Q58</f>
        <v>365.35274572543619</v>
      </c>
      <c r="N7" s="74">
        <f>'PL-CF-BS'!R41-'PL-CF-BS'!R58</f>
        <v>416.20400106698548</v>
      </c>
      <c r="O7" s="71"/>
    </row>
    <row r="8" spans="1:15">
      <c r="A8" s="61"/>
      <c r="B8" s="73"/>
      <c r="C8" s="73"/>
      <c r="D8" s="73" t="s">
        <v>182</v>
      </c>
      <c r="E8" s="75"/>
      <c r="F8" s="75">
        <f>F7/E7-1</f>
        <v>0.23087645229385845</v>
      </c>
      <c r="G8" s="75">
        <f t="shared" ref="G8:N8" si="1">G7/F7-1</f>
        <v>0.13434662791534846</v>
      </c>
      <c r="H8" s="75">
        <f t="shared" si="1"/>
        <v>0.1286428172401648</v>
      </c>
      <c r="I8" s="75">
        <f t="shared" si="1"/>
        <v>0.14702445243364415</v>
      </c>
      <c r="J8" s="75">
        <f t="shared" si="1"/>
        <v>0.11515415356769187</v>
      </c>
      <c r="K8" s="75">
        <f t="shared" si="1"/>
        <v>0.15972082754570271</v>
      </c>
      <c r="L8" s="75">
        <f t="shared" si="1"/>
        <v>0.10139847632569121</v>
      </c>
      <c r="M8" s="75">
        <f t="shared" si="1"/>
        <v>0.14332400653561583</v>
      </c>
      <c r="N8" s="75">
        <f t="shared" si="1"/>
        <v>0.13918399666213044</v>
      </c>
      <c r="O8" s="71"/>
    </row>
    <row r="9" spans="1:15">
      <c r="A9" s="61"/>
      <c r="B9" s="73"/>
      <c r="C9" s="73"/>
      <c r="D9" s="73" t="s">
        <v>285</v>
      </c>
      <c r="E9" s="76">
        <f>E7/E5</f>
        <v>0.11624339238818117</v>
      </c>
      <c r="F9" s="76">
        <f t="shared" ref="F9:N9" si="2">F7/F5</f>
        <v>0.1276123872619</v>
      </c>
      <c r="G9" s="76">
        <f t="shared" si="2"/>
        <v>0.12795100304938828</v>
      </c>
      <c r="H9" s="76">
        <f t="shared" si="2"/>
        <v>0.12848466886216453</v>
      </c>
      <c r="I9" s="76">
        <f t="shared" si="2"/>
        <v>0.13380385403614789</v>
      </c>
      <c r="J9" s="76">
        <f t="shared" si="2"/>
        <v>0.13564720326525045</v>
      </c>
      <c r="K9" s="76">
        <f t="shared" si="2"/>
        <v>0.14432374938076734</v>
      </c>
      <c r="L9" s="76">
        <f t="shared" si="2"/>
        <v>0.14718329413480374</v>
      </c>
      <c r="M9" s="76">
        <f t="shared" si="2"/>
        <v>0.15581314217158684</v>
      </c>
      <c r="N9" s="76">
        <f t="shared" si="2"/>
        <v>0.1643517018810306</v>
      </c>
      <c r="O9" s="71"/>
    </row>
    <row r="10" spans="1:15">
      <c r="A10" s="61"/>
      <c r="B10" s="73"/>
      <c r="C10" s="73" t="s">
        <v>286</v>
      </c>
      <c r="D10" s="73"/>
      <c r="E10" s="74">
        <f>E7*(1-$L$16)</f>
        <v>100.53234000000012</v>
      </c>
      <c r="F10" s="74">
        <f t="shared" ref="F10:N10" si="3">F7*(1-$L$16)</f>
        <v>123.7428900000001</v>
      </c>
      <c r="G10" s="74">
        <f t="shared" si="3"/>
        <v>140.36733000000001</v>
      </c>
      <c r="H10" s="74">
        <f t="shared" si="3"/>
        <v>158.42457877967993</v>
      </c>
      <c r="I10" s="74">
        <f t="shared" si="3"/>
        <v>181.71686572679312</v>
      </c>
      <c r="J10" s="74">
        <f t="shared" si="3"/>
        <v>202.64231758853586</v>
      </c>
      <c r="K10" s="74">
        <f t="shared" si="3"/>
        <v>235.00851624955592</v>
      </c>
      <c r="L10" s="74">
        <f t="shared" si="3"/>
        <v>258.83802172082233</v>
      </c>
      <c r="M10" s="74">
        <f t="shared" si="3"/>
        <v>295.93572403760334</v>
      </c>
      <c r="N10" s="74">
        <f t="shared" si="3"/>
        <v>337.12524086425827</v>
      </c>
      <c r="O10" s="71"/>
    </row>
    <row r="11" spans="1:15">
      <c r="A11" s="61"/>
      <c r="B11" s="73"/>
      <c r="C11" s="77" t="s">
        <v>287</v>
      </c>
      <c r="D11" s="78" t="s">
        <v>288</v>
      </c>
      <c r="E11" s="74">
        <f>'PL-CF-BS'!I90</f>
        <v>36.574999999999996</v>
      </c>
      <c r="F11" s="74">
        <f>'PL-CF-BS'!J90</f>
        <v>44.975999999999999</v>
      </c>
      <c r="G11" s="74">
        <f>'PL-CF-BS'!K90</f>
        <v>40.252800000000001</v>
      </c>
      <c r="H11" s="74">
        <f>'PL-CF-BS'!L90</f>
        <v>42.631330000000005</v>
      </c>
      <c r="I11" s="74">
        <f>'PL-CF-BS'!M90</f>
        <v>44.751045500000004</v>
      </c>
      <c r="J11" s="74">
        <f>'PL-CF-BS'!N90</f>
        <v>46.799564350000004</v>
      </c>
      <c r="K11" s="74">
        <f>'PL-CF-BS'!O90</f>
        <v>49.200044611666677</v>
      </c>
      <c r="L11" s="74">
        <f>'PL-CF-BS'!P90</f>
        <v>51.60857330261112</v>
      </c>
      <c r="M11" s="74">
        <f>'PL-CF-BS'!Q90</f>
        <v>54.123000163568527</v>
      </c>
      <c r="N11" s="74">
        <f>'PL-CF-BS'!R90</f>
        <v>56.808259961876985</v>
      </c>
      <c r="O11" s="71"/>
    </row>
    <row r="12" spans="1:15">
      <c r="A12" s="61"/>
      <c r="B12" s="73"/>
      <c r="C12" s="77" t="s">
        <v>289</v>
      </c>
      <c r="D12" s="77" t="s">
        <v>226</v>
      </c>
      <c r="E12" s="74">
        <f>'PL-CF-BS'!I91</f>
        <v>32.421000000000006</v>
      </c>
      <c r="F12" s="74">
        <f>'PL-CF-BS'!J91</f>
        <v>27.974999999999994</v>
      </c>
      <c r="G12" s="74">
        <f>'PL-CF-BS'!K91</f>
        <v>-141.71679999999995</v>
      </c>
      <c r="H12" s="74">
        <f>'PL-CF-BS'!L91</f>
        <v>-22.013288611111079</v>
      </c>
      <c r="I12" s="74">
        <f>'PL-CF-BS'!M91</f>
        <v>-28.328407467592513</v>
      </c>
      <c r="J12" s="74">
        <f>'PL-CF-BS'!N91</f>
        <v>-2.0483412769290794</v>
      </c>
      <c r="K12" s="74">
        <f>'PL-CF-BS'!O91</f>
        <v>-23.787200739342666</v>
      </c>
      <c r="L12" s="74">
        <f>'PL-CF-BS'!P91</f>
        <v>-25.535392883734289</v>
      </c>
      <c r="M12" s="74">
        <f>'PL-CF-BS'!Q91</f>
        <v>-91.664448325195622</v>
      </c>
      <c r="N12" s="74">
        <f>'PL-CF-BS'!R91</f>
        <v>-107.78128304054906</v>
      </c>
      <c r="O12" s="71"/>
    </row>
    <row r="13" spans="1:15">
      <c r="A13" s="61"/>
      <c r="B13" s="73"/>
      <c r="C13" s="77" t="s">
        <v>289</v>
      </c>
      <c r="D13" s="77" t="s">
        <v>228</v>
      </c>
      <c r="E13" s="74">
        <f>'PL-CF-BS'!I96</f>
        <v>-90.331000000000003</v>
      </c>
      <c r="F13" s="74">
        <f>'PL-CF-BS'!J96</f>
        <v>-92.704999999999998</v>
      </c>
      <c r="G13" s="74">
        <f>'PL-CF-BS'!K96</f>
        <v>-93</v>
      </c>
      <c r="H13" s="74">
        <f>'PL-CF-BS'!L96</f>
        <v>-100.44000000000001</v>
      </c>
      <c r="I13" s="74">
        <f>'PL-CF-BS'!M96</f>
        <v>-108.47520000000002</v>
      </c>
      <c r="J13" s="74">
        <f>'PL-CF-BS'!N96</f>
        <v>-117.15321600000003</v>
      </c>
      <c r="K13" s="74">
        <f>'PL-CF-BS'!O96</f>
        <v>-126.52547328000004</v>
      </c>
      <c r="L13" s="74">
        <f>'PL-CF-BS'!P96</f>
        <v>-136.64751114240005</v>
      </c>
      <c r="M13" s="74">
        <f>'PL-CF-BS'!Q96</f>
        <v>-143.47988669952005</v>
      </c>
      <c r="N13" s="74">
        <f>'PL-CF-BS'!R96</f>
        <v>-150.65388103449607</v>
      </c>
      <c r="O13" s="71"/>
    </row>
    <row r="14" spans="1:15">
      <c r="A14" s="61"/>
      <c r="B14" s="79"/>
      <c r="C14" s="80" t="s">
        <v>290</v>
      </c>
      <c r="D14" s="80"/>
      <c r="E14" s="81">
        <f>SUM(E10:E13)</f>
        <v>79.197340000000125</v>
      </c>
      <c r="F14" s="81">
        <f t="shared" ref="F14:N14" si="4">SUM(F10:F13)</f>
        <v>103.9888900000001</v>
      </c>
      <c r="G14" s="81">
        <f t="shared" si="4"/>
        <v>-54.096669999999932</v>
      </c>
      <c r="H14" s="81">
        <f t="shared" si="4"/>
        <v>78.602620168568862</v>
      </c>
      <c r="I14" s="81">
        <f t="shared" si="4"/>
        <v>89.664303759200592</v>
      </c>
      <c r="J14" s="81">
        <f t="shared" si="4"/>
        <v>130.24032466160673</v>
      </c>
      <c r="K14" s="81">
        <f t="shared" si="4"/>
        <v>133.89588684187993</v>
      </c>
      <c r="L14" s="81">
        <f t="shared" si="4"/>
        <v>148.26369099729914</v>
      </c>
      <c r="M14" s="81">
        <f t="shared" si="4"/>
        <v>114.91438917645618</v>
      </c>
      <c r="N14" s="81">
        <f t="shared" si="4"/>
        <v>135.49833675109016</v>
      </c>
      <c r="O14" s="71"/>
    </row>
    <row r="15" spans="1:15">
      <c r="A15" s="82"/>
      <c r="B15" s="64"/>
      <c r="C15" s="64" t="s">
        <v>291</v>
      </c>
      <c r="D15" s="65"/>
      <c r="E15" s="83"/>
      <c r="F15" s="83"/>
      <c r="G15" s="83"/>
      <c r="H15" s="83"/>
      <c r="I15" s="83"/>
      <c r="J15" s="83"/>
      <c r="K15" s="84"/>
      <c r="L15" s="66"/>
      <c r="M15" s="66"/>
      <c r="N15" s="66"/>
      <c r="O15" s="71"/>
    </row>
    <row r="16" spans="1:15">
      <c r="A16" s="61"/>
      <c r="B16" s="73"/>
      <c r="C16" s="73"/>
      <c r="D16" s="73" t="s">
        <v>292</v>
      </c>
      <c r="E16" s="85">
        <f>NPV(L24,I14:N14)+H14</f>
        <v>656.12090691042545</v>
      </c>
      <c r="F16" s="86"/>
      <c r="G16" s="87"/>
      <c r="H16" s="88"/>
      <c r="I16"/>
      <c r="J16" s="89"/>
      <c r="K16" s="88" t="s">
        <v>293</v>
      </c>
      <c r="L16" s="89">
        <v>0.19</v>
      </c>
      <c r="M16" s="90"/>
      <c r="N16" s="71"/>
      <c r="O16" s="71"/>
    </row>
    <row r="17" spans="1:15">
      <c r="A17" s="61"/>
      <c r="B17" s="73"/>
      <c r="C17" s="73"/>
      <c r="D17" s="73" t="s">
        <v>294</v>
      </c>
      <c r="E17" s="85">
        <f>N14*(1+L25)/(L24-L25)</f>
        <v>2389.9728072385187</v>
      </c>
      <c r="F17" s="87"/>
      <c r="G17" s="87"/>
      <c r="H17" s="88"/>
      <c r="I17"/>
      <c r="J17" s="91"/>
      <c r="K17" s="88" t="s">
        <v>295</v>
      </c>
      <c r="L17" s="89">
        <v>0.34</v>
      </c>
      <c r="M17" s="90"/>
      <c r="N17" s="71"/>
      <c r="O17" s="71"/>
    </row>
    <row r="18" spans="1:15">
      <c r="A18" s="61"/>
      <c r="B18" s="73"/>
      <c r="C18" s="73"/>
      <c r="D18" s="73" t="s">
        <v>296</v>
      </c>
      <c r="E18" s="85">
        <f>E17/(1+L24)^6</f>
        <v>1524.3869531476873</v>
      </c>
      <c r="F18" s="87"/>
      <c r="G18" s="87"/>
      <c r="H18" s="88"/>
      <c r="I18"/>
      <c r="J18" s="89"/>
      <c r="K18" s="88" t="s">
        <v>297</v>
      </c>
      <c r="L18" s="92">
        <v>0.81</v>
      </c>
      <c r="M18" s="90"/>
      <c r="N18" s="71"/>
      <c r="O18" s="71"/>
    </row>
    <row r="19" spans="1:15">
      <c r="A19" s="61"/>
      <c r="B19" s="73"/>
      <c r="C19" s="73"/>
      <c r="D19" s="73" t="s">
        <v>298</v>
      </c>
      <c r="E19" s="85">
        <f>E16+E18</f>
        <v>2180.5078600581128</v>
      </c>
      <c r="F19" s="93"/>
      <c r="G19" s="87"/>
      <c r="H19" s="88"/>
      <c r="I19"/>
      <c r="J19" s="89"/>
      <c r="K19" s="88" t="s">
        <v>299</v>
      </c>
      <c r="L19" s="94">
        <v>0.03</v>
      </c>
      <c r="M19" s="90"/>
      <c r="N19" s="71"/>
      <c r="O19" s="71"/>
    </row>
    <row r="20" spans="1:15">
      <c r="A20" s="61"/>
      <c r="B20" s="73"/>
      <c r="C20" s="73"/>
      <c r="D20" s="73" t="s">
        <v>300</v>
      </c>
      <c r="E20" s="95">
        <f>'PL-CF-BS'!L117-'PL-CF-BS'!L136</f>
        <v>273.1271425423646</v>
      </c>
      <c r="F20" s="87"/>
      <c r="G20" s="87"/>
      <c r="H20" s="88"/>
      <c r="I20"/>
      <c r="J20" s="89"/>
      <c r="K20" s="88" t="s">
        <v>301</v>
      </c>
      <c r="L20" s="94">
        <v>0.09</v>
      </c>
      <c r="M20" s="90"/>
      <c r="N20" s="71"/>
      <c r="O20" s="71"/>
    </row>
    <row r="21" spans="1:15">
      <c r="A21" s="61"/>
      <c r="B21" s="73"/>
      <c r="C21" s="73"/>
      <c r="D21" s="73" t="s">
        <v>302</v>
      </c>
      <c r="E21" s="95">
        <f>E19+E20</f>
        <v>2453.6350026004775</v>
      </c>
      <c r="F21" s="87"/>
      <c r="G21" s="87"/>
      <c r="H21" s="88"/>
      <c r="I21"/>
      <c r="J21" s="89"/>
      <c r="K21" s="88" t="s">
        <v>303</v>
      </c>
      <c r="L21" s="89">
        <f>L19+L18*L20</f>
        <v>0.10290000000000001</v>
      </c>
      <c r="M21" s="90"/>
      <c r="N21" s="71"/>
      <c r="O21" s="71"/>
    </row>
    <row r="22" spans="1:15">
      <c r="A22" s="61"/>
      <c r="B22" s="73"/>
      <c r="C22" s="73"/>
      <c r="D22" s="96" t="s">
        <v>304</v>
      </c>
      <c r="E22" s="97">
        <f>E21/'PL-CF-BS'!J72</f>
        <v>6.704125595991508</v>
      </c>
      <c r="F22" s="87"/>
      <c r="G22" s="87"/>
      <c r="H22" s="98"/>
      <c r="I22" s="90"/>
      <c r="J22" s="90"/>
      <c r="K22" s="88" t="s">
        <v>305</v>
      </c>
      <c r="L22" s="89">
        <v>3.5999999999999997E-2</v>
      </c>
      <c r="M22" s="90"/>
      <c r="N22" s="71"/>
      <c r="O22" s="71"/>
    </row>
    <row r="23" spans="1:15">
      <c r="A23" s="61"/>
      <c r="B23" s="73"/>
      <c r="C23" s="73"/>
      <c r="D23" s="73"/>
      <c r="E23" s="87"/>
      <c r="F23" s="87"/>
      <c r="G23" s="87"/>
      <c r="H23" s="98"/>
      <c r="I23" s="90"/>
      <c r="J23" s="90"/>
      <c r="K23" s="88" t="s">
        <v>306</v>
      </c>
      <c r="L23" s="89">
        <f>L22*(1-L16)</f>
        <v>2.9159999999999998E-2</v>
      </c>
      <c r="M23" s="90"/>
      <c r="N23" s="71"/>
      <c r="O23" s="71"/>
    </row>
    <row r="24" spans="1:15">
      <c r="A24" s="61"/>
      <c r="B24" s="73"/>
      <c r="C24" s="73"/>
      <c r="D24" s="73"/>
      <c r="E24" s="87"/>
      <c r="F24" s="87"/>
      <c r="G24" s="87"/>
      <c r="H24" s="98"/>
      <c r="I24" s="90"/>
      <c r="J24" s="90"/>
      <c r="K24" s="88" t="s">
        <v>307</v>
      </c>
      <c r="L24" s="89">
        <f>L23*L17+L21*(1-L17)</f>
        <v>7.7828400000000006E-2</v>
      </c>
      <c r="M24" s="90"/>
      <c r="N24" s="71"/>
      <c r="O24" s="71"/>
    </row>
    <row r="25" spans="1:15">
      <c r="A25" s="61"/>
      <c r="B25" s="73"/>
      <c r="C25" s="73"/>
      <c r="D25" s="73"/>
      <c r="E25" s="87"/>
      <c r="F25" s="87"/>
      <c r="G25" s="87"/>
      <c r="H25" s="98"/>
      <c r="I25" s="90"/>
      <c r="J25" s="90"/>
      <c r="K25" s="88" t="s">
        <v>308</v>
      </c>
      <c r="L25" s="89">
        <v>0.02</v>
      </c>
      <c r="M25" s="90"/>
      <c r="N25" s="71"/>
      <c r="O25" s="71"/>
    </row>
    <row r="26" spans="1:15">
      <c r="A26" s="61"/>
      <c r="B26" s="99"/>
      <c r="C26" s="99"/>
      <c r="D26" s="99"/>
      <c r="E26" s="98"/>
      <c r="F26" s="98"/>
      <c r="G26" s="98"/>
      <c r="H26" s="98"/>
      <c r="I26" s="98"/>
      <c r="J26" s="100"/>
      <c r="K26" s="98"/>
      <c r="L26" s="101"/>
      <c r="M26" s="101"/>
      <c r="N26" s="71"/>
      <c r="O26" s="71"/>
    </row>
    <row r="27" spans="1:15">
      <c r="A27" s="61"/>
      <c r="B27" s="99"/>
      <c r="C27" s="99"/>
      <c r="D27" s="99"/>
      <c r="E27" s="98"/>
      <c r="F27" s="98"/>
      <c r="G27" s="98"/>
      <c r="H27" s="98"/>
      <c r="I27" s="98"/>
      <c r="J27" s="98"/>
      <c r="K27" s="98"/>
      <c r="L27" s="98"/>
      <c r="M27" s="98"/>
      <c r="N27" s="71"/>
      <c r="O27" s="71"/>
    </row>
    <row r="28" spans="1:15">
      <c r="A28" s="82"/>
      <c r="B28" s="102"/>
      <c r="C28" s="102"/>
      <c r="D28" s="102"/>
      <c r="E28" s="103" t="s">
        <v>309</v>
      </c>
      <c r="F28" s="103"/>
      <c r="G28" s="103"/>
      <c r="H28" s="103"/>
      <c r="I28" s="103"/>
      <c r="J28" s="103"/>
      <c r="K28" s="103"/>
      <c r="L28" s="103"/>
      <c r="M28" s="103"/>
      <c r="N28" s="71"/>
      <c r="O28" s="71"/>
    </row>
    <row r="29" spans="1:15">
      <c r="A29" s="61"/>
      <c r="B29" s="104"/>
      <c r="C29" s="104"/>
      <c r="D29" s="104"/>
      <c r="E29" s="325" t="s">
        <v>308</v>
      </c>
      <c r="F29" s="325"/>
      <c r="G29" s="325"/>
      <c r="H29" s="105">
        <f>I29-0.1%</f>
        <v>1.6999999999999998E-2</v>
      </c>
      <c r="I29" s="105">
        <f>J29-0.1%</f>
        <v>1.7999999999999999E-2</v>
      </c>
      <c r="J29" s="105">
        <f>K29-0.1%</f>
        <v>1.9E-2</v>
      </c>
      <c r="K29" s="105">
        <f>L25</f>
        <v>0.02</v>
      </c>
      <c r="L29" s="105">
        <f>K29+0.1%</f>
        <v>2.1000000000000001E-2</v>
      </c>
      <c r="M29" s="105">
        <f>L29+0.1%</f>
        <v>2.2000000000000002E-2</v>
      </c>
      <c r="N29" s="71"/>
      <c r="O29" s="71"/>
    </row>
    <row r="30" spans="1:15">
      <c r="A30" s="61"/>
      <c r="B30" s="104"/>
      <c r="C30" s="104"/>
      <c r="D30" s="104"/>
      <c r="E30" s="326" t="s">
        <v>307</v>
      </c>
      <c r="F30" s="326"/>
      <c r="G30" s="105">
        <f>G31-0.1%</f>
        <v>7.4828400000000003E-2</v>
      </c>
      <c r="H30" s="106">
        <f>($E$20+(NPV($G30,$I$14:$N$14)+$H$14)+((($N$14*(1+H$29)/($G30-H$29)))/(1+$G30)^6))/'PL-CF-BS'!$J$72</f>
        <v>6.7770869092522474</v>
      </c>
      <c r="I30" s="106">
        <f>($E$20+(NPV($G30,$I$14:$N$14)+$H$14)+((($N$14*(1+I$29)/($G30-I$29)))/(1+$G30)^6))/'PL-CF-BS'!$J$72</f>
        <v>6.8556220228989693</v>
      </c>
      <c r="J30" s="106">
        <f>($E$20+(NPV($G30,$I$14:$N$14)+$H$14)+((($N$14*(1+J$29)/($G30-J$29)))/(1+$G30)^6))/'PL-CF-BS'!$J$72</f>
        <v>6.9369705832375796</v>
      </c>
      <c r="K30" s="106">
        <f>($E$20+(NPV($G30,$I$14:$N$14)+$H$14)+((($N$14*(1+K$29)/($G30-K$29)))/(1+$G30)^6))/'PL-CF-BS'!$J$72</f>
        <v>7.0212865312927244</v>
      </c>
      <c r="L30" s="106">
        <f>($E$20+(NPV($G30,$I$14:$N$14)+$H$14)+((($N$14*(1+L$29)/($G30-L$29)))/(1+$G30)^6))/'PL-CF-BS'!$J$72</f>
        <v>7.1087352474797507</v>
      </c>
      <c r="M30" s="106">
        <f>($E$20+(NPV($G30,$I$14:$N$14)+$H$14)+((($N$14*(1+M$29)/($G30-M$29)))/(1+$G30)^6))/'PL-CF-BS'!$J$72</f>
        <v>7.199494634297996</v>
      </c>
      <c r="N30" s="71"/>
      <c r="O30" s="71"/>
    </row>
    <row r="31" spans="1:15">
      <c r="A31" s="61"/>
      <c r="B31" s="107"/>
      <c r="C31" s="107"/>
      <c r="D31" s="108"/>
      <c r="E31" s="326"/>
      <c r="F31" s="326"/>
      <c r="G31" s="105">
        <f>G32-0.1%</f>
        <v>7.5828400000000004E-2</v>
      </c>
      <c r="H31" s="106">
        <f>($E$20+(NPV($G31,$I$14:$N$14)+$H$14)+((($N$14*(1+H$29)/($G31-H$29)))/(1+$G31)^6))/'PL-CF-BS'!$J$72</f>
        <v>6.6771224909924296</v>
      </c>
      <c r="I31" s="106">
        <f>($E$20+(NPV($G31,$I$14:$N$14)+$H$14)+((($N$14*(1+I$29)/($G31-I$29)))/(1+$G31)^6))/'PL-CF-BS'!$J$72</f>
        <v>6.7526356973018888</v>
      </c>
      <c r="J31" s="106">
        <f>($E$20+(NPV($G31,$I$14:$N$14)+$H$14)+((($N$14*(1+J$29)/($G31-J$29)))/(1+$G31)^6))/'PL-CF-BS'!$J$72</f>
        <v>6.8308064905330088</v>
      </c>
      <c r="K31" s="106">
        <f>($E$20+(NPV($G31,$I$14:$N$14)+$H$14)+((($N$14*(1+K$29)/($G31-K$29)))/(1+$G31)^6))/'PL-CF-BS'!$J$72</f>
        <v>6.9117776790192718</v>
      </c>
      <c r="L31" s="106">
        <f>($E$20+(NPV($G31,$I$14:$N$14)+$H$14)+((($N$14*(1+L$29)/($G31-L$29)))/(1+$G31)^6))/'PL-CF-BS'!$J$72</f>
        <v>6.9957024896607045</v>
      </c>
      <c r="M31" s="106">
        <f>($E$20+(NPV($G31,$I$14:$N$14)+$H$14)+((($N$14*(1+M$29)/($G31-M$29)))/(1+$G31)^6))/'PL-CF-BS'!$J$72</f>
        <v>7.0827455356812843</v>
      </c>
      <c r="N31" s="71"/>
      <c r="O31" s="71"/>
    </row>
    <row r="32" spans="1:15">
      <c r="A32" s="61"/>
      <c r="B32" s="107"/>
      <c r="C32" s="107"/>
      <c r="D32" s="107"/>
      <c r="E32" s="326"/>
      <c r="F32" s="326"/>
      <c r="G32" s="105">
        <f>G33-0.1%</f>
        <v>7.6828400000000005E-2</v>
      </c>
      <c r="H32" s="106">
        <f>($E$20+(NPV($G32,$I$14:$N$14)+$H$14)+((($N$14*(1+H$29)/($G32-H$29)))/(1+$G32)^6))/'PL-CF-BS'!$J$72</f>
        <v>6.5805017062211499</v>
      </c>
      <c r="I32" s="106">
        <f>($E$20+(NPV($G32,$I$14:$N$14)+$H$14)+((($N$14*(1+I$29)/($G32-I$29)))/(1+$G32)^6))/'PL-CF-BS'!$J$72</f>
        <v>6.6531523082123236</v>
      </c>
      <c r="J32" s="106">
        <f>($E$20+(NPV($G32,$I$14:$N$14)+$H$14)+((($N$14*(1+J$29)/($G32-J$29)))/(1+$G32)^6))/'PL-CF-BS'!$J$72</f>
        <v>6.7283155372860799</v>
      </c>
      <c r="K32" s="106">
        <f>($E$20+(NPV($G32,$I$14:$N$14)+$H$14)+((($N$14*(1+K$29)/($G32-K$29)))/(1+$G32)^6))/'PL-CF-BS'!$J$72</f>
        <v>6.8061240362978852</v>
      </c>
      <c r="L32" s="106">
        <f>($E$20+(NPV($G32,$I$14:$N$14)+$H$14)+((($N$14*(1+L$29)/($G32-L$29)))/(1+$G32)^6))/'PL-CF-BS'!$J$72</f>
        <v>6.8867199517146664</v>
      </c>
      <c r="M32" s="106">
        <f>($E$20+(NPV($G32,$I$14:$N$14)+$H$14)+((($N$14*(1+M$29)/($G32-M$29)))/(1+$G32)^6))/'PL-CF-BS'!$J$72</f>
        <v>6.9702558002834945</v>
      </c>
      <c r="N32" s="71"/>
      <c r="O32" s="71"/>
    </row>
    <row r="33" spans="1:15">
      <c r="A33" s="61"/>
      <c r="B33" s="107"/>
      <c r="C33" s="107"/>
      <c r="D33" s="107"/>
      <c r="E33" s="326"/>
      <c r="F33" s="326"/>
      <c r="G33" s="109">
        <f>L24</f>
        <v>7.7828400000000006E-2</v>
      </c>
      <c r="H33" s="106">
        <f>($E$20+(NPV($G33,$I$14:$N$14)+$H$14)+((($N$14*(1+H$29)/($G33-H$29)))/(1+$G33)^6))/'PL-CF-BS'!$J$72</f>
        <v>6.4870596381415995</v>
      </c>
      <c r="I33" s="106">
        <f>($E$20+(NPV($G33,$I$14:$N$14)+$H$14)+((($N$14*(1+I$29)/($G33-I$29)))/(1+$G33)^6))/'PL-CF-BS'!$J$72</f>
        <v>6.5569961957905187</v>
      </c>
      <c r="J33" s="106">
        <f>($E$20+(NPV($G33,$I$14:$N$14)+$H$14)+((($N$14*(1+J$29)/($G33-J$29)))/(1+$G33)^6))/'PL-CF-BS'!$J$72</f>
        <v>6.6293103995304037</v>
      </c>
      <c r="K33" s="110">
        <f>($E$20+(NPV($G33,$I$14:$N$14)+$H$14)+((($N$14*(1+K$29)/($G33-K$29)))/(1+$G33)^6))/'PL-CF-BS'!$J$72</f>
        <v>6.704125595991508</v>
      </c>
      <c r="L33" s="106">
        <f>($E$20+(NPV($G33,$I$14:$N$14)+$H$14)+((($N$14*(1+L$29)/($G33-L$29)))/(1+$G33)^6))/'PL-CF-BS'!$J$72</f>
        <v>6.7815738138454762</v>
      </c>
      <c r="M33" s="106">
        <f>($E$20+(NPV($G33,$I$14:$N$14)+$H$14)+((($N$14*(1+M$29)/($G33-M$29)))/(1+$G33)^6))/'PL-CF-BS'!$J$72</f>
        <v>6.8617965413702926</v>
      </c>
      <c r="N33" s="71"/>
      <c r="O33" s="71"/>
    </row>
    <row r="34" spans="1:15">
      <c r="A34" s="61"/>
      <c r="B34" s="107"/>
      <c r="C34" s="107"/>
      <c r="D34" s="107"/>
      <c r="E34" s="326"/>
      <c r="F34" s="326"/>
      <c r="G34" s="105">
        <f>G33+0.1%</f>
        <v>7.8828400000000007E-2</v>
      </c>
      <c r="H34" s="106">
        <f>($E$20+(NPV($G34,$I$14:$N$14)+$H$14)+((($N$14*(1+H$29)/($G34-H$29)))/(1+$G34)^6))/'PL-CF-BS'!$J$72</f>
        <v>6.3966420394023276</v>
      </c>
      <c r="I34" s="106">
        <f>($E$20+(NPV($G34,$I$14:$N$14)+$H$14)+((($N$14*(1+I$29)/($G34-I$29)))/(1+$G34)^6))/'PL-CF-BS'!$J$72</f>
        <v>6.4640032514842423</v>
      </c>
      <c r="J34" s="106">
        <f>($E$20+(NPV($G34,$I$14:$N$14)+$H$14)+((($N$14*(1+J$29)/($G34-J$29)))/(1+$G34)^6))/'PL-CF-BS'!$J$72</f>
        <v>6.5336162774900393</v>
      </c>
      <c r="K34" s="106">
        <f>($E$20+(NPV($G34,$I$14:$N$14)+$H$14)+((($N$14*(1+K$29)/($G34-K$29)))/(1+$G34)^6))/'PL-CF-BS'!$J$72</f>
        <v>6.6055959504216677</v>
      </c>
      <c r="L34" s="106">
        <f>($E$20+(NPV($G34,$I$14:$N$14)+$H$14)+((($N$14*(1+L$29)/($G34-L$29)))/(1+$G34)^6))/'PL-CF-BS'!$J$72</f>
        <v>6.6800650462988278</v>
      </c>
      <c r="M34" s="106">
        <f>($E$20+(NPV($G34,$I$14:$N$14)+$H$14)+((($N$14*(1+M$29)/($G34-M$29)))/(1+$G34)^6))/'PL-CF-BS'!$J$72</f>
        <v>6.7571549830188449</v>
      </c>
      <c r="N34" s="71"/>
      <c r="O34" s="71"/>
    </row>
    <row r="35" spans="1:15">
      <c r="A35" s="61"/>
      <c r="B35" s="107"/>
      <c r="C35" s="107"/>
      <c r="D35" s="107"/>
      <c r="E35" s="326"/>
      <c r="F35" s="326"/>
      <c r="G35" s="105">
        <f>G34+0.1%</f>
        <v>7.9828400000000008E-2</v>
      </c>
      <c r="H35" s="106">
        <f>($E$20+(NPV($G35,$I$14:$N$14)+$H$14)+((($N$14*(1+H$29)/($G35-H$29)))/(1+$G35)^6))/'PL-CF-BS'!$J$72</f>
        <v>6.3091044830017191</v>
      </c>
      <c r="I35" s="106">
        <f>($E$20+(NPV($G35,$I$14:$N$14)+$H$14)+((($N$14*(1+I$29)/($G35-I$29)))/(1+$G35)^6))/'PL-CF-BS'!$J$72</f>
        <v>6.3740199838865488</v>
      </c>
      <c r="J35" s="106">
        <f>($E$20+(NPV($G35,$I$14:$N$14)+$H$14)+((($N$14*(1+J$29)/($G35-J$29)))/(1+$G35)^6))/'PL-CF-BS'!$J$72</f>
        <v>6.4410698661092018</v>
      </c>
      <c r="K35" s="106">
        <f>($E$20+(NPV($G35,$I$14:$N$14)+$H$14)+((($N$14*(1+K$29)/($G35-K$29)))/(1+$G35)^6))/'PL-CF-BS'!$J$72</f>
        <v>6.5103611548285238</v>
      </c>
      <c r="L35" s="106">
        <f>($E$20+(NPV($G35,$I$14:$N$14)+$H$14)+((($N$14*(1+L$29)/($G35-L$29)))/(1+$G35)^6))/'PL-CF-BS'!$J$72</f>
        <v>6.5820081523116167</v>
      </c>
      <c r="M35" s="106">
        <f>($E$20+(NPV($G35,$I$14:$N$14)+$H$14)+((($N$14*(1+M$29)/($G35-M$29)))/(1+$G35)^6))/'PL-CF-BS'!$J$72</f>
        <v>6.6561330671323198</v>
      </c>
      <c r="N35" s="71"/>
      <c r="O35" s="71"/>
    </row>
    <row r="36" spans="1:15">
      <c r="A36" s="61"/>
      <c r="B36" s="104"/>
      <c r="C36" s="104"/>
      <c r="D36" s="104"/>
      <c r="E36" s="326"/>
      <c r="F36" s="326"/>
      <c r="G36" s="105">
        <f>G35+0.1%</f>
        <v>8.0828400000000009E-2</v>
      </c>
      <c r="H36" s="106">
        <f>($E$20+(NPV($G36,$I$14:$N$14)+$H$14)+((($N$14*(1+H$29)/($G36-H$29)))/(1+$G36)^6))/'PL-CF-BS'!$J$72</f>
        <v>6.2243115930092738</v>
      </c>
      <c r="I36" s="106">
        <f>($E$20+(NPV($G36,$I$14:$N$14)+$H$14)+((($N$14*(1+I$29)/($G36-I$29)))/(1+$G36)^6))/'PL-CF-BS'!$J$72</f>
        <v>6.2869026738025697</v>
      </c>
      <c r="J36" s="106">
        <f>($E$20+(NPV($G36,$I$14:$N$14)+$H$14)+((($N$14*(1+J$29)/($G36-J$29)))/(1+$G36)^6))/'PL-CF-BS'!$J$72</f>
        <v>6.3515184254847528</v>
      </c>
      <c r="K36" s="106">
        <f>($E$20+(NPV($G36,$I$14:$N$14)+$H$14)+((($N$14*(1+K$29)/($G36-K$29)))/(1+$G36)^6))/'PL-CF-BS'!$J$72</f>
        <v>6.4182587029372078</v>
      </c>
      <c r="L36" s="106">
        <f>($E$20+(NPV($G36,$I$14:$N$14)+$H$14)+((($N$14*(1+L$29)/($G36-L$29)))/(1+$G36)^6))/'PL-CF-BS'!$J$72</f>
        <v>6.4872300371270146</v>
      </c>
      <c r="M36" s="106">
        <f>($E$20+(NPV($G36,$I$14:$N$14)+$H$14)+((($N$14*(1+M$29)/($G36-M$29)))/(1+$G36)^6))/'PL-CF-BS'!$J$72</f>
        <v>6.5585462025272507</v>
      </c>
      <c r="N36" s="71"/>
      <c r="O36" s="71"/>
    </row>
    <row r="37" spans="1:15">
      <c r="A37" s="61"/>
      <c r="B37" s="107"/>
      <c r="C37" s="107"/>
      <c r="D37" s="107"/>
      <c r="E37" s="103" t="s">
        <v>310</v>
      </c>
      <c r="F37" s="103"/>
      <c r="G37" s="66"/>
      <c r="H37" s="66"/>
      <c r="I37" s="66"/>
      <c r="J37" s="66"/>
      <c r="K37" s="66"/>
      <c r="L37" s="66"/>
      <c r="M37" s="66"/>
      <c r="N37" s="71"/>
      <c r="O37" s="71"/>
    </row>
    <row r="38" spans="1:15">
      <c r="A38" s="61"/>
      <c r="B38" s="107"/>
      <c r="C38" s="107"/>
      <c r="D38" s="107"/>
      <c r="E38" s="325" t="s">
        <v>308</v>
      </c>
      <c r="F38" s="325"/>
      <c r="G38" s="325"/>
      <c r="H38" s="111">
        <f t="shared" ref="H38:M38" si="5">H29</f>
        <v>1.6999999999999998E-2</v>
      </c>
      <c r="I38" s="111">
        <f t="shared" si="5"/>
        <v>1.7999999999999999E-2</v>
      </c>
      <c r="J38" s="111">
        <f t="shared" si="5"/>
        <v>1.9E-2</v>
      </c>
      <c r="K38" s="111">
        <f t="shared" si="5"/>
        <v>0.02</v>
      </c>
      <c r="L38" s="111">
        <f t="shared" si="5"/>
        <v>2.1000000000000001E-2</v>
      </c>
      <c r="M38" s="111">
        <f t="shared" si="5"/>
        <v>2.2000000000000002E-2</v>
      </c>
      <c r="N38" s="71"/>
      <c r="O38" s="71"/>
    </row>
    <row r="39" spans="1:15">
      <c r="A39" s="61"/>
      <c r="B39" s="107"/>
      <c r="C39" s="107"/>
      <c r="D39" s="107"/>
      <c r="E39" s="326" t="s">
        <v>307</v>
      </c>
      <c r="F39" s="326"/>
      <c r="G39" s="111">
        <f t="shared" ref="G39:G45" si="6">G30</f>
        <v>7.4828400000000003E-2</v>
      </c>
      <c r="H39" s="112">
        <f t="shared" ref="H39:M45" si="7">H30/$K$33-1</f>
        <v>1.0883046896431159E-2</v>
      </c>
      <c r="I39" s="112">
        <f t="shared" si="7"/>
        <v>2.2597492355758142E-2</v>
      </c>
      <c r="J39" s="112">
        <f t="shared" si="7"/>
        <v>3.4731596822304978E-2</v>
      </c>
      <c r="K39" s="112">
        <f t="shared" si="7"/>
        <v>4.7308322429229444E-2</v>
      </c>
      <c r="L39" s="112">
        <f t="shared" si="7"/>
        <v>6.035233763075154E-2</v>
      </c>
      <c r="M39" s="112">
        <f t="shared" si="7"/>
        <v>7.3890178698721831E-2</v>
      </c>
      <c r="N39" s="71"/>
      <c r="O39" s="71"/>
    </row>
    <row r="40" spans="1:15">
      <c r="A40" s="61"/>
      <c r="B40" s="107"/>
      <c r="C40" s="107"/>
      <c r="D40" s="107"/>
      <c r="E40" s="326"/>
      <c r="F40" s="326"/>
      <c r="G40" s="111">
        <f t="shared" si="6"/>
        <v>7.5828400000000004E-2</v>
      </c>
      <c r="H40" s="112">
        <f t="shared" si="7"/>
        <v>-4.0278339975050592E-3</v>
      </c>
      <c r="I40" s="112">
        <f t="shared" si="7"/>
        <v>7.2358580721378907E-3</v>
      </c>
      <c r="J40" s="112">
        <f t="shared" si="7"/>
        <v>1.8895960812137069E-2</v>
      </c>
      <c r="K40" s="112">
        <f t="shared" si="7"/>
        <v>3.0973775782470625E-2</v>
      </c>
      <c r="L40" s="112">
        <f t="shared" si="7"/>
        <v>4.3492158596123875E-2</v>
      </c>
      <c r="M40" s="112">
        <f t="shared" si="7"/>
        <v>5.6475663271606802E-2</v>
      </c>
      <c r="N40" s="71"/>
      <c r="O40" s="71"/>
    </row>
    <row r="41" spans="1:15">
      <c r="A41" s="61"/>
      <c r="B41" s="107"/>
      <c r="C41" s="107"/>
      <c r="D41" s="107"/>
      <c r="E41" s="326"/>
      <c r="F41" s="326"/>
      <c r="G41" s="111">
        <f t="shared" si="6"/>
        <v>7.6828400000000005E-2</v>
      </c>
      <c r="H41" s="112">
        <f t="shared" si="7"/>
        <v>-1.8439972223115109E-2</v>
      </c>
      <c r="I41" s="112">
        <f t="shared" si="7"/>
        <v>-7.6032716048252125E-3</v>
      </c>
      <c r="J41" s="112">
        <f t="shared" si="7"/>
        <v>3.6082172012164015E-3</v>
      </c>
      <c r="K41" s="112">
        <f t="shared" si="7"/>
        <v>1.5214279453142021E-2</v>
      </c>
      <c r="L41" s="112">
        <f t="shared" si="7"/>
        <v>2.7236117985667496E-2</v>
      </c>
      <c r="M41" s="112">
        <f t="shared" si="7"/>
        <v>3.9696482484025797E-2</v>
      </c>
      <c r="N41" s="71"/>
      <c r="O41" s="71"/>
    </row>
    <row r="42" spans="1:15">
      <c r="A42" s="61"/>
      <c r="B42" s="107"/>
      <c r="C42" s="107"/>
      <c r="D42" s="107"/>
      <c r="E42" s="326"/>
      <c r="F42" s="326"/>
      <c r="G42" s="111">
        <f t="shared" si="6"/>
        <v>7.7828400000000006E-2</v>
      </c>
      <c r="H42" s="112">
        <f t="shared" si="7"/>
        <v>-3.2377967080404302E-2</v>
      </c>
      <c r="I42" s="112">
        <f t="shared" si="7"/>
        <v>-2.1946098427654714E-2</v>
      </c>
      <c r="J42" s="112">
        <f t="shared" si="7"/>
        <v>-1.1159575606077166E-2</v>
      </c>
      <c r="K42" s="113">
        <f t="shared" si="7"/>
        <v>0</v>
      </c>
      <c r="L42" s="112">
        <f t="shared" si="7"/>
        <v>1.155232203589307E-2</v>
      </c>
      <c r="M42" s="112">
        <f t="shared" si="7"/>
        <v>2.3518495159616126E-2</v>
      </c>
      <c r="N42" s="71"/>
      <c r="O42" s="71"/>
    </row>
    <row r="43" spans="1:15">
      <c r="A43" s="61"/>
      <c r="B43" s="107"/>
      <c r="C43" s="107"/>
      <c r="D43" s="108"/>
      <c r="E43" s="326"/>
      <c r="F43" s="326"/>
      <c r="G43" s="111">
        <f t="shared" si="6"/>
        <v>7.8828400000000007E-2</v>
      </c>
      <c r="H43" s="112">
        <f t="shared" si="7"/>
        <v>-4.5864826394814151E-2</v>
      </c>
      <c r="I43" s="112">
        <f t="shared" si="7"/>
        <v>-3.5817101137072704E-2</v>
      </c>
      <c r="J43" s="112">
        <f t="shared" si="7"/>
        <v>-2.5433491073529213E-2</v>
      </c>
      <c r="K43" s="112">
        <f t="shared" si="7"/>
        <v>-1.4696867497344113E-2</v>
      </c>
      <c r="L43" s="112">
        <f t="shared" si="7"/>
        <v>-3.5889169061907866E-3</v>
      </c>
      <c r="M43" s="112">
        <f t="shared" si="7"/>
        <v>7.9099632409995735E-3</v>
      </c>
      <c r="N43" s="71"/>
      <c r="O43" s="71"/>
    </row>
    <row r="44" spans="1:15">
      <c r="A44" s="61"/>
      <c r="B44" s="107"/>
      <c r="C44" s="107"/>
      <c r="D44" s="107"/>
      <c r="E44" s="326"/>
      <c r="F44" s="326"/>
      <c r="G44" s="111">
        <f t="shared" si="6"/>
        <v>7.9828400000000008E-2</v>
      </c>
      <c r="H44" s="112">
        <f t="shared" si="7"/>
        <v>-5.8922093169909817E-2</v>
      </c>
      <c r="I44" s="112">
        <f t="shared" si="7"/>
        <v>-4.9239174800414509E-2</v>
      </c>
      <c r="J44" s="112">
        <f t="shared" si="7"/>
        <v>-3.9237888090818407E-2</v>
      </c>
      <c r="K44" s="112">
        <f t="shared" si="7"/>
        <v>-2.8902268966863986E-2</v>
      </c>
      <c r="L44" s="112">
        <f t="shared" si="7"/>
        <v>-1.8215267887121134E-2</v>
      </c>
      <c r="M44" s="112">
        <f t="shared" si="7"/>
        <v>-7.1586559905565395E-3</v>
      </c>
      <c r="N44" s="71"/>
      <c r="O44" s="71"/>
    </row>
    <row r="45" spans="1:15">
      <c r="A45" s="61"/>
      <c r="B45" s="107"/>
      <c r="C45" s="107"/>
      <c r="D45" s="107"/>
      <c r="E45" s="326"/>
      <c r="F45" s="326"/>
      <c r="G45" s="111">
        <f t="shared" si="6"/>
        <v>8.0828400000000009E-2</v>
      </c>
      <c r="H45" s="112">
        <f t="shared" si="7"/>
        <v>-7.1569960334442739E-2</v>
      </c>
      <c r="I45" s="112">
        <f t="shared" si="7"/>
        <v>-6.2233756843457999E-2</v>
      </c>
      <c r="J45" s="112">
        <f t="shared" si="7"/>
        <v>-5.2595549629557037E-2</v>
      </c>
      <c r="K45" s="112">
        <f t="shared" si="7"/>
        <v>-4.2640444150572665E-2</v>
      </c>
      <c r="L45" s="112">
        <f t="shared" si="7"/>
        <v>-3.2352550046821693E-2</v>
      </c>
      <c r="M45" s="112">
        <f t="shared" si="7"/>
        <v>-2.1714896503624792E-2</v>
      </c>
      <c r="N45" s="71"/>
      <c r="O45" s="71"/>
    </row>
    <row r="46" spans="1:15">
      <c r="B46" s="114"/>
      <c r="C46" s="114"/>
      <c r="D46" s="114"/>
      <c r="E46" s="114"/>
      <c r="F46" s="114"/>
      <c r="G46" s="114"/>
      <c r="H46" s="114"/>
      <c r="I46" s="114"/>
      <c r="J46" s="114"/>
      <c r="K46" s="114"/>
      <c r="L46" s="114"/>
      <c r="M46" s="114"/>
      <c r="N46" s="71"/>
      <c r="O46" s="71"/>
    </row>
    <row r="47" spans="1:15">
      <c r="B47" s="115"/>
      <c r="C47" s="115"/>
      <c r="D47" s="115"/>
      <c r="E47" s="115"/>
      <c r="F47" s="115"/>
      <c r="G47" s="115"/>
      <c r="H47" s="115"/>
      <c r="I47" s="115"/>
      <c r="J47" s="115"/>
      <c r="K47" s="115"/>
      <c r="L47" s="115"/>
      <c r="M47" s="115"/>
      <c r="N47" s="115"/>
      <c r="O47" s="115"/>
    </row>
    <row r="48" spans="1:15">
      <c r="N48" s="71"/>
      <c r="O48" s="71"/>
    </row>
    <row r="49" spans="14:15">
      <c r="N49" s="71"/>
      <c r="O49" s="71"/>
    </row>
    <row r="50" spans="14:15">
      <c r="N50" s="71"/>
      <c r="O50" s="71"/>
    </row>
  </sheetData>
  <mergeCells count="4">
    <mergeCell ref="E29:G29"/>
    <mergeCell ref="E38:G38"/>
    <mergeCell ref="E30:F36"/>
    <mergeCell ref="E39:F45"/>
  </mergeCells>
  <phoneticPr fontId="133" type="noConversion"/>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4"/>
  <sheetViews>
    <sheetView workbookViewId="0">
      <selection activeCell="B9" sqref="B9"/>
    </sheetView>
  </sheetViews>
  <sheetFormatPr defaultColWidth="9.6640625" defaultRowHeight="15.5"/>
  <cols>
    <col min="1" max="1" width="56.83203125" style="6" customWidth="1"/>
    <col min="2" max="6" width="20.83203125" style="6" customWidth="1"/>
    <col min="7" max="16384" width="9.6640625" style="6"/>
  </cols>
  <sheetData>
    <row r="1" spans="1:6">
      <c r="B1" s="6" t="s">
        <v>311</v>
      </c>
      <c r="C1" s="6" t="s">
        <v>312</v>
      </c>
      <c r="D1" s="6" t="s">
        <v>313</v>
      </c>
      <c r="E1" s="6" t="s">
        <v>314</v>
      </c>
      <c r="F1" s="6" t="s">
        <v>315</v>
      </c>
    </row>
    <row r="2" spans="1:6">
      <c r="A2" s="6" t="s">
        <v>316</v>
      </c>
      <c r="B2" s="6" t="s">
        <v>317</v>
      </c>
      <c r="C2" s="6" t="s">
        <v>317</v>
      </c>
      <c r="D2" s="6" t="s">
        <v>317</v>
      </c>
      <c r="E2" s="6" t="s">
        <v>317</v>
      </c>
      <c r="F2" s="6" t="s">
        <v>317</v>
      </c>
    </row>
    <row r="3" spans="1:6">
      <c r="A3" s="6" t="s">
        <v>318</v>
      </c>
      <c r="B3" s="6" t="s">
        <v>319</v>
      </c>
      <c r="C3" s="6" t="s">
        <v>319</v>
      </c>
      <c r="D3" s="6" t="s">
        <v>319</v>
      </c>
      <c r="E3" s="6" t="s">
        <v>319</v>
      </c>
      <c r="F3" s="6" t="s">
        <v>319</v>
      </c>
    </row>
    <row r="4" spans="1:6">
      <c r="A4" s="6" t="s">
        <v>51</v>
      </c>
      <c r="B4" s="7">
        <v>586.46299999999997</v>
      </c>
      <c r="C4" s="7">
        <v>738.13</v>
      </c>
      <c r="D4" s="7">
        <v>894.08199999999999</v>
      </c>
      <c r="E4" s="7">
        <v>1067.7080000000001</v>
      </c>
      <c r="F4" s="7">
        <v>1197.133</v>
      </c>
    </row>
    <row r="5" spans="1:6">
      <c r="A5" s="6" t="s">
        <v>320</v>
      </c>
      <c r="B5" s="7">
        <v>-401.13099999999997</v>
      </c>
      <c r="C5" s="7">
        <v>-495.85500000000002</v>
      </c>
      <c r="D5" s="7">
        <v>-595.952</v>
      </c>
      <c r="E5" s="7">
        <v>-703.01599999999996</v>
      </c>
      <c r="F5" s="7">
        <v>-783.58299999999997</v>
      </c>
    </row>
    <row r="6" spans="1:6">
      <c r="A6" s="6" t="s">
        <v>58</v>
      </c>
      <c r="B6" s="7">
        <v>185.33199999999999</v>
      </c>
      <c r="C6" s="7">
        <v>242.27500000000001</v>
      </c>
      <c r="D6" s="7">
        <v>298.13</v>
      </c>
      <c r="E6" s="7">
        <v>364.69200000000001</v>
      </c>
      <c r="F6" s="7">
        <v>413.55</v>
      </c>
    </row>
    <row r="7" spans="1:6">
      <c r="A7" s="6" t="s">
        <v>321</v>
      </c>
      <c r="B7" s="7">
        <v>-55.738</v>
      </c>
      <c r="C7" s="7">
        <v>-66.391000000000005</v>
      </c>
      <c r="D7" s="7">
        <v>-88.29</v>
      </c>
      <c r="E7" s="7">
        <v>-106.76600000000001</v>
      </c>
      <c r="F7" s="7">
        <v>-123.53</v>
      </c>
    </row>
    <row r="8" spans="1:6">
      <c r="A8" s="6" t="s">
        <v>322</v>
      </c>
      <c r="B8" s="7">
        <v>-77.965000000000003</v>
      </c>
      <c r="C8" s="7">
        <v>-93.661000000000001</v>
      </c>
      <c r="D8" s="7">
        <v>-102.486</v>
      </c>
      <c r="E8" s="7">
        <v>-135.184</v>
      </c>
      <c r="F8" s="7">
        <v>-141.279</v>
      </c>
    </row>
    <row r="9" spans="1:6">
      <c r="A9" s="6" t="s">
        <v>323</v>
      </c>
      <c r="B9" s="7">
        <v>51.628999999999998</v>
      </c>
      <c r="C9" s="7">
        <v>82.222999999999999</v>
      </c>
      <c r="D9" s="7">
        <v>107.354</v>
      </c>
      <c r="E9" s="7">
        <v>122.742</v>
      </c>
      <c r="F9" s="7">
        <v>148.74100000000001</v>
      </c>
    </row>
    <row r="10" spans="1:6">
      <c r="A10" s="6" t="s">
        <v>324</v>
      </c>
      <c r="B10" s="7">
        <v>1.147</v>
      </c>
      <c r="C10" s="7">
        <v>7.4859999999999998</v>
      </c>
      <c r="D10" s="7">
        <v>4.7789999999999999</v>
      </c>
      <c r="E10" s="7">
        <v>1.3720000000000001</v>
      </c>
      <c r="F10" s="7">
        <v>4.0279999999999996</v>
      </c>
    </row>
    <row r="11" spans="1:6">
      <c r="A11" s="6" t="s">
        <v>325</v>
      </c>
      <c r="B11" s="7">
        <v>52.776000000000003</v>
      </c>
      <c r="C11" s="7">
        <v>89.709000000000003</v>
      </c>
      <c r="D11" s="7">
        <v>112.133</v>
      </c>
      <c r="E11" s="7">
        <v>124.114</v>
      </c>
      <c r="F11" s="7">
        <v>152.76900000000001</v>
      </c>
    </row>
    <row r="12" spans="1:6">
      <c r="A12" s="6" t="s">
        <v>326</v>
      </c>
      <c r="B12" s="7">
        <v>-6.1719999999999997</v>
      </c>
      <c r="C12" s="7">
        <v>-3.5089999999999999</v>
      </c>
      <c r="D12" s="7">
        <v>-3.1989999999999998</v>
      </c>
      <c r="E12" s="7">
        <v>-5.5289999999999999</v>
      </c>
      <c r="F12" s="7">
        <v>-5.1449999999999996</v>
      </c>
    </row>
    <row r="13" spans="1:6">
      <c r="A13" s="6" t="s">
        <v>327</v>
      </c>
      <c r="B13" s="7">
        <v>46.603999999999999</v>
      </c>
      <c r="C13" s="7">
        <v>86.2</v>
      </c>
      <c r="D13" s="7">
        <v>108.934</v>
      </c>
      <c r="E13" s="7">
        <v>118.58499999999999</v>
      </c>
      <c r="F13" s="7">
        <v>147.624</v>
      </c>
    </row>
    <row r="14" spans="1:6">
      <c r="A14" s="6" t="s">
        <v>328</v>
      </c>
      <c r="B14" s="7">
        <v>-10.488</v>
      </c>
      <c r="C14" s="7">
        <v>-13.797000000000001</v>
      </c>
      <c r="D14" s="7">
        <v>-20.858000000000001</v>
      </c>
      <c r="E14" s="7">
        <v>-27.442</v>
      </c>
      <c r="F14" s="7">
        <v>-26.878</v>
      </c>
    </row>
    <row r="15" spans="1:6">
      <c r="A15" s="6" t="s">
        <v>329</v>
      </c>
      <c r="B15" s="7">
        <v>36.116</v>
      </c>
      <c r="C15" s="7">
        <v>72.403000000000006</v>
      </c>
      <c r="D15" s="7">
        <v>88.075999999999993</v>
      </c>
      <c r="E15" s="7">
        <v>91.143000000000001</v>
      </c>
      <c r="F15" s="7">
        <v>120.746</v>
      </c>
    </row>
    <row r="16" spans="1:6">
      <c r="A16" s="6" t="s">
        <v>330</v>
      </c>
      <c r="B16" s="7">
        <v>-2E-3</v>
      </c>
      <c r="C16" s="7">
        <v>2.4E-2</v>
      </c>
      <c r="D16" s="7">
        <v>-2E-3</v>
      </c>
      <c r="E16" s="7">
        <v>1E-3</v>
      </c>
      <c r="F16" s="7">
        <v>-4.0000000000000001E-3</v>
      </c>
    </row>
    <row r="17" spans="1:6">
      <c r="A17" s="6" t="s">
        <v>331</v>
      </c>
      <c r="B17" s="7">
        <v>-2E-3</v>
      </c>
      <c r="C17" s="7">
        <v>2.4E-2</v>
      </c>
      <c r="D17" s="7">
        <v>-2E-3</v>
      </c>
      <c r="E17" s="7">
        <v>1E-3</v>
      </c>
      <c r="F17" s="7">
        <v>-4.0000000000000001E-3</v>
      </c>
    </row>
    <row r="18" spans="1:6">
      <c r="A18" s="6" t="s">
        <v>332</v>
      </c>
      <c r="B18" s="7">
        <v>36.113999999999997</v>
      </c>
      <c r="C18" s="7">
        <v>72.427000000000007</v>
      </c>
      <c r="D18" s="7">
        <v>88.073999999999998</v>
      </c>
      <c r="E18" s="7">
        <v>91.144000000000005</v>
      </c>
      <c r="F18" s="7">
        <v>120.742</v>
      </c>
    </row>
    <row r="19" spans="1:6">
      <c r="A19" s="6" t="s">
        <v>333</v>
      </c>
      <c r="B19" s="7">
        <v>-25.981999999999999</v>
      </c>
      <c r="C19" s="7">
        <v>-35.176000000000002</v>
      </c>
      <c r="D19" s="7">
        <v>-33.457000000000001</v>
      </c>
      <c r="E19" s="7">
        <v>-36.575000000000003</v>
      </c>
      <c r="F19" s="7">
        <v>-44.975999999999999</v>
      </c>
    </row>
    <row r="20" spans="1:6">
      <c r="A20" s="6" t="s">
        <v>334</v>
      </c>
      <c r="B20" s="7">
        <v>-11.574999999999999</v>
      </c>
      <c r="C20" s="7">
        <v>-18.248000000000001</v>
      </c>
      <c r="D20" s="7">
        <v>-13.596</v>
      </c>
      <c r="E20" s="7">
        <v>-16.856999999999999</v>
      </c>
      <c r="F20" s="7">
        <v>-21.029</v>
      </c>
    </row>
    <row r="21" spans="1:6">
      <c r="A21" s="6" t="s">
        <v>335</v>
      </c>
      <c r="B21" s="7">
        <v>-12.019</v>
      </c>
      <c r="C21" s="7">
        <v>-14.420999999999999</v>
      </c>
      <c r="D21" s="7">
        <v>-15.866</v>
      </c>
      <c r="E21" s="7">
        <v>-15.65</v>
      </c>
      <c r="F21" s="7">
        <v>-19.472999999999999</v>
      </c>
    </row>
    <row r="22" spans="1:6">
      <c r="A22" s="6" t="s">
        <v>336</v>
      </c>
      <c r="B22" s="7">
        <v>-2.3879999999999999</v>
      </c>
      <c r="C22" s="7">
        <v>-2.5070000000000001</v>
      </c>
      <c r="D22" s="7">
        <v>-3.9950000000000001</v>
      </c>
      <c r="E22" s="7">
        <v>-4.0679999999999996</v>
      </c>
      <c r="F22" s="7">
        <v>-4.4740000000000002</v>
      </c>
    </row>
    <row r="23" spans="1:6">
      <c r="A23" s="6" t="s">
        <v>337</v>
      </c>
      <c r="B23" s="7">
        <v>-141.94800000000001</v>
      </c>
      <c r="C23" s="7">
        <v>-167.34299999999999</v>
      </c>
      <c r="D23" s="7">
        <v>-206.667</v>
      </c>
      <c r="E23" s="7">
        <v>-254.29900000000001</v>
      </c>
      <c r="F23" s="7">
        <v>-281.03300000000002</v>
      </c>
    </row>
    <row r="24" spans="1:6">
      <c r="A24" s="6" t="s">
        <v>338</v>
      </c>
      <c r="B24" s="6" t="s">
        <v>339</v>
      </c>
      <c r="C24" s="6" t="s">
        <v>339</v>
      </c>
      <c r="D24" s="6" t="s">
        <v>339</v>
      </c>
      <c r="E24" s="6" t="s">
        <v>339</v>
      </c>
      <c r="F24" s="6" t="s">
        <v>339</v>
      </c>
    </row>
    <row r="25" spans="1:6">
      <c r="A25" s="6" t="s">
        <v>340</v>
      </c>
      <c r="B25" s="6" t="s">
        <v>339</v>
      </c>
      <c r="C25" s="6" t="s">
        <v>339</v>
      </c>
      <c r="D25" s="6" t="s">
        <v>339</v>
      </c>
      <c r="E25" s="6" t="s">
        <v>339</v>
      </c>
      <c r="F25" s="6" t="s">
        <v>339</v>
      </c>
    </row>
    <row r="26" spans="1:6">
      <c r="A26" s="6" t="s">
        <v>341</v>
      </c>
      <c r="B26" s="7">
        <v>1</v>
      </c>
      <c r="C26" s="7">
        <v>1</v>
      </c>
      <c r="D26" s="7">
        <v>1</v>
      </c>
      <c r="E26" s="7">
        <v>1</v>
      </c>
      <c r="F26" s="7">
        <v>1</v>
      </c>
    </row>
    <row r="27" spans="1:6">
      <c r="A27" s="6" t="s">
        <v>342</v>
      </c>
      <c r="B27" s="6" t="s">
        <v>343</v>
      </c>
      <c r="C27" s="6" t="s">
        <v>343</v>
      </c>
      <c r="D27" s="6" t="s">
        <v>343</v>
      </c>
      <c r="E27" s="6" t="s">
        <v>343</v>
      </c>
      <c r="F27" s="6" t="s">
        <v>343</v>
      </c>
    </row>
    <row r="28" spans="1:6">
      <c r="A28" s="6" t="s">
        <v>344</v>
      </c>
      <c r="B28" s="6" t="s">
        <v>345</v>
      </c>
      <c r="C28" s="6" t="s">
        <v>346</v>
      </c>
      <c r="D28" s="6" t="s">
        <v>347</v>
      </c>
      <c r="E28" s="6" t="s">
        <v>348</v>
      </c>
      <c r="F28" s="6" t="s">
        <v>349</v>
      </c>
    </row>
    <row r="29" spans="1:6">
      <c r="A29" s="6" t="s">
        <v>350</v>
      </c>
      <c r="B29" s="6" t="s">
        <v>311</v>
      </c>
      <c r="C29" s="6" t="s">
        <v>312</v>
      </c>
      <c r="D29" s="6" t="s">
        <v>313</v>
      </c>
      <c r="E29" s="6" t="s">
        <v>314</v>
      </c>
      <c r="F29" s="6" t="s">
        <v>315</v>
      </c>
    </row>
    <row r="30" spans="1:6">
      <c r="A30" s="6" t="s">
        <v>351</v>
      </c>
      <c r="B30" s="6" t="s">
        <v>352</v>
      </c>
      <c r="C30" s="6" t="s">
        <v>352</v>
      </c>
      <c r="D30" s="6" t="s">
        <v>352</v>
      </c>
      <c r="E30" s="6" t="s">
        <v>352</v>
      </c>
      <c r="F30" s="6" t="s">
        <v>352</v>
      </c>
    </row>
    <row r="31" spans="1:6">
      <c r="A31" s="6" t="s">
        <v>353</v>
      </c>
      <c r="B31" s="6" t="s">
        <v>354</v>
      </c>
      <c r="C31" s="6" t="s">
        <v>354</v>
      </c>
      <c r="D31" s="6" t="s">
        <v>354</v>
      </c>
      <c r="E31" s="6" t="s">
        <v>355</v>
      </c>
      <c r="F31" s="6" t="s">
        <v>356</v>
      </c>
    </row>
    <row r="32" spans="1:6">
      <c r="A32" s="6" t="s">
        <v>357</v>
      </c>
      <c r="B32" s="6" t="s">
        <v>358</v>
      </c>
      <c r="C32" s="6" t="s">
        <v>358</v>
      </c>
      <c r="D32" s="6" t="s">
        <v>358</v>
      </c>
      <c r="E32" s="6" t="s">
        <v>358</v>
      </c>
      <c r="F32" s="6" t="s">
        <v>358</v>
      </c>
    </row>
    <row r="33" spans="1:6">
      <c r="A33" s="6" t="s">
        <v>359</v>
      </c>
      <c r="B33" s="6" t="s">
        <v>360</v>
      </c>
      <c r="C33" s="6" t="s">
        <v>360</v>
      </c>
      <c r="D33" s="6" t="s">
        <v>360</v>
      </c>
      <c r="E33" s="6" t="s">
        <v>360</v>
      </c>
      <c r="F33" s="6" t="s">
        <v>360</v>
      </c>
    </row>
    <row r="34" spans="1:6">
      <c r="A34" s="6" t="s">
        <v>361</v>
      </c>
    </row>
  </sheetData>
  <phoneticPr fontId="13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2"/>
  <sheetViews>
    <sheetView topLeftCell="A11" workbookViewId="0">
      <selection activeCell="B4" sqref="B4"/>
    </sheetView>
  </sheetViews>
  <sheetFormatPr defaultColWidth="9.6640625" defaultRowHeight="15.5"/>
  <cols>
    <col min="1" max="1" width="49.83203125" style="6" customWidth="1"/>
    <col min="2" max="6" width="20.83203125" style="6" customWidth="1"/>
    <col min="7" max="16384" width="9.6640625" style="6"/>
  </cols>
  <sheetData>
    <row r="1" spans="1:6">
      <c r="A1" s="6" t="s">
        <v>362</v>
      </c>
      <c r="B1" s="6" t="s">
        <v>311</v>
      </c>
      <c r="C1" s="6" t="s">
        <v>312</v>
      </c>
      <c r="D1" s="6" t="s">
        <v>313</v>
      </c>
      <c r="E1" s="6" t="s">
        <v>314</v>
      </c>
      <c r="F1" s="6" t="s">
        <v>315</v>
      </c>
    </row>
    <row r="2" spans="1:6">
      <c r="A2" s="6" t="s">
        <v>316</v>
      </c>
      <c r="B2" s="6" t="s">
        <v>317</v>
      </c>
      <c r="C2" s="6" t="s">
        <v>317</v>
      </c>
      <c r="D2" s="6" t="s">
        <v>317</v>
      </c>
      <c r="E2" s="6" t="s">
        <v>317</v>
      </c>
      <c r="F2" s="6" t="s">
        <v>317</v>
      </c>
    </row>
    <row r="3" spans="1:6">
      <c r="A3" s="6" t="s">
        <v>318</v>
      </c>
      <c r="B3" s="6" t="s">
        <v>319</v>
      </c>
      <c r="C3" s="6" t="s">
        <v>319</v>
      </c>
      <c r="D3" s="6" t="s">
        <v>319</v>
      </c>
      <c r="E3" s="6" t="s">
        <v>319</v>
      </c>
      <c r="F3" s="6" t="s">
        <v>319</v>
      </c>
    </row>
    <row r="4" spans="1:6" s="56" customFormat="1">
      <c r="A4" s="56" t="s">
        <v>85</v>
      </c>
      <c r="B4" s="57">
        <v>719.42399999999998</v>
      </c>
      <c r="C4" s="57">
        <v>786.92200000000003</v>
      </c>
      <c r="D4" s="57">
        <v>949.73699999999997</v>
      </c>
      <c r="E4" s="57">
        <v>1007.9349999999999</v>
      </c>
      <c r="F4" s="57">
        <v>1363.221</v>
      </c>
    </row>
    <row r="5" spans="1:6" s="56" customFormat="1">
      <c r="A5" s="56" t="s">
        <v>363</v>
      </c>
      <c r="B5" s="57">
        <v>463.745</v>
      </c>
      <c r="C5" s="57">
        <v>470.24200000000002</v>
      </c>
      <c r="D5" s="57">
        <v>530.72400000000005</v>
      </c>
      <c r="E5" s="57">
        <v>581.39300000000003</v>
      </c>
      <c r="F5" s="57">
        <v>639.63099999999997</v>
      </c>
    </row>
    <row r="6" spans="1:6">
      <c r="A6" s="6" t="s">
        <v>364</v>
      </c>
      <c r="B6" s="7">
        <v>86.682000000000002</v>
      </c>
      <c r="C6" s="7">
        <v>112.748</v>
      </c>
      <c r="D6" s="7">
        <v>161.78399999999999</v>
      </c>
      <c r="E6" s="7">
        <v>197.93299999999999</v>
      </c>
      <c r="F6" s="58">
        <v>233.04900000000001</v>
      </c>
    </row>
    <row r="7" spans="1:6">
      <c r="A7" s="6" t="s">
        <v>365</v>
      </c>
      <c r="B7" s="7">
        <v>24.065000000000001</v>
      </c>
      <c r="C7" s="7">
        <v>12.782999999999999</v>
      </c>
      <c r="D7" s="7">
        <v>16.75</v>
      </c>
      <c r="E7" s="7">
        <v>12.949</v>
      </c>
      <c r="F7" s="7">
        <v>11.975</v>
      </c>
    </row>
    <row r="8" spans="1:6">
      <c r="A8" s="6" t="s">
        <v>366</v>
      </c>
      <c r="B8" s="7">
        <v>231.52099999999999</v>
      </c>
      <c r="C8" s="7">
        <v>225.501</v>
      </c>
      <c r="D8" s="7">
        <v>231.32</v>
      </c>
      <c r="E8" s="7">
        <v>245.173</v>
      </c>
      <c r="F8" s="7">
        <v>265.70100000000002</v>
      </c>
    </row>
    <row r="9" spans="1:6">
      <c r="A9" s="6" t="s">
        <v>367</v>
      </c>
      <c r="B9" s="7">
        <v>115.923</v>
      </c>
      <c r="C9" s="7">
        <v>115.923</v>
      </c>
      <c r="D9" s="7">
        <v>115.923</v>
      </c>
      <c r="E9" s="7">
        <v>115.923</v>
      </c>
      <c r="F9" s="7">
        <v>115.923</v>
      </c>
    </row>
    <row r="10" spans="1:6">
      <c r="A10" s="6" t="s">
        <v>368</v>
      </c>
      <c r="B10" s="7">
        <v>0.40600000000000003</v>
      </c>
      <c r="C10" s="7">
        <v>0.25700000000000001</v>
      </c>
      <c r="D10" s="7">
        <v>0.215</v>
      </c>
      <c r="E10" s="7">
        <v>0.47099999999999997</v>
      </c>
      <c r="F10" s="7">
        <v>0.49199999999999999</v>
      </c>
    </row>
    <row r="11" spans="1:6">
      <c r="A11" s="6" t="s">
        <v>369</v>
      </c>
      <c r="B11" s="7">
        <v>4.9390000000000001</v>
      </c>
      <c r="C11" s="7">
        <v>2.823</v>
      </c>
      <c r="D11" s="7">
        <v>4.5590000000000002</v>
      </c>
      <c r="E11" s="7">
        <v>8.8320000000000007</v>
      </c>
      <c r="F11" s="7">
        <v>12.365</v>
      </c>
    </row>
    <row r="12" spans="1:6">
      <c r="A12" s="6" t="s">
        <v>370</v>
      </c>
      <c r="B12" s="7">
        <v>0.109</v>
      </c>
      <c r="C12" s="7">
        <v>0.14499999999999999</v>
      </c>
      <c r="D12" s="7">
        <v>0.152</v>
      </c>
      <c r="E12" s="7">
        <v>0.112</v>
      </c>
      <c r="F12" s="7">
        <v>0.126</v>
      </c>
    </row>
    <row r="13" spans="1:6">
      <c r="A13" s="6" t="s">
        <v>371</v>
      </c>
      <c r="B13" s="7">
        <v>0.1</v>
      </c>
      <c r="C13" s="7">
        <v>6.2E-2</v>
      </c>
      <c r="D13" s="7">
        <v>2.1000000000000001E-2</v>
      </c>
    </row>
    <row r="14" spans="1:6" s="56" customFormat="1">
      <c r="A14" s="56" t="s">
        <v>372</v>
      </c>
      <c r="B14" s="57">
        <v>255.679</v>
      </c>
      <c r="C14" s="57">
        <v>316.68</v>
      </c>
      <c r="D14" s="57">
        <v>419.01299999999998</v>
      </c>
      <c r="E14" s="57">
        <v>426.54199999999997</v>
      </c>
      <c r="F14" s="57">
        <v>723.59</v>
      </c>
    </row>
    <row r="15" spans="1:6">
      <c r="A15" s="6" t="s">
        <v>373</v>
      </c>
      <c r="B15" s="7">
        <v>72.947000000000003</v>
      </c>
      <c r="C15" s="7">
        <v>100.708</v>
      </c>
      <c r="D15" s="7">
        <v>113.017</v>
      </c>
      <c r="E15" s="7">
        <v>134.566</v>
      </c>
      <c r="F15" s="58">
        <v>167.35300000000001</v>
      </c>
    </row>
    <row r="16" spans="1:6">
      <c r="A16" s="6" t="s">
        <v>374</v>
      </c>
      <c r="B16" s="7">
        <v>12.641999999999999</v>
      </c>
      <c r="C16" s="7">
        <v>19.527999999999999</v>
      </c>
      <c r="D16" s="7">
        <v>42.210999999999999</v>
      </c>
      <c r="E16" s="7">
        <v>21.417000000000002</v>
      </c>
      <c r="F16" s="7">
        <v>27.567</v>
      </c>
    </row>
    <row r="17" spans="1:6">
      <c r="A17" s="6" t="s">
        <v>375</v>
      </c>
      <c r="B17" s="7">
        <v>6.0469999999999997</v>
      </c>
      <c r="C17" s="7">
        <v>6.524</v>
      </c>
      <c r="D17" s="7">
        <v>5.3209999999999997</v>
      </c>
      <c r="E17" s="7">
        <v>12.188000000000001</v>
      </c>
      <c r="F17" s="7">
        <v>16.084</v>
      </c>
    </row>
    <row r="18" spans="1:6">
      <c r="A18" s="6" t="s">
        <v>376</v>
      </c>
      <c r="B18" s="7">
        <v>1.024</v>
      </c>
      <c r="C18" s="7">
        <v>1.9890000000000001</v>
      </c>
      <c r="D18" s="7">
        <v>0.20300000000000001</v>
      </c>
      <c r="E18" s="7">
        <v>0.215</v>
      </c>
      <c r="F18" s="7">
        <v>0.23899999999999999</v>
      </c>
    </row>
    <row r="19" spans="1:6">
      <c r="A19" s="6" t="s">
        <v>377</v>
      </c>
      <c r="B19" s="7">
        <v>0.52900000000000003</v>
      </c>
      <c r="C19" s="7">
        <v>1.3879999999999999</v>
      </c>
      <c r="D19" s="7">
        <v>8.1539999999999999</v>
      </c>
      <c r="E19" s="7">
        <v>2.27</v>
      </c>
      <c r="F19" s="58">
        <v>3.8290000000000002</v>
      </c>
    </row>
    <row r="20" spans="1:6">
      <c r="A20" s="6" t="s">
        <v>378</v>
      </c>
      <c r="B20" s="7">
        <v>3.496</v>
      </c>
      <c r="C20" s="7">
        <v>4.0170000000000003</v>
      </c>
      <c r="D20" s="7">
        <v>5.8360000000000003</v>
      </c>
      <c r="E20" s="7">
        <v>7.399</v>
      </c>
      <c r="F20" s="58">
        <v>11.414999999999999</v>
      </c>
    </row>
    <row r="21" spans="1:6">
      <c r="A21" s="6" t="s">
        <v>379</v>
      </c>
      <c r="B21" s="7">
        <v>2.2280000000000002</v>
      </c>
      <c r="C21" s="7">
        <v>1.145</v>
      </c>
      <c r="D21" s="7">
        <v>1.0169999999999999</v>
      </c>
      <c r="E21" s="7">
        <v>1.6180000000000001</v>
      </c>
      <c r="F21" s="7">
        <v>2.266</v>
      </c>
    </row>
    <row r="22" spans="1:6">
      <c r="A22" s="6" t="s">
        <v>380</v>
      </c>
      <c r="F22" s="58">
        <v>103</v>
      </c>
    </row>
    <row r="23" spans="1:6">
      <c r="A23" s="6" t="s">
        <v>381</v>
      </c>
      <c r="B23" s="7">
        <v>156.76599999999999</v>
      </c>
      <c r="C23" s="7">
        <v>181.381</v>
      </c>
      <c r="D23" s="7">
        <v>243.25399999999999</v>
      </c>
      <c r="E23" s="7">
        <v>246.869</v>
      </c>
      <c r="F23" s="58">
        <v>391.83699999999999</v>
      </c>
    </row>
    <row r="24" spans="1:6" s="56" customFormat="1">
      <c r="A24" s="56" t="s">
        <v>382</v>
      </c>
      <c r="B24" s="57">
        <v>719.42399999999998</v>
      </c>
      <c r="C24" s="57">
        <v>786.92200000000003</v>
      </c>
      <c r="D24" s="57">
        <v>949.73699999999997</v>
      </c>
      <c r="E24" s="57">
        <v>1007.9349999999999</v>
      </c>
      <c r="F24" s="57">
        <v>1363.221</v>
      </c>
    </row>
    <row r="25" spans="1:6" s="56" customFormat="1">
      <c r="A25" s="56" t="s">
        <v>383</v>
      </c>
      <c r="B25" s="57">
        <v>228.23099999999999</v>
      </c>
      <c r="C25" s="57">
        <v>300.65800000000002</v>
      </c>
      <c r="D25" s="57">
        <v>388.73200000000003</v>
      </c>
      <c r="E25" s="57">
        <v>473.37599999999998</v>
      </c>
      <c r="F25" s="57">
        <v>781.95100000000002</v>
      </c>
    </row>
    <row r="26" spans="1:6">
      <c r="A26" s="6" t="s">
        <v>384</v>
      </c>
      <c r="B26" s="7">
        <v>155.482</v>
      </c>
      <c r="C26" s="7">
        <v>155.482</v>
      </c>
      <c r="D26" s="7">
        <v>155.482</v>
      </c>
      <c r="E26" s="7">
        <v>155.482</v>
      </c>
      <c r="F26" s="7">
        <v>343.315</v>
      </c>
    </row>
    <row r="27" spans="1:6">
      <c r="A27" s="6" t="s">
        <v>385</v>
      </c>
      <c r="B27" s="7">
        <v>-113.482</v>
      </c>
      <c r="C27" s="7">
        <v>-113.482</v>
      </c>
      <c r="D27" s="7">
        <v>-113.482</v>
      </c>
      <c r="E27" s="7">
        <v>-113.482</v>
      </c>
      <c r="F27" s="7">
        <v>-113.482</v>
      </c>
    </row>
    <row r="28" spans="1:6">
      <c r="A28" s="6" t="s">
        <v>386</v>
      </c>
      <c r="B28" s="7">
        <v>8.9999999999999993E-3</v>
      </c>
      <c r="C28" s="7">
        <v>4.0000000000000001E-3</v>
      </c>
      <c r="D28" s="7">
        <v>3.0000000000000001E-3</v>
      </c>
      <c r="E28" s="7">
        <v>4.0000000000000001E-3</v>
      </c>
    </row>
    <row r="29" spans="1:6">
      <c r="A29" s="6" t="s">
        <v>387</v>
      </c>
      <c r="B29" s="7">
        <v>186.22200000000001</v>
      </c>
      <c r="C29" s="7">
        <v>258.654</v>
      </c>
      <c r="D29" s="7">
        <v>346.72899999999998</v>
      </c>
      <c r="E29" s="7">
        <v>431.37200000000001</v>
      </c>
      <c r="F29" s="7">
        <v>552.11800000000005</v>
      </c>
    </row>
    <row r="30" spans="1:6" s="56" customFormat="1">
      <c r="A30" s="56" t="s">
        <v>388</v>
      </c>
      <c r="B30" s="57">
        <v>491.19299999999998</v>
      </c>
      <c r="C30" s="57">
        <v>486.26400000000001</v>
      </c>
      <c r="D30" s="57">
        <v>561.005</v>
      </c>
      <c r="E30" s="57">
        <v>534.55899999999997</v>
      </c>
      <c r="F30" s="57">
        <v>581.27</v>
      </c>
    </row>
    <row r="31" spans="1:6" s="56" customFormat="1">
      <c r="A31" s="56" t="s">
        <v>389</v>
      </c>
      <c r="B31" s="57">
        <v>142.89599999999999</v>
      </c>
      <c r="C31" s="57">
        <v>138.113</v>
      </c>
      <c r="D31" s="57">
        <v>147.596</v>
      </c>
      <c r="E31" s="57">
        <v>147.589</v>
      </c>
      <c r="F31" s="57">
        <v>133.23599999999999</v>
      </c>
    </row>
    <row r="32" spans="1:6">
      <c r="A32" s="6" t="s">
        <v>390</v>
      </c>
      <c r="B32" s="7">
        <v>71.673000000000002</v>
      </c>
      <c r="C32" s="7">
        <v>56.313000000000002</v>
      </c>
      <c r="D32" s="7">
        <v>67.650000000000006</v>
      </c>
      <c r="E32" s="7">
        <v>55.948999999999998</v>
      </c>
      <c r="F32" s="58">
        <v>40.415999999999997</v>
      </c>
    </row>
    <row r="33" spans="1:6">
      <c r="A33" s="6" t="s">
        <v>391</v>
      </c>
      <c r="B33" s="7">
        <v>16.286000000000001</v>
      </c>
      <c r="C33" s="7">
        <v>11.763999999999999</v>
      </c>
      <c r="D33" s="7">
        <v>11.92</v>
      </c>
      <c r="E33" s="7">
        <v>12.07</v>
      </c>
      <c r="F33" s="58">
        <v>10.848000000000001</v>
      </c>
    </row>
    <row r="34" spans="1:6">
      <c r="A34" s="6" t="s">
        <v>392</v>
      </c>
      <c r="B34" s="7">
        <v>20.172999999999998</v>
      </c>
      <c r="C34" s="7">
        <v>24.838000000000001</v>
      </c>
      <c r="D34" s="7">
        <v>17.149999999999999</v>
      </c>
      <c r="E34" s="7">
        <v>15.16</v>
      </c>
      <c r="F34" s="7">
        <v>3.0139999999999998</v>
      </c>
    </row>
    <row r="35" spans="1:6">
      <c r="A35" s="6" t="s">
        <v>393</v>
      </c>
      <c r="B35" s="7">
        <v>3.754</v>
      </c>
      <c r="C35" s="7">
        <v>4.0430000000000001</v>
      </c>
      <c r="D35" s="7">
        <v>4.9050000000000002</v>
      </c>
      <c r="E35" s="7">
        <v>7.3630000000000004</v>
      </c>
      <c r="F35" s="7">
        <v>12.099</v>
      </c>
    </row>
    <row r="36" spans="1:6">
      <c r="A36" s="6" t="s">
        <v>394</v>
      </c>
      <c r="B36" s="7">
        <v>30.951000000000001</v>
      </c>
      <c r="C36" s="7">
        <v>41.155000000000001</v>
      </c>
      <c r="D36" s="7">
        <v>45.970999999999997</v>
      </c>
      <c r="E36" s="7">
        <v>57.046999999999997</v>
      </c>
      <c r="F36" s="7">
        <v>66.858999999999995</v>
      </c>
    </row>
    <row r="37" spans="1:6">
      <c r="A37" s="6" t="s">
        <v>395</v>
      </c>
      <c r="B37" s="7">
        <v>5.8999999999999997E-2</v>
      </c>
    </row>
    <row r="38" spans="1:6" s="56" customFormat="1">
      <c r="A38" s="56" t="s">
        <v>396</v>
      </c>
      <c r="B38" s="57">
        <v>348.29700000000003</v>
      </c>
      <c r="C38" s="57">
        <v>348.15100000000001</v>
      </c>
      <c r="D38" s="57">
        <v>413.40899999999999</v>
      </c>
      <c r="E38" s="57">
        <v>386.97</v>
      </c>
      <c r="F38" s="57">
        <v>448.03399999999999</v>
      </c>
    </row>
    <row r="39" spans="1:6">
      <c r="A39" s="6" t="s">
        <v>397</v>
      </c>
      <c r="B39" s="7">
        <v>29.773</v>
      </c>
      <c r="C39" s="7">
        <v>41.651000000000003</v>
      </c>
      <c r="D39" s="7">
        <v>45.078000000000003</v>
      </c>
      <c r="E39" s="7">
        <v>42.427999999999997</v>
      </c>
      <c r="F39" s="58">
        <v>50.738999999999997</v>
      </c>
    </row>
    <row r="40" spans="1:6">
      <c r="A40" s="6" t="s">
        <v>398</v>
      </c>
      <c r="B40" s="7">
        <v>34.497</v>
      </c>
      <c r="C40" s="7">
        <v>41.975999999999999</v>
      </c>
      <c r="D40" s="7">
        <v>48.378999999999998</v>
      </c>
      <c r="E40" s="7">
        <v>60.53</v>
      </c>
      <c r="F40" s="7">
        <v>60.335000000000001</v>
      </c>
    </row>
    <row r="41" spans="1:6">
      <c r="A41" s="6" t="s">
        <v>399</v>
      </c>
      <c r="B41" s="7">
        <v>2.1429999999999998</v>
      </c>
      <c r="C41" s="7">
        <v>2.8969999999999998</v>
      </c>
      <c r="D41" s="7">
        <v>16.908000000000001</v>
      </c>
      <c r="E41" s="7">
        <v>10.032999999999999</v>
      </c>
      <c r="F41" s="7">
        <v>23.536000000000001</v>
      </c>
    </row>
    <row r="42" spans="1:6">
      <c r="A42" s="6" t="s">
        <v>400</v>
      </c>
      <c r="B42" s="7">
        <v>28.756</v>
      </c>
      <c r="C42" s="7">
        <v>39.578000000000003</v>
      </c>
      <c r="D42" s="7">
        <v>39.545999999999999</v>
      </c>
      <c r="E42" s="7">
        <v>45.241</v>
      </c>
      <c r="F42" s="7">
        <v>51.948</v>
      </c>
    </row>
    <row r="43" spans="1:6">
      <c r="A43" s="6" t="s">
        <v>401</v>
      </c>
      <c r="B43" s="7">
        <v>83.858999999999995</v>
      </c>
      <c r="C43" s="7">
        <v>145.20400000000001</v>
      </c>
      <c r="D43" s="7">
        <v>165.10499999999999</v>
      </c>
      <c r="E43" s="7">
        <v>149.46600000000001</v>
      </c>
      <c r="F43" s="7">
        <v>147.53100000000001</v>
      </c>
    </row>
    <row r="44" spans="1:6">
      <c r="A44" s="6" t="s">
        <v>402</v>
      </c>
      <c r="B44" s="7">
        <v>0.17</v>
      </c>
      <c r="C44" s="7">
        <v>6.8000000000000005E-2</v>
      </c>
      <c r="D44" s="7">
        <v>0.21</v>
      </c>
      <c r="E44" s="7">
        <v>0.121</v>
      </c>
      <c r="F44" s="7">
        <v>5.1999999999999998E-2</v>
      </c>
    </row>
    <row r="45" spans="1:6">
      <c r="A45" s="6" t="s">
        <v>403</v>
      </c>
      <c r="B45" s="7">
        <v>1.577</v>
      </c>
      <c r="C45" s="7">
        <v>8.2789999999999999</v>
      </c>
      <c r="D45" s="7">
        <v>11.644</v>
      </c>
      <c r="E45" s="7">
        <v>8.5410000000000004</v>
      </c>
      <c r="F45" s="58">
        <v>18.07</v>
      </c>
    </row>
    <row r="46" spans="1:6">
      <c r="A46" s="6" t="s">
        <v>404</v>
      </c>
      <c r="B46" s="7">
        <v>10.029</v>
      </c>
      <c r="C46" s="7">
        <v>17.004000000000001</v>
      </c>
      <c r="D46" s="7">
        <v>14.566000000000001</v>
      </c>
      <c r="E46" s="7">
        <v>20.533999999999999</v>
      </c>
      <c r="F46" s="7">
        <v>31.7</v>
      </c>
    </row>
    <row r="47" spans="1:6">
      <c r="A47" s="6" t="s">
        <v>405</v>
      </c>
      <c r="B47" s="7">
        <v>27.035</v>
      </c>
      <c r="C47" s="7">
        <v>33.433999999999997</v>
      </c>
      <c r="D47" s="7">
        <v>57.457000000000001</v>
      </c>
      <c r="E47" s="7">
        <v>35.325000000000003</v>
      </c>
      <c r="F47" s="7">
        <v>45.042000000000002</v>
      </c>
    </row>
    <row r="48" spans="1:6">
      <c r="A48" s="6" t="s">
        <v>406</v>
      </c>
      <c r="B48" s="7">
        <v>123.619</v>
      </c>
      <c r="C48" s="7">
        <v>15.36</v>
      </c>
      <c r="D48" s="7">
        <v>8.0440000000000005</v>
      </c>
      <c r="E48" s="7">
        <v>11.801</v>
      </c>
      <c r="F48" s="7">
        <v>15.532</v>
      </c>
    </row>
    <row r="49" spans="1:6">
      <c r="A49" s="6" t="s">
        <v>407</v>
      </c>
      <c r="B49" s="7">
        <v>5.86</v>
      </c>
      <c r="C49" s="7">
        <v>2.641</v>
      </c>
      <c r="D49" s="7">
        <v>6.4720000000000004</v>
      </c>
      <c r="E49" s="7">
        <v>2.95</v>
      </c>
      <c r="F49" s="7">
        <v>3.5489999999999999</v>
      </c>
    </row>
    <row r="50" spans="1:6">
      <c r="A50" s="6" t="s">
        <v>408</v>
      </c>
      <c r="B50" s="7">
        <v>0.97899999999999998</v>
      </c>
      <c r="C50" s="7">
        <v>5.8999999999999997E-2</v>
      </c>
    </row>
    <row r="51" spans="1:6">
      <c r="A51" s="6" t="s">
        <v>409</v>
      </c>
      <c r="B51" s="7">
        <v>-92.617999999999995</v>
      </c>
    </row>
    <row r="52" spans="1:6">
      <c r="A52" s="6" t="s">
        <v>338</v>
      </c>
      <c r="B52" s="6" t="s">
        <v>339</v>
      </c>
      <c r="C52" s="6" t="s">
        <v>339</v>
      </c>
      <c r="D52" s="6" t="s">
        <v>339</v>
      </c>
      <c r="E52" s="6" t="s">
        <v>339</v>
      </c>
      <c r="F52" s="6" t="s">
        <v>339</v>
      </c>
    </row>
    <row r="53" spans="1:6">
      <c r="A53" s="6" t="s">
        <v>340</v>
      </c>
      <c r="B53" s="6" t="s">
        <v>339</v>
      </c>
      <c r="C53" s="6" t="s">
        <v>339</v>
      </c>
      <c r="D53" s="6" t="s">
        <v>339</v>
      </c>
      <c r="E53" s="6" t="s">
        <v>339</v>
      </c>
      <c r="F53" s="6" t="s">
        <v>339</v>
      </c>
    </row>
    <row r="54" spans="1:6">
      <c r="A54" s="6" t="s">
        <v>341</v>
      </c>
      <c r="B54" s="7">
        <v>1</v>
      </c>
      <c r="C54" s="7">
        <v>1</v>
      </c>
      <c r="D54" s="7">
        <v>1</v>
      </c>
      <c r="E54" s="7">
        <v>1</v>
      </c>
      <c r="F54" s="7">
        <v>1</v>
      </c>
    </row>
    <row r="55" spans="1:6">
      <c r="A55" s="6" t="s">
        <v>342</v>
      </c>
      <c r="B55" s="6" t="s">
        <v>343</v>
      </c>
      <c r="C55" s="6" t="s">
        <v>343</v>
      </c>
      <c r="D55" s="6" t="s">
        <v>343</v>
      </c>
      <c r="E55" s="6" t="s">
        <v>343</v>
      </c>
      <c r="F55" s="6" t="s">
        <v>343</v>
      </c>
    </row>
    <row r="56" spans="1:6">
      <c r="A56" s="6" t="s">
        <v>344</v>
      </c>
    </row>
    <row r="57" spans="1:6">
      <c r="A57" s="6" t="s">
        <v>350</v>
      </c>
      <c r="B57" s="6" t="s">
        <v>311</v>
      </c>
      <c r="C57" s="6" t="s">
        <v>312</v>
      </c>
      <c r="D57" s="6" t="s">
        <v>313</v>
      </c>
      <c r="E57" s="6" t="s">
        <v>314</v>
      </c>
      <c r="F57" s="6" t="s">
        <v>315</v>
      </c>
    </row>
    <row r="58" spans="1:6">
      <c r="A58" s="6" t="s">
        <v>351</v>
      </c>
    </row>
    <row r="59" spans="1:6">
      <c r="A59" s="6" t="s">
        <v>353</v>
      </c>
      <c r="B59" s="6" t="s">
        <v>354</v>
      </c>
      <c r="C59" s="6" t="s">
        <v>354</v>
      </c>
      <c r="D59" s="6" t="s">
        <v>354</v>
      </c>
      <c r="E59" s="6" t="s">
        <v>355</v>
      </c>
      <c r="F59" s="6" t="s">
        <v>356</v>
      </c>
    </row>
    <row r="60" spans="1:6">
      <c r="A60" s="6" t="s">
        <v>357</v>
      </c>
      <c r="B60" s="6" t="s">
        <v>358</v>
      </c>
      <c r="C60" s="6" t="s">
        <v>358</v>
      </c>
      <c r="D60" s="6" t="s">
        <v>358</v>
      </c>
      <c r="E60" s="6" t="s">
        <v>358</v>
      </c>
      <c r="F60" s="6" t="s">
        <v>358</v>
      </c>
    </row>
    <row r="61" spans="1:6">
      <c r="A61" s="6" t="s">
        <v>359</v>
      </c>
      <c r="B61" s="6" t="s">
        <v>360</v>
      </c>
      <c r="C61" s="6" t="s">
        <v>360</v>
      </c>
      <c r="D61" s="6" t="s">
        <v>360</v>
      </c>
      <c r="E61" s="6" t="s">
        <v>360</v>
      </c>
      <c r="F61" s="6" t="s">
        <v>360</v>
      </c>
    </row>
    <row r="62" spans="1:6">
      <c r="A62" s="6" t="s">
        <v>361</v>
      </c>
    </row>
  </sheetData>
  <phoneticPr fontId="13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7"/>
  <sheetViews>
    <sheetView workbookViewId="0">
      <selection activeCell="B12" sqref="B12"/>
    </sheetView>
  </sheetViews>
  <sheetFormatPr defaultColWidth="9.6640625" defaultRowHeight="15.5"/>
  <cols>
    <col min="1" max="1" width="56.83203125" style="6" customWidth="1"/>
    <col min="2" max="13" width="20.83203125" style="6" customWidth="1"/>
    <col min="14" max="16384" width="9.6640625" style="6"/>
  </cols>
  <sheetData>
    <row r="1" spans="1:13">
      <c r="A1" s="327" t="s">
        <v>410</v>
      </c>
      <c r="B1" s="327"/>
      <c r="C1" s="327"/>
      <c r="D1" s="327"/>
      <c r="E1" s="327"/>
      <c r="F1" s="327"/>
      <c r="G1" s="327"/>
      <c r="H1" s="327"/>
      <c r="I1" s="327"/>
      <c r="J1" s="327"/>
      <c r="K1" s="327"/>
      <c r="L1" s="327"/>
      <c r="M1" s="327"/>
    </row>
    <row r="2" spans="1:13">
      <c r="A2" s="6" t="s">
        <v>411</v>
      </c>
      <c r="B2" s="6" t="s">
        <v>311</v>
      </c>
      <c r="C2" s="6" t="s">
        <v>312</v>
      </c>
      <c r="D2" s="6" t="s">
        <v>313</v>
      </c>
      <c r="E2" s="6" t="s">
        <v>314</v>
      </c>
      <c r="F2" s="6" t="s">
        <v>315</v>
      </c>
    </row>
    <row r="3" spans="1:13">
      <c r="A3" s="6" t="s">
        <v>316</v>
      </c>
      <c r="B3" s="6" t="s">
        <v>317</v>
      </c>
      <c r="C3" s="6" t="s">
        <v>317</v>
      </c>
      <c r="D3" s="6" t="s">
        <v>317</v>
      </c>
      <c r="E3" s="6" t="s">
        <v>317</v>
      </c>
      <c r="F3" s="6" t="s">
        <v>317</v>
      </c>
    </row>
    <row r="4" spans="1:13">
      <c r="A4" s="6" t="s">
        <v>318</v>
      </c>
      <c r="B4" s="6" t="s">
        <v>319</v>
      </c>
      <c r="C4" s="6" t="s">
        <v>319</v>
      </c>
      <c r="D4" s="6" t="s">
        <v>319</v>
      </c>
      <c r="E4" s="6" t="s">
        <v>319</v>
      </c>
      <c r="F4" s="6" t="s">
        <v>319</v>
      </c>
    </row>
    <row r="5" spans="1:13" s="56" customFormat="1">
      <c r="A5" s="56" t="s">
        <v>412</v>
      </c>
      <c r="B5" s="57">
        <v>156.76599999999999</v>
      </c>
      <c r="C5" s="57">
        <v>181.381</v>
      </c>
      <c r="D5" s="57">
        <v>243.25399999999999</v>
      </c>
      <c r="E5" s="57">
        <v>246.869</v>
      </c>
      <c r="F5" s="57">
        <v>391.83699999999999</v>
      </c>
    </row>
    <row r="6" spans="1:13" s="56" customFormat="1">
      <c r="A6" s="56" t="s">
        <v>413</v>
      </c>
      <c r="B6" s="57">
        <v>103.021</v>
      </c>
      <c r="C6" s="57">
        <v>24.614999999999998</v>
      </c>
      <c r="D6" s="57">
        <v>61.872999999999998</v>
      </c>
      <c r="E6" s="57">
        <v>3.6150000000000002</v>
      </c>
      <c r="F6" s="57">
        <v>144.96799999999999</v>
      </c>
    </row>
    <row r="7" spans="1:13" s="56" customFormat="1">
      <c r="A7" s="56" t="s">
        <v>414</v>
      </c>
      <c r="B7" s="57">
        <v>113.964</v>
      </c>
      <c r="C7" s="57">
        <v>198.27699999999999</v>
      </c>
      <c r="D7" s="57">
        <v>132.85900000000001</v>
      </c>
      <c r="E7" s="57">
        <v>113.291</v>
      </c>
      <c r="F7" s="57">
        <v>164.535</v>
      </c>
    </row>
    <row r="8" spans="1:13">
      <c r="A8" s="6" t="s">
        <v>415</v>
      </c>
      <c r="B8" s="7">
        <v>119.241</v>
      </c>
      <c r="C8" s="7">
        <v>204.25299999999999</v>
      </c>
      <c r="D8" s="7">
        <v>161.09800000000001</v>
      </c>
      <c r="E8" s="7">
        <v>151.44300000000001</v>
      </c>
      <c r="F8" s="7">
        <v>199.244</v>
      </c>
    </row>
    <row r="9" spans="1:13">
      <c r="A9" s="6" t="s">
        <v>416</v>
      </c>
      <c r="B9" s="7">
        <v>77.653000000000006</v>
      </c>
      <c r="C9" s="7">
        <v>123.495</v>
      </c>
      <c r="D9" s="7">
        <v>145.94499999999999</v>
      </c>
      <c r="E9" s="7">
        <v>160.13900000000001</v>
      </c>
      <c r="F9" s="58">
        <v>193.697</v>
      </c>
    </row>
    <row r="10" spans="1:13">
      <c r="A10" s="6" t="s">
        <v>417</v>
      </c>
      <c r="B10" s="7">
        <v>36.116</v>
      </c>
      <c r="C10" s="7">
        <v>72.403000000000006</v>
      </c>
      <c r="D10" s="7">
        <v>88.075999999999993</v>
      </c>
      <c r="E10" s="7">
        <v>91.143000000000001</v>
      </c>
      <c r="F10" s="7">
        <v>120.746</v>
      </c>
    </row>
    <row r="11" spans="1:13">
      <c r="A11" s="6" t="s">
        <v>418</v>
      </c>
      <c r="B11" s="7">
        <v>10.488</v>
      </c>
      <c r="C11" s="7">
        <v>13.797000000000001</v>
      </c>
      <c r="D11" s="7">
        <v>20.858000000000001</v>
      </c>
      <c r="E11" s="7">
        <v>27.442</v>
      </c>
      <c r="F11" s="7">
        <v>26.878</v>
      </c>
    </row>
    <row r="12" spans="1:13">
      <c r="A12" s="6" t="s">
        <v>419</v>
      </c>
      <c r="B12" s="7">
        <v>6.1719999999999997</v>
      </c>
      <c r="C12" s="7">
        <v>3.5089999999999999</v>
      </c>
      <c r="D12" s="7">
        <v>3.1989999999999998</v>
      </c>
      <c r="E12" s="7">
        <v>5.5289999999999999</v>
      </c>
      <c r="F12" s="7">
        <v>5.1449999999999996</v>
      </c>
    </row>
    <row r="13" spans="1:13">
      <c r="A13" s="6" t="s">
        <v>420</v>
      </c>
      <c r="B13" s="7">
        <v>11.574999999999999</v>
      </c>
      <c r="C13" s="7">
        <v>18.248000000000001</v>
      </c>
      <c r="D13" s="7">
        <v>13.596</v>
      </c>
      <c r="E13" s="7">
        <v>16.856999999999999</v>
      </c>
      <c r="F13" s="7">
        <v>21.029</v>
      </c>
    </row>
    <row r="14" spans="1:13">
      <c r="A14" s="6" t="s">
        <v>421</v>
      </c>
      <c r="B14" s="7">
        <v>2.3879999999999999</v>
      </c>
      <c r="C14" s="7">
        <v>2.5070000000000001</v>
      </c>
      <c r="D14" s="7">
        <v>3.9950000000000001</v>
      </c>
      <c r="E14" s="7">
        <v>4.0679999999999996</v>
      </c>
      <c r="F14" s="7">
        <v>4.4740000000000002</v>
      </c>
    </row>
    <row r="15" spans="1:13">
      <c r="A15" s="6" t="s">
        <v>422</v>
      </c>
      <c r="B15" s="7">
        <v>12.019</v>
      </c>
      <c r="C15" s="7">
        <v>14.420999999999999</v>
      </c>
      <c r="D15" s="7">
        <v>15.866</v>
      </c>
      <c r="E15" s="7">
        <v>15.65</v>
      </c>
      <c r="F15" s="7">
        <v>19.472999999999999</v>
      </c>
    </row>
    <row r="16" spans="1:13">
      <c r="A16" s="6" t="s">
        <v>423</v>
      </c>
      <c r="F16" s="7">
        <v>-0.23</v>
      </c>
    </row>
    <row r="17" spans="1:6">
      <c r="A17" s="6" t="s">
        <v>424</v>
      </c>
    </row>
    <row r="18" spans="1:6">
      <c r="A18" s="6" t="s">
        <v>425</v>
      </c>
      <c r="B18" s="7">
        <v>-0.126</v>
      </c>
      <c r="C18" s="7">
        <v>-0.41099999999999998</v>
      </c>
      <c r="D18" s="7">
        <v>0.41399999999999998</v>
      </c>
      <c r="E18" s="7">
        <v>-0.55000000000000004</v>
      </c>
      <c r="F18" s="7">
        <v>-3.8180000000000001</v>
      </c>
    </row>
    <row r="19" spans="1:6">
      <c r="A19" s="6" t="s">
        <v>426</v>
      </c>
      <c r="B19" s="7">
        <v>-0.97899999999999998</v>
      </c>
      <c r="C19" s="7">
        <v>-0.97899999999999998</v>
      </c>
      <c r="D19" s="7">
        <v>-5.8999999999999997E-2</v>
      </c>
    </row>
    <row r="20" spans="1:6">
      <c r="A20" s="6" t="s">
        <v>427</v>
      </c>
      <c r="B20" s="7">
        <v>13.15</v>
      </c>
      <c r="C20" s="7">
        <v>-27.760999999999999</v>
      </c>
      <c r="D20" s="7">
        <v>-18.364999999999998</v>
      </c>
      <c r="E20" s="7">
        <v>-23.917999999999999</v>
      </c>
      <c r="F20" s="7">
        <v>-35.155999999999999</v>
      </c>
    </row>
    <row r="21" spans="1:6">
      <c r="A21" s="6" t="s">
        <v>428</v>
      </c>
      <c r="B21" s="7">
        <v>3.4340000000000002</v>
      </c>
      <c r="C21" s="7">
        <v>-8.2279999999999998</v>
      </c>
      <c r="D21" s="7">
        <v>-31.227</v>
      </c>
      <c r="E21" s="7">
        <v>26.847000000000001</v>
      </c>
      <c r="F21" s="7">
        <v>-10.897</v>
      </c>
    </row>
    <row r="22" spans="1:6">
      <c r="A22" s="6" t="s">
        <v>429</v>
      </c>
      <c r="B22" s="7">
        <v>-0.873</v>
      </c>
      <c r="C22" s="7">
        <v>-1.0369999999999999</v>
      </c>
      <c r="D22" s="7">
        <v>1.7789999999999999</v>
      </c>
      <c r="E22" s="7">
        <v>2.8000000000000001E-2</v>
      </c>
      <c r="F22" s="7">
        <v>-3.7999999999999999E-2</v>
      </c>
    </row>
    <row r="23" spans="1:6">
      <c r="A23" s="6" t="s">
        <v>430</v>
      </c>
      <c r="B23" s="7">
        <v>-0.16900000000000001</v>
      </c>
      <c r="C23" s="7">
        <v>1.639</v>
      </c>
      <c r="D23" s="7">
        <v>-0.53300000000000003</v>
      </c>
      <c r="E23" s="7">
        <v>-11.14</v>
      </c>
      <c r="F23" s="7">
        <v>-9.1440000000000001</v>
      </c>
    </row>
    <row r="24" spans="1:6">
      <c r="A24" s="6" t="s">
        <v>431</v>
      </c>
      <c r="B24" s="7">
        <v>14.627000000000001</v>
      </c>
      <c r="C24" s="7">
        <v>28.001000000000001</v>
      </c>
      <c r="D24" s="7">
        <v>2.3460000000000001</v>
      </c>
      <c r="E24" s="7">
        <v>16.771000000000001</v>
      </c>
      <c r="F24" s="7">
        <v>16.518999999999998</v>
      </c>
    </row>
    <row r="25" spans="1:6">
      <c r="A25" s="6" t="s">
        <v>432</v>
      </c>
      <c r="B25" s="7">
        <v>4.016</v>
      </c>
      <c r="C25" s="7">
        <v>61.344999999999999</v>
      </c>
      <c r="D25" s="7">
        <v>19.901</v>
      </c>
      <c r="E25" s="7">
        <v>-15.638999999999999</v>
      </c>
      <c r="F25" s="7">
        <v>-1.9350000000000001</v>
      </c>
    </row>
    <row r="26" spans="1:6">
      <c r="A26" s="6" t="s">
        <v>433</v>
      </c>
      <c r="B26" s="7">
        <v>15.394</v>
      </c>
      <c r="C26" s="7">
        <v>7.4790000000000001</v>
      </c>
      <c r="D26" s="7">
        <v>6.4029999999999996</v>
      </c>
      <c r="E26" s="7">
        <v>12.151</v>
      </c>
      <c r="F26" s="7">
        <v>-0.19500000000000001</v>
      </c>
    </row>
    <row r="27" spans="1:6">
      <c r="A27" s="6" t="s">
        <v>434</v>
      </c>
      <c r="B27" s="7">
        <v>-7.9909999999999997</v>
      </c>
      <c r="C27" s="7">
        <v>19.32</v>
      </c>
      <c r="D27" s="7">
        <v>34.848999999999997</v>
      </c>
      <c r="E27" s="7">
        <v>-13.795999999999999</v>
      </c>
      <c r="F27" s="7">
        <v>46.393000000000001</v>
      </c>
    </row>
    <row r="28" spans="1:6">
      <c r="A28" s="6" t="s">
        <v>435</v>
      </c>
      <c r="B28" s="7">
        <v>-6.4509999999999996</v>
      </c>
      <c r="C28" s="7">
        <v>-3.6110000000000002</v>
      </c>
      <c r="D28" s="7">
        <v>-3.0569999999999999</v>
      </c>
      <c r="E28" s="7">
        <v>-5.617</v>
      </c>
      <c r="F28" s="7">
        <v>-5.2140000000000004</v>
      </c>
    </row>
    <row r="29" spans="1:6">
      <c r="A29" s="6" t="s">
        <v>436</v>
      </c>
      <c r="B29" s="7">
        <v>1.1739999999999999</v>
      </c>
      <c r="C29" s="7">
        <v>-2.3650000000000002</v>
      </c>
      <c r="D29" s="7">
        <v>-25.181999999999999</v>
      </c>
      <c r="E29" s="7">
        <v>-32.534999999999997</v>
      </c>
      <c r="F29" s="7">
        <v>-29.495000000000001</v>
      </c>
    </row>
    <row r="30" spans="1:6" s="56" customFormat="1">
      <c r="A30" s="56" t="s">
        <v>437</v>
      </c>
      <c r="B30" s="57">
        <v>-7.7990000000000004</v>
      </c>
      <c r="C30" s="57">
        <v>-47.518999999999998</v>
      </c>
      <c r="D30" s="57">
        <v>-71.033000000000001</v>
      </c>
      <c r="E30" s="57">
        <v>-90.637</v>
      </c>
      <c r="F30" s="57">
        <v>-193.38499999999999</v>
      </c>
    </row>
    <row r="31" spans="1:6">
      <c r="A31" s="6" t="s">
        <v>438</v>
      </c>
      <c r="B31" s="7">
        <v>-0.63900000000000001</v>
      </c>
      <c r="C31" s="7">
        <v>-0.52700000000000002</v>
      </c>
      <c r="D31" s="7">
        <v>-0.39700000000000002</v>
      </c>
      <c r="E31" s="7">
        <v>-0.42399999999999999</v>
      </c>
      <c r="F31" s="7">
        <v>-0.49</v>
      </c>
    </row>
    <row r="32" spans="1:6">
      <c r="A32" s="6" t="s">
        <v>439</v>
      </c>
      <c r="B32" s="7">
        <v>4.5129999999999999</v>
      </c>
      <c r="C32" s="7">
        <v>2.165</v>
      </c>
      <c r="D32" s="7">
        <v>0.151</v>
      </c>
      <c r="E32" s="7">
        <v>0.11799999999999999</v>
      </c>
      <c r="F32" s="7">
        <v>4.5999999999999999E-2</v>
      </c>
    </row>
    <row r="33" spans="1:6">
      <c r="A33" s="6" t="s">
        <v>440</v>
      </c>
      <c r="B33" s="7">
        <v>0.14299999999999999</v>
      </c>
      <c r="F33" s="7">
        <v>2.7639999999999998</v>
      </c>
    </row>
    <row r="34" spans="1:6">
      <c r="A34" s="6" t="s">
        <v>441</v>
      </c>
      <c r="F34" s="7">
        <v>-103</v>
      </c>
    </row>
    <row r="35" spans="1:6">
      <c r="A35" s="6" t="s">
        <v>442</v>
      </c>
      <c r="F35" s="7">
        <v>1.647</v>
      </c>
    </row>
    <row r="36" spans="1:6">
      <c r="A36" s="6" t="s">
        <v>443</v>
      </c>
      <c r="B36" s="7">
        <v>-7.8440000000000003</v>
      </c>
      <c r="C36" s="7">
        <v>-40.756</v>
      </c>
      <c r="D36" s="7">
        <v>-49.101999999999997</v>
      </c>
      <c r="E36" s="7">
        <v>-60.828000000000003</v>
      </c>
      <c r="F36" s="7">
        <v>-54.350999999999999</v>
      </c>
    </row>
    <row r="37" spans="1:6">
      <c r="A37" s="6" t="s">
        <v>444</v>
      </c>
      <c r="B37" s="7">
        <v>-3.972</v>
      </c>
      <c r="C37" s="7">
        <v>-8.4009999999999998</v>
      </c>
      <c r="D37" s="7">
        <v>-21.684999999999999</v>
      </c>
      <c r="E37" s="7">
        <v>-29.503</v>
      </c>
      <c r="F37" s="7">
        <v>-40.000999999999998</v>
      </c>
    </row>
    <row r="38" spans="1:6" s="56" customFormat="1">
      <c r="A38" s="56" t="s">
        <v>445</v>
      </c>
      <c r="B38" s="57">
        <v>-3.1440000000000001</v>
      </c>
      <c r="C38" s="57">
        <v>-126.143</v>
      </c>
      <c r="D38" s="57">
        <v>4.7E-2</v>
      </c>
      <c r="E38" s="57">
        <v>-19.039000000000001</v>
      </c>
      <c r="F38" s="57">
        <v>173.81800000000001</v>
      </c>
    </row>
    <row r="39" spans="1:6">
      <c r="A39" s="6" t="s">
        <v>446</v>
      </c>
      <c r="B39" s="7">
        <v>117.575</v>
      </c>
      <c r="D39" s="7">
        <v>75</v>
      </c>
    </row>
    <row r="40" spans="1:6">
      <c r="A40" s="6" t="s">
        <v>447</v>
      </c>
      <c r="B40" s="7">
        <v>-118.026</v>
      </c>
      <c r="C40" s="7">
        <v>-123.619</v>
      </c>
      <c r="D40" s="7">
        <v>-70.978999999999999</v>
      </c>
      <c r="E40" s="7">
        <v>-8.0440000000000005</v>
      </c>
      <c r="F40" s="7">
        <v>-11.802</v>
      </c>
    </row>
    <row r="41" spans="1:6">
      <c r="A41" s="6" t="s">
        <v>448</v>
      </c>
      <c r="B41" s="7">
        <v>-2.6930000000000001</v>
      </c>
      <c r="C41" s="7">
        <v>-2.524</v>
      </c>
      <c r="D41" s="7">
        <v>-3.9740000000000002</v>
      </c>
      <c r="E41" s="7">
        <v>-3.629</v>
      </c>
      <c r="F41" s="7">
        <v>-3.927</v>
      </c>
    </row>
    <row r="42" spans="1:6">
      <c r="A42" s="6" t="s">
        <v>449</v>
      </c>
      <c r="F42" s="7">
        <v>194.21700000000001</v>
      </c>
    </row>
    <row r="43" spans="1:6">
      <c r="A43" s="6" t="s">
        <v>450</v>
      </c>
      <c r="E43" s="7">
        <v>-6.5</v>
      </c>
    </row>
    <row r="44" spans="1:6">
      <c r="A44" s="6" t="s">
        <v>451</v>
      </c>
    </row>
    <row r="45" spans="1:6">
      <c r="A45" s="6" t="s">
        <v>452</v>
      </c>
      <c r="E45" s="7">
        <v>-0.86599999999999999</v>
      </c>
      <c r="F45" s="7">
        <v>-4.67</v>
      </c>
    </row>
    <row r="46" spans="1:6" s="56" customFormat="1">
      <c r="A46" s="56" t="s">
        <v>453</v>
      </c>
      <c r="B46" s="57">
        <v>53.744999999999997</v>
      </c>
      <c r="C46" s="57">
        <v>156.76599999999999</v>
      </c>
      <c r="D46" s="57">
        <v>181.381</v>
      </c>
      <c r="E46" s="57">
        <v>243.25399999999999</v>
      </c>
      <c r="F46" s="57">
        <v>246.869</v>
      </c>
    </row>
    <row r="47" spans="1:6">
      <c r="A47" s="6" t="s">
        <v>338</v>
      </c>
      <c r="B47" s="6" t="s">
        <v>339</v>
      </c>
      <c r="C47" s="6" t="s">
        <v>339</v>
      </c>
      <c r="D47" s="6" t="s">
        <v>339</v>
      </c>
      <c r="E47" s="6" t="s">
        <v>339</v>
      </c>
      <c r="F47" s="6" t="s">
        <v>339</v>
      </c>
    </row>
    <row r="48" spans="1:6">
      <c r="A48" s="6" t="s">
        <v>340</v>
      </c>
      <c r="B48" s="6" t="s">
        <v>339</v>
      </c>
      <c r="C48" s="6" t="s">
        <v>339</v>
      </c>
      <c r="D48" s="6" t="s">
        <v>339</v>
      </c>
      <c r="E48" s="6" t="s">
        <v>339</v>
      </c>
      <c r="F48" s="6" t="s">
        <v>339</v>
      </c>
    </row>
    <row r="49" spans="1:6">
      <c r="A49" s="6" t="s">
        <v>341</v>
      </c>
      <c r="B49" s="7">
        <v>1</v>
      </c>
      <c r="C49" s="7">
        <v>1</v>
      </c>
      <c r="D49" s="7">
        <v>1</v>
      </c>
      <c r="E49" s="7">
        <v>1</v>
      </c>
      <c r="F49" s="7">
        <v>1</v>
      </c>
    </row>
    <row r="50" spans="1:6">
      <c r="A50" s="6" t="s">
        <v>342</v>
      </c>
      <c r="B50" s="6" t="s">
        <v>343</v>
      </c>
      <c r="C50" s="6" t="s">
        <v>343</v>
      </c>
      <c r="D50" s="6" t="s">
        <v>343</v>
      </c>
      <c r="E50" s="6" t="s">
        <v>343</v>
      </c>
      <c r="F50" s="6" t="s">
        <v>343</v>
      </c>
    </row>
    <row r="51" spans="1:6">
      <c r="A51" s="6" t="s">
        <v>344</v>
      </c>
      <c r="B51" s="6" t="s">
        <v>345</v>
      </c>
      <c r="C51" s="6" t="s">
        <v>346</v>
      </c>
      <c r="D51" s="6" t="s">
        <v>347</v>
      </c>
      <c r="E51" s="6" t="s">
        <v>348</v>
      </c>
      <c r="F51" s="6" t="s">
        <v>349</v>
      </c>
    </row>
    <row r="52" spans="1:6">
      <c r="A52" s="6" t="s">
        <v>350</v>
      </c>
      <c r="B52" s="6" t="s">
        <v>311</v>
      </c>
      <c r="C52" s="6" t="s">
        <v>312</v>
      </c>
      <c r="D52" s="6" t="s">
        <v>313</v>
      </c>
      <c r="E52" s="6" t="s">
        <v>314</v>
      </c>
      <c r="F52" s="6" t="s">
        <v>315</v>
      </c>
    </row>
    <row r="53" spans="1:6">
      <c r="A53" s="6" t="s">
        <v>351</v>
      </c>
      <c r="B53" s="6" t="s">
        <v>352</v>
      </c>
      <c r="C53" s="6" t="s">
        <v>352</v>
      </c>
      <c r="D53" s="6" t="s">
        <v>352</v>
      </c>
      <c r="E53" s="6" t="s">
        <v>352</v>
      </c>
      <c r="F53" s="6" t="s">
        <v>352</v>
      </c>
    </row>
    <row r="54" spans="1:6">
      <c r="A54" s="6" t="s">
        <v>353</v>
      </c>
      <c r="B54" s="6" t="s">
        <v>354</v>
      </c>
      <c r="C54" s="6" t="s">
        <v>354</v>
      </c>
      <c r="D54" s="6" t="s">
        <v>354</v>
      </c>
      <c r="E54" s="6" t="s">
        <v>355</v>
      </c>
      <c r="F54" s="6" t="s">
        <v>356</v>
      </c>
    </row>
    <row r="55" spans="1:6">
      <c r="A55" s="6" t="s">
        <v>357</v>
      </c>
      <c r="B55" s="6" t="s">
        <v>358</v>
      </c>
      <c r="C55" s="6" t="s">
        <v>358</v>
      </c>
      <c r="D55" s="6" t="s">
        <v>358</v>
      </c>
      <c r="E55" s="6" t="s">
        <v>358</v>
      </c>
      <c r="F55" s="6" t="s">
        <v>358</v>
      </c>
    </row>
    <row r="56" spans="1:6">
      <c r="A56" s="6" t="s">
        <v>359</v>
      </c>
      <c r="B56" s="6" t="s">
        <v>360</v>
      </c>
      <c r="C56" s="6" t="s">
        <v>360</v>
      </c>
      <c r="D56" s="6" t="s">
        <v>360</v>
      </c>
      <c r="E56" s="6" t="s">
        <v>360</v>
      </c>
      <c r="F56" s="6" t="s">
        <v>360</v>
      </c>
    </row>
    <row r="57" spans="1:6">
      <c r="A57" s="6" t="s">
        <v>361</v>
      </c>
    </row>
  </sheetData>
  <mergeCells count="1">
    <mergeCell ref="A1:M1"/>
  </mergeCells>
  <phoneticPr fontId="133"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225F8-6B9D-4697-BC66-089EB5B6E95C}">
  <dimension ref="A1:K26"/>
  <sheetViews>
    <sheetView zoomScale="130" zoomScaleNormal="130" workbookViewId="0">
      <selection activeCell="G8" sqref="G8:G11"/>
    </sheetView>
  </sheetViews>
  <sheetFormatPr defaultRowHeight="14.5"/>
  <cols>
    <col min="1" max="4" width="8.6640625" style="281"/>
    <col min="5" max="5" width="10.4140625" style="281" bestFit="1" customWidth="1"/>
    <col min="6" max="6" width="8.6640625" style="281"/>
    <col min="7" max="7" width="8.6640625" style="303"/>
    <col min="8" max="8" width="8.6640625" style="281"/>
    <col min="9" max="16384" width="8.6640625" style="283"/>
  </cols>
  <sheetData>
    <row r="1" spans="1:11">
      <c r="C1" s="316">
        <v>2020</v>
      </c>
      <c r="D1" s="316">
        <v>2021</v>
      </c>
      <c r="E1" s="316">
        <v>2022</v>
      </c>
      <c r="F1" s="316">
        <v>2023</v>
      </c>
      <c r="G1" s="317">
        <v>2024</v>
      </c>
      <c r="H1" s="318" t="s">
        <v>522</v>
      </c>
      <c r="I1" s="318" t="s">
        <v>517</v>
      </c>
      <c r="J1" s="318" t="s">
        <v>101</v>
      </c>
      <c r="K1" s="318" t="s">
        <v>173</v>
      </c>
    </row>
    <row r="2" spans="1:11">
      <c r="A2" s="329" t="s">
        <v>508</v>
      </c>
      <c r="B2" s="281" t="s">
        <v>509</v>
      </c>
      <c r="E2" s="281">
        <v>79</v>
      </c>
      <c r="F2" s="281">
        <v>90</v>
      </c>
      <c r="G2" s="303">
        <v>75</v>
      </c>
      <c r="H2" s="281">
        <v>150</v>
      </c>
    </row>
    <row r="3" spans="1:11">
      <c r="A3" s="329"/>
      <c r="B3" s="281" t="s">
        <v>510</v>
      </c>
      <c r="E3" s="281">
        <v>132</v>
      </c>
      <c r="F3" s="281">
        <v>177</v>
      </c>
      <c r="G3" s="303">
        <v>212</v>
      </c>
      <c r="H3" s="281">
        <v>200</v>
      </c>
    </row>
    <row r="4" spans="1:11">
      <c r="A4" s="329"/>
      <c r="B4" s="281" t="s">
        <v>511</v>
      </c>
      <c r="E4" s="281">
        <v>155</v>
      </c>
      <c r="F4" s="281">
        <v>183</v>
      </c>
      <c r="G4" s="303">
        <v>194</v>
      </c>
      <c r="H4" s="281">
        <v>205</v>
      </c>
    </row>
    <row r="5" spans="1:11">
      <c r="A5" s="329"/>
      <c r="B5" s="281" t="s">
        <v>512</v>
      </c>
      <c r="E5" s="281">
        <v>263</v>
      </c>
      <c r="F5" s="281">
        <v>258</v>
      </c>
      <c r="G5" s="303">
        <v>250</v>
      </c>
      <c r="H5" s="306">
        <f>H6-H2-H3-H4</f>
        <v>257.0675</v>
      </c>
    </row>
    <row r="6" spans="1:11">
      <c r="A6" s="329"/>
      <c r="B6" s="282" t="s">
        <v>513</v>
      </c>
      <c r="C6" s="282"/>
      <c r="D6" s="300">
        <f>forecast!C41</f>
        <v>528</v>
      </c>
      <c r="E6" s="282">
        <f>SUM(E2:E5)</f>
        <v>629</v>
      </c>
      <c r="F6" s="282">
        <f t="shared" ref="F6" si="0">SUM(F2:F5)</f>
        <v>708</v>
      </c>
      <c r="G6" s="302">
        <f>SUM(G2:G5)</f>
        <v>731</v>
      </c>
      <c r="H6" s="289">
        <f>H8+H10</f>
        <v>812.0675</v>
      </c>
      <c r="I6" s="289">
        <f t="shared" ref="I6:K6" si="1">I8+I10</f>
        <v>866.90359999999998</v>
      </c>
      <c r="J6" s="289">
        <f t="shared" si="1"/>
        <v>943.33862275000013</v>
      </c>
      <c r="K6" s="289">
        <f t="shared" si="1"/>
        <v>1172.4912653662502</v>
      </c>
    </row>
    <row r="7" spans="1:11">
      <c r="A7" s="329"/>
      <c r="B7" s="321" t="s">
        <v>518</v>
      </c>
      <c r="C7" s="282"/>
      <c r="D7" s="300"/>
      <c r="E7" s="322">
        <f>E6/D6-1</f>
        <v>0.1912878787878789</v>
      </c>
      <c r="F7" s="322">
        <f t="shared" ref="F7:G7" si="2">F6/E6-1</f>
        <v>0.12559618441971376</v>
      </c>
      <c r="G7" s="322">
        <f t="shared" si="2"/>
        <v>3.2485875706214751E-2</v>
      </c>
      <c r="H7" s="322">
        <f>H6/G6-1</f>
        <v>0.11089945280437763</v>
      </c>
      <c r="I7" s="322">
        <f t="shared" ref="I7:K7" si="3">I6/H6-1</f>
        <v>6.7526529506475752E-2</v>
      </c>
      <c r="J7" s="322">
        <f t="shared" si="3"/>
        <v>8.8170152655958622E-2</v>
      </c>
      <c r="K7" s="322">
        <f t="shared" si="3"/>
        <v>0.24291663363493932</v>
      </c>
    </row>
    <row r="8" spans="1:11">
      <c r="A8" s="329"/>
      <c r="B8" s="285" t="s">
        <v>514</v>
      </c>
      <c r="C8" s="285"/>
      <c r="D8" s="294">
        <f>forecast!C42</f>
        <v>442</v>
      </c>
      <c r="E8" s="294">
        <f>forecast!D42</f>
        <v>539</v>
      </c>
      <c r="F8" s="294">
        <f>forecast!E42</f>
        <v>612</v>
      </c>
      <c r="G8" s="309">
        <f>forecast!F42</f>
        <v>630</v>
      </c>
      <c r="H8" s="293">
        <f>(F23+1/2*G23)*H9</f>
        <v>710.48</v>
      </c>
      <c r="I8" s="293">
        <f t="shared" ref="I8:K8" si="4">(G23+1/2*H23)*I9</f>
        <v>759.79859999999996</v>
      </c>
      <c r="J8" s="293">
        <f t="shared" si="4"/>
        <v>833.5119390000001</v>
      </c>
      <c r="K8" s="293">
        <f t="shared" si="4"/>
        <v>1060.7089397100003</v>
      </c>
    </row>
    <row r="9" spans="1:11">
      <c r="A9" s="329"/>
      <c r="B9" s="295" t="s">
        <v>519</v>
      </c>
      <c r="C9" s="295"/>
      <c r="D9" s="296"/>
      <c r="E9" s="296">
        <f>E8/(C23+1/2*D23)</f>
        <v>0.85419968304278926</v>
      </c>
      <c r="F9" s="296">
        <f t="shared" ref="F9:G9" si="5">F8/(D23+1/2*E23)</f>
        <v>0.51842439644218552</v>
      </c>
      <c r="G9" s="310">
        <f t="shared" si="5"/>
        <v>0.42988741044012285</v>
      </c>
      <c r="H9" s="297">
        <v>0.53500000000000003</v>
      </c>
      <c r="I9" s="297">
        <v>0.56999999999999995</v>
      </c>
      <c r="J9" s="297">
        <v>0.59</v>
      </c>
      <c r="K9" s="297">
        <v>0.62</v>
      </c>
    </row>
    <row r="10" spans="1:11">
      <c r="A10" s="329"/>
      <c r="B10" s="285" t="s">
        <v>515</v>
      </c>
      <c r="C10" s="285"/>
      <c r="D10" s="294">
        <f>forecast!C46</f>
        <v>86</v>
      </c>
      <c r="E10" s="294">
        <f>forecast!D46</f>
        <v>90</v>
      </c>
      <c r="F10" s="294">
        <f>forecast!E46</f>
        <v>96</v>
      </c>
      <c r="G10" s="309">
        <f>forecast!F46</f>
        <v>101</v>
      </c>
      <c r="H10" s="293">
        <f>H11*(F24+1/2*G24)</f>
        <v>101.58749999999999</v>
      </c>
      <c r="I10" s="293">
        <f t="shared" ref="I10:J10" si="6">I11*(G24+1/2*H24)</f>
        <v>107.105</v>
      </c>
      <c r="J10" s="293">
        <f t="shared" si="6"/>
        <v>109.82668374999999</v>
      </c>
      <c r="K10" s="293">
        <f>K11*(I24+1/2*J24)</f>
        <v>111.78232565624998</v>
      </c>
    </row>
    <row r="11" spans="1:11" ht="14">
      <c r="A11" s="329"/>
      <c r="B11" s="298" t="s">
        <v>519</v>
      </c>
      <c r="C11" s="298"/>
      <c r="D11" s="299"/>
      <c r="E11" s="299">
        <f>E10/(C24+1/2*D24)</f>
        <v>0.1875</v>
      </c>
      <c r="F11" s="299">
        <f t="shared" ref="F11:G11" si="7">F10/(D24+1/2*E24)</f>
        <v>0.17566331198536139</v>
      </c>
      <c r="G11" s="311">
        <f t="shared" si="7"/>
        <v>0.17626527050610821</v>
      </c>
      <c r="H11" s="307">
        <v>0.215</v>
      </c>
      <c r="I11" s="301">
        <v>0.31</v>
      </c>
      <c r="J11" s="301">
        <v>0.37</v>
      </c>
      <c r="K11" s="301">
        <v>0.45</v>
      </c>
    </row>
    <row r="12" spans="1:11">
      <c r="A12" s="284"/>
      <c r="B12" s="285"/>
      <c r="C12" s="285"/>
      <c r="D12" s="285"/>
      <c r="E12" s="288"/>
      <c r="F12" s="288"/>
      <c r="H12" s="293"/>
    </row>
    <row r="13" spans="1:11">
      <c r="A13" s="284"/>
      <c r="B13" s="285"/>
      <c r="C13" s="285"/>
      <c r="D13" s="285"/>
      <c r="E13" s="288"/>
      <c r="F13" s="288"/>
      <c r="H13" s="293"/>
    </row>
    <row r="14" spans="1:11">
      <c r="A14" s="284"/>
      <c r="B14" s="285"/>
      <c r="C14" s="285"/>
      <c r="D14" s="285"/>
      <c r="E14" s="288"/>
      <c r="F14" s="288"/>
      <c r="H14" s="293"/>
    </row>
    <row r="15" spans="1:11">
      <c r="A15" s="329" t="s">
        <v>516</v>
      </c>
      <c r="B15" s="286" t="s">
        <v>513</v>
      </c>
      <c r="C15" s="286"/>
      <c r="D15" s="282">
        <f>D17+D19</f>
        <v>941</v>
      </c>
      <c r="E15" s="282">
        <f>E17+E19</f>
        <v>1035</v>
      </c>
      <c r="F15" s="282">
        <f>F17+F19</f>
        <v>519</v>
      </c>
      <c r="G15" s="302">
        <v>633</v>
      </c>
      <c r="H15" s="289">
        <f>H17+H19</f>
        <v>764.02750000000003</v>
      </c>
      <c r="I15" s="289">
        <f t="shared" ref="I15:K15" si="8">I17+I19</f>
        <v>1025.1455500000002</v>
      </c>
      <c r="J15" s="289">
        <f t="shared" si="8"/>
        <v>1126.1848500000001</v>
      </c>
      <c r="K15" s="289">
        <f t="shared" si="8"/>
        <v>1237.2100596000005</v>
      </c>
    </row>
    <row r="16" spans="1:11">
      <c r="A16" s="329"/>
      <c r="B16" s="286"/>
      <c r="C16" s="286"/>
      <c r="D16" s="282"/>
      <c r="E16" s="322">
        <f>E15/D15-1</f>
        <v>9.9893730074388953E-2</v>
      </c>
      <c r="F16" s="322">
        <f t="shared" ref="F16" si="9">F15/E15-1</f>
        <v>-0.49855072463768113</v>
      </c>
      <c r="G16" s="322">
        <f t="shared" ref="G16" si="10">G15/F15-1</f>
        <v>0.21965317919075145</v>
      </c>
      <c r="H16" s="322">
        <f>H15/G15-1</f>
        <v>0.20699447077409161</v>
      </c>
      <c r="I16" s="322">
        <f t="shared" ref="I16" si="11">I15/H15-1</f>
        <v>0.34176525059634644</v>
      </c>
      <c r="J16" s="322">
        <f t="shared" ref="J16" si="12">J15/I15-1</f>
        <v>9.8560931177041011E-2</v>
      </c>
      <c r="K16" s="322">
        <f t="shared" ref="K16" si="13">K15/J15-1</f>
        <v>9.8585245219734885E-2</v>
      </c>
    </row>
    <row r="17" spans="1:11">
      <c r="A17" s="329"/>
      <c r="B17" s="285" t="s">
        <v>514</v>
      </c>
      <c r="C17" s="285"/>
      <c r="D17" s="285">
        <v>813</v>
      </c>
      <c r="E17" s="281">
        <v>896</v>
      </c>
      <c r="F17" s="281">
        <v>468</v>
      </c>
      <c r="G17" s="305">
        <f>G15-G19</f>
        <v>643</v>
      </c>
      <c r="H17" s="290">
        <f>G17*(1+H18)</f>
        <v>694.44</v>
      </c>
      <c r="I17" s="290">
        <f>H17*(1+I18)</f>
        <v>951.3828000000002</v>
      </c>
      <c r="J17" s="290">
        <f t="shared" ref="J17:K17" si="14">I17*(1+J18)</f>
        <v>1046.5210800000002</v>
      </c>
      <c r="K17" s="290">
        <f t="shared" si="14"/>
        <v>1151.1731880000004</v>
      </c>
    </row>
    <row r="18" spans="1:11">
      <c r="A18" s="329"/>
      <c r="B18" s="285" t="s">
        <v>518</v>
      </c>
      <c r="C18" s="285"/>
      <c r="D18" s="285"/>
      <c r="F18" s="287">
        <f>F17/E17-1</f>
        <v>-0.4776785714285714</v>
      </c>
      <c r="G18" s="312">
        <f>G17/F17-1</f>
        <v>0.37393162393162394</v>
      </c>
      <c r="H18" s="308">
        <v>0.08</v>
      </c>
      <c r="I18" s="291">
        <v>0.37</v>
      </c>
      <c r="J18" s="291">
        <v>0.1</v>
      </c>
      <c r="K18" s="291">
        <v>0.1</v>
      </c>
    </row>
    <row r="19" spans="1:11">
      <c r="A19" s="329"/>
      <c r="B19" s="285" t="s">
        <v>515</v>
      </c>
      <c r="C19" s="285"/>
      <c r="D19" s="285">
        <v>128</v>
      </c>
      <c r="E19" s="281">
        <v>139</v>
      </c>
      <c r="F19" s="281">
        <v>51</v>
      </c>
      <c r="G19" s="304">
        <f>G24+G10-F24</f>
        <v>-10</v>
      </c>
      <c r="H19" s="293">
        <f>H24-G24+H10</f>
        <v>69.587499999999991</v>
      </c>
      <c r="I19" s="293">
        <f t="shared" ref="I19:K19" si="15">H19*(1+I20)</f>
        <v>73.762749999999997</v>
      </c>
      <c r="J19" s="293">
        <f t="shared" si="15"/>
        <v>79.66377</v>
      </c>
      <c r="K19" s="293">
        <f t="shared" si="15"/>
        <v>86.036871600000012</v>
      </c>
    </row>
    <row r="20" spans="1:11">
      <c r="A20" s="329"/>
      <c r="B20" s="285" t="s">
        <v>518</v>
      </c>
      <c r="C20" s="285"/>
      <c r="D20" s="285"/>
      <c r="F20" s="288">
        <f>F19/E19-1</f>
        <v>-0.63309352517985618</v>
      </c>
      <c r="G20" s="313">
        <f t="shared" ref="G20" si="16">G19/F19-1</f>
        <v>-1.196078431372549</v>
      </c>
      <c r="H20" s="320" t="s">
        <v>521</v>
      </c>
      <c r="I20" s="292">
        <v>0.06</v>
      </c>
      <c r="J20" s="292">
        <v>0.08</v>
      </c>
      <c r="K20" s="292">
        <v>0.08</v>
      </c>
    </row>
    <row r="21" spans="1:11">
      <c r="E21" s="288"/>
      <c r="F21" s="288"/>
    </row>
    <row r="22" spans="1:11">
      <c r="A22" s="328" t="s">
        <v>520</v>
      </c>
      <c r="C22" s="282">
        <v>603</v>
      </c>
      <c r="D22" s="282">
        <v>1016</v>
      </c>
      <c r="E22" s="282">
        <v>1422</v>
      </c>
      <c r="F22" s="282">
        <v>1233</v>
      </c>
      <c r="G22" s="302">
        <f>F22+G15-G6</f>
        <v>1135</v>
      </c>
      <c r="H22" s="289">
        <f>H23+H24</f>
        <v>1086.96</v>
      </c>
      <c r="I22" s="289">
        <f t="shared" ref="I22:K22" si="17">I23+I24</f>
        <v>1245.2019500000001</v>
      </c>
      <c r="J22" s="289">
        <f t="shared" si="17"/>
        <v>1428.0481772500007</v>
      </c>
      <c r="K22" s="289">
        <f t="shared" si="17"/>
        <v>1492.7669714837511</v>
      </c>
    </row>
    <row r="23" spans="1:11">
      <c r="A23" s="328"/>
      <c r="B23" s="285" t="s">
        <v>514</v>
      </c>
      <c r="C23" s="281">
        <v>297</v>
      </c>
      <c r="D23" s="281">
        <v>668</v>
      </c>
      <c r="E23" s="281">
        <v>1025</v>
      </c>
      <c r="F23" s="281">
        <v>881</v>
      </c>
      <c r="G23" s="304">
        <f>G22-G24</f>
        <v>894</v>
      </c>
      <c r="H23" s="293">
        <f>G23+H17-H8</f>
        <v>877.96</v>
      </c>
      <c r="I23" s="293">
        <f t="shared" ref="I23:K23" si="18">H23+I17-I8</f>
        <v>1069.5442000000003</v>
      </c>
      <c r="J23" s="293">
        <f t="shared" si="18"/>
        <v>1282.5533410000007</v>
      </c>
      <c r="K23" s="293">
        <f t="shared" si="18"/>
        <v>1373.0175892900011</v>
      </c>
    </row>
    <row r="24" spans="1:11">
      <c r="A24" s="328"/>
      <c r="B24" s="285" t="s">
        <v>515</v>
      </c>
      <c r="C24" s="281">
        <v>306</v>
      </c>
      <c r="D24" s="281">
        <v>348</v>
      </c>
      <c r="E24" s="281">
        <v>397</v>
      </c>
      <c r="F24" s="281">
        <v>352</v>
      </c>
      <c r="G24" s="303">
        <v>241</v>
      </c>
      <c r="H24" s="306">
        <v>209</v>
      </c>
      <c r="I24" s="293">
        <f>H24+I19-I10</f>
        <v>175.65774999999996</v>
      </c>
      <c r="J24" s="293">
        <f t="shared" ref="J24:K24" si="19">I24+J19-J10</f>
        <v>145.49483624999999</v>
      </c>
      <c r="K24" s="293">
        <f t="shared" si="19"/>
        <v>119.74938219375002</v>
      </c>
    </row>
    <row r="25" spans="1:11">
      <c r="G25" s="304"/>
    </row>
    <row r="26" spans="1:11">
      <c r="G26" s="304"/>
    </row>
  </sheetData>
  <mergeCells count="3">
    <mergeCell ref="A22:A24"/>
    <mergeCell ref="A2:A11"/>
    <mergeCell ref="A15:A20"/>
  </mergeCells>
  <phoneticPr fontId="13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ET19"/>
  <sheetViews>
    <sheetView workbookViewId="0">
      <selection activeCell="F32" sqref="F32"/>
    </sheetView>
  </sheetViews>
  <sheetFormatPr defaultColWidth="9.6640625" defaultRowHeight="15.5"/>
  <cols>
    <col min="1" max="6" width="20.83203125" style="6" customWidth="1"/>
    <col min="7" max="16374" width="9.6640625" style="6"/>
  </cols>
  <sheetData>
    <row r="1" spans="1:6">
      <c r="A1" s="327" t="s">
        <v>490</v>
      </c>
      <c r="B1" s="327"/>
      <c r="C1" s="327"/>
      <c r="D1" s="327"/>
      <c r="E1" s="327"/>
    </row>
    <row r="3" spans="1:6">
      <c r="A3" s="6" t="s">
        <v>491</v>
      </c>
      <c r="B3" s="6" t="s">
        <v>311</v>
      </c>
      <c r="C3" s="6" t="s">
        <v>312</v>
      </c>
      <c r="D3" s="6" t="s">
        <v>313</v>
      </c>
      <c r="E3" s="6" t="s">
        <v>314</v>
      </c>
      <c r="F3" s="6" t="s">
        <v>315</v>
      </c>
    </row>
    <row r="4" spans="1:6">
      <c r="A4" s="6" t="s">
        <v>316</v>
      </c>
      <c r="B4" s="6" t="s">
        <v>317</v>
      </c>
      <c r="C4" s="6" t="s">
        <v>317</v>
      </c>
      <c r="D4" s="6" t="s">
        <v>317</v>
      </c>
      <c r="E4" s="6" t="s">
        <v>317</v>
      </c>
      <c r="F4" s="6" t="s">
        <v>317</v>
      </c>
    </row>
    <row r="5" spans="1:6">
      <c r="A5" s="6" t="s">
        <v>318</v>
      </c>
      <c r="B5" s="6" t="s">
        <v>319</v>
      </c>
      <c r="C5" s="6" t="s">
        <v>319</v>
      </c>
      <c r="D5" s="6" t="s">
        <v>319</v>
      </c>
      <c r="E5" s="6" t="s">
        <v>319</v>
      </c>
      <c r="F5" s="6" t="s">
        <v>319</v>
      </c>
    </row>
    <row r="6" spans="1:6">
      <c r="A6" s="6" t="s">
        <v>492</v>
      </c>
      <c r="B6" s="6" t="s">
        <v>493</v>
      </c>
      <c r="C6" s="6" t="s">
        <v>493</v>
      </c>
      <c r="D6" s="6" t="s">
        <v>493</v>
      </c>
      <c r="E6" s="6" t="s">
        <v>493</v>
      </c>
      <c r="F6" s="6" t="s">
        <v>493</v>
      </c>
    </row>
    <row r="7" spans="1:6">
      <c r="A7" s="6" t="s">
        <v>494</v>
      </c>
    </row>
    <row r="8" spans="1:6">
      <c r="A8" s="6" t="s">
        <v>495</v>
      </c>
      <c r="B8" s="8">
        <v>488.29</v>
      </c>
      <c r="C8" s="8">
        <v>619.61199999999997</v>
      </c>
      <c r="D8" s="8">
        <v>759.74</v>
      </c>
      <c r="E8" s="8">
        <v>915.654</v>
      </c>
      <c r="F8" s="8">
        <v>1023.914</v>
      </c>
    </row>
    <row r="9" spans="1:6">
      <c r="A9" s="6" t="s">
        <v>496</v>
      </c>
      <c r="B9" s="8">
        <v>323.50200000000001</v>
      </c>
      <c r="C9" s="8">
        <v>400.065</v>
      </c>
      <c r="D9" s="8">
        <v>501.52199999999999</v>
      </c>
      <c r="E9" s="8">
        <v>601.71900000000005</v>
      </c>
      <c r="F9" s="6" t="s">
        <v>491</v>
      </c>
    </row>
    <row r="10" spans="1:6">
      <c r="A10" s="6" t="s">
        <v>497</v>
      </c>
      <c r="B10" s="8">
        <v>164.78800000000001</v>
      </c>
      <c r="C10" s="8">
        <v>219.547</v>
      </c>
      <c r="D10" s="8">
        <v>258.21800000000002</v>
      </c>
      <c r="E10" s="8">
        <v>313.935</v>
      </c>
      <c r="F10" s="6" t="s">
        <v>491</v>
      </c>
    </row>
    <row r="11" spans="1:6">
      <c r="A11" s="6" t="s">
        <v>498</v>
      </c>
      <c r="B11" s="8">
        <v>33.747999999999998</v>
      </c>
      <c r="C11" s="8">
        <v>35.433</v>
      </c>
      <c r="D11" s="8">
        <v>33.987699999999997</v>
      </c>
      <c r="E11" s="8">
        <v>34.285299999999999</v>
      </c>
      <c r="F11" s="6" t="s">
        <v>491</v>
      </c>
    </row>
    <row r="12" spans="1:6">
      <c r="A12" s="6" t="s">
        <v>499</v>
      </c>
    </row>
    <row r="13" spans="1:6">
      <c r="A13" s="6" t="s">
        <v>495</v>
      </c>
      <c r="B13" s="8">
        <v>98.173000000000002</v>
      </c>
      <c r="C13" s="8">
        <v>118.518</v>
      </c>
      <c r="D13" s="8">
        <v>134.34200000000001</v>
      </c>
      <c r="E13" s="8">
        <v>152.054</v>
      </c>
      <c r="F13" s="8">
        <v>173.21899999999999</v>
      </c>
    </row>
    <row r="14" spans="1:6">
      <c r="A14" s="6" t="s">
        <v>496</v>
      </c>
      <c r="B14" s="8">
        <v>77.629000000000005</v>
      </c>
      <c r="C14" s="8">
        <v>95.79</v>
      </c>
      <c r="D14" s="8">
        <v>94.43</v>
      </c>
      <c r="E14" s="8">
        <v>101.297</v>
      </c>
      <c r="F14" s="6" t="s">
        <v>491</v>
      </c>
    </row>
    <row r="15" spans="1:6">
      <c r="A15" s="6" t="s">
        <v>497</v>
      </c>
      <c r="B15" s="8">
        <v>20.544</v>
      </c>
      <c r="C15" s="8">
        <v>22.728000000000002</v>
      </c>
      <c r="D15" s="8">
        <v>39.911999999999999</v>
      </c>
      <c r="E15" s="8">
        <v>50.756999999999998</v>
      </c>
      <c r="F15" s="6" t="s">
        <v>491</v>
      </c>
    </row>
    <row r="16" spans="1:6">
      <c r="A16" s="6" t="s">
        <v>498</v>
      </c>
      <c r="B16" s="8">
        <v>20.926300000000001</v>
      </c>
      <c r="C16" s="8">
        <v>19.1768</v>
      </c>
      <c r="D16" s="8">
        <v>29.709199999999999</v>
      </c>
      <c r="E16" s="8">
        <v>33.380899999999997</v>
      </c>
      <c r="F16" s="6" t="s">
        <v>491</v>
      </c>
    </row>
    <row r="19" spans="1:1">
      <c r="A19" s="6" t="s">
        <v>500</v>
      </c>
    </row>
  </sheetData>
  <mergeCells count="1">
    <mergeCell ref="A1:E1"/>
  </mergeCells>
  <phoneticPr fontId="13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2</vt:i4>
      </vt:variant>
    </vt:vector>
  </HeadingPairs>
  <TitlesOfParts>
    <vt:vector size="12" baseType="lpstr">
      <vt:lpstr>XN</vt:lpstr>
      <vt:lpstr>XN-output</vt:lpstr>
      <vt:lpstr>PL-CF-BS</vt:lpstr>
      <vt:lpstr>forecast</vt:lpstr>
      <vt:lpstr>DCF </vt:lpstr>
      <vt:lpstr>PL</vt:lpstr>
      <vt:lpstr>BS</vt:lpstr>
      <vt:lpstr>CF</vt:lpstr>
      <vt:lpstr>订单及交付</vt:lpstr>
      <vt:lpstr>产品 -wind</vt:lpstr>
      <vt:lpstr>'PL-CF-BS'!Print_Area</vt:lpstr>
      <vt:lpstr>'PL-CF-BS'!Print_Titles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Yanli Li</dc:creator>
  <cp:lastModifiedBy>Zizhou Zheng</cp:lastModifiedBy>
  <dcterms:created xsi:type="dcterms:W3CDTF">2015-06-07T18:19:00Z</dcterms:created>
  <dcterms:modified xsi:type="dcterms:W3CDTF">2026-03-25T04:55:22Z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2b515adb</vt:lpwstr>
  </property>
  <property fmtid="{D5CDD505-2E9C-101B-9397-08002B2CF9AE}" pid="3" name="ICV">
    <vt:lpwstr>3B17E51A402E43778F0AB15804AA3AA7_13</vt:lpwstr>
  </property>
  <property fmtid="{D5CDD505-2E9C-101B-9397-08002B2CF9AE}" pid="4" name="KSOProductBuildVer">
    <vt:lpwstr>2052-12.1.0.24034</vt:lpwstr>
  </property>
  <property fmtid="{D5CDD505-2E9C-101B-9397-08002B2CF9AE}" pid="5" name="CalculationRule">
    <vt:i4>0</vt:i4>
  </property>
</Properties>
</file>